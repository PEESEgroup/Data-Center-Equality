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28470" yWindow="1530" windowWidth="21600" windowHeight="11385" firstSheet="6" activeTab="6"/>
  </bookViews>
  <sheets>
    <sheet name="RBH-1 Constant Growth DCF" sheetId="1" r:id="rId1"/>
    <sheet name="RBH-2 MRP Bloomberg" sheetId="2" r:id="rId2"/>
    <sheet name="RBH-2 MRP Value Line" sheetId="3" r:id="rId3"/>
    <sheet name="RBH-3 Beta" sheetId="4" r:id="rId4"/>
    <sheet name="RBH-4 CAPM" sheetId="5" r:id="rId5"/>
    <sheet name="RBH-5 Risk Premium" sheetId="6" r:id="rId6"/>
    <sheet name="RBH-6 Expected Earnings" sheetId="9" r:id="rId7"/>
    <sheet name="RBH-7 Flotation Costs" sheetId="11" r:id="rId8"/>
    <sheet name="RBH-8 Rate Mechanisms" sheetId="12" r:id="rId9"/>
    <sheet name="RBH-9 Capital Expenditures" sheetId="13" r:id="rId10"/>
    <sheet name="RBH-10 Capital Structure" sheetId="8" r:id="rId11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0">'RBH-1 Constant Growth DCF'!$A$1:$Q$140</definedName>
    <definedName name="_xlnm.Print_Area" localSheetId="4">'RBH-4 CAPM'!$A$1:$J$32</definedName>
    <definedName name="_xlnm.Print_Area" localSheetId="5">'RBH-5 Risk Premium'!$A$1:$H$1633</definedName>
    <definedName name="_xlnm.Print_Area" localSheetId="8">'RBH-8 Rate Mechanisms'!$A$1:$T$74,'RBH-8 Rate Mechanisms'!$A$75:$J$79</definedName>
    <definedName name="_xlnm.Print_Area" localSheetId="9">'RBH-9 Capital Expenditures'!$A$1:$E$61</definedName>
    <definedName name="_xlnm.Print_Titles" localSheetId="1">'RBH-2 MRP Bloomberg'!$11:$11</definedName>
    <definedName name="_xlnm.Print_Titles" localSheetId="2">'RBH-2 MRP Value Line'!$11:$11</definedName>
    <definedName name="_xlnm.Print_Titles" localSheetId="5">'RBH-5 Risk Premium'!$45:$45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5" l="1"/>
  <c r="O32" i="1" l="1"/>
  <c r="O79" i="1"/>
  <c r="O126" i="1"/>
  <c r="P126" i="1"/>
  <c r="D54" i="13"/>
  <c r="S74" i="12"/>
  <c r="I1632" i="6" l="1"/>
  <c r="I66" i="11"/>
  <c r="J66" i="11"/>
  <c r="K66" i="11"/>
  <c r="I67" i="11"/>
  <c r="J67" i="11"/>
  <c r="K67" i="11"/>
  <c r="I68" i="11"/>
  <c r="J68" i="11"/>
  <c r="K68" i="11"/>
  <c r="I69" i="11"/>
  <c r="J69" i="11"/>
  <c r="K69" i="11"/>
  <c r="I70" i="11"/>
  <c r="J70" i="11"/>
  <c r="K70" i="11"/>
  <c r="I71" i="11"/>
  <c r="J71" i="11"/>
  <c r="K71" i="11"/>
  <c r="I72" i="11"/>
  <c r="J72" i="11"/>
  <c r="K72" i="11"/>
  <c r="I73" i="11"/>
  <c r="J73" i="11"/>
  <c r="K73" i="11"/>
  <c r="I74" i="11"/>
  <c r="J74" i="11"/>
  <c r="K74" i="11"/>
  <c r="I75" i="11"/>
  <c r="J75" i="11"/>
  <c r="K75" i="11"/>
  <c r="I76" i="11"/>
  <c r="J76" i="11"/>
  <c r="K76" i="11"/>
  <c r="I77" i="11"/>
  <c r="J77" i="11"/>
  <c r="K77" i="11"/>
  <c r="I78" i="11"/>
  <c r="J78" i="11"/>
  <c r="K78" i="11"/>
  <c r="I79" i="11"/>
  <c r="J79" i="11"/>
  <c r="K79" i="11"/>
  <c r="I80" i="11"/>
  <c r="J80" i="11"/>
  <c r="K80" i="11"/>
  <c r="I81" i="11"/>
  <c r="J81" i="11"/>
  <c r="K81" i="11"/>
  <c r="I82" i="11"/>
  <c r="J82" i="11"/>
  <c r="K82" i="11"/>
  <c r="I83" i="11"/>
  <c r="J83" i="11"/>
  <c r="K83" i="11"/>
  <c r="I84" i="11"/>
  <c r="J84" i="11"/>
  <c r="K84" i="11"/>
  <c r="I85" i="11"/>
  <c r="J85" i="11"/>
  <c r="K85" i="11"/>
  <c r="I86" i="11"/>
  <c r="J86" i="11"/>
  <c r="K86" i="11"/>
  <c r="I87" i="11"/>
  <c r="J87" i="11"/>
  <c r="K87" i="11"/>
  <c r="J65" i="11"/>
  <c r="K65" i="11"/>
  <c r="C87" i="11"/>
  <c r="B87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C78" i="11"/>
  <c r="B78" i="11"/>
  <c r="C77" i="11"/>
  <c r="B77" i="11"/>
  <c r="C76" i="11"/>
  <c r="B76" i="11"/>
  <c r="C75" i="11"/>
  <c r="B75" i="11"/>
  <c r="C74" i="11"/>
  <c r="B74" i="11"/>
  <c r="C73" i="11"/>
  <c r="B73" i="11"/>
  <c r="C72" i="11"/>
  <c r="B72" i="11"/>
  <c r="C71" i="11"/>
  <c r="B71" i="11"/>
  <c r="C70" i="11"/>
  <c r="B70" i="11"/>
  <c r="C69" i="11"/>
  <c r="B69" i="11"/>
  <c r="C68" i="11"/>
  <c r="B68" i="11"/>
  <c r="C67" i="11"/>
  <c r="B67" i="11"/>
  <c r="C66" i="11"/>
  <c r="B66" i="11"/>
  <c r="C65" i="11"/>
  <c r="B65" i="11"/>
  <c r="H33" i="9"/>
  <c r="D74" i="12" l="1"/>
  <c r="D73" i="12" l="1"/>
  <c r="M73" i="12"/>
  <c r="M74" i="12" s="1"/>
  <c r="E5" i="8" l="1"/>
  <c r="F5" i="8"/>
  <c r="G5" i="8"/>
  <c r="H5" i="8"/>
  <c r="I5" i="8"/>
  <c r="J5" i="8"/>
  <c r="K5" i="8"/>
  <c r="E6" i="8"/>
  <c r="F6" i="8"/>
  <c r="G6" i="8"/>
  <c r="H6" i="8"/>
  <c r="I6" i="8"/>
  <c r="J6" i="8"/>
  <c r="K6" i="8"/>
  <c r="E7" i="8"/>
  <c r="F7" i="8"/>
  <c r="G7" i="8"/>
  <c r="H7" i="8"/>
  <c r="I7" i="8"/>
  <c r="J7" i="8"/>
  <c r="K7" i="8"/>
  <c r="E8" i="8"/>
  <c r="F8" i="8"/>
  <c r="G8" i="8"/>
  <c r="H8" i="8"/>
  <c r="I8" i="8"/>
  <c r="J8" i="8"/>
  <c r="K8" i="8"/>
  <c r="E9" i="8"/>
  <c r="F9" i="8"/>
  <c r="L9" i="8" s="1"/>
  <c r="G9" i="8"/>
  <c r="H9" i="8"/>
  <c r="I9" i="8"/>
  <c r="J9" i="8"/>
  <c r="K9" i="8"/>
  <c r="E10" i="8"/>
  <c r="F10" i="8"/>
  <c r="G10" i="8"/>
  <c r="H10" i="8"/>
  <c r="I10" i="8"/>
  <c r="J10" i="8"/>
  <c r="K10" i="8"/>
  <c r="E11" i="8"/>
  <c r="F11" i="8"/>
  <c r="G11" i="8"/>
  <c r="H11" i="8"/>
  <c r="I11" i="8"/>
  <c r="J11" i="8"/>
  <c r="K11" i="8"/>
  <c r="E12" i="8"/>
  <c r="F12" i="8"/>
  <c r="G12" i="8"/>
  <c r="H12" i="8"/>
  <c r="I12" i="8"/>
  <c r="J12" i="8"/>
  <c r="K12" i="8"/>
  <c r="E13" i="8"/>
  <c r="F13" i="8"/>
  <c r="L13" i="8" s="1"/>
  <c r="G13" i="8"/>
  <c r="H13" i="8"/>
  <c r="I13" i="8"/>
  <c r="J13" i="8"/>
  <c r="K13" i="8"/>
  <c r="E14" i="8"/>
  <c r="F14" i="8"/>
  <c r="G14" i="8"/>
  <c r="H14" i="8"/>
  <c r="I14" i="8"/>
  <c r="J14" i="8"/>
  <c r="K14" i="8"/>
  <c r="E15" i="8"/>
  <c r="F15" i="8"/>
  <c r="G15" i="8"/>
  <c r="H15" i="8"/>
  <c r="I15" i="8"/>
  <c r="J15" i="8"/>
  <c r="K15" i="8"/>
  <c r="E16" i="8"/>
  <c r="F16" i="8"/>
  <c r="G16" i="8"/>
  <c r="H16" i="8"/>
  <c r="I16" i="8"/>
  <c r="J16" i="8"/>
  <c r="K16" i="8"/>
  <c r="E17" i="8"/>
  <c r="F17" i="8"/>
  <c r="L17" i="8" s="1"/>
  <c r="G17" i="8"/>
  <c r="H17" i="8"/>
  <c r="I17" i="8"/>
  <c r="J17" i="8"/>
  <c r="K17" i="8"/>
  <c r="E18" i="8"/>
  <c r="F18" i="8"/>
  <c r="G18" i="8"/>
  <c r="H18" i="8"/>
  <c r="I18" i="8"/>
  <c r="J18" i="8"/>
  <c r="K18" i="8"/>
  <c r="E19" i="8"/>
  <c r="F19" i="8"/>
  <c r="G19" i="8"/>
  <c r="H19" i="8"/>
  <c r="I19" i="8"/>
  <c r="J19" i="8"/>
  <c r="K19" i="8"/>
  <c r="E20" i="8"/>
  <c r="F20" i="8"/>
  <c r="G20" i="8"/>
  <c r="H20" i="8"/>
  <c r="I20" i="8"/>
  <c r="J20" i="8"/>
  <c r="K20" i="8"/>
  <c r="E21" i="8"/>
  <c r="F21" i="8"/>
  <c r="L21" i="8" s="1"/>
  <c r="G21" i="8"/>
  <c r="H21" i="8"/>
  <c r="I21" i="8"/>
  <c r="J21" i="8"/>
  <c r="K21" i="8"/>
  <c r="E22" i="8"/>
  <c r="F22" i="8"/>
  <c r="G22" i="8"/>
  <c r="H22" i="8"/>
  <c r="I22" i="8"/>
  <c r="J22" i="8"/>
  <c r="K22" i="8"/>
  <c r="E23" i="8"/>
  <c r="F23" i="8"/>
  <c r="G23" i="8"/>
  <c r="H23" i="8"/>
  <c r="I23" i="8"/>
  <c r="J23" i="8"/>
  <c r="K23" i="8"/>
  <c r="E24" i="8"/>
  <c r="F24" i="8"/>
  <c r="G24" i="8"/>
  <c r="H24" i="8"/>
  <c r="I24" i="8"/>
  <c r="J24" i="8"/>
  <c r="K24" i="8"/>
  <c r="E25" i="8"/>
  <c r="F25" i="8"/>
  <c r="L25" i="8" s="1"/>
  <c r="G25" i="8"/>
  <c r="H25" i="8"/>
  <c r="I25" i="8"/>
  <c r="J25" i="8"/>
  <c r="K25" i="8"/>
  <c r="E26" i="8"/>
  <c r="F26" i="8"/>
  <c r="G26" i="8"/>
  <c r="H26" i="8"/>
  <c r="I26" i="8"/>
  <c r="J26" i="8"/>
  <c r="K26" i="8"/>
  <c r="E27" i="8"/>
  <c r="F27" i="8"/>
  <c r="G27" i="8"/>
  <c r="H27" i="8"/>
  <c r="I27" i="8"/>
  <c r="J27" i="8"/>
  <c r="K27" i="8"/>
  <c r="D6" i="8"/>
  <c r="L6" i="8" s="1"/>
  <c r="D7" i="8"/>
  <c r="L7" i="8" s="1"/>
  <c r="D8" i="8"/>
  <c r="L8" i="8" s="1"/>
  <c r="D9" i="8"/>
  <c r="D10" i="8"/>
  <c r="L10" i="8" s="1"/>
  <c r="D11" i="8"/>
  <c r="L11" i="8" s="1"/>
  <c r="D12" i="8"/>
  <c r="L12" i="8" s="1"/>
  <c r="D13" i="8"/>
  <c r="D14" i="8"/>
  <c r="L14" i="8" s="1"/>
  <c r="D15" i="8"/>
  <c r="L15" i="8" s="1"/>
  <c r="D16" i="8"/>
  <c r="L16" i="8" s="1"/>
  <c r="D17" i="8"/>
  <c r="D18" i="8"/>
  <c r="L18" i="8" s="1"/>
  <c r="D19" i="8"/>
  <c r="L19" i="8" s="1"/>
  <c r="D20" i="8"/>
  <c r="L20" i="8" s="1"/>
  <c r="D21" i="8"/>
  <c r="D22" i="8"/>
  <c r="L22" i="8" s="1"/>
  <c r="D23" i="8"/>
  <c r="L23" i="8" s="1"/>
  <c r="D24" i="8"/>
  <c r="L24" i="8" s="1"/>
  <c r="D25" i="8"/>
  <c r="D26" i="8"/>
  <c r="L26" i="8" s="1"/>
  <c r="D27" i="8"/>
  <c r="L27" i="8" s="1"/>
  <c r="W88" i="8"/>
  <c r="V88" i="8"/>
  <c r="U88" i="8"/>
  <c r="T88" i="8"/>
  <c r="S88" i="8"/>
  <c r="R88" i="8"/>
  <c r="Q88" i="8"/>
  <c r="P88" i="8"/>
  <c r="K88" i="8"/>
  <c r="J88" i="8"/>
  <c r="I88" i="8"/>
  <c r="H88" i="8"/>
  <c r="G88" i="8"/>
  <c r="F88" i="8"/>
  <c r="E88" i="8"/>
  <c r="L68" i="8"/>
  <c r="N68" i="8"/>
  <c r="O68" i="8"/>
  <c r="X68" i="8"/>
  <c r="D31" i="13" l="1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30" i="13"/>
  <c r="I65" i="11" l="1"/>
  <c r="D66" i="11"/>
  <c r="E66" i="11"/>
  <c r="D67" i="11"/>
  <c r="E67" i="11"/>
  <c r="D68" i="11"/>
  <c r="E68" i="11"/>
  <c r="D69" i="11"/>
  <c r="E69" i="11"/>
  <c r="D70" i="11"/>
  <c r="E70" i="11"/>
  <c r="D71" i="11"/>
  <c r="E71" i="11"/>
  <c r="D72" i="11"/>
  <c r="E72" i="11"/>
  <c r="D73" i="11"/>
  <c r="E73" i="11"/>
  <c r="D74" i="11"/>
  <c r="E74" i="11"/>
  <c r="D75" i="11"/>
  <c r="E75" i="11"/>
  <c r="D76" i="11"/>
  <c r="E76" i="11"/>
  <c r="D77" i="11"/>
  <c r="E77" i="11"/>
  <c r="D78" i="11"/>
  <c r="E78" i="11"/>
  <c r="D79" i="11"/>
  <c r="E79" i="11"/>
  <c r="D80" i="11"/>
  <c r="E80" i="11"/>
  <c r="D81" i="11"/>
  <c r="E81" i="11"/>
  <c r="D82" i="11"/>
  <c r="E82" i="11"/>
  <c r="D83" i="11"/>
  <c r="E83" i="11"/>
  <c r="D84" i="11"/>
  <c r="E84" i="11"/>
  <c r="D85" i="11"/>
  <c r="E85" i="11"/>
  <c r="D86" i="11"/>
  <c r="E86" i="11"/>
  <c r="D87" i="11"/>
  <c r="E87" i="11"/>
  <c r="E65" i="11"/>
  <c r="D65" i="11"/>
  <c r="E8" i="6"/>
  <c r="E7" i="6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C7" i="4"/>
  <c r="B7" i="4"/>
  <c r="E7" i="3" l="1"/>
  <c r="E7" i="2"/>
  <c r="K33" i="1" l="1"/>
  <c r="J33" i="1"/>
  <c r="I33" i="1"/>
  <c r="K32" i="1"/>
  <c r="J32" i="1"/>
  <c r="I32" i="1"/>
  <c r="F29" i="9" l="1"/>
  <c r="G29" i="9" s="1"/>
  <c r="H29" i="9" s="1"/>
  <c r="F24" i="9"/>
  <c r="G24" i="9" s="1"/>
  <c r="H24" i="9" s="1"/>
  <c r="F23" i="9"/>
  <c r="G23" i="9" s="1"/>
  <c r="H23" i="9" s="1"/>
  <c r="F18" i="9"/>
  <c r="G18" i="9" s="1"/>
  <c r="H18" i="9" s="1"/>
  <c r="F15" i="9"/>
  <c r="G15" i="9" s="1"/>
  <c r="H15" i="9" s="1"/>
  <c r="F13" i="9"/>
  <c r="G13" i="9" s="1"/>
  <c r="H13" i="9" s="1"/>
  <c r="F10" i="9"/>
  <c r="G10" i="9" s="1"/>
  <c r="H10" i="9" s="1"/>
  <c r="F9" i="9"/>
  <c r="G9" i="9" s="1"/>
  <c r="H9" i="9" s="1"/>
  <c r="F8" i="9"/>
  <c r="T73" i="12" l="1"/>
  <c r="T74" i="12" s="1"/>
  <c r="S73" i="12"/>
  <c r="R73" i="12"/>
  <c r="R74" i="12" s="1"/>
  <c r="Q73" i="12"/>
  <c r="Q74" i="12" s="1"/>
  <c r="P73" i="12"/>
  <c r="P74" i="12" s="1"/>
  <c r="O73" i="12"/>
  <c r="O74" i="12" s="1"/>
  <c r="N73" i="12"/>
  <c r="N74" i="12" s="1"/>
  <c r="L73" i="12"/>
  <c r="L74" i="12" s="1"/>
  <c r="K73" i="12"/>
  <c r="K74" i="12" s="1"/>
  <c r="J73" i="12"/>
  <c r="J74" i="12" s="1"/>
  <c r="I73" i="12"/>
  <c r="I74" i="12" s="1"/>
  <c r="H73" i="12"/>
  <c r="H74" i="12" s="1"/>
  <c r="G73" i="12"/>
  <c r="G74" i="12" s="1"/>
  <c r="F73" i="12"/>
  <c r="F74" i="12" s="1"/>
  <c r="E73" i="12"/>
  <c r="E74" i="12" s="1"/>
  <c r="L87" i="11" l="1"/>
  <c r="F87" i="11"/>
  <c r="F86" i="11"/>
  <c r="F84" i="11"/>
  <c r="F83" i="11"/>
  <c r="F82" i="11"/>
  <c r="L81" i="11"/>
  <c r="F81" i="11"/>
  <c r="F80" i="11"/>
  <c r="F79" i="11"/>
  <c r="F74" i="11"/>
  <c r="L73" i="11"/>
  <c r="F72" i="11"/>
  <c r="F71" i="11"/>
  <c r="F70" i="11"/>
  <c r="F68" i="11"/>
  <c r="L67" i="11"/>
  <c r="F67" i="11"/>
  <c r="F66" i="11"/>
  <c r="L65" i="11"/>
  <c r="F65" i="11"/>
  <c r="J53" i="11"/>
  <c r="I53" i="11"/>
  <c r="J52" i="11"/>
  <c r="I52" i="11"/>
  <c r="J51" i="11"/>
  <c r="I51" i="11"/>
  <c r="J50" i="11"/>
  <c r="I50" i="11"/>
  <c r="J49" i="11"/>
  <c r="I49" i="11"/>
  <c r="J48" i="11"/>
  <c r="I48" i="11"/>
  <c r="J47" i="11"/>
  <c r="I47" i="11"/>
  <c r="J46" i="11"/>
  <c r="I46" i="11"/>
  <c r="J45" i="11"/>
  <c r="I45" i="11"/>
  <c r="J44" i="11"/>
  <c r="I44" i="11"/>
  <c r="J43" i="11"/>
  <c r="I43" i="11"/>
  <c r="J42" i="11"/>
  <c r="I42" i="11"/>
  <c r="J41" i="11"/>
  <c r="I41" i="11"/>
  <c r="L41" i="11" s="1"/>
  <c r="J40" i="11"/>
  <c r="I40" i="11"/>
  <c r="J39" i="11"/>
  <c r="I39" i="11"/>
  <c r="L39" i="11" s="1"/>
  <c r="J38" i="11"/>
  <c r="I38" i="11"/>
  <c r="J37" i="11"/>
  <c r="I37" i="11"/>
  <c r="L37" i="11" s="1"/>
  <c r="J36" i="11"/>
  <c r="I36" i="11"/>
  <c r="J35" i="11"/>
  <c r="I35" i="11"/>
  <c r="J34" i="11"/>
  <c r="I34" i="11"/>
  <c r="J33" i="11"/>
  <c r="I33" i="11"/>
  <c r="J30" i="11"/>
  <c r="I30" i="11"/>
  <c r="D29" i="11"/>
  <c r="J29" i="11" s="1"/>
  <c r="J32" i="11"/>
  <c r="I32" i="11"/>
  <c r="J31" i="11"/>
  <c r="I31" i="11"/>
  <c r="J28" i="11"/>
  <c r="I28" i="11"/>
  <c r="J27" i="11"/>
  <c r="I27" i="11"/>
  <c r="J26" i="11"/>
  <c r="I26" i="11"/>
  <c r="J25" i="11"/>
  <c r="I25" i="11"/>
  <c r="L25" i="11" s="1"/>
  <c r="J24" i="11"/>
  <c r="F24" i="11"/>
  <c r="I24" i="11" s="1"/>
  <c r="J23" i="11"/>
  <c r="I23" i="11"/>
  <c r="L23" i="11" s="1"/>
  <c r="J22" i="11"/>
  <c r="I22" i="11"/>
  <c r="J21" i="11"/>
  <c r="I21" i="11"/>
  <c r="J20" i="11"/>
  <c r="I20" i="11"/>
  <c r="J19" i="11"/>
  <c r="I19" i="11"/>
  <c r="J18" i="11"/>
  <c r="I18" i="11"/>
  <c r="J17" i="11"/>
  <c r="I17" i="11"/>
  <c r="J16" i="11"/>
  <c r="I16" i="11"/>
  <c r="L16" i="11" s="1"/>
  <c r="J15" i="11"/>
  <c r="I15" i="11"/>
  <c r="J14" i="11"/>
  <c r="I14" i="11"/>
  <c r="J13" i="11"/>
  <c r="I13" i="11"/>
  <c r="J12" i="11"/>
  <c r="I12" i="11"/>
  <c r="J9" i="11"/>
  <c r="I9" i="11"/>
  <c r="J8" i="11"/>
  <c r="I8" i="11"/>
  <c r="L18" i="11" l="1"/>
  <c r="K20" i="11"/>
  <c r="H20" i="11" s="1"/>
  <c r="K12" i="11"/>
  <c r="H12" i="11" s="1"/>
  <c r="L13" i="11"/>
  <c r="L15" i="11"/>
  <c r="K41" i="11"/>
  <c r="H41" i="11" s="1"/>
  <c r="G81" i="11"/>
  <c r="M81" i="11" s="1"/>
  <c r="K27" i="11"/>
  <c r="H27" i="11" s="1"/>
  <c r="L45" i="11"/>
  <c r="K47" i="11"/>
  <c r="H47" i="11" s="1"/>
  <c r="J55" i="11"/>
  <c r="L32" i="11"/>
  <c r="L30" i="11"/>
  <c r="K34" i="11"/>
  <c r="H34" i="11" s="1"/>
  <c r="L40" i="11"/>
  <c r="L48" i="11"/>
  <c r="G87" i="11"/>
  <c r="M87" i="11" s="1"/>
  <c r="L26" i="11"/>
  <c r="L49" i="11"/>
  <c r="K53" i="11"/>
  <c r="H53" i="11" s="1"/>
  <c r="L68" i="11"/>
  <c r="G68" i="11" s="1"/>
  <c r="M68" i="11" s="1"/>
  <c r="K14" i="11"/>
  <c r="H14" i="11" s="1"/>
  <c r="L17" i="11"/>
  <c r="L19" i="11"/>
  <c r="K23" i="11"/>
  <c r="H23" i="11" s="1"/>
  <c r="K25" i="11"/>
  <c r="H25" i="11" s="1"/>
  <c r="L33" i="11"/>
  <c r="K37" i="11"/>
  <c r="H37" i="11" s="1"/>
  <c r="K42" i="11"/>
  <c r="H42" i="11" s="1"/>
  <c r="L44" i="11"/>
  <c r="K46" i="11"/>
  <c r="H46" i="11" s="1"/>
  <c r="K48" i="11"/>
  <c r="H48" i="11" s="1"/>
  <c r="G67" i="11"/>
  <c r="M67" i="11" s="1"/>
  <c r="L70" i="11"/>
  <c r="G70" i="11" s="1"/>
  <c r="L74" i="11"/>
  <c r="G74" i="11" s="1"/>
  <c r="M74" i="11" s="1"/>
  <c r="L82" i="11"/>
  <c r="G82" i="11" s="1"/>
  <c r="K32" i="11"/>
  <c r="H32" i="11" s="1"/>
  <c r="L9" i="11"/>
  <c r="L10" i="11" s="1"/>
  <c r="K16" i="11"/>
  <c r="H16" i="11" s="1"/>
  <c r="L38" i="11"/>
  <c r="K40" i="11"/>
  <c r="H40" i="11" s="1"/>
  <c r="L43" i="11"/>
  <c r="K50" i="11"/>
  <c r="H50" i="11" s="1"/>
  <c r="L66" i="11"/>
  <c r="G66" i="11" s="1"/>
  <c r="M66" i="11" s="1"/>
  <c r="L86" i="11"/>
  <c r="K13" i="11"/>
  <c r="H13" i="11" s="1"/>
  <c r="K18" i="11"/>
  <c r="H18" i="11" s="1"/>
  <c r="L20" i="11"/>
  <c r="L22" i="11"/>
  <c r="L28" i="11"/>
  <c r="I29" i="11"/>
  <c r="L29" i="11" s="1"/>
  <c r="K30" i="11"/>
  <c r="H30" i="11" s="1"/>
  <c r="L34" i="11"/>
  <c r="L36" i="11"/>
  <c r="L42" i="11"/>
  <c r="K44" i="11"/>
  <c r="H44" i="11" s="1"/>
  <c r="L51" i="11"/>
  <c r="L69" i="11"/>
  <c r="L72" i="11"/>
  <c r="G72" i="11" s="1"/>
  <c r="F75" i="11"/>
  <c r="F76" i="11"/>
  <c r="L76" i="11"/>
  <c r="L78" i="11"/>
  <c r="K24" i="11"/>
  <c r="H24" i="11" s="1"/>
  <c r="L75" i="11"/>
  <c r="L77" i="11"/>
  <c r="L83" i="11"/>
  <c r="G83" i="11" s="1"/>
  <c r="M83" i="11" s="1"/>
  <c r="L12" i="11"/>
  <c r="K9" i="11"/>
  <c r="H9" i="11" s="1"/>
  <c r="L14" i="11"/>
  <c r="L21" i="11"/>
  <c r="L27" i="11"/>
  <c r="L31" i="11"/>
  <c r="L35" i="11"/>
  <c r="K38" i="11"/>
  <c r="H38" i="11" s="1"/>
  <c r="L50" i="11"/>
  <c r="L52" i="11"/>
  <c r="L53" i="11"/>
  <c r="F73" i="11"/>
  <c r="G73" i="11" s="1"/>
  <c r="M73" i="11" s="1"/>
  <c r="F78" i="11"/>
  <c r="L79" i="11"/>
  <c r="G79" i="11" s="1"/>
  <c r="M79" i="11" s="1"/>
  <c r="F85" i="11"/>
  <c r="L85" i="11"/>
  <c r="L8" i="11"/>
  <c r="G65" i="11"/>
  <c r="K21" i="11"/>
  <c r="H21" i="11" s="1"/>
  <c r="L24" i="11"/>
  <c r="K28" i="11"/>
  <c r="H28" i="11" s="1"/>
  <c r="K35" i="11"/>
  <c r="H35" i="11" s="1"/>
  <c r="K45" i="11"/>
  <c r="H45" i="11" s="1"/>
  <c r="L47" i="11"/>
  <c r="K51" i="11"/>
  <c r="H51" i="11" s="1"/>
  <c r="K17" i="11"/>
  <c r="H17" i="11" s="1"/>
  <c r="K8" i="11"/>
  <c r="H8" i="11" s="1"/>
  <c r="K19" i="11"/>
  <c r="H19" i="11" s="1"/>
  <c r="K26" i="11"/>
  <c r="H26" i="11" s="1"/>
  <c r="K31" i="11"/>
  <c r="H31" i="11" s="1"/>
  <c r="K33" i="11"/>
  <c r="H33" i="11" s="1"/>
  <c r="K36" i="11"/>
  <c r="H36" i="11" s="1"/>
  <c r="K39" i="11"/>
  <c r="H39" i="11" s="1"/>
  <c r="K49" i="11"/>
  <c r="H49" i="11" s="1"/>
  <c r="K52" i="11"/>
  <c r="H52" i="11" s="1"/>
  <c r="L71" i="11"/>
  <c r="G71" i="11" s="1"/>
  <c r="G86" i="11"/>
  <c r="K22" i="11"/>
  <c r="H22" i="11" s="1"/>
  <c r="K15" i="11"/>
  <c r="H15" i="11" s="1"/>
  <c r="K43" i="11"/>
  <c r="H43" i="11" s="1"/>
  <c r="L46" i="11"/>
  <c r="F69" i="11"/>
  <c r="F77" i="11"/>
  <c r="L80" i="11"/>
  <c r="G80" i="11" s="1"/>
  <c r="L84" i="11"/>
  <c r="G84" i="11" s="1"/>
  <c r="I55" i="11" l="1"/>
  <c r="K29" i="11"/>
  <c r="H29" i="11" s="1"/>
  <c r="G85" i="11"/>
  <c r="M85" i="11" s="1"/>
  <c r="G77" i="11"/>
  <c r="M77" i="11" s="1"/>
  <c r="G78" i="11"/>
  <c r="G76" i="11"/>
  <c r="M76" i="11" s="1"/>
  <c r="G75" i="11"/>
  <c r="M75" i="11" s="1"/>
  <c r="G69" i="11"/>
  <c r="M69" i="11" s="1"/>
  <c r="M71" i="11"/>
  <c r="M84" i="11"/>
  <c r="M80" i="11"/>
  <c r="M82" i="11"/>
  <c r="M78" i="11"/>
  <c r="M70" i="11"/>
  <c r="L56" i="11"/>
  <c r="H86" i="11" s="1"/>
  <c r="N86" i="11" s="1"/>
  <c r="M86" i="11"/>
  <c r="M72" i="11"/>
  <c r="M65" i="11"/>
  <c r="H65" i="11" l="1"/>
  <c r="N65" i="11" s="1"/>
  <c r="H84" i="11"/>
  <c r="N84" i="11" s="1"/>
  <c r="H69" i="11"/>
  <c r="N69" i="11" s="1"/>
  <c r="M88" i="11"/>
  <c r="N91" i="11" s="1"/>
  <c r="E101" i="11"/>
  <c r="H75" i="11"/>
  <c r="N75" i="11" s="1"/>
  <c r="H83" i="11"/>
  <c r="N83" i="11" s="1"/>
  <c r="H74" i="11"/>
  <c r="N74" i="11" s="1"/>
  <c r="H81" i="11"/>
  <c r="N81" i="11" s="1"/>
  <c r="H66" i="11"/>
  <c r="N66" i="11" s="1"/>
  <c r="H73" i="11"/>
  <c r="N73" i="11" s="1"/>
  <c r="H85" i="11"/>
  <c r="N85" i="11" s="1"/>
  <c r="H68" i="11"/>
  <c r="N68" i="11" s="1"/>
  <c r="H76" i="11"/>
  <c r="N76" i="11" s="1"/>
  <c r="H79" i="11"/>
  <c r="N79" i="11" s="1"/>
  <c r="H67" i="11"/>
  <c r="N67" i="11" s="1"/>
  <c r="H87" i="11"/>
  <c r="N87" i="11" s="1"/>
  <c r="H78" i="11"/>
  <c r="N78" i="11" s="1"/>
  <c r="H80" i="11"/>
  <c r="N80" i="11" s="1"/>
  <c r="H72" i="11"/>
  <c r="N72" i="11" s="1"/>
  <c r="H77" i="11"/>
  <c r="N77" i="11" s="1"/>
  <c r="H70" i="11"/>
  <c r="N70" i="11" s="1"/>
  <c r="H82" i="11"/>
  <c r="N82" i="11" s="1"/>
  <c r="H71" i="11"/>
  <c r="N71" i="11" s="1"/>
  <c r="N88" i="11" l="1"/>
  <c r="N90" i="11" s="1"/>
  <c r="N92" i="11" s="1"/>
  <c r="F30" i="9" l="1"/>
  <c r="G30" i="9" s="1"/>
  <c r="H30" i="9" s="1"/>
  <c r="F28" i="9"/>
  <c r="G28" i="9" s="1"/>
  <c r="H28" i="9" s="1"/>
  <c r="F27" i="9"/>
  <c r="G27" i="9" s="1"/>
  <c r="H27" i="9" s="1"/>
  <c r="F26" i="9"/>
  <c r="G26" i="9" s="1"/>
  <c r="H26" i="9" s="1"/>
  <c r="F25" i="9"/>
  <c r="G25" i="9" s="1"/>
  <c r="H25" i="9" s="1"/>
  <c r="F22" i="9"/>
  <c r="G22" i="9" s="1"/>
  <c r="H22" i="9" s="1"/>
  <c r="F21" i="9"/>
  <c r="G21" i="9" s="1"/>
  <c r="H21" i="9" s="1"/>
  <c r="F20" i="9"/>
  <c r="G20" i="9" s="1"/>
  <c r="H20" i="9" s="1"/>
  <c r="F19" i="9"/>
  <c r="G19" i="9" s="1"/>
  <c r="H19" i="9" s="1"/>
  <c r="F17" i="9"/>
  <c r="G17" i="9" s="1"/>
  <c r="H17" i="9" s="1"/>
  <c r="F16" i="9"/>
  <c r="G16" i="9" s="1"/>
  <c r="H16" i="9" s="1"/>
  <c r="F14" i="9"/>
  <c r="G14" i="9" s="1"/>
  <c r="H14" i="9" s="1"/>
  <c r="F12" i="9"/>
  <c r="G12" i="9" s="1"/>
  <c r="H12" i="9" s="1"/>
  <c r="F11" i="9"/>
  <c r="G11" i="9" s="1"/>
  <c r="H11" i="9" s="1"/>
  <c r="G8" i="9"/>
  <c r="H8" i="9" s="1"/>
  <c r="H32" i="9" l="1"/>
  <c r="D88" i="8" l="1"/>
  <c r="X87" i="8"/>
  <c r="O87" i="8"/>
  <c r="N87" i="8"/>
  <c r="L87" i="8"/>
  <c r="X86" i="8"/>
  <c r="O86" i="8"/>
  <c r="N86" i="8"/>
  <c r="L86" i="8"/>
  <c r="X85" i="8"/>
  <c r="O85" i="8"/>
  <c r="N85" i="8"/>
  <c r="L85" i="8"/>
  <c r="X84" i="8"/>
  <c r="O84" i="8"/>
  <c r="N84" i="8"/>
  <c r="L84" i="8"/>
  <c r="X83" i="8"/>
  <c r="O83" i="8"/>
  <c r="N83" i="8"/>
  <c r="L83" i="8"/>
  <c r="X82" i="8"/>
  <c r="O82" i="8"/>
  <c r="N82" i="8"/>
  <c r="L82" i="8"/>
  <c r="X81" i="8"/>
  <c r="O81" i="8"/>
  <c r="N81" i="8"/>
  <c r="L81" i="8"/>
  <c r="X80" i="8"/>
  <c r="O80" i="8"/>
  <c r="N80" i="8"/>
  <c r="L80" i="8"/>
  <c r="X79" i="8"/>
  <c r="O79" i="8"/>
  <c r="N79" i="8"/>
  <c r="L79" i="8"/>
  <c r="X78" i="8"/>
  <c r="O78" i="8"/>
  <c r="N78" i="8"/>
  <c r="L78" i="8"/>
  <c r="X77" i="8"/>
  <c r="O77" i="8"/>
  <c r="N77" i="8"/>
  <c r="L77" i="8"/>
  <c r="X76" i="8"/>
  <c r="O76" i="8"/>
  <c r="N76" i="8"/>
  <c r="L76" i="8"/>
  <c r="X75" i="8"/>
  <c r="O75" i="8"/>
  <c r="N75" i="8"/>
  <c r="L75" i="8"/>
  <c r="X74" i="8"/>
  <c r="O74" i="8"/>
  <c r="N74" i="8"/>
  <c r="L74" i="8"/>
  <c r="X73" i="8"/>
  <c r="O73" i="8"/>
  <c r="N73" i="8"/>
  <c r="L73" i="8"/>
  <c r="X72" i="8"/>
  <c r="O72" i="8"/>
  <c r="N72" i="8"/>
  <c r="L72" i="8"/>
  <c r="X71" i="8"/>
  <c r="O71" i="8"/>
  <c r="N71" i="8"/>
  <c r="L71" i="8"/>
  <c r="X70" i="8"/>
  <c r="O70" i="8"/>
  <c r="N70" i="8"/>
  <c r="L70" i="8"/>
  <c r="O69" i="8"/>
  <c r="N69" i="8"/>
  <c r="O67" i="8"/>
  <c r="N67" i="8"/>
  <c r="X66" i="8"/>
  <c r="O66" i="8"/>
  <c r="N66" i="8"/>
  <c r="L66" i="8"/>
  <c r="X65" i="8"/>
  <c r="O65" i="8"/>
  <c r="N65" i="8"/>
  <c r="L65" i="8"/>
  <c r="X64" i="8"/>
  <c r="O64" i="8"/>
  <c r="N64" i="8"/>
  <c r="L64" i="8"/>
  <c r="X63" i="8"/>
  <c r="O63" i="8"/>
  <c r="N63" i="8"/>
  <c r="L63" i="8"/>
  <c r="X62" i="8"/>
  <c r="O62" i="8"/>
  <c r="N62" i="8"/>
  <c r="L62" i="8"/>
  <c r="X61" i="8"/>
  <c r="O61" i="8"/>
  <c r="N61" i="8"/>
  <c r="L61" i="8"/>
  <c r="X60" i="8"/>
  <c r="O60" i="8"/>
  <c r="N60" i="8"/>
  <c r="L60" i="8"/>
  <c r="X59" i="8"/>
  <c r="O59" i="8"/>
  <c r="N59" i="8"/>
  <c r="L59" i="8"/>
  <c r="X58" i="8"/>
  <c r="O58" i="8"/>
  <c r="N58" i="8"/>
  <c r="L58" i="8"/>
  <c r="X57" i="8"/>
  <c r="O57" i="8"/>
  <c r="N57" i="8"/>
  <c r="L57" i="8"/>
  <c r="X56" i="8"/>
  <c r="O56" i="8"/>
  <c r="N56" i="8"/>
  <c r="L56" i="8"/>
  <c r="X55" i="8"/>
  <c r="O55" i="8"/>
  <c r="N55" i="8"/>
  <c r="L55" i="8"/>
  <c r="X54" i="8"/>
  <c r="O54" i="8"/>
  <c r="N54" i="8"/>
  <c r="L54" i="8"/>
  <c r="X53" i="8"/>
  <c r="O53" i="8"/>
  <c r="N53" i="8"/>
  <c r="L53" i="8"/>
  <c r="X52" i="8"/>
  <c r="O52" i="8"/>
  <c r="N52" i="8"/>
  <c r="L52" i="8"/>
  <c r="X51" i="8"/>
  <c r="O51" i="8"/>
  <c r="N51" i="8"/>
  <c r="L51" i="8"/>
  <c r="O50" i="8"/>
  <c r="N50" i="8"/>
  <c r="X49" i="8"/>
  <c r="O49" i="8"/>
  <c r="N49" i="8"/>
  <c r="L49" i="8"/>
  <c r="X48" i="8"/>
  <c r="O48" i="8"/>
  <c r="N48" i="8"/>
  <c r="L48" i="8"/>
  <c r="X47" i="8"/>
  <c r="O47" i="8"/>
  <c r="N47" i="8"/>
  <c r="L47" i="8"/>
  <c r="X46" i="8"/>
  <c r="O46" i="8"/>
  <c r="N46" i="8"/>
  <c r="L46" i="8"/>
  <c r="X45" i="8"/>
  <c r="O45" i="8"/>
  <c r="N45" i="8"/>
  <c r="L45" i="8"/>
  <c r="X44" i="8"/>
  <c r="O44" i="8"/>
  <c r="N44" i="8"/>
  <c r="L44" i="8"/>
  <c r="X43" i="8"/>
  <c r="O43" i="8"/>
  <c r="N43" i="8"/>
  <c r="L43" i="8"/>
  <c r="X42" i="8"/>
  <c r="O42" i="8"/>
  <c r="N42" i="8"/>
  <c r="L42" i="8"/>
  <c r="X41" i="8"/>
  <c r="O41" i="8"/>
  <c r="N41" i="8"/>
  <c r="L41" i="8"/>
  <c r="X40" i="8"/>
  <c r="O40" i="8"/>
  <c r="N40" i="8"/>
  <c r="L40" i="8"/>
  <c r="X39" i="8"/>
  <c r="O39" i="8"/>
  <c r="N39" i="8"/>
  <c r="L39" i="8"/>
  <c r="X38" i="8"/>
  <c r="O38" i="8"/>
  <c r="N38" i="8"/>
  <c r="L38" i="8"/>
  <c r="X37" i="8"/>
  <c r="O37" i="8"/>
  <c r="N37" i="8"/>
  <c r="L37" i="8"/>
  <c r="X36" i="8"/>
  <c r="O36" i="8"/>
  <c r="N36" i="8"/>
  <c r="L36" i="8"/>
  <c r="X35" i="8"/>
  <c r="O35" i="8"/>
  <c r="N35" i="8"/>
  <c r="L35" i="8"/>
  <c r="X34" i="8"/>
  <c r="X88" i="8" s="1"/>
  <c r="O34" i="8"/>
  <c r="N34" i="8"/>
  <c r="L34" i="8"/>
  <c r="L88" i="8" s="1"/>
  <c r="W33" i="8"/>
  <c r="V33" i="8"/>
  <c r="U33" i="8"/>
  <c r="T33" i="8"/>
  <c r="S33" i="8"/>
  <c r="R33" i="8"/>
  <c r="Q33" i="8"/>
  <c r="P33" i="8"/>
  <c r="K33" i="8"/>
  <c r="J33" i="8"/>
  <c r="I33" i="8"/>
  <c r="H33" i="8"/>
  <c r="G33" i="8"/>
  <c r="F33" i="8"/>
  <c r="E33" i="8"/>
  <c r="D33" i="8"/>
  <c r="W27" i="8"/>
  <c r="V27" i="8"/>
  <c r="U27" i="8"/>
  <c r="T27" i="8"/>
  <c r="S27" i="8"/>
  <c r="R27" i="8"/>
  <c r="Q27" i="8"/>
  <c r="P27" i="8"/>
  <c r="O27" i="8"/>
  <c r="N27" i="8"/>
  <c r="W26" i="8"/>
  <c r="V26" i="8"/>
  <c r="U26" i="8"/>
  <c r="T26" i="8"/>
  <c r="S26" i="8"/>
  <c r="R26" i="8"/>
  <c r="Q26" i="8"/>
  <c r="P26" i="8"/>
  <c r="O26" i="8"/>
  <c r="N26" i="8"/>
  <c r="W25" i="8"/>
  <c r="V25" i="8"/>
  <c r="U25" i="8"/>
  <c r="T25" i="8"/>
  <c r="S25" i="8"/>
  <c r="R25" i="8"/>
  <c r="Q25" i="8"/>
  <c r="P25" i="8"/>
  <c r="O25" i="8"/>
  <c r="N25" i="8"/>
  <c r="W24" i="8"/>
  <c r="V24" i="8"/>
  <c r="U24" i="8"/>
  <c r="T24" i="8"/>
  <c r="S24" i="8"/>
  <c r="R24" i="8"/>
  <c r="Q24" i="8"/>
  <c r="P24" i="8"/>
  <c r="O24" i="8"/>
  <c r="N24" i="8"/>
  <c r="W23" i="8"/>
  <c r="V23" i="8"/>
  <c r="U23" i="8"/>
  <c r="T23" i="8"/>
  <c r="S23" i="8"/>
  <c r="R23" i="8"/>
  <c r="Q23" i="8"/>
  <c r="P23" i="8"/>
  <c r="O23" i="8"/>
  <c r="N23" i="8"/>
  <c r="W22" i="8"/>
  <c r="V22" i="8"/>
  <c r="U22" i="8"/>
  <c r="T22" i="8"/>
  <c r="S22" i="8"/>
  <c r="R22" i="8"/>
  <c r="Q22" i="8"/>
  <c r="P22" i="8"/>
  <c r="O22" i="8"/>
  <c r="N22" i="8"/>
  <c r="W21" i="8"/>
  <c r="V21" i="8"/>
  <c r="U21" i="8"/>
  <c r="T21" i="8"/>
  <c r="S21" i="8"/>
  <c r="R21" i="8"/>
  <c r="Q21" i="8"/>
  <c r="P21" i="8"/>
  <c r="O21" i="8"/>
  <c r="N21" i="8"/>
  <c r="W20" i="8"/>
  <c r="V20" i="8"/>
  <c r="U20" i="8"/>
  <c r="T20" i="8"/>
  <c r="S20" i="8"/>
  <c r="R20" i="8"/>
  <c r="Q20" i="8"/>
  <c r="P20" i="8"/>
  <c r="O20" i="8"/>
  <c r="N20" i="8"/>
  <c r="W19" i="8"/>
  <c r="V19" i="8"/>
  <c r="U19" i="8"/>
  <c r="T19" i="8"/>
  <c r="S19" i="8"/>
  <c r="R19" i="8"/>
  <c r="Q19" i="8"/>
  <c r="P19" i="8"/>
  <c r="O19" i="8"/>
  <c r="N19" i="8"/>
  <c r="W18" i="8"/>
  <c r="V18" i="8"/>
  <c r="U18" i="8"/>
  <c r="T18" i="8"/>
  <c r="S18" i="8"/>
  <c r="R18" i="8"/>
  <c r="Q18" i="8"/>
  <c r="P18" i="8"/>
  <c r="O18" i="8"/>
  <c r="N18" i="8"/>
  <c r="W17" i="8"/>
  <c r="V17" i="8"/>
  <c r="U17" i="8"/>
  <c r="T17" i="8"/>
  <c r="S17" i="8"/>
  <c r="R17" i="8"/>
  <c r="Q17" i="8"/>
  <c r="P17" i="8"/>
  <c r="O17" i="8"/>
  <c r="N17" i="8"/>
  <c r="W16" i="8"/>
  <c r="V16" i="8"/>
  <c r="U16" i="8"/>
  <c r="T16" i="8"/>
  <c r="S16" i="8"/>
  <c r="R16" i="8"/>
  <c r="Q16" i="8"/>
  <c r="P16" i="8"/>
  <c r="O16" i="8"/>
  <c r="N16" i="8"/>
  <c r="W15" i="8"/>
  <c r="V15" i="8"/>
  <c r="U15" i="8"/>
  <c r="T15" i="8"/>
  <c r="S15" i="8"/>
  <c r="R15" i="8"/>
  <c r="Q15" i="8"/>
  <c r="P15" i="8"/>
  <c r="O15" i="8"/>
  <c r="N15" i="8"/>
  <c r="W14" i="8"/>
  <c r="V14" i="8"/>
  <c r="U14" i="8"/>
  <c r="T14" i="8"/>
  <c r="S14" i="8"/>
  <c r="R14" i="8"/>
  <c r="Q14" i="8"/>
  <c r="P14" i="8"/>
  <c r="O14" i="8"/>
  <c r="N14" i="8"/>
  <c r="W13" i="8"/>
  <c r="V13" i="8"/>
  <c r="U13" i="8"/>
  <c r="T13" i="8"/>
  <c r="S13" i="8"/>
  <c r="R13" i="8"/>
  <c r="Q13" i="8"/>
  <c r="P13" i="8"/>
  <c r="O13" i="8"/>
  <c r="N13" i="8"/>
  <c r="W12" i="8"/>
  <c r="V12" i="8"/>
  <c r="U12" i="8"/>
  <c r="T12" i="8"/>
  <c r="S12" i="8"/>
  <c r="R12" i="8"/>
  <c r="Q12" i="8"/>
  <c r="P12" i="8"/>
  <c r="O12" i="8"/>
  <c r="N12" i="8"/>
  <c r="W11" i="8"/>
  <c r="V11" i="8"/>
  <c r="U11" i="8"/>
  <c r="T11" i="8"/>
  <c r="S11" i="8"/>
  <c r="R11" i="8"/>
  <c r="Q11" i="8"/>
  <c r="P11" i="8"/>
  <c r="O11" i="8"/>
  <c r="N11" i="8"/>
  <c r="W10" i="8"/>
  <c r="V10" i="8"/>
  <c r="U10" i="8"/>
  <c r="T10" i="8"/>
  <c r="S10" i="8"/>
  <c r="R10" i="8"/>
  <c r="Q10" i="8"/>
  <c r="P10" i="8"/>
  <c r="O10" i="8"/>
  <c r="N10" i="8"/>
  <c r="W9" i="8"/>
  <c r="V9" i="8"/>
  <c r="U9" i="8"/>
  <c r="T9" i="8"/>
  <c r="S9" i="8"/>
  <c r="R9" i="8"/>
  <c r="Q9" i="8"/>
  <c r="P9" i="8"/>
  <c r="O9" i="8"/>
  <c r="N9" i="8"/>
  <c r="W8" i="8"/>
  <c r="V8" i="8"/>
  <c r="U8" i="8"/>
  <c r="T8" i="8"/>
  <c r="S8" i="8"/>
  <c r="R8" i="8"/>
  <c r="Q8" i="8"/>
  <c r="P8" i="8"/>
  <c r="O8" i="8"/>
  <c r="N8" i="8"/>
  <c r="W7" i="8"/>
  <c r="V7" i="8"/>
  <c r="U7" i="8"/>
  <c r="T7" i="8"/>
  <c r="S7" i="8"/>
  <c r="R7" i="8"/>
  <c r="Q7" i="8"/>
  <c r="P7" i="8"/>
  <c r="O7" i="8"/>
  <c r="N7" i="8"/>
  <c r="W6" i="8"/>
  <c r="V6" i="8"/>
  <c r="U6" i="8"/>
  <c r="T6" i="8"/>
  <c r="S6" i="8"/>
  <c r="R6" i="8"/>
  <c r="Q6" i="8"/>
  <c r="P6" i="8"/>
  <c r="O6" i="8"/>
  <c r="N6" i="8"/>
  <c r="W5" i="8"/>
  <c r="V5" i="8"/>
  <c r="U5" i="8"/>
  <c r="T5" i="8"/>
  <c r="S5" i="8"/>
  <c r="R5" i="8"/>
  <c r="Q5" i="8"/>
  <c r="P5" i="8"/>
  <c r="O5" i="8"/>
  <c r="N5" i="8"/>
  <c r="D5" i="8"/>
  <c r="G1632" i="6"/>
  <c r="I1629" i="6"/>
  <c r="G1629" i="6"/>
  <c r="I1628" i="6"/>
  <c r="G1628" i="6"/>
  <c r="I1627" i="6"/>
  <c r="G1627" i="6"/>
  <c r="I1626" i="6"/>
  <c r="G1626" i="6"/>
  <c r="I1625" i="6"/>
  <c r="G1625" i="6"/>
  <c r="I1624" i="6"/>
  <c r="G1624" i="6"/>
  <c r="I1623" i="6"/>
  <c r="G1623" i="6"/>
  <c r="I1622" i="6"/>
  <c r="G1622" i="6"/>
  <c r="I1621" i="6"/>
  <c r="G1621" i="6"/>
  <c r="I1620" i="6"/>
  <c r="G1620" i="6"/>
  <c r="I1619" i="6"/>
  <c r="G1619" i="6"/>
  <c r="I1618" i="6"/>
  <c r="G1618" i="6"/>
  <c r="I1617" i="6"/>
  <c r="G1617" i="6"/>
  <c r="I1616" i="6"/>
  <c r="G1616" i="6"/>
  <c r="I1615" i="6"/>
  <c r="G1615" i="6"/>
  <c r="I1614" i="6"/>
  <c r="G1614" i="6"/>
  <c r="I1613" i="6"/>
  <c r="G1613" i="6"/>
  <c r="I1612" i="6"/>
  <c r="G1612" i="6"/>
  <c r="I1611" i="6"/>
  <c r="G1611" i="6"/>
  <c r="I1610" i="6"/>
  <c r="G1610" i="6"/>
  <c r="I1609" i="6"/>
  <c r="G1609" i="6"/>
  <c r="I1608" i="6"/>
  <c r="G1608" i="6"/>
  <c r="I1607" i="6"/>
  <c r="G1607" i="6"/>
  <c r="I1606" i="6"/>
  <c r="G1606" i="6"/>
  <c r="I1605" i="6"/>
  <c r="G1605" i="6"/>
  <c r="I1604" i="6"/>
  <c r="G1604" i="6"/>
  <c r="I1603" i="6"/>
  <c r="G1603" i="6"/>
  <c r="I1602" i="6"/>
  <c r="G1602" i="6"/>
  <c r="I1601" i="6"/>
  <c r="G1601" i="6"/>
  <c r="I1600" i="6"/>
  <c r="G1600" i="6"/>
  <c r="I1599" i="6"/>
  <c r="G1599" i="6"/>
  <c r="I1598" i="6"/>
  <c r="G1598" i="6"/>
  <c r="I1597" i="6"/>
  <c r="G1597" i="6"/>
  <c r="I1596" i="6"/>
  <c r="G1596" i="6"/>
  <c r="I1595" i="6"/>
  <c r="G1595" i="6"/>
  <c r="I1594" i="6"/>
  <c r="G1594" i="6"/>
  <c r="I1593" i="6"/>
  <c r="G1593" i="6"/>
  <c r="I1592" i="6"/>
  <c r="G1592" i="6"/>
  <c r="I1591" i="6"/>
  <c r="G1591" i="6"/>
  <c r="I1590" i="6"/>
  <c r="G1590" i="6"/>
  <c r="I1589" i="6"/>
  <c r="G1589" i="6"/>
  <c r="I1588" i="6"/>
  <c r="G1588" i="6"/>
  <c r="I1587" i="6"/>
  <c r="G1587" i="6"/>
  <c r="I1586" i="6"/>
  <c r="G1586" i="6"/>
  <c r="I1585" i="6"/>
  <c r="G1585" i="6"/>
  <c r="I1584" i="6"/>
  <c r="G1584" i="6"/>
  <c r="I1583" i="6"/>
  <c r="G1583" i="6"/>
  <c r="I1582" i="6"/>
  <c r="G1582" i="6"/>
  <c r="I1581" i="6"/>
  <c r="G1581" i="6"/>
  <c r="I1580" i="6"/>
  <c r="G1580" i="6"/>
  <c r="I1579" i="6"/>
  <c r="G1579" i="6"/>
  <c r="I1578" i="6"/>
  <c r="G1578" i="6"/>
  <c r="I1577" i="6"/>
  <c r="G1577" i="6"/>
  <c r="I1576" i="6"/>
  <c r="G1576" i="6"/>
  <c r="I1575" i="6"/>
  <c r="G1575" i="6"/>
  <c r="I1574" i="6"/>
  <c r="G1574" i="6"/>
  <c r="I1573" i="6"/>
  <c r="G1573" i="6"/>
  <c r="I1572" i="6"/>
  <c r="G1572" i="6"/>
  <c r="I1571" i="6"/>
  <c r="G1571" i="6"/>
  <c r="I1570" i="6"/>
  <c r="G1570" i="6"/>
  <c r="I1569" i="6"/>
  <c r="G1569" i="6"/>
  <c r="I1568" i="6"/>
  <c r="G1568" i="6"/>
  <c r="I1567" i="6"/>
  <c r="G1567" i="6"/>
  <c r="I1566" i="6"/>
  <c r="G1566" i="6"/>
  <c r="I1565" i="6"/>
  <c r="G1565" i="6"/>
  <c r="I1564" i="6"/>
  <c r="G1564" i="6"/>
  <c r="I1563" i="6"/>
  <c r="G1563" i="6"/>
  <c r="I1562" i="6"/>
  <c r="G1562" i="6"/>
  <c r="I1561" i="6"/>
  <c r="G1561" i="6"/>
  <c r="I1560" i="6"/>
  <c r="G1560" i="6"/>
  <c r="I1559" i="6"/>
  <c r="G1559" i="6"/>
  <c r="I1558" i="6"/>
  <c r="G1558" i="6"/>
  <c r="I1557" i="6"/>
  <c r="G1557" i="6"/>
  <c r="I1556" i="6"/>
  <c r="G1556" i="6"/>
  <c r="I1555" i="6"/>
  <c r="G1555" i="6"/>
  <c r="I1554" i="6"/>
  <c r="G1554" i="6"/>
  <c r="I1553" i="6"/>
  <c r="G1553" i="6"/>
  <c r="I1552" i="6"/>
  <c r="G1552" i="6"/>
  <c r="I1551" i="6"/>
  <c r="G1551" i="6"/>
  <c r="I1550" i="6"/>
  <c r="G1550" i="6"/>
  <c r="I1549" i="6"/>
  <c r="G1549" i="6"/>
  <c r="I1548" i="6"/>
  <c r="G1548" i="6"/>
  <c r="I1547" i="6"/>
  <c r="G1547" i="6"/>
  <c r="I1546" i="6"/>
  <c r="G1546" i="6"/>
  <c r="I1545" i="6"/>
  <c r="G1545" i="6"/>
  <c r="I1544" i="6"/>
  <c r="G1544" i="6"/>
  <c r="I1543" i="6"/>
  <c r="G1543" i="6"/>
  <c r="I1542" i="6"/>
  <c r="G1542" i="6"/>
  <c r="I1541" i="6"/>
  <c r="G1541" i="6"/>
  <c r="I1540" i="6"/>
  <c r="G1540" i="6"/>
  <c r="I1539" i="6"/>
  <c r="G1539" i="6"/>
  <c r="I1538" i="6"/>
  <c r="G1538" i="6"/>
  <c r="I1537" i="6"/>
  <c r="G1537" i="6"/>
  <c r="I1536" i="6"/>
  <c r="G1536" i="6"/>
  <c r="I1535" i="6"/>
  <c r="G1535" i="6"/>
  <c r="I1534" i="6"/>
  <c r="G1534" i="6"/>
  <c r="I1533" i="6"/>
  <c r="G1533" i="6"/>
  <c r="I1532" i="6"/>
  <c r="G1532" i="6"/>
  <c r="I1531" i="6"/>
  <c r="G1531" i="6"/>
  <c r="I1530" i="6"/>
  <c r="G1530" i="6"/>
  <c r="I1529" i="6"/>
  <c r="G1529" i="6"/>
  <c r="I1528" i="6"/>
  <c r="G1528" i="6"/>
  <c r="I1527" i="6"/>
  <c r="G1527" i="6"/>
  <c r="I1526" i="6"/>
  <c r="G1526" i="6"/>
  <c r="I1525" i="6"/>
  <c r="G1525" i="6"/>
  <c r="I1524" i="6"/>
  <c r="G1524" i="6"/>
  <c r="I1523" i="6"/>
  <c r="G1523" i="6"/>
  <c r="I1522" i="6"/>
  <c r="G1522" i="6"/>
  <c r="I1521" i="6"/>
  <c r="G1521" i="6"/>
  <c r="I1520" i="6"/>
  <c r="G1520" i="6"/>
  <c r="I1519" i="6"/>
  <c r="G1519" i="6"/>
  <c r="I1518" i="6"/>
  <c r="G1518" i="6"/>
  <c r="I1517" i="6"/>
  <c r="G1517" i="6"/>
  <c r="I1516" i="6"/>
  <c r="G1516" i="6"/>
  <c r="I1515" i="6"/>
  <c r="G1515" i="6"/>
  <c r="I1514" i="6"/>
  <c r="G1514" i="6"/>
  <c r="I1513" i="6"/>
  <c r="G1513" i="6"/>
  <c r="I1512" i="6"/>
  <c r="G1512" i="6"/>
  <c r="I1511" i="6"/>
  <c r="G1511" i="6"/>
  <c r="I1510" i="6"/>
  <c r="G1510" i="6"/>
  <c r="I1509" i="6"/>
  <c r="G1509" i="6"/>
  <c r="I1508" i="6"/>
  <c r="G1508" i="6"/>
  <c r="I1507" i="6"/>
  <c r="G1507" i="6"/>
  <c r="I1506" i="6"/>
  <c r="G1506" i="6"/>
  <c r="I1505" i="6"/>
  <c r="G1505" i="6"/>
  <c r="I1504" i="6"/>
  <c r="G1504" i="6"/>
  <c r="I1503" i="6"/>
  <c r="G1503" i="6"/>
  <c r="I1502" i="6"/>
  <c r="G1502" i="6"/>
  <c r="I1501" i="6"/>
  <c r="G1501" i="6"/>
  <c r="I1500" i="6"/>
  <c r="G1500" i="6"/>
  <c r="I1499" i="6"/>
  <c r="G1499" i="6"/>
  <c r="I1498" i="6"/>
  <c r="G1498" i="6"/>
  <c r="I1497" i="6"/>
  <c r="G1497" i="6"/>
  <c r="I1496" i="6"/>
  <c r="G1496" i="6"/>
  <c r="I1495" i="6"/>
  <c r="G1495" i="6"/>
  <c r="I1494" i="6"/>
  <c r="G1494" i="6"/>
  <c r="I1493" i="6"/>
  <c r="G1493" i="6"/>
  <c r="I1492" i="6"/>
  <c r="G1492" i="6"/>
  <c r="I1491" i="6"/>
  <c r="G1491" i="6"/>
  <c r="I1490" i="6"/>
  <c r="G1490" i="6"/>
  <c r="I1489" i="6"/>
  <c r="G1489" i="6"/>
  <c r="I1488" i="6"/>
  <c r="G1488" i="6"/>
  <c r="I1487" i="6"/>
  <c r="G1487" i="6"/>
  <c r="I1486" i="6"/>
  <c r="G1486" i="6"/>
  <c r="I1485" i="6"/>
  <c r="G1485" i="6"/>
  <c r="I1484" i="6"/>
  <c r="G1484" i="6"/>
  <c r="I1483" i="6"/>
  <c r="G1483" i="6"/>
  <c r="I1482" i="6"/>
  <c r="G1482" i="6"/>
  <c r="I1481" i="6"/>
  <c r="G1481" i="6"/>
  <c r="I1480" i="6"/>
  <c r="G1480" i="6"/>
  <c r="I1479" i="6"/>
  <c r="G1479" i="6"/>
  <c r="I1478" i="6"/>
  <c r="G1478" i="6"/>
  <c r="I1477" i="6"/>
  <c r="G1477" i="6"/>
  <c r="I1476" i="6"/>
  <c r="G1476" i="6"/>
  <c r="I1475" i="6"/>
  <c r="G1475" i="6"/>
  <c r="I1474" i="6"/>
  <c r="G1474" i="6"/>
  <c r="I1473" i="6"/>
  <c r="G1473" i="6"/>
  <c r="I1472" i="6"/>
  <c r="G1472" i="6"/>
  <c r="I1471" i="6"/>
  <c r="G1471" i="6"/>
  <c r="I1470" i="6"/>
  <c r="G1470" i="6"/>
  <c r="I1469" i="6"/>
  <c r="G1469" i="6"/>
  <c r="I1468" i="6"/>
  <c r="G1468" i="6"/>
  <c r="I1467" i="6"/>
  <c r="G1467" i="6"/>
  <c r="I1466" i="6"/>
  <c r="G1466" i="6"/>
  <c r="I1465" i="6"/>
  <c r="G1465" i="6"/>
  <c r="I1464" i="6"/>
  <c r="G1464" i="6"/>
  <c r="I1463" i="6"/>
  <c r="G1463" i="6"/>
  <c r="I1462" i="6"/>
  <c r="G1462" i="6"/>
  <c r="I1461" i="6"/>
  <c r="G1461" i="6"/>
  <c r="I1460" i="6"/>
  <c r="G1460" i="6"/>
  <c r="I1459" i="6"/>
  <c r="G1459" i="6"/>
  <c r="I1458" i="6"/>
  <c r="G1458" i="6"/>
  <c r="I1457" i="6"/>
  <c r="G1457" i="6"/>
  <c r="I1456" i="6"/>
  <c r="G1456" i="6"/>
  <c r="I1455" i="6"/>
  <c r="G1455" i="6"/>
  <c r="I1454" i="6"/>
  <c r="G1454" i="6"/>
  <c r="I1453" i="6"/>
  <c r="G1453" i="6"/>
  <c r="I1452" i="6"/>
  <c r="G1452" i="6"/>
  <c r="I1451" i="6"/>
  <c r="G1451" i="6"/>
  <c r="I1450" i="6"/>
  <c r="G1450" i="6"/>
  <c r="I1449" i="6"/>
  <c r="G1449" i="6"/>
  <c r="I1448" i="6"/>
  <c r="G1448" i="6"/>
  <c r="I1447" i="6"/>
  <c r="G1447" i="6"/>
  <c r="I1446" i="6"/>
  <c r="G1446" i="6"/>
  <c r="I1445" i="6"/>
  <c r="G1445" i="6"/>
  <c r="I1444" i="6"/>
  <c r="G1444" i="6"/>
  <c r="I1443" i="6"/>
  <c r="G1443" i="6"/>
  <c r="I1442" i="6"/>
  <c r="G1442" i="6"/>
  <c r="I1441" i="6"/>
  <c r="G1441" i="6"/>
  <c r="I1440" i="6"/>
  <c r="G1440" i="6"/>
  <c r="I1439" i="6"/>
  <c r="G1439" i="6"/>
  <c r="I1438" i="6"/>
  <c r="G1438" i="6"/>
  <c r="I1437" i="6"/>
  <c r="G1437" i="6"/>
  <c r="I1436" i="6"/>
  <c r="G1436" i="6"/>
  <c r="I1435" i="6"/>
  <c r="G1435" i="6"/>
  <c r="I1434" i="6"/>
  <c r="G1434" i="6"/>
  <c r="I1433" i="6"/>
  <c r="G1433" i="6"/>
  <c r="I1432" i="6"/>
  <c r="G1432" i="6"/>
  <c r="I1431" i="6"/>
  <c r="G1431" i="6"/>
  <c r="I1430" i="6"/>
  <c r="G1430" i="6"/>
  <c r="I1429" i="6"/>
  <c r="G1429" i="6"/>
  <c r="I1428" i="6"/>
  <c r="G1428" i="6"/>
  <c r="I1427" i="6"/>
  <c r="G1427" i="6"/>
  <c r="I1426" i="6"/>
  <c r="G1426" i="6"/>
  <c r="I1425" i="6"/>
  <c r="G1425" i="6"/>
  <c r="I1424" i="6"/>
  <c r="G1424" i="6"/>
  <c r="I1423" i="6"/>
  <c r="G1423" i="6"/>
  <c r="I1422" i="6"/>
  <c r="G1422" i="6"/>
  <c r="I1421" i="6"/>
  <c r="G1421" i="6"/>
  <c r="I1420" i="6"/>
  <c r="G1420" i="6"/>
  <c r="I1419" i="6"/>
  <c r="G1419" i="6"/>
  <c r="I1418" i="6"/>
  <c r="G1418" i="6"/>
  <c r="I1417" i="6"/>
  <c r="G1417" i="6"/>
  <c r="I1416" i="6"/>
  <c r="G1416" i="6"/>
  <c r="I1415" i="6"/>
  <c r="G1415" i="6"/>
  <c r="I1414" i="6"/>
  <c r="G1414" i="6"/>
  <c r="I1413" i="6"/>
  <c r="G1413" i="6"/>
  <c r="I1412" i="6"/>
  <c r="G1412" i="6"/>
  <c r="I1411" i="6"/>
  <c r="G1411" i="6"/>
  <c r="I1410" i="6"/>
  <c r="G1410" i="6"/>
  <c r="I1409" i="6"/>
  <c r="G1409" i="6"/>
  <c r="I1408" i="6"/>
  <c r="G1408" i="6"/>
  <c r="I1407" i="6"/>
  <c r="G1407" i="6"/>
  <c r="I1406" i="6"/>
  <c r="G1406" i="6"/>
  <c r="I1405" i="6"/>
  <c r="G1405" i="6"/>
  <c r="I1404" i="6"/>
  <c r="G1404" i="6"/>
  <c r="I1403" i="6"/>
  <c r="G1403" i="6"/>
  <c r="I1402" i="6"/>
  <c r="G1402" i="6"/>
  <c r="I1401" i="6"/>
  <c r="G1401" i="6"/>
  <c r="I1400" i="6"/>
  <c r="G1400" i="6"/>
  <c r="I1399" i="6"/>
  <c r="G1399" i="6"/>
  <c r="I1398" i="6"/>
  <c r="G1398" i="6"/>
  <c r="I1397" i="6"/>
  <c r="G1397" i="6"/>
  <c r="I1396" i="6"/>
  <c r="G1396" i="6"/>
  <c r="I1395" i="6"/>
  <c r="G1395" i="6"/>
  <c r="I1394" i="6"/>
  <c r="G1394" i="6"/>
  <c r="I1393" i="6"/>
  <c r="G1393" i="6"/>
  <c r="I1392" i="6"/>
  <c r="G1392" i="6"/>
  <c r="I1391" i="6"/>
  <c r="G1391" i="6"/>
  <c r="I1390" i="6"/>
  <c r="G1390" i="6"/>
  <c r="I1389" i="6"/>
  <c r="G1389" i="6"/>
  <c r="I1388" i="6"/>
  <c r="G1388" i="6"/>
  <c r="I1387" i="6"/>
  <c r="G1387" i="6"/>
  <c r="I1386" i="6"/>
  <c r="G1386" i="6"/>
  <c r="I1385" i="6"/>
  <c r="G1385" i="6"/>
  <c r="I1384" i="6"/>
  <c r="G1384" i="6"/>
  <c r="I1383" i="6"/>
  <c r="G1383" i="6"/>
  <c r="I1382" i="6"/>
  <c r="G1382" i="6"/>
  <c r="I1381" i="6"/>
  <c r="G1381" i="6"/>
  <c r="I1380" i="6"/>
  <c r="G1380" i="6"/>
  <c r="I1379" i="6"/>
  <c r="G1379" i="6"/>
  <c r="I1378" i="6"/>
  <c r="G1378" i="6"/>
  <c r="I1377" i="6"/>
  <c r="G1377" i="6"/>
  <c r="I1376" i="6"/>
  <c r="G1376" i="6"/>
  <c r="I1375" i="6"/>
  <c r="G1375" i="6"/>
  <c r="I1374" i="6"/>
  <c r="G1374" i="6"/>
  <c r="I1373" i="6"/>
  <c r="G1373" i="6"/>
  <c r="I1372" i="6"/>
  <c r="G1372" i="6"/>
  <c r="I1371" i="6"/>
  <c r="G1371" i="6"/>
  <c r="I1370" i="6"/>
  <c r="G1370" i="6"/>
  <c r="I1369" i="6"/>
  <c r="G1369" i="6"/>
  <c r="I1368" i="6"/>
  <c r="G1368" i="6"/>
  <c r="I1367" i="6"/>
  <c r="G1367" i="6"/>
  <c r="I1366" i="6"/>
  <c r="G1366" i="6"/>
  <c r="I1365" i="6"/>
  <c r="G1365" i="6"/>
  <c r="I1364" i="6"/>
  <c r="G1364" i="6"/>
  <c r="I1363" i="6"/>
  <c r="G1363" i="6"/>
  <c r="I1362" i="6"/>
  <c r="G1362" i="6"/>
  <c r="I1361" i="6"/>
  <c r="G1361" i="6"/>
  <c r="I1360" i="6"/>
  <c r="G1360" i="6"/>
  <c r="I1359" i="6"/>
  <c r="G1359" i="6"/>
  <c r="I1358" i="6"/>
  <c r="G1358" i="6"/>
  <c r="I1357" i="6"/>
  <c r="G1357" i="6"/>
  <c r="I1356" i="6"/>
  <c r="G1356" i="6"/>
  <c r="I1355" i="6"/>
  <c r="G1355" i="6"/>
  <c r="I1354" i="6"/>
  <c r="G1354" i="6"/>
  <c r="I1353" i="6"/>
  <c r="G1353" i="6"/>
  <c r="I1352" i="6"/>
  <c r="G1352" i="6"/>
  <c r="I1351" i="6"/>
  <c r="G1351" i="6"/>
  <c r="I1350" i="6"/>
  <c r="G1350" i="6"/>
  <c r="I1349" i="6"/>
  <c r="G1349" i="6"/>
  <c r="I1348" i="6"/>
  <c r="G1348" i="6"/>
  <c r="I1347" i="6"/>
  <c r="G1347" i="6"/>
  <c r="I1346" i="6"/>
  <c r="G1346" i="6"/>
  <c r="I1345" i="6"/>
  <c r="G1345" i="6"/>
  <c r="I1344" i="6"/>
  <c r="G1344" i="6"/>
  <c r="I1343" i="6"/>
  <c r="G1343" i="6"/>
  <c r="I1342" i="6"/>
  <c r="G1342" i="6"/>
  <c r="I1341" i="6"/>
  <c r="G1341" i="6"/>
  <c r="I1340" i="6"/>
  <c r="G1340" i="6"/>
  <c r="I1339" i="6"/>
  <c r="G1339" i="6"/>
  <c r="I1338" i="6"/>
  <c r="G1338" i="6"/>
  <c r="I1337" i="6"/>
  <c r="G1337" i="6"/>
  <c r="I1336" i="6"/>
  <c r="G1336" i="6"/>
  <c r="I1335" i="6"/>
  <c r="G1335" i="6"/>
  <c r="I1334" i="6"/>
  <c r="G1334" i="6"/>
  <c r="I1333" i="6"/>
  <c r="G1333" i="6"/>
  <c r="I1332" i="6"/>
  <c r="G1332" i="6"/>
  <c r="I1331" i="6"/>
  <c r="G1331" i="6"/>
  <c r="I1330" i="6"/>
  <c r="G1330" i="6"/>
  <c r="I1329" i="6"/>
  <c r="G1329" i="6"/>
  <c r="I1328" i="6"/>
  <c r="G1328" i="6"/>
  <c r="I1327" i="6"/>
  <c r="G1327" i="6"/>
  <c r="I1326" i="6"/>
  <c r="G1326" i="6"/>
  <c r="I1325" i="6"/>
  <c r="G1325" i="6"/>
  <c r="I1324" i="6"/>
  <c r="G1324" i="6"/>
  <c r="I1323" i="6"/>
  <c r="G1323" i="6"/>
  <c r="I1322" i="6"/>
  <c r="G1322" i="6"/>
  <c r="I1321" i="6"/>
  <c r="G1321" i="6"/>
  <c r="I1320" i="6"/>
  <c r="G1320" i="6"/>
  <c r="I1319" i="6"/>
  <c r="G1319" i="6"/>
  <c r="I1318" i="6"/>
  <c r="G1318" i="6"/>
  <c r="I1317" i="6"/>
  <c r="G1317" i="6"/>
  <c r="I1316" i="6"/>
  <c r="G1316" i="6"/>
  <c r="I1315" i="6"/>
  <c r="G1315" i="6"/>
  <c r="I1314" i="6"/>
  <c r="G1314" i="6"/>
  <c r="I1313" i="6"/>
  <c r="G1313" i="6"/>
  <c r="I1312" i="6"/>
  <c r="G1312" i="6"/>
  <c r="I1311" i="6"/>
  <c r="G1311" i="6"/>
  <c r="I1310" i="6"/>
  <c r="G1310" i="6"/>
  <c r="I1309" i="6"/>
  <c r="G1309" i="6"/>
  <c r="I1308" i="6"/>
  <c r="G1308" i="6"/>
  <c r="I1307" i="6"/>
  <c r="G1307" i="6"/>
  <c r="I1306" i="6"/>
  <c r="G1306" i="6"/>
  <c r="I1305" i="6"/>
  <c r="G1305" i="6"/>
  <c r="I1304" i="6"/>
  <c r="G1304" i="6"/>
  <c r="I1303" i="6"/>
  <c r="G1303" i="6"/>
  <c r="I1302" i="6"/>
  <c r="G1302" i="6"/>
  <c r="I1301" i="6"/>
  <c r="G1301" i="6"/>
  <c r="I1300" i="6"/>
  <c r="G1300" i="6"/>
  <c r="I1299" i="6"/>
  <c r="G1299" i="6"/>
  <c r="I1298" i="6"/>
  <c r="G1298" i="6"/>
  <c r="I1297" i="6"/>
  <c r="G1297" i="6"/>
  <c r="I1296" i="6"/>
  <c r="G1296" i="6"/>
  <c r="I1295" i="6"/>
  <c r="G1295" i="6"/>
  <c r="I1294" i="6"/>
  <c r="G1294" i="6"/>
  <c r="I1293" i="6"/>
  <c r="G1293" i="6"/>
  <c r="I1292" i="6"/>
  <c r="G1292" i="6"/>
  <c r="I1291" i="6"/>
  <c r="G1291" i="6"/>
  <c r="I1290" i="6"/>
  <c r="G1290" i="6"/>
  <c r="I1289" i="6"/>
  <c r="G1289" i="6"/>
  <c r="I1288" i="6"/>
  <c r="G1288" i="6"/>
  <c r="I1287" i="6"/>
  <c r="G1287" i="6"/>
  <c r="I1286" i="6"/>
  <c r="G1286" i="6"/>
  <c r="I1285" i="6"/>
  <c r="G1285" i="6"/>
  <c r="I1284" i="6"/>
  <c r="G1284" i="6"/>
  <c r="I1283" i="6"/>
  <c r="G1283" i="6"/>
  <c r="I1282" i="6"/>
  <c r="G1282" i="6"/>
  <c r="I1281" i="6"/>
  <c r="G1281" i="6"/>
  <c r="I1280" i="6"/>
  <c r="G1280" i="6"/>
  <c r="I1279" i="6"/>
  <c r="G1279" i="6"/>
  <c r="I1278" i="6"/>
  <c r="G1278" i="6"/>
  <c r="I1277" i="6"/>
  <c r="G1277" i="6"/>
  <c r="I1276" i="6"/>
  <c r="G1276" i="6"/>
  <c r="I1275" i="6"/>
  <c r="G1275" i="6"/>
  <c r="I1274" i="6"/>
  <c r="G1274" i="6"/>
  <c r="I1273" i="6"/>
  <c r="G1273" i="6"/>
  <c r="I1272" i="6"/>
  <c r="G1272" i="6"/>
  <c r="I1271" i="6"/>
  <c r="G1271" i="6"/>
  <c r="I1270" i="6"/>
  <c r="G1270" i="6"/>
  <c r="I1269" i="6"/>
  <c r="G1269" i="6"/>
  <c r="I1268" i="6"/>
  <c r="G1268" i="6"/>
  <c r="I1267" i="6"/>
  <c r="G1267" i="6"/>
  <c r="I1266" i="6"/>
  <c r="G1266" i="6"/>
  <c r="I1265" i="6"/>
  <c r="G1265" i="6"/>
  <c r="I1264" i="6"/>
  <c r="G1264" i="6"/>
  <c r="I1263" i="6"/>
  <c r="G1263" i="6"/>
  <c r="I1262" i="6"/>
  <c r="G1262" i="6"/>
  <c r="I1261" i="6"/>
  <c r="G1261" i="6"/>
  <c r="I1260" i="6"/>
  <c r="G1260" i="6"/>
  <c r="I1259" i="6"/>
  <c r="G1259" i="6"/>
  <c r="I1258" i="6"/>
  <c r="G1258" i="6"/>
  <c r="I1257" i="6"/>
  <c r="G1257" i="6"/>
  <c r="I1256" i="6"/>
  <c r="G1256" i="6"/>
  <c r="I1255" i="6"/>
  <c r="G1255" i="6"/>
  <c r="I1254" i="6"/>
  <c r="G1254" i="6"/>
  <c r="I1253" i="6"/>
  <c r="G1253" i="6"/>
  <c r="I1252" i="6"/>
  <c r="G1252" i="6"/>
  <c r="I1251" i="6"/>
  <c r="G1251" i="6"/>
  <c r="I1250" i="6"/>
  <c r="G1250" i="6"/>
  <c r="I1249" i="6"/>
  <c r="G1249" i="6"/>
  <c r="I1248" i="6"/>
  <c r="G1248" i="6"/>
  <c r="I1247" i="6"/>
  <c r="G1247" i="6"/>
  <c r="I1246" i="6"/>
  <c r="G1246" i="6"/>
  <c r="I1245" i="6"/>
  <c r="G1245" i="6"/>
  <c r="I1244" i="6"/>
  <c r="G1244" i="6"/>
  <c r="I1243" i="6"/>
  <c r="G1243" i="6"/>
  <c r="I1242" i="6"/>
  <c r="G1242" i="6"/>
  <c r="I1241" i="6"/>
  <c r="G1241" i="6"/>
  <c r="I1240" i="6"/>
  <c r="G1240" i="6"/>
  <c r="I1239" i="6"/>
  <c r="G1239" i="6"/>
  <c r="I1238" i="6"/>
  <c r="G1238" i="6"/>
  <c r="I1237" i="6"/>
  <c r="G1237" i="6"/>
  <c r="I1236" i="6"/>
  <c r="G1236" i="6"/>
  <c r="I1235" i="6"/>
  <c r="G1235" i="6"/>
  <c r="I1234" i="6"/>
  <c r="G1234" i="6"/>
  <c r="I1233" i="6"/>
  <c r="G1233" i="6"/>
  <c r="I1232" i="6"/>
  <c r="G1232" i="6"/>
  <c r="I1231" i="6"/>
  <c r="G1231" i="6"/>
  <c r="I1230" i="6"/>
  <c r="G1230" i="6"/>
  <c r="I1229" i="6"/>
  <c r="G1229" i="6"/>
  <c r="I1228" i="6"/>
  <c r="G1228" i="6"/>
  <c r="I1227" i="6"/>
  <c r="G1227" i="6"/>
  <c r="I1226" i="6"/>
  <c r="G1226" i="6"/>
  <c r="I1225" i="6"/>
  <c r="G1225" i="6"/>
  <c r="I1224" i="6"/>
  <c r="G1224" i="6"/>
  <c r="I1223" i="6"/>
  <c r="G1223" i="6"/>
  <c r="I1222" i="6"/>
  <c r="G1222" i="6"/>
  <c r="I1221" i="6"/>
  <c r="G1221" i="6"/>
  <c r="I1220" i="6"/>
  <c r="G1220" i="6"/>
  <c r="I1219" i="6"/>
  <c r="G1219" i="6"/>
  <c r="I1218" i="6"/>
  <c r="G1218" i="6"/>
  <c r="I1217" i="6"/>
  <c r="G1217" i="6"/>
  <c r="I1216" i="6"/>
  <c r="G1216" i="6"/>
  <c r="I1215" i="6"/>
  <c r="G1215" i="6"/>
  <c r="I1214" i="6"/>
  <c r="G1214" i="6"/>
  <c r="I1213" i="6"/>
  <c r="G1213" i="6"/>
  <c r="I1212" i="6"/>
  <c r="G1212" i="6"/>
  <c r="I1211" i="6"/>
  <c r="G1211" i="6"/>
  <c r="I1210" i="6"/>
  <c r="G1210" i="6"/>
  <c r="I1209" i="6"/>
  <c r="G1209" i="6"/>
  <c r="I1208" i="6"/>
  <c r="G1208" i="6"/>
  <c r="I1207" i="6"/>
  <c r="G1207" i="6"/>
  <c r="I1206" i="6"/>
  <c r="G1206" i="6"/>
  <c r="I1205" i="6"/>
  <c r="G1205" i="6"/>
  <c r="I1204" i="6"/>
  <c r="G1204" i="6"/>
  <c r="I1203" i="6"/>
  <c r="G1203" i="6"/>
  <c r="I1202" i="6"/>
  <c r="G1202" i="6"/>
  <c r="I1201" i="6"/>
  <c r="G1201" i="6"/>
  <c r="I1200" i="6"/>
  <c r="G1200" i="6"/>
  <c r="I1199" i="6"/>
  <c r="G1199" i="6"/>
  <c r="I1198" i="6"/>
  <c r="G1198" i="6"/>
  <c r="I1197" i="6"/>
  <c r="G1197" i="6"/>
  <c r="I1196" i="6"/>
  <c r="G1196" i="6"/>
  <c r="I1195" i="6"/>
  <c r="G1195" i="6"/>
  <c r="I1194" i="6"/>
  <c r="G1194" i="6"/>
  <c r="I1193" i="6"/>
  <c r="G1193" i="6"/>
  <c r="I1192" i="6"/>
  <c r="G1192" i="6"/>
  <c r="I1191" i="6"/>
  <c r="G1191" i="6"/>
  <c r="I1190" i="6"/>
  <c r="G1190" i="6"/>
  <c r="I1189" i="6"/>
  <c r="G1189" i="6"/>
  <c r="I1188" i="6"/>
  <c r="G1188" i="6"/>
  <c r="I1187" i="6"/>
  <c r="G1187" i="6"/>
  <c r="I1186" i="6"/>
  <c r="G1186" i="6"/>
  <c r="I1185" i="6"/>
  <c r="G1185" i="6"/>
  <c r="I1184" i="6"/>
  <c r="G1184" i="6"/>
  <c r="I1183" i="6"/>
  <c r="G1183" i="6"/>
  <c r="I1182" i="6"/>
  <c r="G1182" i="6"/>
  <c r="I1181" i="6"/>
  <c r="G1181" i="6"/>
  <c r="I1180" i="6"/>
  <c r="G1180" i="6"/>
  <c r="I1179" i="6"/>
  <c r="G1179" i="6"/>
  <c r="I1178" i="6"/>
  <c r="G1178" i="6"/>
  <c r="I1177" i="6"/>
  <c r="G1177" i="6"/>
  <c r="I1176" i="6"/>
  <c r="G1176" i="6"/>
  <c r="I1175" i="6"/>
  <c r="G1175" i="6"/>
  <c r="I1174" i="6"/>
  <c r="G1174" i="6"/>
  <c r="I1173" i="6"/>
  <c r="G1173" i="6"/>
  <c r="I1172" i="6"/>
  <c r="G1172" i="6"/>
  <c r="I1171" i="6"/>
  <c r="G1171" i="6"/>
  <c r="I1170" i="6"/>
  <c r="G1170" i="6"/>
  <c r="I1169" i="6"/>
  <c r="G1169" i="6"/>
  <c r="I1168" i="6"/>
  <c r="G1168" i="6"/>
  <c r="I1167" i="6"/>
  <c r="G1167" i="6"/>
  <c r="I1166" i="6"/>
  <c r="G1166" i="6"/>
  <c r="I1165" i="6"/>
  <c r="G1165" i="6"/>
  <c r="I1164" i="6"/>
  <c r="G1164" i="6"/>
  <c r="I1163" i="6"/>
  <c r="G1163" i="6"/>
  <c r="I1162" i="6"/>
  <c r="G1162" i="6"/>
  <c r="I1161" i="6"/>
  <c r="G1161" i="6"/>
  <c r="I1160" i="6"/>
  <c r="G1160" i="6"/>
  <c r="I1159" i="6"/>
  <c r="G1159" i="6"/>
  <c r="I1158" i="6"/>
  <c r="G1158" i="6"/>
  <c r="I1157" i="6"/>
  <c r="G1157" i="6"/>
  <c r="I1156" i="6"/>
  <c r="G1156" i="6"/>
  <c r="I1155" i="6"/>
  <c r="G1155" i="6"/>
  <c r="I1154" i="6"/>
  <c r="G1154" i="6"/>
  <c r="I1153" i="6"/>
  <c r="G1153" i="6"/>
  <c r="I1152" i="6"/>
  <c r="G1152" i="6"/>
  <c r="I1151" i="6"/>
  <c r="G1151" i="6"/>
  <c r="I1150" i="6"/>
  <c r="G1150" i="6"/>
  <c r="I1149" i="6"/>
  <c r="G1149" i="6"/>
  <c r="I1148" i="6"/>
  <c r="G1148" i="6"/>
  <c r="I1147" i="6"/>
  <c r="G1147" i="6"/>
  <c r="I1146" i="6"/>
  <c r="G1146" i="6"/>
  <c r="I1145" i="6"/>
  <c r="G1145" i="6"/>
  <c r="I1144" i="6"/>
  <c r="G1144" i="6"/>
  <c r="I1143" i="6"/>
  <c r="G1143" i="6"/>
  <c r="I1142" i="6"/>
  <c r="G1142" i="6"/>
  <c r="I1141" i="6"/>
  <c r="G1141" i="6"/>
  <c r="I1140" i="6"/>
  <c r="G1140" i="6"/>
  <c r="I1139" i="6"/>
  <c r="G1139" i="6"/>
  <c r="I1138" i="6"/>
  <c r="G1138" i="6"/>
  <c r="I1137" i="6"/>
  <c r="G1137" i="6"/>
  <c r="I1136" i="6"/>
  <c r="G1136" i="6"/>
  <c r="I1135" i="6"/>
  <c r="G1135" i="6"/>
  <c r="I1134" i="6"/>
  <c r="G1134" i="6"/>
  <c r="I1133" i="6"/>
  <c r="G1133" i="6"/>
  <c r="I1132" i="6"/>
  <c r="G1132" i="6"/>
  <c r="I1131" i="6"/>
  <c r="G1131" i="6"/>
  <c r="I1130" i="6"/>
  <c r="G1130" i="6"/>
  <c r="I1129" i="6"/>
  <c r="G1129" i="6"/>
  <c r="I1128" i="6"/>
  <c r="G1128" i="6"/>
  <c r="I1127" i="6"/>
  <c r="G1127" i="6"/>
  <c r="I1126" i="6"/>
  <c r="G1126" i="6"/>
  <c r="I1125" i="6"/>
  <c r="G1125" i="6"/>
  <c r="I1124" i="6"/>
  <c r="G1124" i="6"/>
  <c r="I1123" i="6"/>
  <c r="G1123" i="6"/>
  <c r="I1122" i="6"/>
  <c r="G1122" i="6"/>
  <c r="I1121" i="6"/>
  <c r="G1121" i="6"/>
  <c r="I1120" i="6"/>
  <c r="G1120" i="6"/>
  <c r="I1119" i="6"/>
  <c r="G1119" i="6"/>
  <c r="I1118" i="6"/>
  <c r="G1118" i="6"/>
  <c r="I1117" i="6"/>
  <c r="G1117" i="6"/>
  <c r="I1116" i="6"/>
  <c r="G1116" i="6"/>
  <c r="I1115" i="6"/>
  <c r="G1115" i="6"/>
  <c r="I1114" i="6"/>
  <c r="G1114" i="6"/>
  <c r="I1113" i="6"/>
  <c r="G1113" i="6"/>
  <c r="I1112" i="6"/>
  <c r="G1112" i="6"/>
  <c r="I1111" i="6"/>
  <c r="G1111" i="6"/>
  <c r="I1110" i="6"/>
  <c r="G1110" i="6"/>
  <c r="I1109" i="6"/>
  <c r="G1109" i="6"/>
  <c r="I1108" i="6"/>
  <c r="G1108" i="6"/>
  <c r="I1107" i="6"/>
  <c r="G1107" i="6"/>
  <c r="I1106" i="6"/>
  <c r="G1106" i="6"/>
  <c r="I1105" i="6"/>
  <c r="G1105" i="6"/>
  <c r="I1104" i="6"/>
  <c r="G1104" i="6"/>
  <c r="I1103" i="6"/>
  <c r="G1103" i="6"/>
  <c r="I1102" i="6"/>
  <c r="G1102" i="6"/>
  <c r="I1101" i="6"/>
  <c r="G1101" i="6"/>
  <c r="I1100" i="6"/>
  <c r="G1100" i="6"/>
  <c r="I1099" i="6"/>
  <c r="G1099" i="6"/>
  <c r="I1098" i="6"/>
  <c r="G1098" i="6"/>
  <c r="I1097" i="6"/>
  <c r="G1097" i="6"/>
  <c r="I1096" i="6"/>
  <c r="G1096" i="6"/>
  <c r="I1095" i="6"/>
  <c r="G1095" i="6"/>
  <c r="I1094" i="6"/>
  <c r="G1094" i="6"/>
  <c r="I1093" i="6"/>
  <c r="G1093" i="6"/>
  <c r="I1092" i="6"/>
  <c r="G1092" i="6"/>
  <c r="I1091" i="6"/>
  <c r="G1091" i="6"/>
  <c r="I1090" i="6"/>
  <c r="G1090" i="6"/>
  <c r="I1089" i="6"/>
  <c r="G1089" i="6"/>
  <c r="I1088" i="6"/>
  <c r="G1088" i="6"/>
  <c r="I1087" i="6"/>
  <c r="G1087" i="6"/>
  <c r="I1086" i="6"/>
  <c r="G1086" i="6"/>
  <c r="I1085" i="6"/>
  <c r="G1085" i="6"/>
  <c r="I1084" i="6"/>
  <c r="G1084" i="6"/>
  <c r="I1083" i="6"/>
  <c r="G1083" i="6"/>
  <c r="I1082" i="6"/>
  <c r="G1082" i="6"/>
  <c r="I1081" i="6"/>
  <c r="G1081" i="6"/>
  <c r="I1080" i="6"/>
  <c r="G1080" i="6"/>
  <c r="I1079" i="6"/>
  <c r="G1079" i="6"/>
  <c r="I1078" i="6"/>
  <c r="G1078" i="6"/>
  <c r="I1077" i="6"/>
  <c r="G1077" i="6"/>
  <c r="I1076" i="6"/>
  <c r="G1076" i="6"/>
  <c r="I1075" i="6"/>
  <c r="G1075" i="6"/>
  <c r="I1074" i="6"/>
  <c r="G1074" i="6"/>
  <c r="I1073" i="6"/>
  <c r="G1073" i="6"/>
  <c r="I1072" i="6"/>
  <c r="G1072" i="6"/>
  <c r="I1071" i="6"/>
  <c r="G1071" i="6"/>
  <c r="I1070" i="6"/>
  <c r="G1070" i="6"/>
  <c r="I1069" i="6"/>
  <c r="G1069" i="6"/>
  <c r="I1068" i="6"/>
  <c r="G1068" i="6"/>
  <c r="I1067" i="6"/>
  <c r="G1067" i="6"/>
  <c r="I1066" i="6"/>
  <c r="G1066" i="6"/>
  <c r="I1065" i="6"/>
  <c r="G1065" i="6"/>
  <c r="I1064" i="6"/>
  <c r="G1064" i="6"/>
  <c r="I1063" i="6"/>
  <c r="G1063" i="6"/>
  <c r="I1062" i="6"/>
  <c r="G1062" i="6"/>
  <c r="I1061" i="6"/>
  <c r="G1061" i="6"/>
  <c r="I1060" i="6"/>
  <c r="G1060" i="6"/>
  <c r="I1059" i="6"/>
  <c r="G1059" i="6"/>
  <c r="I1058" i="6"/>
  <c r="G1058" i="6"/>
  <c r="I1057" i="6"/>
  <c r="G1057" i="6"/>
  <c r="I1056" i="6"/>
  <c r="G1056" i="6"/>
  <c r="I1055" i="6"/>
  <c r="G1055" i="6"/>
  <c r="I1054" i="6"/>
  <c r="G1054" i="6"/>
  <c r="I1053" i="6"/>
  <c r="G1053" i="6"/>
  <c r="I1052" i="6"/>
  <c r="G1052" i="6"/>
  <c r="I1051" i="6"/>
  <c r="G1051" i="6"/>
  <c r="I1050" i="6"/>
  <c r="G1050" i="6"/>
  <c r="I1049" i="6"/>
  <c r="G1049" i="6"/>
  <c r="I1048" i="6"/>
  <c r="G1048" i="6"/>
  <c r="I1047" i="6"/>
  <c r="G1047" i="6"/>
  <c r="I1046" i="6"/>
  <c r="G1046" i="6"/>
  <c r="I1045" i="6"/>
  <c r="G1045" i="6"/>
  <c r="I1044" i="6"/>
  <c r="G1044" i="6"/>
  <c r="I1043" i="6"/>
  <c r="G1043" i="6"/>
  <c r="I1042" i="6"/>
  <c r="G1042" i="6"/>
  <c r="I1041" i="6"/>
  <c r="G1041" i="6"/>
  <c r="I1040" i="6"/>
  <c r="G1040" i="6"/>
  <c r="I1039" i="6"/>
  <c r="G1039" i="6"/>
  <c r="I1038" i="6"/>
  <c r="G1038" i="6"/>
  <c r="I1037" i="6"/>
  <c r="G1037" i="6"/>
  <c r="I1036" i="6"/>
  <c r="G1036" i="6"/>
  <c r="I1035" i="6"/>
  <c r="G1035" i="6"/>
  <c r="I1034" i="6"/>
  <c r="G1034" i="6"/>
  <c r="I1033" i="6"/>
  <c r="G1033" i="6"/>
  <c r="I1032" i="6"/>
  <c r="G1032" i="6"/>
  <c r="I1031" i="6"/>
  <c r="G1031" i="6"/>
  <c r="I1030" i="6"/>
  <c r="G1030" i="6"/>
  <c r="I1029" i="6"/>
  <c r="G1029" i="6"/>
  <c r="I1028" i="6"/>
  <c r="G1028" i="6"/>
  <c r="I1027" i="6"/>
  <c r="G1027" i="6"/>
  <c r="I1026" i="6"/>
  <c r="G1026" i="6"/>
  <c r="I1025" i="6"/>
  <c r="G1025" i="6"/>
  <c r="I1024" i="6"/>
  <c r="G1024" i="6"/>
  <c r="I1023" i="6"/>
  <c r="G1023" i="6"/>
  <c r="I1022" i="6"/>
  <c r="G1022" i="6"/>
  <c r="I1021" i="6"/>
  <c r="G1021" i="6"/>
  <c r="I1020" i="6"/>
  <c r="G1020" i="6"/>
  <c r="I1019" i="6"/>
  <c r="G1019" i="6"/>
  <c r="I1018" i="6"/>
  <c r="G1018" i="6"/>
  <c r="I1017" i="6"/>
  <c r="G1017" i="6"/>
  <c r="I1016" i="6"/>
  <c r="G1016" i="6"/>
  <c r="I1015" i="6"/>
  <c r="G1015" i="6"/>
  <c r="I1014" i="6"/>
  <c r="G1014" i="6"/>
  <c r="I1013" i="6"/>
  <c r="G1013" i="6"/>
  <c r="I1012" i="6"/>
  <c r="G1012" i="6"/>
  <c r="I1011" i="6"/>
  <c r="G1011" i="6"/>
  <c r="I1010" i="6"/>
  <c r="G1010" i="6"/>
  <c r="I1009" i="6"/>
  <c r="G1009" i="6"/>
  <c r="I1008" i="6"/>
  <c r="G1008" i="6"/>
  <c r="I1007" i="6"/>
  <c r="G1007" i="6"/>
  <c r="I1006" i="6"/>
  <c r="G1006" i="6"/>
  <c r="I1005" i="6"/>
  <c r="G1005" i="6"/>
  <c r="I1004" i="6"/>
  <c r="G1004" i="6"/>
  <c r="I1003" i="6"/>
  <c r="G1003" i="6"/>
  <c r="I1002" i="6"/>
  <c r="G1002" i="6"/>
  <c r="I1001" i="6"/>
  <c r="G1001" i="6"/>
  <c r="I1000" i="6"/>
  <c r="G1000" i="6"/>
  <c r="I999" i="6"/>
  <c r="G999" i="6"/>
  <c r="I998" i="6"/>
  <c r="G998" i="6"/>
  <c r="I997" i="6"/>
  <c r="G997" i="6"/>
  <c r="I996" i="6"/>
  <c r="G996" i="6"/>
  <c r="I995" i="6"/>
  <c r="G995" i="6"/>
  <c r="I994" i="6"/>
  <c r="G994" i="6"/>
  <c r="I993" i="6"/>
  <c r="G993" i="6"/>
  <c r="I992" i="6"/>
  <c r="G992" i="6"/>
  <c r="I991" i="6"/>
  <c r="G991" i="6"/>
  <c r="I990" i="6"/>
  <c r="G990" i="6"/>
  <c r="I989" i="6"/>
  <c r="G989" i="6"/>
  <c r="I988" i="6"/>
  <c r="G988" i="6"/>
  <c r="I987" i="6"/>
  <c r="G987" i="6"/>
  <c r="I986" i="6"/>
  <c r="G986" i="6"/>
  <c r="I985" i="6"/>
  <c r="G985" i="6"/>
  <c r="I984" i="6"/>
  <c r="G984" i="6"/>
  <c r="I983" i="6"/>
  <c r="G983" i="6"/>
  <c r="I982" i="6"/>
  <c r="G982" i="6"/>
  <c r="I981" i="6"/>
  <c r="G981" i="6"/>
  <c r="I980" i="6"/>
  <c r="G980" i="6"/>
  <c r="I979" i="6"/>
  <c r="G979" i="6"/>
  <c r="I978" i="6"/>
  <c r="G978" i="6"/>
  <c r="I977" i="6"/>
  <c r="G977" i="6"/>
  <c r="I976" i="6"/>
  <c r="G976" i="6"/>
  <c r="I975" i="6"/>
  <c r="G975" i="6"/>
  <c r="I974" i="6"/>
  <c r="G974" i="6"/>
  <c r="I973" i="6"/>
  <c r="G973" i="6"/>
  <c r="I972" i="6"/>
  <c r="G972" i="6"/>
  <c r="I971" i="6"/>
  <c r="G971" i="6"/>
  <c r="I970" i="6"/>
  <c r="G970" i="6"/>
  <c r="I969" i="6"/>
  <c r="G969" i="6"/>
  <c r="I968" i="6"/>
  <c r="G968" i="6"/>
  <c r="I967" i="6"/>
  <c r="G967" i="6"/>
  <c r="I966" i="6"/>
  <c r="G966" i="6"/>
  <c r="I965" i="6"/>
  <c r="G965" i="6"/>
  <c r="I964" i="6"/>
  <c r="G964" i="6"/>
  <c r="I963" i="6"/>
  <c r="G963" i="6"/>
  <c r="I962" i="6"/>
  <c r="G962" i="6"/>
  <c r="I961" i="6"/>
  <c r="G961" i="6"/>
  <c r="I960" i="6"/>
  <c r="G960" i="6"/>
  <c r="I959" i="6"/>
  <c r="G959" i="6"/>
  <c r="I958" i="6"/>
  <c r="G958" i="6"/>
  <c r="I957" i="6"/>
  <c r="G957" i="6"/>
  <c r="I956" i="6"/>
  <c r="G956" i="6"/>
  <c r="I955" i="6"/>
  <c r="G955" i="6"/>
  <c r="I954" i="6"/>
  <c r="G954" i="6"/>
  <c r="I953" i="6"/>
  <c r="G953" i="6"/>
  <c r="I952" i="6"/>
  <c r="G952" i="6"/>
  <c r="I951" i="6"/>
  <c r="G951" i="6"/>
  <c r="I950" i="6"/>
  <c r="G950" i="6"/>
  <c r="I949" i="6"/>
  <c r="G949" i="6"/>
  <c r="I948" i="6"/>
  <c r="G948" i="6"/>
  <c r="I947" i="6"/>
  <c r="G947" i="6"/>
  <c r="I946" i="6"/>
  <c r="G946" i="6"/>
  <c r="I945" i="6"/>
  <c r="G945" i="6"/>
  <c r="I944" i="6"/>
  <c r="G944" i="6"/>
  <c r="I943" i="6"/>
  <c r="G943" i="6"/>
  <c r="I942" i="6"/>
  <c r="G942" i="6"/>
  <c r="I941" i="6"/>
  <c r="G941" i="6"/>
  <c r="I940" i="6"/>
  <c r="G940" i="6"/>
  <c r="I939" i="6"/>
  <c r="G939" i="6"/>
  <c r="I938" i="6"/>
  <c r="G938" i="6"/>
  <c r="I937" i="6"/>
  <c r="G937" i="6"/>
  <c r="I936" i="6"/>
  <c r="G936" i="6"/>
  <c r="I935" i="6"/>
  <c r="G935" i="6"/>
  <c r="I934" i="6"/>
  <c r="G934" i="6"/>
  <c r="I933" i="6"/>
  <c r="G933" i="6"/>
  <c r="I932" i="6"/>
  <c r="G932" i="6"/>
  <c r="I931" i="6"/>
  <c r="G931" i="6"/>
  <c r="I930" i="6"/>
  <c r="G930" i="6"/>
  <c r="I929" i="6"/>
  <c r="G929" i="6"/>
  <c r="I928" i="6"/>
  <c r="G928" i="6"/>
  <c r="I927" i="6"/>
  <c r="G927" i="6"/>
  <c r="I926" i="6"/>
  <c r="G926" i="6"/>
  <c r="I925" i="6"/>
  <c r="G925" i="6"/>
  <c r="I924" i="6"/>
  <c r="G924" i="6"/>
  <c r="I923" i="6"/>
  <c r="G923" i="6"/>
  <c r="I922" i="6"/>
  <c r="G922" i="6"/>
  <c r="I921" i="6"/>
  <c r="G921" i="6"/>
  <c r="I920" i="6"/>
  <c r="G920" i="6"/>
  <c r="I919" i="6"/>
  <c r="G919" i="6"/>
  <c r="I918" i="6"/>
  <c r="G918" i="6"/>
  <c r="I917" i="6"/>
  <c r="G917" i="6"/>
  <c r="I916" i="6"/>
  <c r="G916" i="6"/>
  <c r="I915" i="6"/>
  <c r="G915" i="6"/>
  <c r="I914" i="6"/>
  <c r="G914" i="6"/>
  <c r="I913" i="6"/>
  <c r="G913" i="6"/>
  <c r="I912" i="6"/>
  <c r="G912" i="6"/>
  <c r="I911" i="6"/>
  <c r="G911" i="6"/>
  <c r="I910" i="6"/>
  <c r="G910" i="6"/>
  <c r="I909" i="6"/>
  <c r="G909" i="6"/>
  <c r="I908" i="6"/>
  <c r="G908" i="6"/>
  <c r="I907" i="6"/>
  <c r="G907" i="6"/>
  <c r="I906" i="6"/>
  <c r="G906" i="6"/>
  <c r="I905" i="6"/>
  <c r="G905" i="6"/>
  <c r="I904" i="6"/>
  <c r="G904" i="6"/>
  <c r="I903" i="6"/>
  <c r="G903" i="6"/>
  <c r="I902" i="6"/>
  <c r="G902" i="6"/>
  <c r="I901" i="6"/>
  <c r="G901" i="6"/>
  <c r="I900" i="6"/>
  <c r="G900" i="6"/>
  <c r="I899" i="6"/>
  <c r="G899" i="6"/>
  <c r="I898" i="6"/>
  <c r="G898" i="6"/>
  <c r="I897" i="6"/>
  <c r="G897" i="6"/>
  <c r="I896" i="6"/>
  <c r="G896" i="6"/>
  <c r="I895" i="6"/>
  <c r="G895" i="6"/>
  <c r="I894" i="6"/>
  <c r="G894" i="6"/>
  <c r="I893" i="6"/>
  <c r="G893" i="6"/>
  <c r="I892" i="6"/>
  <c r="G892" i="6"/>
  <c r="I891" i="6"/>
  <c r="G891" i="6"/>
  <c r="I890" i="6"/>
  <c r="G890" i="6"/>
  <c r="I889" i="6"/>
  <c r="G889" i="6"/>
  <c r="I888" i="6"/>
  <c r="G888" i="6"/>
  <c r="I887" i="6"/>
  <c r="G887" i="6"/>
  <c r="I886" i="6"/>
  <c r="G886" i="6"/>
  <c r="I885" i="6"/>
  <c r="G885" i="6"/>
  <c r="I884" i="6"/>
  <c r="G884" i="6"/>
  <c r="I883" i="6"/>
  <c r="G883" i="6"/>
  <c r="I882" i="6"/>
  <c r="G882" i="6"/>
  <c r="I881" i="6"/>
  <c r="G881" i="6"/>
  <c r="I880" i="6"/>
  <c r="G880" i="6"/>
  <c r="I879" i="6"/>
  <c r="G879" i="6"/>
  <c r="I878" i="6"/>
  <c r="G878" i="6"/>
  <c r="I877" i="6"/>
  <c r="G877" i="6"/>
  <c r="I876" i="6"/>
  <c r="G876" i="6"/>
  <c r="I875" i="6"/>
  <c r="G875" i="6"/>
  <c r="I874" i="6"/>
  <c r="G874" i="6"/>
  <c r="I873" i="6"/>
  <c r="G873" i="6"/>
  <c r="I872" i="6"/>
  <c r="G872" i="6"/>
  <c r="I871" i="6"/>
  <c r="G871" i="6"/>
  <c r="I870" i="6"/>
  <c r="G870" i="6"/>
  <c r="I869" i="6"/>
  <c r="G869" i="6"/>
  <c r="I868" i="6"/>
  <c r="G868" i="6"/>
  <c r="I867" i="6"/>
  <c r="G867" i="6"/>
  <c r="I866" i="6"/>
  <c r="G866" i="6"/>
  <c r="I865" i="6"/>
  <c r="G865" i="6"/>
  <c r="I864" i="6"/>
  <c r="G864" i="6"/>
  <c r="I863" i="6"/>
  <c r="G863" i="6"/>
  <c r="I862" i="6"/>
  <c r="G862" i="6"/>
  <c r="I861" i="6"/>
  <c r="G861" i="6"/>
  <c r="I860" i="6"/>
  <c r="G860" i="6"/>
  <c r="I859" i="6"/>
  <c r="G859" i="6"/>
  <c r="I858" i="6"/>
  <c r="G858" i="6"/>
  <c r="I857" i="6"/>
  <c r="G857" i="6"/>
  <c r="I856" i="6"/>
  <c r="G856" i="6"/>
  <c r="I855" i="6"/>
  <c r="G855" i="6"/>
  <c r="I854" i="6"/>
  <c r="G854" i="6"/>
  <c r="I853" i="6"/>
  <c r="G853" i="6"/>
  <c r="I852" i="6"/>
  <c r="G852" i="6"/>
  <c r="I851" i="6"/>
  <c r="G851" i="6"/>
  <c r="I850" i="6"/>
  <c r="G850" i="6"/>
  <c r="I849" i="6"/>
  <c r="G849" i="6"/>
  <c r="I848" i="6"/>
  <c r="G848" i="6"/>
  <c r="I847" i="6"/>
  <c r="G847" i="6"/>
  <c r="I846" i="6"/>
  <c r="G846" i="6"/>
  <c r="I845" i="6"/>
  <c r="G845" i="6"/>
  <c r="I844" i="6"/>
  <c r="G844" i="6"/>
  <c r="I843" i="6"/>
  <c r="G843" i="6"/>
  <c r="I842" i="6"/>
  <c r="G842" i="6"/>
  <c r="I841" i="6"/>
  <c r="G841" i="6"/>
  <c r="I840" i="6"/>
  <c r="G840" i="6"/>
  <c r="I839" i="6"/>
  <c r="G839" i="6"/>
  <c r="I838" i="6"/>
  <c r="G838" i="6"/>
  <c r="I837" i="6"/>
  <c r="G837" i="6"/>
  <c r="I836" i="6"/>
  <c r="G836" i="6"/>
  <c r="I835" i="6"/>
  <c r="G835" i="6"/>
  <c r="I834" i="6"/>
  <c r="G834" i="6"/>
  <c r="I833" i="6"/>
  <c r="G833" i="6"/>
  <c r="I832" i="6"/>
  <c r="G832" i="6"/>
  <c r="I831" i="6"/>
  <c r="G831" i="6"/>
  <c r="I830" i="6"/>
  <c r="G830" i="6"/>
  <c r="I829" i="6"/>
  <c r="G829" i="6"/>
  <c r="I828" i="6"/>
  <c r="G828" i="6"/>
  <c r="I827" i="6"/>
  <c r="G827" i="6"/>
  <c r="I826" i="6"/>
  <c r="G826" i="6"/>
  <c r="I825" i="6"/>
  <c r="G825" i="6"/>
  <c r="I824" i="6"/>
  <c r="G824" i="6"/>
  <c r="I823" i="6"/>
  <c r="G823" i="6"/>
  <c r="I822" i="6"/>
  <c r="G822" i="6"/>
  <c r="I821" i="6"/>
  <c r="G821" i="6"/>
  <c r="I820" i="6"/>
  <c r="G820" i="6"/>
  <c r="I819" i="6"/>
  <c r="G819" i="6"/>
  <c r="I818" i="6"/>
  <c r="G818" i="6"/>
  <c r="I817" i="6"/>
  <c r="G817" i="6"/>
  <c r="I816" i="6"/>
  <c r="G816" i="6"/>
  <c r="I815" i="6"/>
  <c r="G815" i="6"/>
  <c r="I814" i="6"/>
  <c r="G814" i="6"/>
  <c r="I813" i="6"/>
  <c r="G813" i="6"/>
  <c r="I812" i="6"/>
  <c r="G812" i="6"/>
  <c r="I811" i="6"/>
  <c r="G811" i="6"/>
  <c r="I810" i="6"/>
  <c r="G810" i="6"/>
  <c r="I809" i="6"/>
  <c r="G809" i="6"/>
  <c r="I808" i="6"/>
  <c r="G808" i="6"/>
  <c r="I807" i="6"/>
  <c r="G807" i="6"/>
  <c r="I806" i="6"/>
  <c r="G806" i="6"/>
  <c r="I805" i="6"/>
  <c r="G805" i="6"/>
  <c r="I804" i="6"/>
  <c r="G804" i="6"/>
  <c r="I803" i="6"/>
  <c r="G803" i="6"/>
  <c r="I802" i="6"/>
  <c r="G802" i="6"/>
  <c r="I801" i="6"/>
  <c r="G801" i="6"/>
  <c r="I800" i="6"/>
  <c r="G800" i="6"/>
  <c r="I799" i="6"/>
  <c r="G799" i="6"/>
  <c r="I798" i="6"/>
  <c r="G798" i="6"/>
  <c r="I797" i="6"/>
  <c r="G797" i="6"/>
  <c r="I796" i="6"/>
  <c r="G796" i="6"/>
  <c r="I795" i="6"/>
  <c r="G795" i="6"/>
  <c r="I794" i="6"/>
  <c r="G794" i="6"/>
  <c r="I793" i="6"/>
  <c r="G793" i="6"/>
  <c r="I792" i="6"/>
  <c r="G792" i="6"/>
  <c r="I791" i="6"/>
  <c r="G791" i="6"/>
  <c r="I790" i="6"/>
  <c r="G790" i="6"/>
  <c r="I789" i="6"/>
  <c r="G789" i="6"/>
  <c r="I788" i="6"/>
  <c r="G788" i="6"/>
  <c r="I787" i="6"/>
  <c r="G787" i="6"/>
  <c r="I786" i="6"/>
  <c r="G786" i="6"/>
  <c r="I785" i="6"/>
  <c r="G785" i="6"/>
  <c r="I784" i="6"/>
  <c r="G784" i="6"/>
  <c r="I783" i="6"/>
  <c r="G783" i="6"/>
  <c r="I782" i="6"/>
  <c r="G782" i="6"/>
  <c r="I781" i="6"/>
  <c r="G781" i="6"/>
  <c r="I780" i="6"/>
  <c r="G780" i="6"/>
  <c r="I779" i="6"/>
  <c r="G779" i="6"/>
  <c r="I778" i="6"/>
  <c r="G778" i="6"/>
  <c r="I777" i="6"/>
  <c r="G777" i="6"/>
  <c r="I776" i="6"/>
  <c r="G776" i="6"/>
  <c r="I775" i="6"/>
  <c r="G775" i="6"/>
  <c r="I774" i="6"/>
  <c r="G774" i="6"/>
  <c r="I773" i="6"/>
  <c r="G773" i="6"/>
  <c r="I772" i="6"/>
  <c r="G772" i="6"/>
  <c r="I771" i="6"/>
  <c r="G771" i="6"/>
  <c r="I770" i="6"/>
  <c r="G770" i="6"/>
  <c r="I769" i="6"/>
  <c r="G769" i="6"/>
  <c r="I768" i="6"/>
  <c r="G768" i="6"/>
  <c r="I767" i="6"/>
  <c r="G767" i="6"/>
  <c r="I766" i="6"/>
  <c r="G766" i="6"/>
  <c r="I765" i="6"/>
  <c r="G765" i="6"/>
  <c r="I764" i="6"/>
  <c r="G764" i="6"/>
  <c r="I763" i="6"/>
  <c r="G763" i="6"/>
  <c r="I762" i="6"/>
  <c r="G762" i="6"/>
  <c r="I761" i="6"/>
  <c r="G761" i="6"/>
  <c r="I760" i="6"/>
  <c r="G760" i="6"/>
  <c r="I759" i="6"/>
  <c r="G759" i="6"/>
  <c r="I758" i="6"/>
  <c r="G758" i="6"/>
  <c r="I757" i="6"/>
  <c r="G757" i="6"/>
  <c r="I756" i="6"/>
  <c r="G756" i="6"/>
  <c r="I755" i="6"/>
  <c r="G755" i="6"/>
  <c r="I754" i="6"/>
  <c r="G754" i="6"/>
  <c r="I753" i="6"/>
  <c r="G753" i="6"/>
  <c r="I752" i="6"/>
  <c r="G752" i="6"/>
  <c r="I751" i="6"/>
  <c r="G751" i="6"/>
  <c r="I750" i="6"/>
  <c r="G750" i="6"/>
  <c r="I749" i="6"/>
  <c r="G749" i="6"/>
  <c r="I748" i="6"/>
  <c r="G748" i="6"/>
  <c r="I747" i="6"/>
  <c r="G747" i="6"/>
  <c r="I746" i="6"/>
  <c r="G746" i="6"/>
  <c r="I745" i="6"/>
  <c r="G745" i="6"/>
  <c r="I744" i="6"/>
  <c r="G744" i="6"/>
  <c r="I743" i="6"/>
  <c r="G743" i="6"/>
  <c r="I742" i="6"/>
  <c r="G742" i="6"/>
  <c r="I741" i="6"/>
  <c r="G741" i="6"/>
  <c r="I740" i="6"/>
  <c r="G740" i="6"/>
  <c r="I739" i="6"/>
  <c r="G739" i="6"/>
  <c r="I738" i="6"/>
  <c r="G738" i="6"/>
  <c r="I737" i="6"/>
  <c r="G737" i="6"/>
  <c r="I736" i="6"/>
  <c r="G736" i="6"/>
  <c r="I735" i="6"/>
  <c r="G735" i="6"/>
  <c r="I734" i="6"/>
  <c r="G734" i="6"/>
  <c r="I733" i="6"/>
  <c r="G733" i="6"/>
  <c r="I732" i="6"/>
  <c r="G732" i="6"/>
  <c r="I731" i="6"/>
  <c r="G731" i="6"/>
  <c r="I730" i="6"/>
  <c r="G730" i="6"/>
  <c r="I729" i="6"/>
  <c r="G729" i="6"/>
  <c r="I728" i="6"/>
  <c r="G728" i="6"/>
  <c r="I727" i="6"/>
  <c r="G727" i="6"/>
  <c r="I726" i="6"/>
  <c r="G726" i="6"/>
  <c r="I725" i="6"/>
  <c r="G725" i="6"/>
  <c r="I724" i="6"/>
  <c r="G724" i="6"/>
  <c r="I723" i="6"/>
  <c r="G723" i="6"/>
  <c r="I722" i="6"/>
  <c r="G722" i="6"/>
  <c r="I721" i="6"/>
  <c r="G721" i="6"/>
  <c r="I720" i="6"/>
  <c r="G720" i="6"/>
  <c r="I719" i="6"/>
  <c r="G719" i="6"/>
  <c r="I718" i="6"/>
  <c r="G718" i="6"/>
  <c r="I717" i="6"/>
  <c r="G717" i="6"/>
  <c r="I716" i="6"/>
  <c r="G716" i="6"/>
  <c r="I715" i="6"/>
  <c r="G715" i="6"/>
  <c r="I714" i="6"/>
  <c r="G714" i="6"/>
  <c r="I713" i="6"/>
  <c r="G713" i="6"/>
  <c r="I712" i="6"/>
  <c r="G712" i="6"/>
  <c r="I711" i="6"/>
  <c r="G711" i="6"/>
  <c r="I710" i="6"/>
  <c r="G710" i="6"/>
  <c r="I709" i="6"/>
  <c r="G709" i="6"/>
  <c r="I708" i="6"/>
  <c r="G708" i="6"/>
  <c r="I707" i="6"/>
  <c r="G707" i="6"/>
  <c r="I706" i="6"/>
  <c r="G706" i="6"/>
  <c r="I705" i="6"/>
  <c r="G705" i="6"/>
  <c r="I704" i="6"/>
  <c r="G704" i="6"/>
  <c r="I703" i="6"/>
  <c r="G703" i="6"/>
  <c r="I702" i="6"/>
  <c r="G702" i="6"/>
  <c r="I701" i="6"/>
  <c r="G701" i="6"/>
  <c r="I700" i="6"/>
  <c r="G700" i="6"/>
  <c r="I699" i="6"/>
  <c r="G699" i="6"/>
  <c r="I698" i="6"/>
  <c r="G698" i="6"/>
  <c r="I697" i="6"/>
  <c r="G697" i="6"/>
  <c r="I696" i="6"/>
  <c r="G696" i="6"/>
  <c r="I695" i="6"/>
  <c r="G695" i="6"/>
  <c r="I694" i="6"/>
  <c r="G694" i="6"/>
  <c r="I693" i="6"/>
  <c r="G693" i="6"/>
  <c r="I692" i="6"/>
  <c r="G692" i="6"/>
  <c r="I691" i="6"/>
  <c r="G691" i="6"/>
  <c r="I690" i="6"/>
  <c r="G690" i="6"/>
  <c r="I689" i="6"/>
  <c r="G689" i="6"/>
  <c r="I688" i="6"/>
  <c r="G688" i="6"/>
  <c r="I687" i="6"/>
  <c r="G687" i="6"/>
  <c r="I686" i="6"/>
  <c r="G686" i="6"/>
  <c r="I685" i="6"/>
  <c r="G685" i="6"/>
  <c r="I684" i="6"/>
  <c r="G684" i="6"/>
  <c r="I683" i="6"/>
  <c r="G683" i="6"/>
  <c r="I682" i="6"/>
  <c r="G682" i="6"/>
  <c r="I681" i="6"/>
  <c r="G681" i="6"/>
  <c r="I680" i="6"/>
  <c r="G680" i="6"/>
  <c r="I679" i="6"/>
  <c r="G679" i="6"/>
  <c r="I678" i="6"/>
  <c r="G678" i="6"/>
  <c r="I677" i="6"/>
  <c r="G677" i="6"/>
  <c r="I676" i="6"/>
  <c r="G676" i="6"/>
  <c r="I675" i="6"/>
  <c r="G675" i="6"/>
  <c r="I674" i="6"/>
  <c r="G674" i="6"/>
  <c r="I673" i="6"/>
  <c r="G673" i="6"/>
  <c r="I672" i="6"/>
  <c r="G672" i="6"/>
  <c r="I671" i="6"/>
  <c r="G671" i="6"/>
  <c r="I670" i="6"/>
  <c r="G670" i="6"/>
  <c r="I669" i="6"/>
  <c r="G669" i="6"/>
  <c r="I668" i="6"/>
  <c r="G668" i="6"/>
  <c r="I667" i="6"/>
  <c r="G667" i="6"/>
  <c r="I666" i="6"/>
  <c r="G666" i="6"/>
  <c r="I665" i="6"/>
  <c r="G665" i="6"/>
  <c r="I664" i="6"/>
  <c r="G664" i="6"/>
  <c r="I663" i="6"/>
  <c r="G663" i="6"/>
  <c r="I662" i="6"/>
  <c r="G662" i="6"/>
  <c r="I661" i="6"/>
  <c r="G661" i="6"/>
  <c r="I660" i="6"/>
  <c r="G660" i="6"/>
  <c r="I659" i="6"/>
  <c r="G659" i="6"/>
  <c r="I658" i="6"/>
  <c r="G658" i="6"/>
  <c r="I657" i="6"/>
  <c r="G657" i="6"/>
  <c r="I656" i="6"/>
  <c r="G656" i="6"/>
  <c r="I655" i="6"/>
  <c r="G655" i="6"/>
  <c r="I654" i="6"/>
  <c r="G654" i="6"/>
  <c r="I653" i="6"/>
  <c r="G653" i="6"/>
  <c r="I652" i="6"/>
  <c r="G652" i="6"/>
  <c r="I651" i="6"/>
  <c r="G651" i="6"/>
  <c r="I650" i="6"/>
  <c r="G650" i="6"/>
  <c r="I649" i="6"/>
  <c r="G649" i="6"/>
  <c r="I648" i="6"/>
  <c r="G648" i="6"/>
  <c r="I647" i="6"/>
  <c r="G647" i="6"/>
  <c r="I646" i="6"/>
  <c r="G646" i="6"/>
  <c r="I645" i="6"/>
  <c r="G645" i="6"/>
  <c r="I644" i="6"/>
  <c r="G644" i="6"/>
  <c r="I643" i="6"/>
  <c r="G643" i="6"/>
  <c r="I642" i="6"/>
  <c r="G642" i="6"/>
  <c r="I641" i="6"/>
  <c r="G641" i="6"/>
  <c r="I640" i="6"/>
  <c r="G640" i="6"/>
  <c r="I639" i="6"/>
  <c r="G639" i="6"/>
  <c r="I638" i="6"/>
  <c r="G638" i="6"/>
  <c r="I637" i="6"/>
  <c r="G637" i="6"/>
  <c r="I636" i="6"/>
  <c r="G636" i="6"/>
  <c r="I635" i="6"/>
  <c r="G635" i="6"/>
  <c r="I634" i="6"/>
  <c r="G634" i="6"/>
  <c r="I633" i="6"/>
  <c r="G633" i="6"/>
  <c r="I632" i="6"/>
  <c r="G632" i="6"/>
  <c r="I631" i="6"/>
  <c r="G631" i="6"/>
  <c r="I630" i="6"/>
  <c r="G630" i="6"/>
  <c r="I629" i="6"/>
  <c r="G629" i="6"/>
  <c r="I628" i="6"/>
  <c r="G628" i="6"/>
  <c r="I627" i="6"/>
  <c r="G627" i="6"/>
  <c r="I626" i="6"/>
  <c r="G626" i="6"/>
  <c r="I625" i="6"/>
  <c r="G625" i="6"/>
  <c r="I624" i="6"/>
  <c r="G624" i="6"/>
  <c r="I623" i="6"/>
  <c r="G623" i="6"/>
  <c r="I622" i="6"/>
  <c r="G622" i="6"/>
  <c r="I621" i="6"/>
  <c r="G621" i="6"/>
  <c r="I620" i="6"/>
  <c r="G620" i="6"/>
  <c r="I619" i="6"/>
  <c r="G619" i="6"/>
  <c r="I618" i="6"/>
  <c r="G618" i="6"/>
  <c r="I617" i="6"/>
  <c r="G617" i="6"/>
  <c r="I616" i="6"/>
  <c r="G616" i="6"/>
  <c r="I615" i="6"/>
  <c r="G615" i="6"/>
  <c r="I614" i="6"/>
  <c r="G614" i="6"/>
  <c r="I613" i="6"/>
  <c r="G613" i="6"/>
  <c r="I612" i="6"/>
  <c r="G612" i="6"/>
  <c r="I611" i="6"/>
  <c r="G611" i="6"/>
  <c r="I610" i="6"/>
  <c r="G610" i="6"/>
  <c r="I609" i="6"/>
  <c r="G609" i="6"/>
  <c r="I608" i="6"/>
  <c r="G608" i="6"/>
  <c r="I607" i="6"/>
  <c r="G607" i="6"/>
  <c r="I606" i="6"/>
  <c r="G606" i="6"/>
  <c r="I605" i="6"/>
  <c r="G605" i="6"/>
  <c r="I604" i="6"/>
  <c r="G604" i="6"/>
  <c r="I603" i="6"/>
  <c r="G603" i="6"/>
  <c r="I602" i="6"/>
  <c r="G602" i="6"/>
  <c r="I601" i="6"/>
  <c r="G601" i="6"/>
  <c r="I600" i="6"/>
  <c r="G600" i="6"/>
  <c r="I599" i="6"/>
  <c r="G599" i="6"/>
  <c r="I598" i="6"/>
  <c r="G598" i="6"/>
  <c r="I597" i="6"/>
  <c r="G597" i="6"/>
  <c r="I596" i="6"/>
  <c r="G596" i="6"/>
  <c r="I595" i="6"/>
  <c r="G595" i="6"/>
  <c r="I594" i="6"/>
  <c r="G594" i="6"/>
  <c r="I593" i="6"/>
  <c r="G593" i="6"/>
  <c r="I592" i="6"/>
  <c r="G592" i="6"/>
  <c r="I591" i="6"/>
  <c r="G591" i="6"/>
  <c r="I590" i="6"/>
  <c r="G590" i="6"/>
  <c r="I589" i="6"/>
  <c r="G589" i="6"/>
  <c r="I588" i="6"/>
  <c r="G588" i="6"/>
  <c r="I587" i="6"/>
  <c r="G587" i="6"/>
  <c r="I586" i="6"/>
  <c r="G586" i="6"/>
  <c r="I585" i="6"/>
  <c r="G585" i="6"/>
  <c r="I584" i="6"/>
  <c r="G584" i="6"/>
  <c r="I583" i="6"/>
  <c r="G583" i="6"/>
  <c r="I582" i="6"/>
  <c r="G582" i="6"/>
  <c r="I581" i="6"/>
  <c r="G581" i="6"/>
  <c r="I580" i="6"/>
  <c r="G580" i="6"/>
  <c r="I579" i="6"/>
  <c r="G579" i="6"/>
  <c r="I578" i="6"/>
  <c r="G578" i="6"/>
  <c r="I577" i="6"/>
  <c r="G577" i="6"/>
  <c r="I576" i="6"/>
  <c r="G576" i="6"/>
  <c r="I575" i="6"/>
  <c r="G575" i="6"/>
  <c r="I574" i="6"/>
  <c r="G574" i="6"/>
  <c r="I573" i="6"/>
  <c r="G573" i="6"/>
  <c r="I572" i="6"/>
  <c r="G572" i="6"/>
  <c r="I571" i="6"/>
  <c r="G571" i="6"/>
  <c r="I570" i="6"/>
  <c r="G570" i="6"/>
  <c r="I569" i="6"/>
  <c r="G569" i="6"/>
  <c r="I568" i="6"/>
  <c r="G568" i="6"/>
  <c r="I567" i="6"/>
  <c r="G567" i="6"/>
  <c r="I566" i="6"/>
  <c r="G566" i="6"/>
  <c r="I565" i="6"/>
  <c r="G565" i="6"/>
  <c r="I564" i="6"/>
  <c r="G564" i="6"/>
  <c r="I563" i="6"/>
  <c r="G563" i="6"/>
  <c r="I562" i="6"/>
  <c r="G562" i="6"/>
  <c r="I561" i="6"/>
  <c r="G561" i="6"/>
  <c r="I560" i="6"/>
  <c r="G560" i="6"/>
  <c r="I559" i="6"/>
  <c r="G559" i="6"/>
  <c r="I558" i="6"/>
  <c r="G558" i="6"/>
  <c r="I557" i="6"/>
  <c r="G557" i="6"/>
  <c r="I556" i="6"/>
  <c r="G556" i="6"/>
  <c r="I555" i="6"/>
  <c r="G555" i="6"/>
  <c r="I554" i="6"/>
  <c r="G554" i="6"/>
  <c r="I553" i="6"/>
  <c r="G553" i="6"/>
  <c r="I552" i="6"/>
  <c r="G552" i="6"/>
  <c r="I551" i="6"/>
  <c r="G551" i="6"/>
  <c r="I550" i="6"/>
  <c r="G550" i="6"/>
  <c r="I549" i="6"/>
  <c r="G549" i="6"/>
  <c r="I548" i="6"/>
  <c r="G548" i="6"/>
  <c r="I547" i="6"/>
  <c r="G547" i="6"/>
  <c r="I546" i="6"/>
  <c r="G546" i="6"/>
  <c r="I545" i="6"/>
  <c r="G545" i="6"/>
  <c r="I544" i="6"/>
  <c r="G544" i="6"/>
  <c r="I543" i="6"/>
  <c r="G543" i="6"/>
  <c r="I542" i="6"/>
  <c r="G542" i="6"/>
  <c r="I541" i="6"/>
  <c r="G541" i="6"/>
  <c r="I540" i="6"/>
  <c r="G540" i="6"/>
  <c r="I539" i="6"/>
  <c r="G539" i="6"/>
  <c r="I538" i="6"/>
  <c r="G538" i="6"/>
  <c r="I537" i="6"/>
  <c r="G537" i="6"/>
  <c r="I536" i="6"/>
  <c r="G536" i="6"/>
  <c r="I535" i="6"/>
  <c r="G535" i="6"/>
  <c r="I534" i="6"/>
  <c r="G534" i="6"/>
  <c r="I533" i="6"/>
  <c r="G533" i="6"/>
  <c r="I532" i="6"/>
  <c r="G532" i="6"/>
  <c r="I531" i="6"/>
  <c r="G531" i="6"/>
  <c r="I530" i="6"/>
  <c r="G530" i="6"/>
  <c r="I529" i="6"/>
  <c r="G529" i="6"/>
  <c r="I528" i="6"/>
  <c r="G528" i="6"/>
  <c r="I527" i="6"/>
  <c r="G527" i="6"/>
  <c r="I526" i="6"/>
  <c r="G526" i="6"/>
  <c r="I525" i="6"/>
  <c r="G525" i="6"/>
  <c r="I524" i="6"/>
  <c r="G524" i="6"/>
  <c r="I523" i="6"/>
  <c r="G523" i="6"/>
  <c r="I522" i="6"/>
  <c r="G522" i="6"/>
  <c r="I521" i="6"/>
  <c r="G521" i="6"/>
  <c r="I520" i="6"/>
  <c r="G520" i="6"/>
  <c r="I519" i="6"/>
  <c r="G519" i="6"/>
  <c r="I518" i="6"/>
  <c r="G518" i="6"/>
  <c r="I517" i="6"/>
  <c r="G517" i="6"/>
  <c r="I516" i="6"/>
  <c r="G516" i="6"/>
  <c r="I515" i="6"/>
  <c r="G515" i="6"/>
  <c r="I514" i="6"/>
  <c r="G514" i="6"/>
  <c r="I513" i="6"/>
  <c r="G513" i="6"/>
  <c r="I512" i="6"/>
  <c r="G512" i="6"/>
  <c r="I511" i="6"/>
  <c r="G511" i="6"/>
  <c r="I510" i="6"/>
  <c r="G510" i="6"/>
  <c r="I509" i="6"/>
  <c r="G509" i="6"/>
  <c r="I508" i="6"/>
  <c r="G508" i="6"/>
  <c r="I507" i="6"/>
  <c r="G507" i="6"/>
  <c r="I506" i="6"/>
  <c r="G506" i="6"/>
  <c r="I505" i="6"/>
  <c r="G505" i="6"/>
  <c r="I504" i="6"/>
  <c r="G504" i="6"/>
  <c r="I503" i="6"/>
  <c r="G503" i="6"/>
  <c r="I502" i="6"/>
  <c r="G502" i="6"/>
  <c r="I501" i="6"/>
  <c r="G501" i="6"/>
  <c r="I500" i="6"/>
  <c r="G500" i="6"/>
  <c r="I499" i="6"/>
  <c r="G499" i="6"/>
  <c r="I498" i="6"/>
  <c r="G498" i="6"/>
  <c r="I497" i="6"/>
  <c r="G497" i="6"/>
  <c r="I496" i="6"/>
  <c r="G496" i="6"/>
  <c r="I495" i="6"/>
  <c r="G495" i="6"/>
  <c r="I494" i="6"/>
  <c r="G494" i="6"/>
  <c r="I493" i="6"/>
  <c r="G493" i="6"/>
  <c r="I492" i="6"/>
  <c r="G492" i="6"/>
  <c r="I491" i="6"/>
  <c r="G491" i="6"/>
  <c r="I490" i="6"/>
  <c r="G490" i="6"/>
  <c r="I489" i="6"/>
  <c r="G489" i="6"/>
  <c r="I488" i="6"/>
  <c r="G488" i="6"/>
  <c r="I487" i="6"/>
  <c r="G487" i="6"/>
  <c r="I486" i="6"/>
  <c r="G486" i="6"/>
  <c r="I485" i="6"/>
  <c r="G485" i="6"/>
  <c r="I484" i="6"/>
  <c r="G484" i="6"/>
  <c r="I483" i="6"/>
  <c r="G483" i="6"/>
  <c r="I482" i="6"/>
  <c r="G482" i="6"/>
  <c r="I481" i="6"/>
  <c r="G481" i="6"/>
  <c r="I480" i="6"/>
  <c r="G480" i="6"/>
  <c r="I479" i="6"/>
  <c r="G479" i="6"/>
  <c r="I478" i="6"/>
  <c r="G478" i="6"/>
  <c r="I477" i="6"/>
  <c r="G477" i="6"/>
  <c r="I476" i="6"/>
  <c r="G476" i="6"/>
  <c r="I475" i="6"/>
  <c r="G475" i="6"/>
  <c r="I474" i="6"/>
  <c r="G474" i="6"/>
  <c r="I473" i="6"/>
  <c r="G473" i="6"/>
  <c r="I472" i="6"/>
  <c r="G472" i="6"/>
  <c r="I471" i="6"/>
  <c r="G471" i="6"/>
  <c r="I470" i="6"/>
  <c r="G470" i="6"/>
  <c r="I469" i="6"/>
  <c r="G469" i="6"/>
  <c r="I468" i="6"/>
  <c r="G468" i="6"/>
  <c r="I467" i="6"/>
  <c r="G467" i="6"/>
  <c r="I466" i="6"/>
  <c r="G466" i="6"/>
  <c r="I465" i="6"/>
  <c r="G465" i="6"/>
  <c r="I464" i="6"/>
  <c r="G464" i="6"/>
  <c r="I463" i="6"/>
  <c r="G463" i="6"/>
  <c r="I462" i="6"/>
  <c r="G462" i="6"/>
  <c r="I461" i="6"/>
  <c r="G461" i="6"/>
  <c r="I460" i="6"/>
  <c r="G460" i="6"/>
  <c r="I459" i="6"/>
  <c r="G459" i="6"/>
  <c r="I458" i="6"/>
  <c r="G458" i="6"/>
  <c r="I457" i="6"/>
  <c r="G457" i="6"/>
  <c r="I456" i="6"/>
  <c r="G456" i="6"/>
  <c r="I455" i="6"/>
  <c r="G455" i="6"/>
  <c r="I454" i="6"/>
  <c r="G454" i="6"/>
  <c r="I453" i="6"/>
  <c r="G453" i="6"/>
  <c r="I452" i="6"/>
  <c r="G452" i="6"/>
  <c r="I451" i="6"/>
  <c r="G451" i="6"/>
  <c r="I450" i="6"/>
  <c r="G450" i="6"/>
  <c r="I449" i="6"/>
  <c r="G449" i="6"/>
  <c r="I448" i="6"/>
  <c r="G448" i="6"/>
  <c r="I447" i="6"/>
  <c r="G447" i="6"/>
  <c r="I446" i="6"/>
  <c r="G446" i="6"/>
  <c r="I445" i="6"/>
  <c r="G445" i="6"/>
  <c r="I444" i="6"/>
  <c r="G444" i="6"/>
  <c r="I443" i="6"/>
  <c r="G443" i="6"/>
  <c r="I442" i="6"/>
  <c r="G442" i="6"/>
  <c r="I441" i="6"/>
  <c r="G441" i="6"/>
  <c r="I440" i="6"/>
  <c r="G440" i="6"/>
  <c r="I439" i="6"/>
  <c r="G439" i="6"/>
  <c r="I438" i="6"/>
  <c r="G438" i="6"/>
  <c r="I437" i="6"/>
  <c r="G437" i="6"/>
  <c r="I436" i="6"/>
  <c r="G436" i="6"/>
  <c r="I435" i="6"/>
  <c r="G435" i="6"/>
  <c r="I434" i="6"/>
  <c r="G434" i="6"/>
  <c r="I433" i="6"/>
  <c r="G433" i="6"/>
  <c r="I432" i="6"/>
  <c r="G432" i="6"/>
  <c r="I431" i="6"/>
  <c r="G431" i="6"/>
  <c r="I430" i="6"/>
  <c r="G430" i="6"/>
  <c r="I429" i="6"/>
  <c r="G429" i="6"/>
  <c r="I428" i="6"/>
  <c r="G428" i="6"/>
  <c r="I427" i="6"/>
  <c r="G427" i="6"/>
  <c r="I426" i="6"/>
  <c r="G426" i="6"/>
  <c r="I425" i="6"/>
  <c r="G425" i="6"/>
  <c r="I424" i="6"/>
  <c r="G424" i="6"/>
  <c r="I423" i="6"/>
  <c r="G423" i="6"/>
  <c r="I422" i="6"/>
  <c r="G422" i="6"/>
  <c r="I421" i="6"/>
  <c r="G421" i="6"/>
  <c r="I420" i="6"/>
  <c r="G420" i="6"/>
  <c r="I419" i="6"/>
  <c r="G419" i="6"/>
  <c r="I418" i="6"/>
  <c r="G418" i="6"/>
  <c r="I417" i="6"/>
  <c r="G417" i="6"/>
  <c r="I416" i="6"/>
  <c r="G416" i="6"/>
  <c r="I415" i="6"/>
  <c r="G415" i="6"/>
  <c r="I414" i="6"/>
  <c r="G414" i="6"/>
  <c r="I413" i="6"/>
  <c r="G413" i="6"/>
  <c r="I412" i="6"/>
  <c r="G412" i="6"/>
  <c r="I411" i="6"/>
  <c r="G411" i="6"/>
  <c r="I410" i="6"/>
  <c r="G410" i="6"/>
  <c r="I409" i="6"/>
  <c r="G409" i="6"/>
  <c r="I408" i="6"/>
  <c r="G408" i="6"/>
  <c r="I407" i="6"/>
  <c r="G407" i="6"/>
  <c r="I406" i="6"/>
  <c r="G406" i="6"/>
  <c r="I405" i="6"/>
  <c r="G405" i="6"/>
  <c r="I404" i="6"/>
  <c r="G404" i="6"/>
  <c r="I403" i="6"/>
  <c r="G403" i="6"/>
  <c r="I402" i="6"/>
  <c r="G402" i="6"/>
  <c r="I401" i="6"/>
  <c r="G401" i="6"/>
  <c r="I400" i="6"/>
  <c r="G400" i="6"/>
  <c r="I399" i="6"/>
  <c r="G399" i="6"/>
  <c r="I398" i="6"/>
  <c r="G398" i="6"/>
  <c r="I397" i="6"/>
  <c r="G397" i="6"/>
  <c r="I396" i="6"/>
  <c r="G396" i="6"/>
  <c r="I395" i="6"/>
  <c r="G395" i="6"/>
  <c r="I394" i="6"/>
  <c r="G394" i="6"/>
  <c r="I393" i="6"/>
  <c r="G393" i="6"/>
  <c r="I392" i="6"/>
  <c r="G392" i="6"/>
  <c r="I391" i="6"/>
  <c r="G391" i="6"/>
  <c r="I390" i="6"/>
  <c r="G390" i="6"/>
  <c r="I389" i="6"/>
  <c r="G389" i="6"/>
  <c r="I388" i="6"/>
  <c r="G388" i="6"/>
  <c r="I387" i="6"/>
  <c r="G387" i="6"/>
  <c r="I386" i="6"/>
  <c r="G386" i="6"/>
  <c r="I385" i="6"/>
  <c r="G385" i="6"/>
  <c r="I384" i="6"/>
  <c r="G384" i="6"/>
  <c r="I383" i="6"/>
  <c r="G383" i="6"/>
  <c r="I382" i="6"/>
  <c r="G382" i="6"/>
  <c r="I381" i="6"/>
  <c r="G381" i="6"/>
  <c r="I380" i="6"/>
  <c r="G380" i="6"/>
  <c r="I379" i="6"/>
  <c r="G379" i="6"/>
  <c r="I378" i="6"/>
  <c r="G378" i="6"/>
  <c r="I377" i="6"/>
  <c r="G377" i="6"/>
  <c r="I376" i="6"/>
  <c r="G376" i="6"/>
  <c r="I375" i="6"/>
  <c r="G375" i="6"/>
  <c r="I374" i="6"/>
  <c r="G374" i="6"/>
  <c r="I373" i="6"/>
  <c r="G373" i="6"/>
  <c r="I372" i="6"/>
  <c r="G372" i="6"/>
  <c r="I371" i="6"/>
  <c r="G371" i="6"/>
  <c r="I370" i="6"/>
  <c r="G370" i="6"/>
  <c r="I369" i="6"/>
  <c r="G369" i="6"/>
  <c r="I368" i="6"/>
  <c r="G368" i="6"/>
  <c r="I367" i="6"/>
  <c r="G367" i="6"/>
  <c r="I366" i="6"/>
  <c r="G366" i="6"/>
  <c r="I365" i="6"/>
  <c r="G365" i="6"/>
  <c r="I364" i="6"/>
  <c r="G364" i="6"/>
  <c r="I363" i="6"/>
  <c r="G363" i="6"/>
  <c r="I362" i="6"/>
  <c r="G362" i="6"/>
  <c r="I361" i="6"/>
  <c r="G361" i="6"/>
  <c r="I360" i="6"/>
  <c r="G360" i="6"/>
  <c r="I359" i="6"/>
  <c r="G359" i="6"/>
  <c r="I358" i="6"/>
  <c r="G358" i="6"/>
  <c r="I357" i="6"/>
  <c r="G357" i="6"/>
  <c r="I356" i="6"/>
  <c r="G356" i="6"/>
  <c r="I355" i="6"/>
  <c r="G355" i="6"/>
  <c r="I354" i="6"/>
  <c r="G354" i="6"/>
  <c r="I353" i="6"/>
  <c r="G353" i="6"/>
  <c r="I352" i="6"/>
  <c r="G352" i="6"/>
  <c r="I351" i="6"/>
  <c r="G351" i="6"/>
  <c r="I350" i="6"/>
  <c r="G350" i="6"/>
  <c r="I349" i="6"/>
  <c r="G349" i="6"/>
  <c r="I348" i="6"/>
  <c r="G348" i="6"/>
  <c r="I347" i="6"/>
  <c r="G347" i="6"/>
  <c r="I346" i="6"/>
  <c r="G346" i="6"/>
  <c r="I345" i="6"/>
  <c r="G345" i="6"/>
  <c r="I344" i="6"/>
  <c r="G344" i="6"/>
  <c r="I343" i="6"/>
  <c r="G343" i="6"/>
  <c r="I342" i="6"/>
  <c r="G342" i="6"/>
  <c r="I341" i="6"/>
  <c r="G341" i="6"/>
  <c r="I340" i="6"/>
  <c r="G340" i="6"/>
  <c r="I339" i="6"/>
  <c r="G339" i="6"/>
  <c r="I338" i="6"/>
  <c r="G338" i="6"/>
  <c r="I337" i="6"/>
  <c r="G337" i="6"/>
  <c r="I336" i="6"/>
  <c r="G336" i="6"/>
  <c r="I335" i="6"/>
  <c r="G335" i="6"/>
  <c r="I334" i="6"/>
  <c r="G334" i="6"/>
  <c r="I333" i="6"/>
  <c r="G333" i="6"/>
  <c r="I332" i="6"/>
  <c r="G332" i="6"/>
  <c r="I331" i="6"/>
  <c r="G331" i="6"/>
  <c r="I330" i="6"/>
  <c r="G330" i="6"/>
  <c r="I329" i="6"/>
  <c r="G329" i="6"/>
  <c r="I328" i="6"/>
  <c r="G328" i="6"/>
  <c r="I327" i="6"/>
  <c r="G327" i="6"/>
  <c r="I326" i="6"/>
  <c r="G326" i="6"/>
  <c r="I325" i="6"/>
  <c r="G325" i="6"/>
  <c r="I324" i="6"/>
  <c r="G324" i="6"/>
  <c r="I323" i="6"/>
  <c r="G323" i="6"/>
  <c r="I322" i="6"/>
  <c r="G322" i="6"/>
  <c r="I321" i="6"/>
  <c r="G321" i="6"/>
  <c r="I320" i="6"/>
  <c r="G320" i="6"/>
  <c r="I319" i="6"/>
  <c r="G319" i="6"/>
  <c r="I318" i="6"/>
  <c r="G318" i="6"/>
  <c r="I317" i="6"/>
  <c r="G317" i="6"/>
  <c r="I316" i="6"/>
  <c r="G316" i="6"/>
  <c r="I315" i="6"/>
  <c r="G315" i="6"/>
  <c r="I314" i="6"/>
  <c r="G314" i="6"/>
  <c r="I313" i="6"/>
  <c r="G313" i="6"/>
  <c r="I312" i="6"/>
  <c r="G312" i="6"/>
  <c r="I311" i="6"/>
  <c r="G311" i="6"/>
  <c r="I310" i="6"/>
  <c r="G310" i="6"/>
  <c r="I309" i="6"/>
  <c r="G309" i="6"/>
  <c r="I308" i="6"/>
  <c r="G308" i="6"/>
  <c r="I307" i="6"/>
  <c r="G307" i="6"/>
  <c r="I306" i="6"/>
  <c r="G306" i="6"/>
  <c r="I305" i="6"/>
  <c r="G305" i="6"/>
  <c r="I304" i="6"/>
  <c r="G304" i="6"/>
  <c r="I303" i="6"/>
  <c r="G303" i="6"/>
  <c r="I302" i="6"/>
  <c r="G302" i="6"/>
  <c r="I301" i="6"/>
  <c r="G301" i="6"/>
  <c r="I300" i="6"/>
  <c r="G300" i="6"/>
  <c r="I299" i="6"/>
  <c r="G299" i="6"/>
  <c r="I298" i="6"/>
  <c r="G298" i="6"/>
  <c r="I297" i="6"/>
  <c r="G297" i="6"/>
  <c r="I296" i="6"/>
  <c r="G296" i="6"/>
  <c r="I295" i="6"/>
  <c r="G295" i="6"/>
  <c r="I294" i="6"/>
  <c r="G294" i="6"/>
  <c r="I293" i="6"/>
  <c r="G293" i="6"/>
  <c r="I292" i="6"/>
  <c r="G292" i="6"/>
  <c r="I291" i="6"/>
  <c r="G291" i="6"/>
  <c r="I290" i="6"/>
  <c r="G290" i="6"/>
  <c r="I289" i="6"/>
  <c r="G289" i="6"/>
  <c r="I288" i="6"/>
  <c r="G288" i="6"/>
  <c r="I287" i="6"/>
  <c r="G287" i="6"/>
  <c r="I286" i="6"/>
  <c r="G286" i="6"/>
  <c r="I285" i="6"/>
  <c r="G285" i="6"/>
  <c r="I284" i="6"/>
  <c r="G284" i="6"/>
  <c r="I283" i="6"/>
  <c r="G283" i="6"/>
  <c r="I282" i="6"/>
  <c r="G282" i="6"/>
  <c r="I281" i="6"/>
  <c r="G281" i="6"/>
  <c r="I280" i="6"/>
  <c r="G280" i="6"/>
  <c r="I279" i="6"/>
  <c r="G279" i="6"/>
  <c r="I278" i="6"/>
  <c r="G278" i="6"/>
  <c r="I277" i="6"/>
  <c r="G277" i="6"/>
  <c r="I276" i="6"/>
  <c r="G276" i="6"/>
  <c r="I275" i="6"/>
  <c r="G275" i="6"/>
  <c r="I274" i="6"/>
  <c r="G274" i="6"/>
  <c r="I273" i="6"/>
  <c r="G273" i="6"/>
  <c r="I272" i="6"/>
  <c r="G272" i="6"/>
  <c r="I271" i="6"/>
  <c r="G271" i="6"/>
  <c r="I270" i="6"/>
  <c r="G270" i="6"/>
  <c r="I269" i="6"/>
  <c r="G269" i="6"/>
  <c r="I268" i="6"/>
  <c r="G268" i="6"/>
  <c r="I267" i="6"/>
  <c r="G267" i="6"/>
  <c r="I266" i="6"/>
  <c r="G266" i="6"/>
  <c r="I265" i="6"/>
  <c r="G265" i="6"/>
  <c r="I264" i="6"/>
  <c r="G264" i="6"/>
  <c r="I263" i="6"/>
  <c r="G263" i="6"/>
  <c r="I262" i="6"/>
  <c r="G262" i="6"/>
  <c r="I261" i="6"/>
  <c r="G261" i="6"/>
  <c r="I260" i="6"/>
  <c r="G260" i="6"/>
  <c r="I259" i="6"/>
  <c r="G259" i="6"/>
  <c r="I258" i="6"/>
  <c r="G258" i="6"/>
  <c r="I257" i="6"/>
  <c r="G257" i="6"/>
  <c r="I256" i="6"/>
  <c r="G256" i="6"/>
  <c r="I255" i="6"/>
  <c r="G255" i="6"/>
  <c r="I254" i="6"/>
  <c r="G254" i="6"/>
  <c r="I253" i="6"/>
  <c r="G253" i="6"/>
  <c r="I252" i="6"/>
  <c r="G252" i="6"/>
  <c r="I251" i="6"/>
  <c r="G251" i="6"/>
  <c r="I250" i="6"/>
  <c r="G250" i="6"/>
  <c r="I249" i="6"/>
  <c r="G249" i="6"/>
  <c r="I248" i="6"/>
  <c r="G248" i="6"/>
  <c r="I247" i="6"/>
  <c r="G247" i="6"/>
  <c r="I246" i="6"/>
  <c r="G246" i="6"/>
  <c r="I245" i="6"/>
  <c r="G245" i="6"/>
  <c r="I244" i="6"/>
  <c r="G244" i="6"/>
  <c r="I243" i="6"/>
  <c r="G243" i="6"/>
  <c r="I242" i="6"/>
  <c r="G242" i="6"/>
  <c r="I241" i="6"/>
  <c r="G241" i="6"/>
  <c r="I240" i="6"/>
  <c r="G240" i="6"/>
  <c r="I239" i="6"/>
  <c r="G239" i="6"/>
  <c r="I238" i="6"/>
  <c r="G238" i="6"/>
  <c r="I237" i="6"/>
  <c r="G237" i="6"/>
  <c r="I236" i="6"/>
  <c r="G236" i="6"/>
  <c r="I235" i="6"/>
  <c r="G235" i="6"/>
  <c r="I234" i="6"/>
  <c r="G234" i="6"/>
  <c r="I233" i="6"/>
  <c r="G233" i="6"/>
  <c r="I232" i="6"/>
  <c r="G232" i="6"/>
  <c r="I231" i="6"/>
  <c r="G231" i="6"/>
  <c r="I230" i="6"/>
  <c r="G230" i="6"/>
  <c r="I229" i="6"/>
  <c r="G229" i="6"/>
  <c r="I228" i="6"/>
  <c r="G228" i="6"/>
  <c r="I227" i="6"/>
  <c r="G227" i="6"/>
  <c r="I226" i="6"/>
  <c r="G226" i="6"/>
  <c r="I225" i="6"/>
  <c r="G225" i="6"/>
  <c r="I224" i="6"/>
  <c r="G224" i="6"/>
  <c r="I223" i="6"/>
  <c r="G223" i="6"/>
  <c r="I222" i="6"/>
  <c r="G222" i="6"/>
  <c r="I221" i="6"/>
  <c r="G221" i="6"/>
  <c r="I220" i="6"/>
  <c r="G220" i="6"/>
  <c r="I219" i="6"/>
  <c r="G219" i="6"/>
  <c r="I218" i="6"/>
  <c r="G218" i="6"/>
  <c r="I217" i="6"/>
  <c r="G217" i="6"/>
  <c r="I216" i="6"/>
  <c r="G216" i="6"/>
  <c r="I215" i="6"/>
  <c r="G215" i="6"/>
  <c r="I214" i="6"/>
  <c r="G214" i="6"/>
  <c r="I213" i="6"/>
  <c r="G213" i="6"/>
  <c r="I212" i="6"/>
  <c r="G212" i="6"/>
  <c r="I211" i="6"/>
  <c r="G211" i="6"/>
  <c r="I210" i="6"/>
  <c r="G210" i="6"/>
  <c r="I209" i="6"/>
  <c r="G209" i="6"/>
  <c r="I208" i="6"/>
  <c r="G208" i="6"/>
  <c r="I207" i="6"/>
  <c r="G207" i="6"/>
  <c r="I206" i="6"/>
  <c r="G206" i="6"/>
  <c r="I205" i="6"/>
  <c r="G205" i="6"/>
  <c r="I204" i="6"/>
  <c r="G204" i="6"/>
  <c r="I203" i="6"/>
  <c r="G203" i="6"/>
  <c r="I202" i="6"/>
  <c r="G202" i="6"/>
  <c r="I201" i="6"/>
  <c r="G201" i="6"/>
  <c r="I200" i="6"/>
  <c r="G200" i="6"/>
  <c r="I199" i="6"/>
  <c r="G199" i="6"/>
  <c r="I198" i="6"/>
  <c r="G198" i="6"/>
  <c r="I197" i="6"/>
  <c r="G197" i="6"/>
  <c r="I196" i="6"/>
  <c r="G196" i="6"/>
  <c r="I195" i="6"/>
  <c r="G195" i="6"/>
  <c r="I194" i="6"/>
  <c r="G194" i="6"/>
  <c r="I193" i="6"/>
  <c r="G193" i="6"/>
  <c r="I192" i="6"/>
  <c r="G192" i="6"/>
  <c r="I191" i="6"/>
  <c r="G191" i="6"/>
  <c r="I190" i="6"/>
  <c r="G190" i="6"/>
  <c r="I189" i="6"/>
  <c r="G189" i="6"/>
  <c r="I188" i="6"/>
  <c r="G188" i="6"/>
  <c r="I187" i="6"/>
  <c r="G187" i="6"/>
  <c r="I186" i="6"/>
  <c r="G186" i="6"/>
  <c r="I185" i="6"/>
  <c r="G185" i="6"/>
  <c r="I184" i="6"/>
  <c r="G184" i="6"/>
  <c r="I183" i="6"/>
  <c r="G183" i="6"/>
  <c r="I182" i="6"/>
  <c r="G182" i="6"/>
  <c r="I181" i="6"/>
  <c r="G181" i="6"/>
  <c r="I180" i="6"/>
  <c r="G180" i="6"/>
  <c r="I179" i="6"/>
  <c r="G179" i="6"/>
  <c r="I178" i="6"/>
  <c r="G178" i="6"/>
  <c r="I177" i="6"/>
  <c r="G177" i="6"/>
  <c r="I176" i="6"/>
  <c r="G176" i="6"/>
  <c r="I175" i="6"/>
  <c r="G175" i="6"/>
  <c r="I174" i="6"/>
  <c r="G174" i="6"/>
  <c r="I173" i="6"/>
  <c r="G173" i="6"/>
  <c r="I172" i="6"/>
  <c r="G172" i="6"/>
  <c r="I171" i="6"/>
  <c r="G171" i="6"/>
  <c r="I170" i="6"/>
  <c r="G170" i="6"/>
  <c r="I169" i="6"/>
  <c r="G169" i="6"/>
  <c r="I168" i="6"/>
  <c r="G168" i="6"/>
  <c r="I167" i="6"/>
  <c r="G167" i="6"/>
  <c r="I166" i="6"/>
  <c r="G166" i="6"/>
  <c r="I165" i="6"/>
  <c r="G165" i="6"/>
  <c r="I164" i="6"/>
  <c r="G164" i="6"/>
  <c r="I163" i="6"/>
  <c r="G163" i="6"/>
  <c r="I162" i="6"/>
  <c r="G162" i="6"/>
  <c r="I161" i="6"/>
  <c r="G161" i="6"/>
  <c r="I160" i="6"/>
  <c r="G160" i="6"/>
  <c r="I159" i="6"/>
  <c r="G159" i="6"/>
  <c r="I158" i="6"/>
  <c r="G158" i="6"/>
  <c r="I157" i="6"/>
  <c r="G157" i="6"/>
  <c r="I156" i="6"/>
  <c r="G156" i="6"/>
  <c r="I155" i="6"/>
  <c r="G155" i="6"/>
  <c r="I154" i="6"/>
  <c r="G154" i="6"/>
  <c r="I153" i="6"/>
  <c r="G153" i="6"/>
  <c r="I152" i="6"/>
  <c r="G152" i="6"/>
  <c r="I151" i="6"/>
  <c r="G151" i="6"/>
  <c r="I150" i="6"/>
  <c r="G150" i="6"/>
  <c r="I149" i="6"/>
  <c r="G149" i="6"/>
  <c r="I148" i="6"/>
  <c r="G148" i="6"/>
  <c r="I147" i="6"/>
  <c r="G147" i="6"/>
  <c r="I146" i="6"/>
  <c r="G146" i="6"/>
  <c r="I145" i="6"/>
  <c r="G145" i="6"/>
  <c r="I144" i="6"/>
  <c r="G144" i="6"/>
  <c r="I143" i="6"/>
  <c r="G143" i="6"/>
  <c r="I142" i="6"/>
  <c r="G142" i="6"/>
  <c r="I141" i="6"/>
  <c r="G141" i="6"/>
  <c r="I140" i="6"/>
  <c r="G140" i="6"/>
  <c r="I139" i="6"/>
  <c r="G139" i="6"/>
  <c r="I138" i="6"/>
  <c r="G138" i="6"/>
  <c r="I137" i="6"/>
  <c r="G137" i="6"/>
  <c r="I136" i="6"/>
  <c r="G136" i="6"/>
  <c r="I135" i="6"/>
  <c r="G135" i="6"/>
  <c r="I134" i="6"/>
  <c r="G134" i="6"/>
  <c r="I133" i="6"/>
  <c r="G133" i="6"/>
  <c r="I132" i="6"/>
  <c r="G132" i="6"/>
  <c r="I131" i="6"/>
  <c r="G131" i="6"/>
  <c r="I130" i="6"/>
  <c r="G130" i="6"/>
  <c r="I129" i="6"/>
  <c r="G129" i="6"/>
  <c r="I128" i="6"/>
  <c r="G128" i="6"/>
  <c r="I127" i="6"/>
  <c r="G127" i="6"/>
  <c r="I126" i="6"/>
  <c r="G126" i="6"/>
  <c r="I125" i="6"/>
  <c r="G125" i="6"/>
  <c r="I124" i="6"/>
  <c r="G124" i="6"/>
  <c r="I123" i="6"/>
  <c r="G123" i="6"/>
  <c r="I122" i="6"/>
  <c r="G122" i="6"/>
  <c r="I121" i="6"/>
  <c r="G121" i="6"/>
  <c r="I120" i="6"/>
  <c r="G120" i="6"/>
  <c r="I119" i="6"/>
  <c r="G119" i="6"/>
  <c r="I118" i="6"/>
  <c r="G118" i="6"/>
  <c r="I117" i="6"/>
  <c r="G117" i="6"/>
  <c r="I116" i="6"/>
  <c r="G116" i="6"/>
  <c r="I115" i="6"/>
  <c r="G115" i="6"/>
  <c r="I114" i="6"/>
  <c r="G114" i="6"/>
  <c r="I113" i="6"/>
  <c r="G113" i="6"/>
  <c r="I112" i="6"/>
  <c r="G112" i="6"/>
  <c r="I111" i="6"/>
  <c r="G111" i="6"/>
  <c r="I110" i="6"/>
  <c r="G110" i="6"/>
  <c r="I109" i="6"/>
  <c r="G109" i="6"/>
  <c r="I108" i="6"/>
  <c r="G108" i="6"/>
  <c r="I107" i="6"/>
  <c r="G107" i="6"/>
  <c r="I106" i="6"/>
  <c r="G106" i="6"/>
  <c r="I105" i="6"/>
  <c r="G105" i="6"/>
  <c r="I104" i="6"/>
  <c r="G104" i="6"/>
  <c r="I103" i="6"/>
  <c r="G103" i="6"/>
  <c r="I102" i="6"/>
  <c r="G102" i="6"/>
  <c r="I101" i="6"/>
  <c r="G101" i="6"/>
  <c r="I100" i="6"/>
  <c r="G100" i="6"/>
  <c r="I99" i="6"/>
  <c r="G99" i="6"/>
  <c r="I98" i="6"/>
  <c r="G98" i="6"/>
  <c r="I97" i="6"/>
  <c r="G97" i="6"/>
  <c r="I96" i="6"/>
  <c r="G96" i="6"/>
  <c r="I95" i="6"/>
  <c r="G95" i="6"/>
  <c r="I94" i="6"/>
  <c r="G94" i="6"/>
  <c r="I93" i="6"/>
  <c r="G93" i="6"/>
  <c r="I92" i="6"/>
  <c r="G92" i="6"/>
  <c r="I91" i="6"/>
  <c r="G91" i="6"/>
  <c r="I90" i="6"/>
  <c r="G90" i="6"/>
  <c r="I89" i="6"/>
  <c r="G89" i="6"/>
  <c r="I88" i="6"/>
  <c r="G88" i="6"/>
  <c r="I87" i="6"/>
  <c r="G87" i="6"/>
  <c r="I86" i="6"/>
  <c r="G86" i="6"/>
  <c r="I85" i="6"/>
  <c r="G85" i="6"/>
  <c r="I84" i="6"/>
  <c r="G84" i="6"/>
  <c r="I83" i="6"/>
  <c r="G83" i="6"/>
  <c r="I82" i="6"/>
  <c r="G82" i="6"/>
  <c r="I81" i="6"/>
  <c r="G81" i="6"/>
  <c r="I80" i="6"/>
  <c r="G80" i="6"/>
  <c r="I79" i="6"/>
  <c r="G79" i="6"/>
  <c r="I78" i="6"/>
  <c r="G78" i="6"/>
  <c r="I77" i="6"/>
  <c r="G77" i="6"/>
  <c r="I76" i="6"/>
  <c r="G76" i="6"/>
  <c r="I75" i="6"/>
  <c r="G75" i="6"/>
  <c r="I74" i="6"/>
  <c r="G74" i="6"/>
  <c r="I73" i="6"/>
  <c r="G73" i="6"/>
  <c r="I72" i="6"/>
  <c r="G72" i="6"/>
  <c r="I71" i="6"/>
  <c r="G71" i="6"/>
  <c r="I70" i="6"/>
  <c r="G70" i="6"/>
  <c r="I69" i="6"/>
  <c r="G69" i="6"/>
  <c r="I68" i="6"/>
  <c r="G68" i="6"/>
  <c r="I67" i="6"/>
  <c r="G67" i="6"/>
  <c r="I66" i="6"/>
  <c r="G66" i="6"/>
  <c r="I65" i="6"/>
  <c r="G65" i="6"/>
  <c r="I64" i="6"/>
  <c r="G64" i="6"/>
  <c r="I63" i="6"/>
  <c r="G63" i="6"/>
  <c r="I62" i="6"/>
  <c r="G62" i="6"/>
  <c r="I61" i="6"/>
  <c r="G61" i="6"/>
  <c r="I60" i="6"/>
  <c r="G60" i="6"/>
  <c r="I59" i="6"/>
  <c r="G59" i="6"/>
  <c r="I58" i="6"/>
  <c r="G58" i="6"/>
  <c r="I57" i="6"/>
  <c r="G57" i="6"/>
  <c r="I56" i="6"/>
  <c r="G56" i="6"/>
  <c r="I55" i="6"/>
  <c r="G55" i="6"/>
  <c r="I54" i="6"/>
  <c r="G54" i="6"/>
  <c r="I53" i="6"/>
  <c r="G53" i="6"/>
  <c r="I52" i="6"/>
  <c r="G52" i="6"/>
  <c r="I51" i="6"/>
  <c r="G51" i="6"/>
  <c r="I50" i="6"/>
  <c r="G50" i="6"/>
  <c r="I49" i="6"/>
  <c r="G49" i="6"/>
  <c r="I48" i="6"/>
  <c r="G48" i="6"/>
  <c r="I47" i="6"/>
  <c r="G47" i="6"/>
  <c r="I46" i="6"/>
  <c r="G46" i="6"/>
  <c r="G1633" i="6" s="1"/>
  <c r="D43" i="6"/>
  <c r="E9" i="6"/>
  <c r="D6" i="6"/>
  <c r="C6" i="6"/>
  <c r="C19" i="5"/>
  <c r="C18" i="5"/>
  <c r="D11" i="5"/>
  <c r="D5" i="5"/>
  <c r="E5" i="5" s="1"/>
  <c r="F5" i="5" s="1"/>
  <c r="G5" i="5" s="1"/>
  <c r="H5" i="5" s="1"/>
  <c r="F31" i="4"/>
  <c r="D18" i="5" s="1"/>
  <c r="D19" i="5" s="1"/>
  <c r="E31" i="4"/>
  <c r="D10" i="5" s="1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E493" i="3" s="1"/>
  <c r="H492" i="3"/>
  <c r="H491" i="3"/>
  <c r="H490" i="3"/>
  <c r="H489" i="3"/>
  <c r="H488" i="3"/>
  <c r="H487" i="3"/>
  <c r="H486" i="3"/>
  <c r="H485" i="3"/>
  <c r="H484" i="3"/>
  <c r="H483" i="3"/>
  <c r="H482" i="3"/>
  <c r="H481" i="3"/>
  <c r="E481" i="3" s="1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I397" i="3"/>
  <c r="H397" i="3"/>
  <c r="E397" i="3" s="1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E367" i="3" s="1"/>
  <c r="H366" i="3"/>
  <c r="H365" i="3"/>
  <c r="H364" i="3"/>
  <c r="H363" i="3"/>
  <c r="H362" i="3"/>
  <c r="H361" i="3"/>
  <c r="E361" i="3" s="1"/>
  <c r="H360" i="3"/>
  <c r="H359" i="3"/>
  <c r="H358" i="3"/>
  <c r="H357" i="3"/>
  <c r="H356" i="3"/>
  <c r="H355" i="3"/>
  <c r="H354" i="3"/>
  <c r="E354" i="3" s="1"/>
  <c r="H353" i="3"/>
  <c r="H352" i="3"/>
  <c r="H351" i="3"/>
  <c r="H350" i="3"/>
  <c r="I350" i="3" s="1"/>
  <c r="E350" i="3"/>
  <c r="H349" i="3"/>
  <c r="H348" i="3"/>
  <c r="H347" i="3"/>
  <c r="H346" i="3"/>
  <c r="H345" i="3"/>
  <c r="H344" i="3"/>
  <c r="H343" i="3"/>
  <c r="H342" i="3"/>
  <c r="E342" i="3" s="1"/>
  <c r="H341" i="3"/>
  <c r="H340" i="3"/>
  <c r="H339" i="3"/>
  <c r="H338" i="3"/>
  <c r="H337" i="3"/>
  <c r="H336" i="3"/>
  <c r="H335" i="3"/>
  <c r="H334" i="3"/>
  <c r="H333" i="3"/>
  <c r="H332" i="3"/>
  <c r="I332" i="3" s="1"/>
  <c r="E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I305" i="3" s="1"/>
  <c r="E305" i="3"/>
  <c r="H304" i="3"/>
  <c r="H303" i="3"/>
  <c r="H302" i="3"/>
  <c r="H301" i="3"/>
  <c r="H300" i="3"/>
  <c r="H299" i="3"/>
  <c r="H298" i="3"/>
  <c r="H297" i="3"/>
  <c r="H296" i="3"/>
  <c r="H295" i="3"/>
  <c r="E295" i="3" s="1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I254" i="3" s="1"/>
  <c r="H253" i="3"/>
  <c r="H252" i="3"/>
  <c r="H251" i="3"/>
  <c r="H250" i="3"/>
  <c r="H249" i="3"/>
  <c r="I249" i="3" s="1"/>
  <c r="H248" i="3"/>
  <c r="H247" i="3"/>
  <c r="H246" i="3"/>
  <c r="I246" i="3" s="1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I231" i="3" s="1"/>
  <c r="E231" i="3"/>
  <c r="H230" i="3"/>
  <c r="H229" i="3"/>
  <c r="H228" i="3"/>
  <c r="H227" i="3"/>
  <c r="H226" i="3"/>
  <c r="H225" i="3"/>
  <c r="H224" i="3"/>
  <c r="I224" i="3" s="1"/>
  <c r="H223" i="3"/>
  <c r="H222" i="3"/>
  <c r="H221" i="3"/>
  <c r="H220" i="3"/>
  <c r="H219" i="3"/>
  <c r="H218" i="3"/>
  <c r="H217" i="3"/>
  <c r="I217" i="3" s="1"/>
  <c r="E217" i="3"/>
  <c r="H216" i="3"/>
  <c r="H215" i="3"/>
  <c r="H214" i="3"/>
  <c r="H213" i="3"/>
  <c r="H212" i="3"/>
  <c r="I212" i="3" s="1"/>
  <c r="H211" i="3"/>
  <c r="H210" i="3"/>
  <c r="E210" i="3" s="1"/>
  <c r="H209" i="3"/>
  <c r="H208" i="3"/>
  <c r="I208" i="3" s="1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I192" i="3" s="1"/>
  <c r="H191" i="3"/>
  <c r="H190" i="3"/>
  <c r="H189" i="3"/>
  <c r="H188" i="3"/>
  <c r="I188" i="3" s="1"/>
  <c r="H187" i="3"/>
  <c r="H186" i="3"/>
  <c r="H185" i="3"/>
  <c r="H184" i="3"/>
  <c r="H183" i="3"/>
  <c r="H182" i="3"/>
  <c r="I181" i="3"/>
  <c r="H181" i="3"/>
  <c r="E181" i="3"/>
  <c r="H180" i="3"/>
  <c r="H179" i="3"/>
  <c r="H178" i="3"/>
  <c r="H177" i="3"/>
  <c r="H176" i="3"/>
  <c r="H175" i="3"/>
  <c r="H174" i="3"/>
  <c r="H173" i="3"/>
  <c r="I173" i="3" s="1"/>
  <c r="E173" i="3"/>
  <c r="H172" i="3"/>
  <c r="H171" i="3"/>
  <c r="H170" i="3"/>
  <c r="H169" i="3"/>
  <c r="H168" i="3"/>
  <c r="H167" i="3"/>
  <c r="H166" i="3"/>
  <c r="H165" i="3"/>
  <c r="H164" i="3"/>
  <c r="H163" i="3"/>
  <c r="H162" i="3"/>
  <c r="E162" i="3" s="1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I129" i="3"/>
  <c r="H129" i="3"/>
  <c r="E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I79" i="3"/>
  <c r="H79" i="3"/>
  <c r="E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I61" i="3"/>
  <c r="H61" i="3"/>
  <c r="E61" i="3"/>
  <c r="H60" i="3"/>
  <c r="H59" i="3"/>
  <c r="H58" i="3"/>
  <c r="H57" i="3"/>
  <c r="I57" i="3" s="1"/>
  <c r="E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I29" i="3"/>
  <c r="H29" i="3"/>
  <c r="E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E454" i="2" s="1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I351" i="2"/>
  <c r="H351" i="2"/>
  <c r="E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E290" i="2" s="1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E200" i="2" s="1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I112" i="2" s="1"/>
  <c r="E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I34" i="2" s="1"/>
  <c r="E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I12" i="2" s="1"/>
  <c r="E12" i="2"/>
  <c r="C114" i="1"/>
  <c r="B93" i="1"/>
  <c r="B140" i="1" s="1"/>
  <c r="B92" i="1"/>
  <c r="B139" i="1" s="1"/>
  <c r="B91" i="1"/>
  <c r="B138" i="1" s="1"/>
  <c r="B90" i="1"/>
  <c r="B137" i="1" s="1"/>
  <c r="B89" i="1"/>
  <c r="B136" i="1" s="1"/>
  <c r="B88" i="1"/>
  <c r="B135" i="1" s="1"/>
  <c r="B87" i="1"/>
  <c r="B134" i="1" s="1"/>
  <c r="B86" i="1"/>
  <c r="B133" i="1" s="1"/>
  <c r="B85" i="1"/>
  <c r="B132" i="1" s="1"/>
  <c r="B84" i="1"/>
  <c r="B131" i="1" s="1"/>
  <c r="B83" i="1"/>
  <c r="B130" i="1" s="1"/>
  <c r="K77" i="1"/>
  <c r="K124" i="1" s="1"/>
  <c r="J77" i="1"/>
  <c r="J124" i="1" s="1"/>
  <c r="I77" i="1"/>
  <c r="E77" i="1"/>
  <c r="E124" i="1" s="1"/>
  <c r="G124" i="1" s="1"/>
  <c r="C77" i="1"/>
  <c r="C124" i="1" s="1"/>
  <c r="B77" i="1"/>
  <c r="B124" i="1" s="1"/>
  <c r="K76" i="1"/>
  <c r="K123" i="1" s="1"/>
  <c r="J76" i="1"/>
  <c r="J123" i="1" s="1"/>
  <c r="I76" i="1"/>
  <c r="E76" i="1"/>
  <c r="E123" i="1" s="1"/>
  <c r="G123" i="1" s="1"/>
  <c r="C76" i="1"/>
  <c r="C123" i="1" s="1"/>
  <c r="B76" i="1"/>
  <c r="B123" i="1" s="1"/>
  <c r="K75" i="1"/>
  <c r="K122" i="1" s="1"/>
  <c r="J75" i="1"/>
  <c r="J122" i="1" s="1"/>
  <c r="I75" i="1"/>
  <c r="E75" i="1"/>
  <c r="E122" i="1" s="1"/>
  <c r="G122" i="1" s="1"/>
  <c r="C75" i="1"/>
  <c r="C122" i="1" s="1"/>
  <c r="B75" i="1"/>
  <c r="B122" i="1" s="1"/>
  <c r="K74" i="1"/>
  <c r="K121" i="1" s="1"/>
  <c r="J74" i="1"/>
  <c r="J121" i="1" s="1"/>
  <c r="I74" i="1"/>
  <c r="E74" i="1"/>
  <c r="E121" i="1" s="1"/>
  <c r="G121" i="1" s="1"/>
  <c r="C74" i="1"/>
  <c r="C121" i="1" s="1"/>
  <c r="B74" i="1"/>
  <c r="B121" i="1" s="1"/>
  <c r="K73" i="1"/>
  <c r="K120" i="1" s="1"/>
  <c r="J73" i="1"/>
  <c r="J120" i="1" s="1"/>
  <c r="I73" i="1"/>
  <c r="E73" i="1"/>
  <c r="E120" i="1" s="1"/>
  <c r="G120" i="1" s="1"/>
  <c r="C73" i="1"/>
  <c r="C120" i="1" s="1"/>
  <c r="B73" i="1"/>
  <c r="B120" i="1" s="1"/>
  <c r="K72" i="1"/>
  <c r="K119" i="1" s="1"/>
  <c r="J72" i="1"/>
  <c r="J119" i="1" s="1"/>
  <c r="I72" i="1"/>
  <c r="I119" i="1" s="1"/>
  <c r="L119" i="1" s="1"/>
  <c r="G72" i="1"/>
  <c r="E72" i="1"/>
  <c r="E119" i="1" s="1"/>
  <c r="G119" i="1" s="1"/>
  <c r="C72" i="1"/>
  <c r="C119" i="1" s="1"/>
  <c r="B72" i="1"/>
  <c r="B119" i="1" s="1"/>
  <c r="K71" i="1"/>
  <c r="K118" i="1" s="1"/>
  <c r="J71" i="1"/>
  <c r="J118" i="1" s="1"/>
  <c r="I71" i="1"/>
  <c r="E71" i="1"/>
  <c r="E118" i="1" s="1"/>
  <c r="G118" i="1" s="1"/>
  <c r="C71" i="1"/>
  <c r="C118" i="1" s="1"/>
  <c r="B71" i="1"/>
  <c r="B118" i="1" s="1"/>
  <c r="K70" i="1"/>
  <c r="K117" i="1" s="1"/>
  <c r="J70" i="1"/>
  <c r="J117" i="1" s="1"/>
  <c r="I70" i="1"/>
  <c r="E70" i="1"/>
  <c r="E117" i="1" s="1"/>
  <c r="G117" i="1" s="1"/>
  <c r="C70" i="1"/>
  <c r="C117" i="1" s="1"/>
  <c r="B70" i="1"/>
  <c r="B117" i="1" s="1"/>
  <c r="K69" i="1"/>
  <c r="K116" i="1" s="1"/>
  <c r="J69" i="1"/>
  <c r="J116" i="1" s="1"/>
  <c r="I69" i="1"/>
  <c r="E69" i="1"/>
  <c r="E116" i="1" s="1"/>
  <c r="G116" i="1" s="1"/>
  <c r="C69" i="1"/>
  <c r="C116" i="1" s="1"/>
  <c r="B69" i="1"/>
  <c r="B116" i="1" s="1"/>
  <c r="K68" i="1"/>
  <c r="K115" i="1" s="1"/>
  <c r="J68" i="1"/>
  <c r="J115" i="1" s="1"/>
  <c r="I68" i="1"/>
  <c r="I115" i="1" s="1"/>
  <c r="L115" i="1" s="1"/>
  <c r="E68" i="1"/>
  <c r="E115" i="1" s="1"/>
  <c r="G115" i="1" s="1"/>
  <c r="C68" i="1"/>
  <c r="C115" i="1" s="1"/>
  <c r="B68" i="1"/>
  <c r="B115" i="1" s="1"/>
  <c r="K67" i="1"/>
  <c r="K114" i="1" s="1"/>
  <c r="J67" i="1"/>
  <c r="J114" i="1" s="1"/>
  <c r="I67" i="1"/>
  <c r="E67" i="1"/>
  <c r="E114" i="1" s="1"/>
  <c r="G114" i="1" s="1"/>
  <c r="C67" i="1"/>
  <c r="B67" i="1"/>
  <c r="B114" i="1" s="1"/>
  <c r="K66" i="1"/>
  <c r="K113" i="1" s="1"/>
  <c r="J66" i="1"/>
  <c r="J113" i="1" s="1"/>
  <c r="I66" i="1"/>
  <c r="E66" i="1"/>
  <c r="E113" i="1" s="1"/>
  <c r="G113" i="1" s="1"/>
  <c r="C66" i="1"/>
  <c r="C113" i="1" s="1"/>
  <c r="B66" i="1"/>
  <c r="B113" i="1" s="1"/>
  <c r="K65" i="1"/>
  <c r="K112" i="1" s="1"/>
  <c r="J65" i="1"/>
  <c r="J112" i="1" s="1"/>
  <c r="I65" i="1"/>
  <c r="E65" i="1"/>
  <c r="E112" i="1" s="1"/>
  <c r="G112" i="1" s="1"/>
  <c r="C65" i="1"/>
  <c r="C112" i="1" s="1"/>
  <c r="B65" i="1"/>
  <c r="B112" i="1" s="1"/>
  <c r="K64" i="1"/>
  <c r="K111" i="1" s="1"/>
  <c r="J64" i="1"/>
  <c r="J111" i="1" s="1"/>
  <c r="I64" i="1"/>
  <c r="I111" i="1" s="1"/>
  <c r="E64" i="1"/>
  <c r="E111" i="1" s="1"/>
  <c r="G111" i="1" s="1"/>
  <c r="C64" i="1"/>
  <c r="C111" i="1" s="1"/>
  <c r="B64" i="1"/>
  <c r="B111" i="1" s="1"/>
  <c r="K63" i="1"/>
  <c r="K110" i="1" s="1"/>
  <c r="J63" i="1"/>
  <c r="J110" i="1" s="1"/>
  <c r="I63" i="1"/>
  <c r="E63" i="1"/>
  <c r="E110" i="1" s="1"/>
  <c r="G110" i="1" s="1"/>
  <c r="C63" i="1"/>
  <c r="C110" i="1" s="1"/>
  <c r="B63" i="1"/>
  <c r="B110" i="1" s="1"/>
  <c r="K62" i="1"/>
  <c r="K109" i="1" s="1"/>
  <c r="J62" i="1"/>
  <c r="J109" i="1" s="1"/>
  <c r="I62" i="1"/>
  <c r="I109" i="1" s="1"/>
  <c r="E62" i="1"/>
  <c r="E109" i="1" s="1"/>
  <c r="G109" i="1" s="1"/>
  <c r="C62" i="1"/>
  <c r="C109" i="1" s="1"/>
  <c r="B62" i="1"/>
  <c r="B109" i="1" s="1"/>
  <c r="K61" i="1"/>
  <c r="K108" i="1" s="1"/>
  <c r="J61" i="1"/>
  <c r="J108" i="1" s="1"/>
  <c r="I61" i="1"/>
  <c r="I108" i="1" s="1"/>
  <c r="E61" i="1"/>
  <c r="E108" i="1" s="1"/>
  <c r="G108" i="1" s="1"/>
  <c r="C61" i="1"/>
  <c r="C108" i="1" s="1"/>
  <c r="B61" i="1"/>
  <c r="B108" i="1" s="1"/>
  <c r="K60" i="1"/>
  <c r="K107" i="1" s="1"/>
  <c r="J60" i="1"/>
  <c r="J107" i="1" s="1"/>
  <c r="I60" i="1"/>
  <c r="I107" i="1" s="1"/>
  <c r="E60" i="1"/>
  <c r="E107" i="1" s="1"/>
  <c r="G107" i="1" s="1"/>
  <c r="C60" i="1"/>
  <c r="C107" i="1" s="1"/>
  <c r="B60" i="1"/>
  <c r="B107" i="1" s="1"/>
  <c r="L59" i="1"/>
  <c r="K59" i="1"/>
  <c r="K106" i="1" s="1"/>
  <c r="J59" i="1"/>
  <c r="J106" i="1" s="1"/>
  <c r="I59" i="1"/>
  <c r="I106" i="1" s="1"/>
  <c r="E59" i="1"/>
  <c r="E106" i="1" s="1"/>
  <c r="G106" i="1" s="1"/>
  <c r="C59" i="1"/>
  <c r="C106" i="1" s="1"/>
  <c r="B59" i="1"/>
  <c r="B106" i="1" s="1"/>
  <c r="K58" i="1"/>
  <c r="K105" i="1" s="1"/>
  <c r="J58" i="1"/>
  <c r="J105" i="1" s="1"/>
  <c r="I58" i="1"/>
  <c r="I105" i="1" s="1"/>
  <c r="E58" i="1"/>
  <c r="E105" i="1" s="1"/>
  <c r="G105" i="1" s="1"/>
  <c r="C58" i="1"/>
  <c r="C105" i="1" s="1"/>
  <c r="B58" i="1"/>
  <c r="B105" i="1" s="1"/>
  <c r="K57" i="1"/>
  <c r="K104" i="1" s="1"/>
  <c r="J57" i="1"/>
  <c r="J104" i="1" s="1"/>
  <c r="I57" i="1"/>
  <c r="E57" i="1"/>
  <c r="E104" i="1" s="1"/>
  <c r="G104" i="1" s="1"/>
  <c r="C57" i="1"/>
  <c r="C104" i="1" s="1"/>
  <c r="B57" i="1"/>
  <c r="B104" i="1" s="1"/>
  <c r="L56" i="1"/>
  <c r="K56" i="1"/>
  <c r="K103" i="1" s="1"/>
  <c r="J56" i="1"/>
  <c r="J103" i="1" s="1"/>
  <c r="I56" i="1"/>
  <c r="I103" i="1" s="1"/>
  <c r="E56" i="1"/>
  <c r="E103" i="1" s="1"/>
  <c r="G103" i="1" s="1"/>
  <c r="C56" i="1"/>
  <c r="C103" i="1" s="1"/>
  <c r="B56" i="1"/>
  <c r="B103" i="1" s="1"/>
  <c r="K55" i="1"/>
  <c r="J55" i="1"/>
  <c r="I55" i="1"/>
  <c r="E55" i="1"/>
  <c r="E102" i="1" s="1"/>
  <c r="G102" i="1" s="1"/>
  <c r="C55" i="1"/>
  <c r="C102" i="1" s="1"/>
  <c r="B55" i="1"/>
  <c r="B102" i="1" s="1"/>
  <c r="B49" i="1"/>
  <c r="B96" i="1" s="1"/>
  <c r="L30" i="1"/>
  <c r="G30" i="1"/>
  <c r="N30" i="1" s="1"/>
  <c r="L29" i="1"/>
  <c r="G29" i="1"/>
  <c r="N29" i="1" s="1"/>
  <c r="L28" i="1"/>
  <c r="G28" i="1"/>
  <c r="N28" i="1" s="1"/>
  <c r="L27" i="1"/>
  <c r="G27" i="1"/>
  <c r="N27" i="1" s="1"/>
  <c r="L26" i="1"/>
  <c r="G26" i="1"/>
  <c r="N26" i="1" s="1"/>
  <c r="L25" i="1"/>
  <c r="G25" i="1"/>
  <c r="L24" i="1"/>
  <c r="G24" i="1"/>
  <c r="N24" i="1" s="1"/>
  <c r="L23" i="1"/>
  <c r="G23" i="1"/>
  <c r="N23" i="1" s="1"/>
  <c r="L22" i="1"/>
  <c r="G22" i="1"/>
  <c r="N22" i="1" s="1"/>
  <c r="N21" i="1"/>
  <c r="L21" i="1"/>
  <c r="G21" i="1"/>
  <c r="L20" i="1"/>
  <c r="G20" i="1"/>
  <c r="N20" i="1" s="1"/>
  <c r="N19" i="1"/>
  <c r="L19" i="1"/>
  <c r="G19" i="1"/>
  <c r="L18" i="1"/>
  <c r="G18" i="1"/>
  <c r="N18" i="1" s="1"/>
  <c r="L17" i="1"/>
  <c r="G17" i="1"/>
  <c r="L16" i="1"/>
  <c r="G16" i="1"/>
  <c r="N16" i="1" s="1"/>
  <c r="L15" i="1"/>
  <c r="G15" i="1"/>
  <c r="L14" i="1"/>
  <c r="G14" i="1"/>
  <c r="N14" i="1" s="1"/>
  <c r="L13" i="1"/>
  <c r="G13" i="1"/>
  <c r="N13" i="1" s="1"/>
  <c r="N12" i="1"/>
  <c r="L12" i="1"/>
  <c r="G12" i="1"/>
  <c r="P12" i="1" s="1"/>
  <c r="N11" i="1"/>
  <c r="L11" i="1"/>
  <c r="G11" i="1"/>
  <c r="L10" i="1"/>
  <c r="G10" i="1"/>
  <c r="H10" i="1" s="1"/>
  <c r="O10" i="1" s="1"/>
  <c r="L9" i="1"/>
  <c r="G9" i="1"/>
  <c r="N9" i="1" s="1"/>
  <c r="N8" i="1"/>
  <c r="L8" i="1"/>
  <c r="G8" i="1"/>
  <c r="P8" i="1" s="1"/>
  <c r="F8" i="6" l="1"/>
  <c r="G8" i="6" s="1"/>
  <c r="L33" i="1"/>
  <c r="L32" i="1"/>
  <c r="J79" i="1"/>
  <c r="J80" i="1"/>
  <c r="H30" i="1"/>
  <c r="O30" i="1" s="1"/>
  <c r="K80" i="1"/>
  <c r="K79" i="1"/>
  <c r="I342" i="3"/>
  <c r="I354" i="3"/>
  <c r="G55" i="1"/>
  <c r="G61" i="1"/>
  <c r="N61" i="1" s="1"/>
  <c r="F7" i="6"/>
  <c r="G7" i="6" s="1"/>
  <c r="H18" i="1"/>
  <c r="O18" i="1" s="1"/>
  <c r="G127" i="1"/>
  <c r="G126" i="1"/>
  <c r="N108" i="1"/>
  <c r="G77" i="1"/>
  <c r="H77" i="1" s="1"/>
  <c r="O77" i="1" s="1"/>
  <c r="I200" i="2"/>
  <c r="I290" i="2"/>
  <c r="I361" i="3"/>
  <c r="I367" i="3"/>
  <c r="N10" i="1"/>
  <c r="N32" i="1" s="1"/>
  <c r="G58" i="1"/>
  <c r="N58" i="1" s="1"/>
  <c r="L61" i="1"/>
  <c r="H61" i="1" s="1"/>
  <c r="O61" i="1" s="1"/>
  <c r="G64" i="1"/>
  <c r="G76" i="1"/>
  <c r="H8" i="1"/>
  <c r="H11" i="1"/>
  <c r="O11" i="1" s="1"/>
  <c r="H12" i="1"/>
  <c r="O12" i="1" s="1"/>
  <c r="H22" i="1"/>
  <c r="O22" i="1" s="1"/>
  <c r="H26" i="1"/>
  <c r="O26" i="1" s="1"/>
  <c r="I80" i="1"/>
  <c r="I79" i="1"/>
  <c r="L105" i="1"/>
  <c r="L108" i="1"/>
  <c r="H108" i="1" s="1"/>
  <c r="O108" i="1" s="1"/>
  <c r="L111" i="1"/>
  <c r="G68" i="1"/>
  <c r="G73" i="1"/>
  <c r="I295" i="3"/>
  <c r="X10" i="8"/>
  <c r="X12" i="8"/>
  <c r="X18" i="8"/>
  <c r="X20" i="8"/>
  <c r="X26" i="8"/>
  <c r="T28" i="8"/>
  <c r="X15" i="8"/>
  <c r="X23" i="8"/>
  <c r="G28" i="8"/>
  <c r="K28" i="8"/>
  <c r="Q28" i="8"/>
  <c r="U28" i="8"/>
  <c r="D28" i="8"/>
  <c r="H28" i="8"/>
  <c r="R28" i="8"/>
  <c r="V28" i="8"/>
  <c r="X8" i="8"/>
  <c r="X9" i="8"/>
  <c r="X17" i="8"/>
  <c r="X25" i="8"/>
  <c r="I28" i="8"/>
  <c r="W28" i="8"/>
  <c r="X7" i="8"/>
  <c r="X11" i="8"/>
  <c r="X14" i="8"/>
  <c r="X16" i="8"/>
  <c r="X19" i="8"/>
  <c r="X22" i="8"/>
  <c r="X24" i="8"/>
  <c r="X27" i="8"/>
  <c r="E28" i="8"/>
  <c r="S28" i="8"/>
  <c r="F28" i="8"/>
  <c r="J28" i="8"/>
  <c r="X5" i="8"/>
  <c r="X6" i="8"/>
  <c r="X13" i="8"/>
  <c r="X21" i="8"/>
  <c r="L5" i="8"/>
  <c r="P28" i="8"/>
  <c r="P13" i="1"/>
  <c r="H13" i="1"/>
  <c r="O13" i="1" s="1"/>
  <c r="G57" i="1"/>
  <c r="P57" i="1" s="1"/>
  <c r="G60" i="1"/>
  <c r="P60" i="1" s="1"/>
  <c r="P61" i="1"/>
  <c r="G62" i="1"/>
  <c r="N62" i="1" s="1"/>
  <c r="G63" i="1"/>
  <c r="P63" i="1" s="1"/>
  <c r="G67" i="1"/>
  <c r="G71" i="1"/>
  <c r="H14" i="1"/>
  <c r="O14" i="1" s="1"/>
  <c r="L57" i="1"/>
  <c r="L107" i="1"/>
  <c r="L109" i="1"/>
  <c r="G66" i="1"/>
  <c r="P66" i="1" s="1"/>
  <c r="G70" i="1"/>
  <c r="P70" i="1" s="1"/>
  <c r="G74" i="1"/>
  <c r="I104" i="1"/>
  <c r="P9" i="1"/>
  <c r="P33" i="1" s="1"/>
  <c r="H9" i="1"/>
  <c r="O9" i="1" s="1"/>
  <c r="P10" i="1"/>
  <c r="G75" i="1"/>
  <c r="P11" i="1"/>
  <c r="G56" i="1"/>
  <c r="G59" i="1"/>
  <c r="G65" i="1"/>
  <c r="N65" i="1" s="1"/>
  <c r="G69" i="1"/>
  <c r="N69" i="1" s="1"/>
  <c r="F9" i="6"/>
  <c r="G9" i="6" s="1"/>
  <c r="E271" i="2"/>
  <c r="I271" i="2"/>
  <c r="E295" i="2"/>
  <c r="I295" i="2"/>
  <c r="E350" i="2"/>
  <c r="I350" i="2"/>
  <c r="D512" i="2"/>
  <c r="E119" i="2" s="1"/>
  <c r="I119" i="2" s="1"/>
  <c r="E472" i="2"/>
  <c r="I472" i="2" s="1"/>
  <c r="I454" i="2"/>
  <c r="E402" i="2"/>
  <c r="I402" i="2" s="1"/>
  <c r="D512" i="3"/>
  <c r="E150" i="3" s="1"/>
  <c r="I150" i="3" s="1"/>
  <c r="E26" i="3"/>
  <c r="I26" i="3"/>
  <c r="I44" i="3"/>
  <c r="E44" i="3"/>
  <c r="I56" i="3"/>
  <c r="E56" i="3"/>
  <c r="E62" i="3"/>
  <c r="I62" i="3"/>
  <c r="I80" i="3"/>
  <c r="E80" i="3"/>
  <c r="I88" i="3"/>
  <c r="E88" i="3"/>
  <c r="I124" i="3"/>
  <c r="E124" i="3"/>
  <c r="E126" i="3"/>
  <c r="I126" i="3"/>
  <c r="I162" i="3"/>
  <c r="E188" i="3"/>
  <c r="E192" i="3"/>
  <c r="E208" i="3"/>
  <c r="I210" i="3"/>
  <c r="E212" i="3"/>
  <c r="E224" i="3"/>
  <c r="E246" i="3"/>
  <c r="E249" i="3"/>
  <c r="E254" i="3"/>
  <c r="E457" i="3"/>
  <c r="I457" i="3"/>
  <c r="I481" i="3"/>
  <c r="I493" i="3"/>
  <c r="N103" i="1"/>
  <c r="L103" i="1"/>
  <c r="P16" i="1"/>
  <c r="P24" i="1"/>
  <c r="I112" i="1"/>
  <c r="P112" i="1" s="1"/>
  <c r="L65" i="1"/>
  <c r="I120" i="1"/>
  <c r="P120" i="1" s="1"/>
  <c r="L73" i="1"/>
  <c r="N74" i="1"/>
  <c r="I124" i="1"/>
  <c r="P124" i="1" s="1"/>
  <c r="L77" i="1"/>
  <c r="L104" i="1"/>
  <c r="H104" i="1" s="1"/>
  <c r="O104" i="1" s="1"/>
  <c r="G33" i="1"/>
  <c r="H16" i="1"/>
  <c r="O16" i="1" s="1"/>
  <c r="P17" i="1"/>
  <c r="H17" i="1"/>
  <c r="O17" i="1" s="1"/>
  <c r="P18" i="1"/>
  <c r="H24" i="1"/>
  <c r="O24" i="1" s="1"/>
  <c r="P25" i="1"/>
  <c r="H25" i="1"/>
  <c r="O25" i="1" s="1"/>
  <c r="P26" i="1"/>
  <c r="P58" i="1"/>
  <c r="L60" i="1"/>
  <c r="H60" i="1" s="1"/>
  <c r="O60" i="1" s="1"/>
  <c r="P62" i="1"/>
  <c r="L66" i="1"/>
  <c r="H66" i="1" s="1"/>
  <c r="O66" i="1" s="1"/>
  <c r="I113" i="1"/>
  <c r="L113" i="1" s="1"/>
  <c r="N67" i="1"/>
  <c r="L70" i="1"/>
  <c r="I117" i="1"/>
  <c r="P117" i="1" s="1"/>
  <c r="N71" i="1"/>
  <c r="L74" i="1"/>
  <c r="H74" i="1" s="1"/>
  <c r="O74" i="1" s="1"/>
  <c r="I121" i="1"/>
  <c r="P121" i="1" s="1"/>
  <c r="P74" i="1"/>
  <c r="N75" i="1"/>
  <c r="I102" i="1"/>
  <c r="P65" i="1"/>
  <c r="P27" i="1"/>
  <c r="H27" i="1"/>
  <c r="O27" i="1" s="1"/>
  <c r="K102" i="1"/>
  <c r="N60" i="1"/>
  <c r="L63" i="1"/>
  <c r="I110" i="1"/>
  <c r="L110" i="1" s="1"/>
  <c r="N64" i="1"/>
  <c r="L67" i="1"/>
  <c r="H67" i="1" s="1"/>
  <c r="O67" i="1" s="1"/>
  <c r="I114" i="1"/>
  <c r="L114" i="1" s="1"/>
  <c r="H114" i="1" s="1"/>
  <c r="O114" i="1" s="1"/>
  <c r="P67" i="1"/>
  <c r="N68" i="1"/>
  <c r="L71" i="1"/>
  <c r="H71" i="1" s="1"/>
  <c r="O71" i="1" s="1"/>
  <c r="I118" i="1"/>
  <c r="L118" i="1" s="1"/>
  <c r="P71" i="1"/>
  <c r="N72" i="1"/>
  <c r="L75" i="1"/>
  <c r="I122" i="1"/>
  <c r="L122" i="1" s="1"/>
  <c r="P75" i="1"/>
  <c r="N76" i="1"/>
  <c r="P15" i="1"/>
  <c r="H15" i="1"/>
  <c r="O15" i="1" s="1"/>
  <c r="P23" i="1"/>
  <c r="H23" i="1"/>
  <c r="O23" i="1" s="1"/>
  <c r="G32" i="1"/>
  <c r="N66" i="1"/>
  <c r="I116" i="1"/>
  <c r="P116" i="1" s="1"/>
  <c r="L69" i="1"/>
  <c r="H69" i="1" s="1"/>
  <c r="O69" i="1" s="1"/>
  <c r="P73" i="1"/>
  <c r="N15" i="1"/>
  <c r="P19" i="1"/>
  <c r="H19" i="1"/>
  <c r="O19" i="1" s="1"/>
  <c r="P20" i="1"/>
  <c r="P28" i="1"/>
  <c r="P14" i="1"/>
  <c r="N17" i="1"/>
  <c r="H20" i="1"/>
  <c r="O20" i="1" s="1"/>
  <c r="P21" i="1"/>
  <c r="H21" i="1"/>
  <c r="O21" i="1" s="1"/>
  <c r="P22" i="1"/>
  <c r="N25" i="1"/>
  <c r="H28" i="1"/>
  <c r="O28" i="1" s="1"/>
  <c r="P29" i="1"/>
  <c r="H29" i="1"/>
  <c r="O29" i="1" s="1"/>
  <c r="P30" i="1"/>
  <c r="L55" i="1"/>
  <c r="L58" i="1"/>
  <c r="L106" i="1"/>
  <c r="H106" i="1" s="1"/>
  <c r="O106" i="1" s="1"/>
  <c r="L62" i="1"/>
  <c r="L64" i="1"/>
  <c r="H64" i="1" s="1"/>
  <c r="O64" i="1" s="1"/>
  <c r="P64" i="1"/>
  <c r="L68" i="1"/>
  <c r="H68" i="1" s="1"/>
  <c r="O68" i="1" s="1"/>
  <c r="P68" i="1"/>
  <c r="L72" i="1"/>
  <c r="H72" i="1" s="1"/>
  <c r="O72" i="1" s="1"/>
  <c r="P72" i="1"/>
  <c r="H73" i="1"/>
  <c r="O73" i="1" s="1"/>
  <c r="N73" i="1"/>
  <c r="L76" i="1"/>
  <c r="H76" i="1" s="1"/>
  <c r="O76" i="1" s="1"/>
  <c r="P76" i="1"/>
  <c r="I123" i="1"/>
  <c r="L123" i="1" s="1"/>
  <c r="H123" i="1" s="1"/>
  <c r="O123" i="1" s="1"/>
  <c r="J102" i="1"/>
  <c r="P103" i="1"/>
  <c r="P104" i="1"/>
  <c r="H105" i="1"/>
  <c r="O105" i="1" s="1"/>
  <c r="P105" i="1"/>
  <c r="P106" i="1"/>
  <c r="H107" i="1"/>
  <c r="O107" i="1" s="1"/>
  <c r="P107" i="1"/>
  <c r="P108" i="1"/>
  <c r="H109" i="1"/>
  <c r="O109" i="1" s="1"/>
  <c r="P109" i="1"/>
  <c r="H110" i="1"/>
  <c r="O110" i="1" s="1"/>
  <c r="P110" i="1"/>
  <c r="H111" i="1"/>
  <c r="O111" i="1" s="1"/>
  <c r="P111" i="1"/>
  <c r="H113" i="1"/>
  <c r="O113" i="1" s="1"/>
  <c r="P113" i="1"/>
  <c r="H115" i="1"/>
  <c r="O115" i="1" s="1"/>
  <c r="P115" i="1"/>
  <c r="H118" i="1"/>
  <c r="O118" i="1" s="1"/>
  <c r="P118" i="1"/>
  <c r="H119" i="1"/>
  <c r="O119" i="1" s="1"/>
  <c r="P119" i="1"/>
  <c r="H122" i="1"/>
  <c r="O122" i="1" s="1"/>
  <c r="P122" i="1"/>
  <c r="N104" i="1"/>
  <c r="N107" i="1"/>
  <c r="N111" i="1"/>
  <c r="N115" i="1"/>
  <c r="N119" i="1"/>
  <c r="N106" i="1"/>
  <c r="N110" i="1"/>
  <c r="N118" i="1"/>
  <c r="N122" i="1"/>
  <c r="H103" i="1"/>
  <c r="O103" i="1" s="1"/>
  <c r="N105" i="1"/>
  <c r="N109" i="1"/>
  <c r="N113" i="1"/>
  <c r="E200" i="3" l="1"/>
  <c r="I200" i="3" s="1"/>
  <c r="P102" i="1"/>
  <c r="J127" i="1"/>
  <c r="J126" i="1"/>
  <c r="E485" i="3"/>
  <c r="I485" i="3" s="1"/>
  <c r="E441" i="3"/>
  <c r="I441" i="3" s="1"/>
  <c r="E409" i="3"/>
  <c r="I409" i="3" s="1"/>
  <c r="E421" i="3"/>
  <c r="I421" i="3" s="1"/>
  <c r="E287" i="3"/>
  <c r="I287" i="3" s="1"/>
  <c r="E259" i="3"/>
  <c r="I259" i="3" s="1"/>
  <c r="E262" i="3"/>
  <c r="I262" i="3" s="1"/>
  <c r="E184" i="3"/>
  <c r="I184" i="3" s="1"/>
  <c r="E144" i="3"/>
  <c r="I144" i="3" s="1"/>
  <c r="E156" i="3"/>
  <c r="I156" i="3" s="1"/>
  <c r="E190" i="3"/>
  <c r="I190" i="3" s="1"/>
  <c r="O8" i="1"/>
  <c r="H33" i="1"/>
  <c r="H32" i="1"/>
  <c r="H58" i="1"/>
  <c r="O58" i="1" s="1"/>
  <c r="E505" i="3"/>
  <c r="I505" i="3" s="1"/>
  <c r="E477" i="3"/>
  <c r="I477" i="3" s="1"/>
  <c r="E433" i="3"/>
  <c r="I433" i="3" s="1"/>
  <c r="E393" i="3"/>
  <c r="I393" i="3" s="1"/>
  <c r="E271" i="3"/>
  <c r="I271" i="3" s="1"/>
  <c r="E396" i="3"/>
  <c r="I396" i="3" s="1"/>
  <c r="E243" i="3"/>
  <c r="I243" i="3" s="1"/>
  <c r="E294" i="3"/>
  <c r="I294" i="3" s="1"/>
  <c r="E232" i="3"/>
  <c r="I232" i="3" s="1"/>
  <c r="E273" i="3"/>
  <c r="I273" i="3" s="1"/>
  <c r="E230" i="3"/>
  <c r="I230" i="3" s="1"/>
  <c r="E290" i="3"/>
  <c r="I290" i="3" s="1"/>
  <c r="E186" i="3"/>
  <c r="I186" i="3" s="1"/>
  <c r="E468" i="2"/>
  <c r="I468" i="2" s="1"/>
  <c r="P77" i="1"/>
  <c r="P123" i="1"/>
  <c r="N77" i="1"/>
  <c r="H55" i="1"/>
  <c r="L80" i="1"/>
  <c r="L79" i="1"/>
  <c r="I127" i="1"/>
  <c r="I126" i="1"/>
  <c r="E501" i="3"/>
  <c r="I501" i="3" s="1"/>
  <c r="E473" i="3"/>
  <c r="I473" i="3" s="1"/>
  <c r="E449" i="3"/>
  <c r="I449" i="3" s="1"/>
  <c r="E425" i="3"/>
  <c r="I425" i="3" s="1"/>
  <c r="E345" i="3"/>
  <c r="I345" i="3" s="1"/>
  <c r="E389" i="3"/>
  <c r="I389" i="3" s="1"/>
  <c r="E453" i="3"/>
  <c r="I453" i="3" s="1"/>
  <c r="E330" i="3"/>
  <c r="I330" i="3" s="1"/>
  <c r="E324" i="3"/>
  <c r="I324" i="3" s="1"/>
  <c r="E255" i="3"/>
  <c r="I255" i="3" s="1"/>
  <c r="E404" i="3"/>
  <c r="I404" i="3" s="1"/>
  <c r="E392" i="3"/>
  <c r="I392" i="3" s="1"/>
  <c r="E291" i="3"/>
  <c r="I291" i="3" s="1"/>
  <c r="E278" i="3"/>
  <c r="I278" i="3" s="1"/>
  <c r="E261" i="3"/>
  <c r="I261" i="3" s="1"/>
  <c r="E160" i="3"/>
  <c r="I160" i="3" s="1"/>
  <c r="E218" i="3"/>
  <c r="I218" i="3" s="1"/>
  <c r="E172" i="3"/>
  <c r="I172" i="3" s="1"/>
  <c r="E274" i="3"/>
  <c r="I274" i="3" s="1"/>
  <c r="E206" i="3"/>
  <c r="I206" i="3" s="1"/>
  <c r="E176" i="3"/>
  <c r="I176" i="3" s="1"/>
  <c r="E404" i="2"/>
  <c r="I404" i="2" s="1"/>
  <c r="E389" i="2"/>
  <c r="I389" i="2" s="1"/>
  <c r="P32" i="1"/>
  <c r="N33" i="1"/>
  <c r="E373" i="3"/>
  <c r="I373" i="3" s="1"/>
  <c r="E340" i="3"/>
  <c r="I340" i="3" s="1"/>
  <c r="E376" i="3"/>
  <c r="I376" i="3" s="1"/>
  <c r="E311" i="3"/>
  <c r="I311" i="3" s="1"/>
  <c r="E277" i="3"/>
  <c r="I277" i="3" s="1"/>
  <c r="E241" i="3"/>
  <c r="I241" i="3" s="1"/>
  <c r="E146" i="3"/>
  <c r="I146" i="3" s="1"/>
  <c r="E250" i="3"/>
  <c r="I250" i="3" s="1"/>
  <c r="P55" i="1"/>
  <c r="G80" i="1"/>
  <c r="G79" i="1"/>
  <c r="K127" i="1"/>
  <c r="K126" i="1"/>
  <c r="N55" i="1"/>
  <c r="H70" i="1"/>
  <c r="O70" i="1" s="1"/>
  <c r="N63" i="1"/>
  <c r="E349" i="3"/>
  <c r="I349" i="3" s="1"/>
  <c r="E469" i="3"/>
  <c r="I469" i="3" s="1"/>
  <c r="E326" i="3"/>
  <c r="I326" i="3" s="1"/>
  <c r="E408" i="3"/>
  <c r="I408" i="3" s="1"/>
  <c r="E318" i="3"/>
  <c r="I318" i="3" s="1"/>
  <c r="E237" i="3"/>
  <c r="I237" i="3" s="1"/>
  <c r="E234" i="3"/>
  <c r="I234" i="3" s="1"/>
  <c r="N123" i="1"/>
  <c r="E497" i="3"/>
  <c r="I497" i="3" s="1"/>
  <c r="E465" i="3"/>
  <c r="I465" i="3" s="1"/>
  <c r="E413" i="3"/>
  <c r="I413" i="3" s="1"/>
  <c r="E377" i="3"/>
  <c r="I377" i="3" s="1"/>
  <c r="E437" i="3"/>
  <c r="I437" i="3" s="1"/>
  <c r="E314" i="3"/>
  <c r="I314" i="3" s="1"/>
  <c r="E303" i="3"/>
  <c r="I303" i="3" s="1"/>
  <c r="E239" i="3"/>
  <c r="I239" i="3" s="1"/>
  <c r="E380" i="3"/>
  <c r="I380" i="3" s="1"/>
  <c r="E275" i="3"/>
  <c r="I275" i="3" s="1"/>
  <c r="E346" i="3"/>
  <c r="I346" i="3" s="1"/>
  <c r="E216" i="3"/>
  <c r="I216" i="3" s="1"/>
  <c r="E289" i="3"/>
  <c r="I289" i="3" s="1"/>
  <c r="E257" i="3"/>
  <c r="I257" i="3" s="1"/>
  <c r="E154" i="3"/>
  <c r="I154" i="3" s="1"/>
  <c r="E258" i="3"/>
  <c r="I258" i="3" s="1"/>
  <c r="E202" i="3"/>
  <c r="I202" i="3" s="1"/>
  <c r="E466" i="2"/>
  <c r="I466" i="2" s="1"/>
  <c r="E438" i="2"/>
  <c r="I438" i="2" s="1"/>
  <c r="H75" i="1"/>
  <c r="O75" i="1" s="1"/>
  <c r="L28" i="8"/>
  <c r="X28" i="8"/>
  <c r="P69" i="1"/>
  <c r="H57" i="1"/>
  <c r="O57" i="1" s="1"/>
  <c r="H62" i="1"/>
  <c r="O62" i="1" s="1"/>
  <c r="N70" i="1"/>
  <c r="N59" i="1"/>
  <c r="P59" i="1"/>
  <c r="H59" i="1"/>
  <c r="O59" i="1" s="1"/>
  <c r="N57" i="1"/>
  <c r="H63" i="1"/>
  <c r="O63" i="1" s="1"/>
  <c r="H65" i="1"/>
  <c r="O65" i="1" s="1"/>
  <c r="N56" i="1"/>
  <c r="P56" i="1"/>
  <c r="H56" i="1"/>
  <c r="O56" i="1" s="1"/>
  <c r="E505" i="2"/>
  <c r="I505" i="2" s="1"/>
  <c r="E452" i="2"/>
  <c r="I452" i="2" s="1"/>
  <c r="E388" i="2"/>
  <c r="I388" i="2" s="1"/>
  <c r="E450" i="2"/>
  <c r="I450" i="2" s="1"/>
  <c r="E386" i="2"/>
  <c r="I386" i="2" s="1"/>
  <c r="E421" i="2"/>
  <c r="I421" i="2" s="1"/>
  <c r="E422" i="2"/>
  <c r="I422" i="2" s="1"/>
  <c r="E440" i="2"/>
  <c r="I440" i="2" s="1"/>
  <c r="E374" i="2"/>
  <c r="I374" i="2" s="1"/>
  <c r="E373" i="2"/>
  <c r="I373" i="2" s="1"/>
  <c r="E321" i="2"/>
  <c r="I321" i="2" s="1"/>
  <c r="E305" i="2"/>
  <c r="I305" i="2" s="1"/>
  <c r="E281" i="2"/>
  <c r="I281" i="2" s="1"/>
  <c r="E257" i="2"/>
  <c r="I257" i="2" s="1"/>
  <c r="E241" i="2"/>
  <c r="I241" i="2" s="1"/>
  <c r="E225" i="2"/>
  <c r="I225" i="2" s="1"/>
  <c r="E209" i="2"/>
  <c r="I209" i="2" s="1"/>
  <c r="E193" i="2"/>
  <c r="I193" i="2" s="1"/>
  <c r="E177" i="2"/>
  <c r="I177" i="2" s="1"/>
  <c r="E33" i="2"/>
  <c r="I33" i="2" s="1"/>
  <c r="E27" i="2"/>
  <c r="I27" i="2" s="1"/>
  <c r="E59" i="2"/>
  <c r="I59" i="2" s="1"/>
  <c r="E107" i="2"/>
  <c r="I107" i="2" s="1"/>
  <c r="E123" i="2"/>
  <c r="I123" i="2" s="1"/>
  <c r="E501" i="2"/>
  <c r="I501" i="2" s="1"/>
  <c r="E436" i="2"/>
  <c r="I436" i="2" s="1"/>
  <c r="E500" i="2"/>
  <c r="I500" i="2" s="1"/>
  <c r="E434" i="2"/>
  <c r="I434" i="2" s="1"/>
  <c r="E485" i="2"/>
  <c r="I485" i="2" s="1"/>
  <c r="E453" i="2"/>
  <c r="I453" i="2" s="1"/>
  <c r="E406" i="2"/>
  <c r="I406" i="2" s="1"/>
  <c r="E408" i="2"/>
  <c r="I408" i="2" s="1"/>
  <c r="E366" i="2"/>
  <c r="I366" i="2" s="1"/>
  <c r="E342" i="2"/>
  <c r="I342" i="2" s="1"/>
  <c r="E357" i="2"/>
  <c r="I357" i="2" s="1"/>
  <c r="E317" i="2"/>
  <c r="I317" i="2" s="1"/>
  <c r="E301" i="2"/>
  <c r="I301" i="2" s="1"/>
  <c r="E293" i="2"/>
  <c r="I293" i="2" s="1"/>
  <c r="E277" i="2"/>
  <c r="I277" i="2" s="1"/>
  <c r="E269" i="2"/>
  <c r="I269" i="2" s="1"/>
  <c r="E253" i="2"/>
  <c r="I253" i="2" s="1"/>
  <c r="E237" i="2"/>
  <c r="I237" i="2" s="1"/>
  <c r="E221" i="2"/>
  <c r="I221" i="2" s="1"/>
  <c r="E205" i="2"/>
  <c r="I205" i="2" s="1"/>
  <c r="E189" i="2"/>
  <c r="I189" i="2" s="1"/>
  <c r="E173" i="2"/>
  <c r="I173" i="2" s="1"/>
  <c r="E17" i="2"/>
  <c r="I17" i="2" s="1"/>
  <c r="E71" i="2"/>
  <c r="I71" i="2" s="1"/>
  <c r="E91" i="2"/>
  <c r="I91" i="2" s="1"/>
  <c r="E151" i="2"/>
  <c r="I151" i="2" s="1"/>
  <c r="E509" i="2"/>
  <c r="I509" i="2" s="1"/>
  <c r="E484" i="2"/>
  <c r="I484" i="2" s="1"/>
  <c r="E420" i="2"/>
  <c r="I420" i="2" s="1"/>
  <c r="E482" i="2"/>
  <c r="I482" i="2" s="1"/>
  <c r="E418" i="2"/>
  <c r="I418" i="2" s="1"/>
  <c r="E390" i="2"/>
  <c r="I390" i="2" s="1"/>
  <c r="E380" i="2"/>
  <c r="I380" i="2" s="1"/>
  <c r="E169" i="2"/>
  <c r="I169" i="2" s="1"/>
  <c r="E358" i="2"/>
  <c r="I358" i="2" s="1"/>
  <c r="E334" i="2"/>
  <c r="I334" i="2" s="1"/>
  <c r="E341" i="2"/>
  <c r="I341" i="2" s="1"/>
  <c r="E313" i="2"/>
  <c r="I313" i="2" s="1"/>
  <c r="E297" i="2"/>
  <c r="I297" i="2" s="1"/>
  <c r="E289" i="2"/>
  <c r="I289" i="2" s="1"/>
  <c r="E273" i="2"/>
  <c r="I273" i="2" s="1"/>
  <c r="E265" i="2"/>
  <c r="I265" i="2" s="1"/>
  <c r="E249" i="2"/>
  <c r="I249" i="2" s="1"/>
  <c r="E233" i="2"/>
  <c r="I233" i="2" s="1"/>
  <c r="E217" i="2"/>
  <c r="I217" i="2" s="1"/>
  <c r="E201" i="2"/>
  <c r="I201" i="2" s="1"/>
  <c r="E185" i="2"/>
  <c r="I185" i="2" s="1"/>
  <c r="E67" i="2"/>
  <c r="I67" i="2" s="1"/>
  <c r="E43" i="2"/>
  <c r="I43" i="2" s="1"/>
  <c r="E502" i="2"/>
  <c r="I502" i="2" s="1"/>
  <c r="E498" i="2"/>
  <c r="I498" i="2" s="1"/>
  <c r="E495" i="2"/>
  <c r="I495" i="2" s="1"/>
  <c r="E504" i="2"/>
  <c r="I504" i="2" s="1"/>
  <c r="E496" i="2"/>
  <c r="I496" i="2" s="1"/>
  <c r="E492" i="2"/>
  <c r="I492" i="2" s="1"/>
  <c r="E489" i="2"/>
  <c r="I489" i="2" s="1"/>
  <c r="E506" i="2"/>
  <c r="I506" i="2" s="1"/>
  <c r="E487" i="2"/>
  <c r="I487" i="2" s="1"/>
  <c r="E479" i="2"/>
  <c r="I479" i="2" s="1"/>
  <c r="E471" i="2"/>
  <c r="I471" i="2" s="1"/>
  <c r="E463" i="2"/>
  <c r="I463" i="2" s="1"/>
  <c r="E455" i="2"/>
  <c r="I455" i="2" s="1"/>
  <c r="E447" i="2"/>
  <c r="I447" i="2" s="1"/>
  <c r="E439" i="2"/>
  <c r="I439" i="2" s="1"/>
  <c r="E431" i="2"/>
  <c r="I431" i="2" s="1"/>
  <c r="E423" i="2"/>
  <c r="I423" i="2" s="1"/>
  <c r="E415" i="2"/>
  <c r="I415" i="2" s="1"/>
  <c r="E407" i="2"/>
  <c r="I407" i="2" s="1"/>
  <c r="E399" i="2"/>
  <c r="I399" i="2" s="1"/>
  <c r="E391" i="2"/>
  <c r="I391" i="2" s="1"/>
  <c r="E383" i="2"/>
  <c r="I383" i="2" s="1"/>
  <c r="E508" i="2"/>
  <c r="I508" i="2" s="1"/>
  <c r="E510" i="2"/>
  <c r="I510" i="2" s="1"/>
  <c r="E499" i="2"/>
  <c r="I499" i="2" s="1"/>
  <c r="E491" i="2"/>
  <c r="I491" i="2" s="1"/>
  <c r="E483" i="2"/>
  <c r="I483" i="2" s="1"/>
  <c r="E475" i="2"/>
  <c r="I475" i="2" s="1"/>
  <c r="E467" i="2"/>
  <c r="I467" i="2" s="1"/>
  <c r="E459" i="2"/>
  <c r="I459" i="2" s="1"/>
  <c r="E451" i="2"/>
  <c r="I451" i="2" s="1"/>
  <c r="E443" i="2"/>
  <c r="I443" i="2" s="1"/>
  <c r="E435" i="2"/>
  <c r="I435" i="2" s="1"/>
  <c r="E427" i="2"/>
  <c r="I427" i="2" s="1"/>
  <c r="E419" i="2"/>
  <c r="I419" i="2" s="1"/>
  <c r="E411" i="2"/>
  <c r="I411" i="2" s="1"/>
  <c r="E403" i="2"/>
  <c r="I403" i="2" s="1"/>
  <c r="E395" i="2"/>
  <c r="I395" i="2" s="1"/>
  <c r="E387" i="2"/>
  <c r="I387" i="2" s="1"/>
  <c r="E375" i="2"/>
  <c r="I375" i="2" s="1"/>
  <c r="E367" i="2"/>
  <c r="I367" i="2" s="1"/>
  <c r="E359" i="2"/>
  <c r="I359" i="2" s="1"/>
  <c r="E343" i="2"/>
  <c r="I343" i="2" s="1"/>
  <c r="E335" i="2"/>
  <c r="I335" i="2" s="1"/>
  <c r="E327" i="2"/>
  <c r="I327" i="2" s="1"/>
  <c r="E166" i="2"/>
  <c r="I166" i="2" s="1"/>
  <c r="E158" i="2"/>
  <c r="I158" i="2" s="1"/>
  <c r="E104" i="2"/>
  <c r="I104" i="2" s="1"/>
  <c r="E96" i="2"/>
  <c r="I96" i="2" s="1"/>
  <c r="E92" i="2"/>
  <c r="I92" i="2" s="1"/>
  <c r="E84" i="2"/>
  <c r="I84" i="2" s="1"/>
  <c r="E80" i="2"/>
  <c r="I80" i="2" s="1"/>
  <c r="E72" i="2"/>
  <c r="I72" i="2" s="1"/>
  <c r="E64" i="2"/>
  <c r="I64" i="2" s="1"/>
  <c r="E56" i="2"/>
  <c r="I56" i="2" s="1"/>
  <c r="E52" i="2"/>
  <c r="I52" i="2" s="1"/>
  <c r="E40" i="2"/>
  <c r="I40" i="2" s="1"/>
  <c r="E28" i="2"/>
  <c r="I28" i="2" s="1"/>
  <c r="E24" i="2"/>
  <c r="I24" i="2" s="1"/>
  <c r="E171" i="2"/>
  <c r="I171" i="2" s="1"/>
  <c r="E160" i="2"/>
  <c r="I160" i="2" s="1"/>
  <c r="E154" i="2"/>
  <c r="I154" i="2" s="1"/>
  <c r="E150" i="2"/>
  <c r="I150" i="2" s="1"/>
  <c r="E146" i="2"/>
  <c r="I146" i="2" s="1"/>
  <c r="E142" i="2"/>
  <c r="I142" i="2" s="1"/>
  <c r="E114" i="2"/>
  <c r="I114" i="2" s="1"/>
  <c r="E110" i="2"/>
  <c r="I110" i="2" s="1"/>
  <c r="E102" i="2"/>
  <c r="I102" i="2" s="1"/>
  <c r="E98" i="2"/>
  <c r="I98" i="2" s="1"/>
  <c r="E94" i="2"/>
  <c r="I94" i="2" s="1"/>
  <c r="E90" i="2"/>
  <c r="I90" i="2" s="1"/>
  <c r="E86" i="2"/>
  <c r="I86" i="2" s="1"/>
  <c r="E82" i="2"/>
  <c r="I82" i="2" s="1"/>
  <c r="E78" i="2"/>
  <c r="I78" i="2" s="1"/>
  <c r="E74" i="2"/>
  <c r="I74" i="2" s="1"/>
  <c r="E70" i="2"/>
  <c r="I70" i="2" s="1"/>
  <c r="E66" i="2"/>
  <c r="I66" i="2" s="1"/>
  <c r="E324" i="2"/>
  <c r="I324" i="2" s="1"/>
  <c r="E322" i="2"/>
  <c r="I322" i="2" s="1"/>
  <c r="E320" i="2"/>
  <c r="I320" i="2" s="1"/>
  <c r="E318" i="2"/>
  <c r="I318" i="2" s="1"/>
  <c r="E316" i="2"/>
  <c r="I316" i="2" s="1"/>
  <c r="E314" i="2"/>
  <c r="I314" i="2" s="1"/>
  <c r="E312" i="2"/>
  <c r="I312" i="2" s="1"/>
  <c r="E310" i="2"/>
  <c r="I310" i="2" s="1"/>
  <c r="E308" i="2"/>
  <c r="I308" i="2" s="1"/>
  <c r="E306" i="2"/>
  <c r="I306" i="2" s="1"/>
  <c r="E304" i="2"/>
  <c r="I304" i="2" s="1"/>
  <c r="E302" i="2"/>
  <c r="I302" i="2" s="1"/>
  <c r="E300" i="2"/>
  <c r="I300" i="2" s="1"/>
  <c r="E298" i="2"/>
  <c r="I298" i="2" s="1"/>
  <c r="E296" i="2"/>
  <c r="I296" i="2" s="1"/>
  <c r="E294" i="2"/>
  <c r="I294" i="2" s="1"/>
  <c r="E292" i="2"/>
  <c r="I292" i="2" s="1"/>
  <c r="E288" i="2"/>
  <c r="I288" i="2" s="1"/>
  <c r="E286" i="2"/>
  <c r="I286" i="2" s="1"/>
  <c r="E284" i="2"/>
  <c r="I284" i="2" s="1"/>
  <c r="E282" i="2"/>
  <c r="I282" i="2" s="1"/>
  <c r="E280" i="2"/>
  <c r="I280" i="2" s="1"/>
  <c r="E278" i="2"/>
  <c r="I278" i="2" s="1"/>
  <c r="E276" i="2"/>
  <c r="I276" i="2" s="1"/>
  <c r="E274" i="2"/>
  <c r="I274" i="2" s="1"/>
  <c r="E272" i="2"/>
  <c r="I272" i="2" s="1"/>
  <c r="E270" i="2"/>
  <c r="I270" i="2" s="1"/>
  <c r="E268" i="2"/>
  <c r="I268" i="2" s="1"/>
  <c r="E266" i="2"/>
  <c r="I266" i="2" s="1"/>
  <c r="E264" i="2"/>
  <c r="I264" i="2" s="1"/>
  <c r="E262" i="2"/>
  <c r="I262" i="2" s="1"/>
  <c r="E260" i="2"/>
  <c r="I260" i="2" s="1"/>
  <c r="E258" i="2"/>
  <c r="I258" i="2" s="1"/>
  <c r="E256" i="2"/>
  <c r="I256" i="2" s="1"/>
  <c r="E254" i="2"/>
  <c r="I254" i="2" s="1"/>
  <c r="E252" i="2"/>
  <c r="I252" i="2" s="1"/>
  <c r="E250" i="2"/>
  <c r="I250" i="2" s="1"/>
  <c r="E248" i="2"/>
  <c r="I248" i="2" s="1"/>
  <c r="E246" i="2"/>
  <c r="I246" i="2" s="1"/>
  <c r="E244" i="2"/>
  <c r="I244" i="2" s="1"/>
  <c r="E242" i="2"/>
  <c r="I242" i="2" s="1"/>
  <c r="E240" i="2"/>
  <c r="I240" i="2" s="1"/>
  <c r="E238" i="2"/>
  <c r="I238" i="2" s="1"/>
  <c r="E236" i="2"/>
  <c r="I236" i="2" s="1"/>
  <c r="E234" i="2"/>
  <c r="I234" i="2" s="1"/>
  <c r="E232" i="2"/>
  <c r="I232" i="2" s="1"/>
  <c r="E230" i="2"/>
  <c r="I230" i="2" s="1"/>
  <c r="E228" i="2"/>
  <c r="I228" i="2" s="1"/>
  <c r="E226" i="2"/>
  <c r="I226" i="2" s="1"/>
  <c r="E224" i="2"/>
  <c r="I224" i="2" s="1"/>
  <c r="E222" i="2"/>
  <c r="I222" i="2" s="1"/>
  <c r="E220" i="2"/>
  <c r="I220" i="2" s="1"/>
  <c r="E218" i="2"/>
  <c r="I218" i="2" s="1"/>
  <c r="E216" i="2"/>
  <c r="I216" i="2" s="1"/>
  <c r="E214" i="2"/>
  <c r="I214" i="2" s="1"/>
  <c r="E212" i="2"/>
  <c r="I212" i="2" s="1"/>
  <c r="E210" i="2"/>
  <c r="I210" i="2" s="1"/>
  <c r="E208" i="2"/>
  <c r="I208" i="2" s="1"/>
  <c r="E206" i="2"/>
  <c r="I206" i="2" s="1"/>
  <c r="E204" i="2"/>
  <c r="I204" i="2" s="1"/>
  <c r="E202" i="2"/>
  <c r="I202" i="2" s="1"/>
  <c r="E198" i="2"/>
  <c r="I198" i="2" s="1"/>
  <c r="E196" i="2"/>
  <c r="I196" i="2" s="1"/>
  <c r="E194" i="2"/>
  <c r="I194" i="2" s="1"/>
  <c r="E192" i="2"/>
  <c r="I192" i="2" s="1"/>
  <c r="E190" i="2"/>
  <c r="I190" i="2" s="1"/>
  <c r="E188" i="2"/>
  <c r="I188" i="2" s="1"/>
  <c r="E186" i="2"/>
  <c r="I186" i="2" s="1"/>
  <c r="E184" i="2"/>
  <c r="I184" i="2" s="1"/>
  <c r="E182" i="2"/>
  <c r="I182" i="2" s="1"/>
  <c r="E180" i="2"/>
  <c r="I180" i="2" s="1"/>
  <c r="E178" i="2"/>
  <c r="I178" i="2" s="1"/>
  <c r="E176" i="2"/>
  <c r="I176" i="2" s="1"/>
  <c r="E174" i="2"/>
  <c r="I174" i="2" s="1"/>
  <c r="E172" i="2"/>
  <c r="I172" i="2" s="1"/>
  <c r="E167" i="2"/>
  <c r="I167" i="2" s="1"/>
  <c r="E164" i="2"/>
  <c r="I164" i="2" s="1"/>
  <c r="E159" i="2"/>
  <c r="I159" i="2" s="1"/>
  <c r="E156" i="2"/>
  <c r="I156" i="2" s="1"/>
  <c r="E152" i="2"/>
  <c r="I152" i="2" s="1"/>
  <c r="E148" i="2"/>
  <c r="I148" i="2" s="1"/>
  <c r="E144" i="2"/>
  <c r="I144" i="2" s="1"/>
  <c r="E140" i="2"/>
  <c r="I140" i="2" s="1"/>
  <c r="E136" i="2"/>
  <c r="I136" i="2" s="1"/>
  <c r="E132" i="2"/>
  <c r="I132" i="2" s="1"/>
  <c r="E128" i="2"/>
  <c r="I128" i="2" s="1"/>
  <c r="E124" i="2"/>
  <c r="I124" i="2" s="1"/>
  <c r="E120" i="2"/>
  <c r="I120" i="2" s="1"/>
  <c r="E116" i="2"/>
  <c r="I116" i="2" s="1"/>
  <c r="E108" i="2"/>
  <c r="I108" i="2" s="1"/>
  <c r="E100" i="2"/>
  <c r="I100" i="2" s="1"/>
  <c r="E88" i="2"/>
  <c r="I88" i="2" s="1"/>
  <c r="E76" i="2"/>
  <c r="I76" i="2" s="1"/>
  <c r="E68" i="2"/>
  <c r="I68" i="2" s="1"/>
  <c r="E60" i="2"/>
  <c r="I60" i="2" s="1"/>
  <c r="E48" i="2"/>
  <c r="I48" i="2" s="1"/>
  <c r="E44" i="2"/>
  <c r="I44" i="2" s="1"/>
  <c r="E36" i="2"/>
  <c r="I36" i="2" s="1"/>
  <c r="E32" i="2"/>
  <c r="I32" i="2" s="1"/>
  <c r="E20" i="2"/>
  <c r="I20" i="2" s="1"/>
  <c r="E16" i="2"/>
  <c r="I16" i="2" s="1"/>
  <c r="E168" i="2"/>
  <c r="I168" i="2" s="1"/>
  <c r="E379" i="2"/>
  <c r="I379" i="2" s="1"/>
  <c r="E371" i="2"/>
  <c r="I371" i="2" s="1"/>
  <c r="E363" i="2"/>
  <c r="I363" i="2" s="1"/>
  <c r="E355" i="2"/>
  <c r="I355" i="2" s="1"/>
  <c r="E347" i="2"/>
  <c r="I347" i="2" s="1"/>
  <c r="E339" i="2"/>
  <c r="I339" i="2" s="1"/>
  <c r="E331" i="2"/>
  <c r="I331" i="2" s="1"/>
  <c r="E170" i="2"/>
  <c r="I170" i="2" s="1"/>
  <c r="E162" i="2"/>
  <c r="I162" i="2" s="1"/>
  <c r="E163" i="2"/>
  <c r="I163" i="2" s="1"/>
  <c r="E138" i="2"/>
  <c r="I138" i="2" s="1"/>
  <c r="E134" i="2"/>
  <c r="I134" i="2" s="1"/>
  <c r="E130" i="2"/>
  <c r="I130" i="2" s="1"/>
  <c r="E126" i="2"/>
  <c r="I126" i="2" s="1"/>
  <c r="E122" i="2"/>
  <c r="I122" i="2" s="1"/>
  <c r="E118" i="2"/>
  <c r="I118" i="2" s="1"/>
  <c r="E106" i="2"/>
  <c r="I106" i="2" s="1"/>
  <c r="E30" i="2"/>
  <c r="I30" i="2" s="1"/>
  <c r="E22" i="2"/>
  <c r="I22" i="2" s="1"/>
  <c r="E14" i="2"/>
  <c r="I14" i="2" s="1"/>
  <c r="E58" i="2"/>
  <c r="I58" i="2" s="1"/>
  <c r="E42" i="2"/>
  <c r="I42" i="2" s="1"/>
  <c r="E54" i="2"/>
  <c r="I54" i="2" s="1"/>
  <c r="E46" i="2"/>
  <c r="I46" i="2" s="1"/>
  <c r="E50" i="2"/>
  <c r="I50" i="2" s="1"/>
  <c r="E62" i="2"/>
  <c r="I62" i="2" s="1"/>
  <c r="E38" i="2"/>
  <c r="I38" i="2" s="1"/>
  <c r="E26" i="2"/>
  <c r="I26" i="2" s="1"/>
  <c r="E18" i="2"/>
  <c r="I18" i="2" s="1"/>
  <c r="E131" i="2"/>
  <c r="I131" i="2" s="1"/>
  <c r="E155" i="2"/>
  <c r="I155" i="2" s="1"/>
  <c r="E23" i="2"/>
  <c r="I23" i="2" s="1"/>
  <c r="E139" i="2"/>
  <c r="I139" i="2" s="1"/>
  <c r="E75" i="2"/>
  <c r="I75" i="2" s="1"/>
  <c r="E95" i="2"/>
  <c r="I95" i="2" s="1"/>
  <c r="E111" i="2"/>
  <c r="I111" i="2" s="1"/>
  <c r="E47" i="2"/>
  <c r="I47" i="2" s="1"/>
  <c r="E83" i="2"/>
  <c r="I83" i="2" s="1"/>
  <c r="E332" i="2"/>
  <c r="I332" i="2" s="1"/>
  <c r="E340" i="2"/>
  <c r="I340" i="2" s="1"/>
  <c r="E348" i="2"/>
  <c r="I348" i="2" s="1"/>
  <c r="E356" i="2"/>
  <c r="I356" i="2" s="1"/>
  <c r="E364" i="2"/>
  <c r="I364" i="2" s="1"/>
  <c r="E372" i="2"/>
  <c r="I372" i="2" s="1"/>
  <c r="E393" i="2"/>
  <c r="I393" i="2" s="1"/>
  <c r="E409" i="2"/>
  <c r="I409" i="2" s="1"/>
  <c r="E425" i="2"/>
  <c r="I425" i="2" s="1"/>
  <c r="E441" i="2"/>
  <c r="I441" i="2" s="1"/>
  <c r="E457" i="2"/>
  <c r="I457" i="2" s="1"/>
  <c r="E473" i="2"/>
  <c r="I473" i="2" s="1"/>
  <c r="E21" i="2"/>
  <c r="I21" i="2" s="1"/>
  <c r="E37" i="2"/>
  <c r="I37" i="2" s="1"/>
  <c r="E53" i="2"/>
  <c r="I53" i="2" s="1"/>
  <c r="E65" i="2"/>
  <c r="I65" i="2" s="1"/>
  <c r="E73" i="2"/>
  <c r="I73" i="2" s="1"/>
  <c r="E81" i="2"/>
  <c r="I81" i="2" s="1"/>
  <c r="E89" i="2"/>
  <c r="I89" i="2" s="1"/>
  <c r="E97" i="2"/>
  <c r="I97" i="2" s="1"/>
  <c r="E105" i="2"/>
  <c r="I105" i="2" s="1"/>
  <c r="E113" i="2"/>
  <c r="I113" i="2" s="1"/>
  <c r="E121" i="2"/>
  <c r="I121" i="2" s="1"/>
  <c r="E129" i="2"/>
  <c r="I129" i="2" s="1"/>
  <c r="E137" i="2"/>
  <c r="I137" i="2" s="1"/>
  <c r="E145" i="2"/>
  <c r="I145" i="2" s="1"/>
  <c r="E153" i="2"/>
  <c r="I153" i="2" s="1"/>
  <c r="E165" i="2"/>
  <c r="I165" i="2" s="1"/>
  <c r="E175" i="2"/>
  <c r="I175" i="2" s="1"/>
  <c r="E179" i="2"/>
  <c r="I179" i="2" s="1"/>
  <c r="E183" i="2"/>
  <c r="I183" i="2" s="1"/>
  <c r="E187" i="2"/>
  <c r="I187" i="2" s="1"/>
  <c r="E191" i="2"/>
  <c r="I191" i="2" s="1"/>
  <c r="E195" i="2"/>
  <c r="I195" i="2" s="1"/>
  <c r="E199" i="2"/>
  <c r="I199" i="2" s="1"/>
  <c r="E203" i="2"/>
  <c r="I203" i="2" s="1"/>
  <c r="E207" i="2"/>
  <c r="I207" i="2" s="1"/>
  <c r="E211" i="2"/>
  <c r="I211" i="2" s="1"/>
  <c r="E215" i="2"/>
  <c r="I215" i="2" s="1"/>
  <c r="E219" i="2"/>
  <c r="I219" i="2" s="1"/>
  <c r="E223" i="2"/>
  <c r="I223" i="2" s="1"/>
  <c r="E227" i="2"/>
  <c r="I227" i="2" s="1"/>
  <c r="E231" i="2"/>
  <c r="I231" i="2" s="1"/>
  <c r="E235" i="2"/>
  <c r="I235" i="2" s="1"/>
  <c r="E239" i="2"/>
  <c r="I239" i="2" s="1"/>
  <c r="E243" i="2"/>
  <c r="I243" i="2" s="1"/>
  <c r="E247" i="2"/>
  <c r="I247" i="2" s="1"/>
  <c r="E251" i="2"/>
  <c r="I251" i="2" s="1"/>
  <c r="E255" i="2"/>
  <c r="I255" i="2" s="1"/>
  <c r="E259" i="2"/>
  <c r="I259" i="2" s="1"/>
  <c r="E263" i="2"/>
  <c r="I263" i="2" s="1"/>
  <c r="E267" i="2"/>
  <c r="I267" i="2" s="1"/>
  <c r="E275" i="2"/>
  <c r="I275" i="2" s="1"/>
  <c r="E279" i="2"/>
  <c r="I279" i="2" s="1"/>
  <c r="E283" i="2"/>
  <c r="I283" i="2" s="1"/>
  <c r="E287" i="2"/>
  <c r="I287" i="2" s="1"/>
  <c r="E291" i="2"/>
  <c r="I291" i="2" s="1"/>
  <c r="E299" i="2"/>
  <c r="I299" i="2" s="1"/>
  <c r="E303" i="2"/>
  <c r="I303" i="2" s="1"/>
  <c r="E307" i="2"/>
  <c r="I307" i="2" s="1"/>
  <c r="E311" i="2"/>
  <c r="I311" i="2" s="1"/>
  <c r="E315" i="2"/>
  <c r="I315" i="2" s="1"/>
  <c r="E319" i="2"/>
  <c r="I319" i="2" s="1"/>
  <c r="E323" i="2"/>
  <c r="I323" i="2" s="1"/>
  <c r="E382" i="2"/>
  <c r="I382" i="2" s="1"/>
  <c r="E329" i="2"/>
  <c r="I329" i="2" s="1"/>
  <c r="E345" i="2"/>
  <c r="I345" i="2" s="1"/>
  <c r="E361" i="2"/>
  <c r="I361" i="2" s="1"/>
  <c r="E377" i="2"/>
  <c r="I377" i="2" s="1"/>
  <c r="E384" i="2"/>
  <c r="I384" i="2" s="1"/>
  <c r="E416" i="2"/>
  <c r="I416" i="2" s="1"/>
  <c r="E448" i="2"/>
  <c r="I448" i="2" s="1"/>
  <c r="E480" i="2"/>
  <c r="I480" i="2" s="1"/>
  <c r="E462" i="2"/>
  <c r="I462" i="2" s="1"/>
  <c r="E478" i="2"/>
  <c r="I478" i="2" s="1"/>
  <c r="E413" i="2"/>
  <c r="I413" i="2" s="1"/>
  <c r="E445" i="2"/>
  <c r="I445" i="2" s="1"/>
  <c r="E477" i="2"/>
  <c r="I477" i="2" s="1"/>
  <c r="E503" i="2"/>
  <c r="I503" i="2" s="1"/>
  <c r="E497" i="2"/>
  <c r="I497" i="2" s="1"/>
  <c r="E135" i="2"/>
  <c r="I135" i="2" s="1"/>
  <c r="E51" i="2"/>
  <c r="I51" i="2" s="1"/>
  <c r="E55" i="2"/>
  <c r="I55" i="2" s="1"/>
  <c r="E79" i="2"/>
  <c r="I79" i="2" s="1"/>
  <c r="E99" i="2"/>
  <c r="I99" i="2" s="1"/>
  <c r="E35" i="2"/>
  <c r="I35" i="2" s="1"/>
  <c r="E127" i="2"/>
  <c r="I127" i="2" s="1"/>
  <c r="E19" i="2"/>
  <c r="I19" i="2" s="1"/>
  <c r="E330" i="2"/>
  <c r="I330" i="2" s="1"/>
  <c r="E338" i="2"/>
  <c r="I338" i="2" s="1"/>
  <c r="E346" i="2"/>
  <c r="I346" i="2" s="1"/>
  <c r="E354" i="2"/>
  <c r="I354" i="2" s="1"/>
  <c r="E362" i="2"/>
  <c r="I362" i="2" s="1"/>
  <c r="E370" i="2"/>
  <c r="I370" i="2" s="1"/>
  <c r="E493" i="2"/>
  <c r="I493" i="2" s="1"/>
  <c r="E25" i="2"/>
  <c r="I25" i="2" s="1"/>
  <c r="E41" i="2"/>
  <c r="I41" i="2" s="1"/>
  <c r="E57" i="2"/>
  <c r="I57" i="2" s="1"/>
  <c r="E333" i="2"/>
  <c r="I333" i="2" s="1"/>
  <c r="E349" i="2"/>
  <c r="I349" i="2" s="1"/>
  <c r="E365" i="2"/>
  <c r="I365" i="2" s="1"/>
  <c r="E161" i="2"/>
  <c r="I161" i="2" s="1"/>
  <c r="E392" i="2"/>
  <c r="I392" i="2" s="1"/>
  <c r="E424" i="2"/>
  <c r="I424" i="2" s="1"/>
  <c r="E456" i="2"/>
  <c r="I456" i="2" s="1"/>
  <c r="E488" i="2"/>
  <c r="I488" i="2" s="1"/>
  <c r="E398" i="2"/>
  <c r="I398" i="2" s="1"/>
  <c r="E414" i="2"/>
  <c r="I414" i="2" s="1"/>
  <c r="E430" i="2"/>
  <c r="I430" i="2" s="1"/>
  <c r="E446" i="2"/>
  <c r="I446" i="2" s="1"/>
  <c r="E381" i="2"/>
  <c r="I381" i="2" s="1"/>
  <c r="E405" i="2"/>
  <c r="I405" i="2" s="1"/>
  <c r="E437" i="2"/>
  <c r="I437" i="2" s="1"/>
  <c r="E469" i="2"/>
  <c r="I469" i="2" s="1"/>
  <c r="E378" i="2"/>
  <c r="I378" i="2" s="1"/>
  <c r="E394" i="2"/>
  <c r="I394" i="2" s="1"/>
  <c r="E410" i="2"/>
  <c r="I410" i="2" s="1"/>
  <c r="E426" i="2"/>
  <c r="I426" i="2" s="1"/>
  <c r="E442" i="2"/>
  <c r="I442" i="2" s="1"/>
  <c r="E458" i="2"/>
  <c r="I458" i="2" s="1"/>
  <c r="E474" i="2"/>
  <c r="I474" i="2" s="1"/>
  <c r="E490" i="2"/>
  <c r="I490" i="2" s="1"/>
  <c r="E396" i="2"/>
  <c r="I396" i="2" s="1"/>
  <c r="E412" i="2"/>
  <c r="I412" i="2" s="1"/>
  <c r="E428" i="2"/>
  <c r="I428" i="2" s="1"/>
  <c r="E444" i="2"/>
  <c r="I444" i="2" s="1"/>
  <c r="E460" i="2"/>
  <c r="I460" i="2" s="1"/>
  <c r="E476" i="2"/>
  <c r="I476" i="2" s="1"/>
  <c r="E494" i="2"/>
  <c r="I494" i="2" s="1"/>
  <c r="E507" i="2"/>
  <c r="I507" i="2" s="1"/>
  <c r="E511" i="2"/>
  <c r="I511" i="2" s="1"/>
  <c r="E147" i="2"/>
  <c r="I147" i="2" s="1"/>
  <c r="E31" i="2"/>
  <c r="I31" i="2" s="1"/>
  <c r="E115" i="2"/>
  <c r="I115" i="2" s="1"/>
  <c r="E103" i="2"/>
  <c r="I103" i="2" s="1"/>
  <c r="E143" i="2"/>
  <c r="I143" i="2" s="1"/>
  <c r="E401" i="2"/>
  <c r="I401" i="2" s="1"/>
  <c r="E433" i="2"/>
  <c r="I433" i="2" s="1"/>
  <c r="E465" i="2"/>
  <c r="I465" i="2" s="1"/>
  <c r="E13" i="2"/>
  <c r="I13" i="2" s="1"/>
  <c r="E45" i="2"/>
  <c r="I45" i="2" s="1"/>
  <c r="E69" i="2"/>
  <c r="I69" i="2" s="1"/>
  <c r="E85" i="2"/>
  <c r="I85" i="2" s="1"/>
  <c r="E101" i="2"/>
  <c r="I101" i="2" s="1"/>
  <c r="E117" i="2"/>
  <c r="I117" i="2" s="1"/>
  <c r="E133" i="2"/>
  <c r="I133" i="2" s="1"/>
  <c r="E149" i="2"/>
  <c r="I149" i="2" s="1"/>
  <c r="E328" i="2"/>
  <c r="I328" i="2" s="1"/>
  <c r="E344" i="2"/>
  <c r="I344" i="2" s="1"/>
  <c r="E360" i="2"/>
  <c r="I360" i="2" s="1"/>
  <c r="E376" i="2"/>
  <c r="I376" i="2" s="1"/>
  <c r="E337" i="2"/>
  <c r="I337" i="2" s="1"/>
  <c r="E369" i="2"/>
  <c r="I369" i="2" s="1"/>
  <c r="E400" i="2"/>
  <c r="I400" i="2" s="1"/>
  <c r="E432" i="2"/>
  <c r="I432" i="2" s="1"/>
  <c r="E486" i="2"/>
  <c r="I486" i="2" s="1"/>
  <c r="E397" i="2"/>
  <c r="I397" i="2" s="1"/>
  <c r="E429" i="2"/>
  <c r="I429" i="2" s="1"/>
  <c r="E15" i="2"/>
  <c r="I15" i="2" s="1"/>
  <c r="E87" i="2"/>
  <c r="I87" i="2" s="1"/>
  <c r="E63" i="2"/>
  <c r="I63" i="2" s="1"/>
  <c r="E385" i="2"/>
  <c r="I385" i="2" s="1"/>
  <c r="E417" i="2"/>
  <c r="I417" i="2" s="1"/>
  <c r="E449" i="2"/>
  <c r="I449" i="2" s="1"/>
  <c r="E481" i="2"/>
  <c r="I481" i="2" s="1"/>
  <c r="E29" i="2"/>
  <c r="I29" i="2" s="1"/>
  <c r="E61" i="2"/>
  <c r="I61" i="2" s="1"/>
  <c r="E77" i="2"/>
  <c r="I77" i="2" s="1"/>
  <c r="E93" i="2"/>
  <c r="I93" i="2" s="1"/>
  <c r="E109" i="2"/>
  <c r="I109" i="2" s="1"/>
  <c r="E125" i="2"/>
  <c r="I125" i="2" s="1"/>
  <c r="E141" i="2"/>
  <c r="I141" i="2" s="1"/>
  <c r="E157" i="2"/>
  <c r="I157" i="2" s="1"/>
  <c r="E336" i="2"/>
  <c r="I336" i="2" s="1"/>
  <c r="E352" i="2"/>
  <c r="I352" i="2" s="1"/>
  <c r="E368" i="2"/>
  <c r="I368" i="2" s="1"/>
  <c r="E353" i="2"/>
  <c r="I353" i="2" s="1"/>
  <c r="E464" i="2"/>
  <c r="I464" i="2" s="1"/>
  <c r="E470" i="2"/>
  <c r="I470" i="2" s="1"/>
  <c r="E461" i="2"/>
  <c r="I461" i="2" s="1"/>
  <c r="E326" i="2"/>
  <c r="I326" i="2" s="1"/>
  <c r="E325" i="2"/>
  <c r="I325" i="2" s="1"/>
  <c r="E309" i="2"/>
  <c r="I309" i="2" s="1"/>
  <c r="E285" i="2"/>
  <c r="I285" i="2" s="1"/>
  <c r="E261" i="2"/>
  <c r="I261" i="2" s="1"/>
  <c r="E245" i="2"/>
  <c r="I245" i="2" s="1"/>
  <c r="E229" i="2"/>
  <c r="I229" i="2" s="1"/>
  <c r="E213" i="2"/>
  <c r="I213" i="2" s="1"/>
  <c r="E197" i="2"/>
  <c r="I197" i="2" s="1"/>
  <c r="E181" i="2"/>
  <c r="I181" i="2" s="1"/>
  <c r="E49" i="2"/>
  <c r="I49" i="2" s="1"/>
  <c r="E39" i="2"/>
  <c r="I39" i="2" s="1"/>
  <c r="E510" i="3"/>
  <c r="I510" i="3" s="1"/>
  <c r="E506" i="3"/>
  <c r="I506" i="3" s="1"/>
  <c r="E502" i="3"/>
  <c r="I502" i="3" s="1"/>
  <c r="E498" i="3"/>
  <c r="I498" i="3" s="1"/>
  <c r="E494" i="3"/>
  <c r="I494" i="3" s="1"/>
  <c r="E490" i="3"/>
  <c r="I490" i="3" s="1"/>
  <c r="E486" i="3"/>
  <c r="I486" i="3" s="1"/>
  <c r="E482" i="3"/>
  <c r="I482" i="3" s="1"/>
  <c r="E478" i="3"/>
  <c r="I478" i="3" s="1"/>
  <c r="E474" i="3"/>
  <c r="I474" i="3" s="1"/>
  <c r="E470" i="3"/>
  <c r="I470" i="3" s="1"/>
  <c r="E466" i="3"/>
  <c r="I466" i="3" s="1"/>
  <c r="E462" i="3"/>
  <c r="I462" i="3" s="1"/>
  <c r="E458" i="3"/>
  <c r="I458" i="3" s="1"/>
  <c r="E454" i="3"/>
  <c r="I454" i="3" s="1"/>
  <c r="E450" i="3"/>
  <c r="I450" i="3" s="1"/>
  <c r="E446" i="3"/>
  <c r="I446" i="3" s="1"/>
  <c r="E442" i="3"/>
  <c r="I442" i="3" s="1"/>
  <c r="E438" i="3"/>
  <c r="I438" i="3" s="1"/>
  <c r="E434" i="3"/>
  <c r="I434" i="3" s="1"/>
  <c r="E430" i="3"/>
  <c r="I430" i="3" s="1"/>
  <c r="E426" i="3"/>
  <c r="I426" i="3" s="1"/>
  <c r="E422" i="3"/>
  <c r="I422" i="3" s="1"/>
  <c r="E418" i="3"/>
  <c r="I418" i="3" s="1"/>
  <c r="E414" i="3"/>
  <c r="I414" i="3" s="1"/>
  <c r="E410" i="3"/>
  <c r="I410" i="3" s="1"/>
  <c r="E406" i="3"/>
  <c r="I406" i="3" s="1"/>
  <c r="E402" i="3"/>
  <c r="I402" i="3" s="1"/>
  <c r="E398" i="3"/>
  <c r="I398" i="3" s="1"/>
  <c r="E394" i="3"/>
  <c r="I394" i="3" s="1"/>
  <c r="E390" i="3"/>
  <c r="I390" i="3" s="1"/>
  <c r="E386" i="3"/>
  <c r="I386" i="3" s="1"/>
  <c r="E382" i="3"/>
  <c r="I382" i="3" s="1"/>
  <c r="E378" i="3"/>
  <c r="I378" i="3" s="1"/>
  <c r="E374" i="3"/>
  <c r="I374" i="3" s="1"/>
  <c r="E370" i="3"/>
  <c r="I370" i="3" s="1"/>
  <c r="E366" i="3"/>
  <c r="I366" i="3" s="1"/>
  <c r="E362" i="3"/>
  <c r="I362" i="3" s="1"/>
  <c r="E358" i="3"/>
  <c r="I358" i="3" s="1"/>
  <c r="E511" i="3"/>
  <c r="I511" i="3" s="1"/>
  <c r="E507" i="3"/>
  <c r="I507" i="3" s="1"/>
  <c r="E503" i="3"/>
  <c r="I503" i="3" s="1"/>
  <c r="E499" i="3"/>
  <c r="I499" i="3" s="1"/>
  <c r="E495" i="3"/>
  <c r="I495" i="3" s="1"/>
  <c r="E491" i="3"/>
  <c r="I491" i="3" s="1"/>
  <c r="E487" i="3"/>
  <c r="I487" i="3" s="1"/>
  <c r="E483" i="3"/>
  <c r="I483" i="3" s="1"/>
  <c r="E479" i="3"/>
  <c r="I479" i="3" s="1"/>
  <c r="E475" i="3"/>
  <c r="I475" i="3" s="1"/>
  <c r="E471" i="3"/>
  <c r="I471" i="3" s="1"/>
  <c r="E467" i="3"/>
  <c r="I467" i="3" s="1"/>
  <c r="E463" i="3"/>
  <c r="I463" i="3" s="1"/>
  <c r="E459" i="3"/>
  <c r="I459" i="3" s="1"/>
  <c r="E455" i="3"/>
  <c r="I455" i="3" s="1"/>
  <c r="E451" i="3"/>
  <c r="I451" i="3" s="1"/>
  <c r="E447" i="3"/>
  <c r="I447" i="3" s="1"/>
  <c r="E443" i="3"/>
  <c r="I443" i="3" s="1"/>
  <c r="E439" i="3"/>
  <c r="I439" i="3" s="1"/>
  <c r="E435" i="3"/>
  <c r="I435" i="3" s="1"/>
  <c r="E431" i="3"/>
  <c r="I431" i="3" s="1"/>
  <c r="E427" i="3"/>
  <c r="I427" i="3" s="1"/>
  <c r="E423" i="3"/>
  <c r="I423" i="3" s="1"/>
  <c r="E419" i="3"/>
  <c r="I419" i="3" s="1"/>
  <c r="E508" i="3"/>
  <c r="I508" i="3" s="1"/>
  <c r="E504" i="3"/>
  <c r="I504" i="3" s="1"/>
  <c r="E500" i="3"/>
  <c r="I500" i="3" s="1"/>
  <c r="E496" i="3"/>
  <c r="I496" i="3" s="1"/>
  <c r="E492" i="3"/>
  <c r="I492" i="3" s="1"/>
  <c r="E488" i="3"/>
  <c r="I488" i="3" s="1"/>
  <c r="E484" i="3"/>
  <c r="I484" i="3" s="1"/>
  <c r="E480" i="3"/>
  <c r="I480" i="3" s="1"/>
  <c r="E476" i="3"/>
  <c r="I476" i="3" s="1"/>
  <c r="E468" i="3"/>
  <c r="I468" i="3" s="1"/>
  <c r="E460" i="3"/>
  <c r="I460" i="3" s="1"/>
  <c r="E452" i="3"/>
  <c r="I452" i="3" s="1"/>
  <c r="E444" i="3"/>
  <c r="I444" i="3" s="1"/>
  <c r="E436" i="3"/>
  <c r="I436" i="3" s="1"/>
  <c r="E428" i="3"/>
  <c r="I428" i="3" s="1"/>
  <c r="E420" i="3"/>
  <c r="I420" i="3" s="1"/>
  <c r="E364" i="3"/>
  <c r="I364" i="3" s="1"/>
  <c r="E360" i="3"/>
  <c r="I360" i="3" s="1"/>
  <c r="E356" i="3"/>
  <c r="I356" i="3" s="1"/>
  <c r="E347" i="3"/>
  <c r="I347" i="3" s="1"/>
  <c r="E343" i="3"/>
  <c r="I343" i="3" s="1"/>
  <c r="E336" i="3"/>
  <c r="I336" i="3" s="1"/>
  <c r="E333" i="3"/>
  <c r="I333" i="3" s="1"/>
  <c r="E328" i="3"/>
  <c r="I328" i="3" s="1"/>
  <c r="E325" i="3"/>
  <c r="I325" i="3" s="1"/>
  <c r="E320" i="3"/>
  <c r="I320" i="3" s="1"/>
  <c r="E317" i="3"/>
  <c r="I317" i="3" s="1"/>
  <c r="E312" i="3"/>
  <c r="I312" i="3" s="1"/>
  <c r="E308" i="3"/>
  <c r="I308" i="3" s="1"/>
  <c r="E415" i="3"/>
  <c r="I415" i="3" s="1"/>
  <c r="E411" i="3"/>
  <c r="I411" i="3" s="1"/>
  <c r="E407" i="3"/>
  <c r="I407" i="3" s="1"/>
  <c r="E403" i="3"/>
  <c r="I403" i="3" s="1"/>
  <c r="E399" i="3"/>
  <c r="I399" i="3" s="1"/>
  <c r="E395" i="3"/>
  <c r="I395" i="3" s="1"/>
  <c r="E391" i="3"/>
  <c r="I391" i="3" s="1"/>
  <c r="E387" i="3"/>
  <c r="I387" i="3" s="1"/>
  <c r="E383" i="3"/>
  <c r="I383" i="3" s="1"/>
  <c r="E379" i="3"/>
  <c r="I379" i="3" s="1"/>
  <c r="E375" i="3"/>
  <c r="I375" i="3" s="1"/>
  <c r="E371" i="3"/>
  <c r="I371" i="3" s="1"/>
  <c r="E472" i="3"/>
  <c r="I472" i="3" s="1"/>
  <c r="E464" i="3"/>
  <c r="I464" i="3" s="1"/>
  <c r="E456" i="3"/>
  <c r="I456" i="3" s="1"/>
  <c r="E448" i="3"/>
  <c r="I448" i="3" s="1"/>
  <c r="E440" i="3"/>
  <c r="I440" i="3" s="1"/>
  <c r="E432" i="3"/>
  <c r="I432" i="3" s="1"/>
  <c r="E424" i="3"/>
  <c r="I424" i="3" s="1"/>
  <c r="E363" i="3"/>
  <c r="I363" i="3" s="1"/>
  <c r="E359" i="3"/>
  <c r="I359" i="3" s="1"/>
  <c r="E355" i="3"/>
  <c r="I355" i="3" s="1"/>
  <c r="E351" i="3"/>
  <c r="I351" i="3" s="1"/>
  <c r="E335" i="3"/>
  <c r="I335" i="3" s="1"/>
  <c r="E327" i="3"/>
  <c r="I327" i="3" s="1"/>
  <c r="E319" i="3"/>
  <c r="I319" i="3" s="1"/>
  <c r="E331" i="3"/>
  <c r="I331" i="3" s="1"/>
  <c r="E315" i="3"/>
  <c r="I315" i="3" s="1"/>
  <c r="E300" i="3"/>
  <c r="I300" i="3" s="1"/>
  <c r="E292" i="3"/>
  <c r="I292" i="3" s="1"/>
  <c r="E284" i="3"/>
  <c r="I284" i="3" s="1"/>
  <c r="E276" i="3"/>
  <c r="I276" i="3" s="1"/>
  <c r="E268" i="3"/>
  <c r="I268" i="3" s="1"/>
  <c r="E260" i="3"/>
  <c r="I260" i="3" s="1"/>
  <c r="E252" i="3"/>
  <c r="I252" i="3" s="1"/>
  <c r="E244" i="3"/>
  <c r="I244" i="3" s="1"/>
  <c r="E236" i="3"/>
  <c r="I236" i="3" s="1"/>
  <c r="E233" i="3"/>
  <c r="I233" i="3" s="1"/>
  <c r="E229" i="3"/>
  <c r="I229" i="3" s="1"/>
  <c r="E225" i="3"/>
  <c r="I225" i="3" s="1"/>
  <c r="E221" i="3"/>
  <c r="I221" i="3" s="1"/>
  <c r="E213" i="3"/>
  <c r="I213" i="3" s="1"/>
  <c r="E209" i="3"/>
  <c r="I209" i="3" s="1"/>
  <c r="E205" i="3"/>
  <c r="I205" i="3" s="1"/>
  <c r="E201" i="3"/>
  <c r="I201" i="3" s="1"/>
  <c r="E197" i="3"/>
  <c r="I197" i="3" s="1"/>
  <c r="E193" i="3"/>
  <c r="I193" i="3" s="1"/>
  <c r="E189" i="3"/>
  <c r="I189" i="3" s="1"/>
  <c r="E185" i="3"/>
  <c r="I185" i="3" s="1"/>
  <c r="E177" i="3"/>
  <c r="I177" i="3" s="1"/>
  <c r="E169" i="3"/>
  <c r="I169" i="3" s="1"/>
  <c r="E165" i="3"/>
  <c r="I165" i="3" s="1"/>
  <c r="E161" i="3"/>
  <c r="I161" i="3" s="1"/>
  <c r="E157" i="3"/>
  <c r="I157" i="3" s="1"/>
  <c r="E153" i="3"/>
  <c r="I153" i="3" s="1"/>
  <c r="E149" i="3"/>
  <c r="I149" i="3" s="1"/>
  <c r="E145" i="3"/>
  <c r="I145" i="3" s="1"/>
  <c r="E352" i="3"/>
  <c r="I352" i="3" s="1"/>
  <c r="E310" i="3"/>
  <c r="I310" i="3" s="1"/>
  <c r="E306" i="3"/>
  <c r="I306" i="3" s="1"/>
  <c r="E301" i="3"/>
  <c r="I301" i="3" s="1"/>
  <c r="E298" i="3"/>
  <c r="I298" i="3" s="1"/>
  <c r="E293" i="3"/>
  <c r="I293" i="3" s="1"/>
  <c r="E344" i="3"/>
  <c r="I344" i="3" s="1"/>
  <c r="E339" i="3"/>
  <c r="I339" i="3" s="1"/>
  <c r="E337" i="3"/>
  <c r="I337" i="3" s="1"/>
  <c r="E323" i="3"/>
  <c r="I323" i="3" s="1"/>
  <c r="E321" i="3"/>
  <c r="I321" i="3" s="1"/>
  <c r="E316" i="3"/>
  <c r="I316" i="3" s="1"/>
  <c r="E304" i="3"/>
  <c r="I304" i="3" s="1"/>
  <c r="E296" i="3"/>
  <c r="I296" i="3" s="1"/>
  <c r="E288" i="3"/>
  <c r="I288" i="3" s="1"/>
  <c r="E280" i="3"/>
  <c r="I280" i="3" s="1"/>
  <c r="E272" i="3"/>
  <c r="I272" i="3" s="1"/>
  <c r="E264" i="3"/>
  <c r="I264" i="3" s="1"/>
  <c r="E256" i="3"/>
  <c r="I256" i="3" s="1"/>
  <c r="E248" i="3"/>
  <c r="I248" i="3" s="1"/>
  <c r="E240" i="3"/>
  <c r="I240" i="3" s="1"/>
  <c r="E227" i="3"/>
  <c r="I227" i="3" s="1"/>
  <c r="E223" i="3"/>
  <c r="I223" i="3" s="1"/>
  <c r="E219" i="3"/>
  <c r="I219" i="3" s="1"/>
  <c r="E215" i="3"/>
  <c r="I215" i="3" s="1"/>
  <c r="E211" i="3"/>
  <c r="I211" i="3" s="1"/>
  <c r="E207" i="3"/>
  <c r="I207" i="3" s="1"/>
  <c r="E203" i="3"/>
  <c r="I203" i="3" s="1"/>
  <c r="E199" i="3"/>
  <c r="I199" i="3" s="1"/>
  <c r="E195" i="3"/>
  <c r="I195" i="3" s="1"/>
  <c r="E191" i="3"/>
  <c r="I191" i="3" s="1"/>
  <c r="E187" i="3"/>
  <c r="I187" i="3" s="1"/>
  <c r="E183" i="3"/>
  <c r="I183" i="3" s="1"/>
  <c r="E179" i="3"/>
  <c r="I179" i="3" s="1"/>
  <c r="E309" i="3"/>
  <c r="I309" i="3" s="1"/>
  <c r="E171" i="3"/>
  <c r="I171" i="3" s="1"/>
  <c r="E163" i="3"/>
  <c r="I163" i="3" s="1"/>
  <c r="E155" i="3"/>
  <c r="I155" i="3" s="1"/>
  <c r="E147" i="3"/>
  <c r="I147" i="3" s="1"/>
  <c r="E175" i="3"/>
  <c r="I175" i="3" s="1"/>
  <c r="E167" i="3"/>
  <c r="I167" i="3" s="1"/>
  <c r="E159" i="3"/>
  <c r="I159" i="3" s="1"/>
  <c r="E151" i="3"/>
  <c r="I151" i="3" s="1"/>
  <c r="E143" i="3"/>
  <c r="I143" i="3" s="1"/>
  <c r="E141" i="3"/>
  <c r="I141" i="3" s="1"/>
  <c r="E139" i="3"/>
  <c r="I139" i="3" s="1"/>
  <c r="E137" i="3"/>
  <c r="I137" i="3" s="1"/>
  <c r="E135" i="3"/>
  <c r="I135" i="3" s="1"/>
  <c r="E133" i="3"/>
  <c r="I133" i="3" s="1"/>
  <c r="E131" i="3"/>
  <c r="I131" i="3" s="1"/>
  <c r="E127" i="3"/>
  <c r="I127" i="3" s="1"/>
  <c r="E125" i="3"/>
  <c r="I125" i="3" s="1"/>
  <c r="E123" i="3"/>
  <c r="I123" i="3" s="1"/>
  <c r="E121" i="3"/>
  <c r="I121" i="3" s="1"/>
  <c r="E119" i="3"/>
  <c r="I119" i="3" s="1"/>
  <c r="E117" i="3"/>
  <c r="I117" i="3" s="1"/>
  <c r="E115" i="3"/>
  <c r="I115" i="3" s="1"/>
  <c r="E113" i="3"/>
  <c r="I113" i="3" s="1"/>
  <c r="E111" i="3"/>
  <c r="I111" i="3" s="1"/>
  <c r="E109" i="3"/>
  <c r="I109" i="3" s="1"/>
  <c r="E107" i="3"/>
  <c r="I107" i="3" s="1"/>
  <c r="E105" i="3"/>
  <c r="I105" i="3" s="1"/>
  <c r="E103" i="3"/>
  <c r="I103" i="3" s="1"/>
  <c r="E101" i="3"/>
  <c r="I101" i="3" s="1"/>
  <c r="E99" i="3"/>
  <c r="I99" i="3" s="1"/>
  <c r="E97" i="3"/>
  <c r="I97" i="3" s="1"/>
  <c r="E95" i="3"/>
  <c r="I95" i="3" s="1"/>
  <c r="E93" i="3"/>
  <c r="I93" i="3" s="1"/>
  <c r="E91" i="3"/>
  <c r="I91" i="3" s="1"/>
  <c r="E89" i="3"/>
  <c r="I89" i="3" s="1"/>
  <c r="E87" i="3"/>
  <c r="I87" i="3" s="1"/>
  <c r="E85" i="3"/>
  <c r="I85" i="3" s="1"/>
  <c r="E83" i="3"/>
  <c r="I83" i="3" s="1"/>
  <c r="E81" i="3"/>
  <c r="I81" i="3" s="1"/>
  <c r="E77" i="3"/>
  <c r="I77" i="3" s="1"/>
  <c r="E75" i="3"/>
  <c r="I75" i="3" s="1"/>
  <c r="E73" i="3"/>
  <c r="I73" i="3" s="1"/>
  <c r="E71" i="3"/>
  <c r="I71" i="3" s="1"/>
  <c r="E69" i="3"/>
  <c r="I69" i="3" s="1"/>
  <c r="E67" i="3"/>
  <c r="I67" i="3" s="1"/>
  <c r="E65" i="3"/>
  <c r="I65" i="3" s="1"/>
  <c r="E63" i="3"/>
  <c r="I63" i="3" s="1"/>
  <c r="E59" i="3"/>
  <c r="I59" i="3" s="1"/>
  <c r="E55" i="3"/>
  <c r="I55" i="3" s="1"/>
  <c r="E53" i="3"/>
  <c r="I53" i="3" s="1"/>
  <c r="E51" i="3"/>
  <c r="I51" i="3" s="1"/>
  <c r="E49" i="3"/>
  <c r="I49" i="3" s="1"/>
  <c r="E47" i="3"/>
  <c r="I47" i="3" s="1"/>
  <c r="E45" i="3"/>
  <c r="I45" i="3" s="1"/>
  <c r="E43" i="3"/>
  <c r="I43" i="3" s="1"/>
  <c r="E41" i="3"/>
  <c r="I41" i="3" s="1"/>
  <c r="E39" i="3"/>
  <c r="I39" i="3" s="1"/>
  <c r="E37" i="3"/>
  <c r="I37" i="3" s="1"/>
  <c r="E35" i="3"/>
  <c r="I35" i="3" s="1"/>
  <c r="E33" i="3"/>
  <c r="I33" i="3" s="1"/>
  <c r="E31" i="3"/>
  <c r="I31" i="3" s="1"/>
  <c r="E27" i="3"/>
  <c r="I27" i="3" s="1"/>
  <c r="E25" i="3"/>
  <c r="I25" i="3" s="1"/>
  <c r="E23" i="3"/>
  <c r="I23" i="3" s="1"/>
  <c r="E21" i="3"/>
  <c r="I21" i="3" s="1"/>
  <c r="E19" i="3"/>
  <c r="I19" i="3" s="1"/>
  <c r="E17" i="3"/>
  <c r="I17" i="3" s="1"/>
  <c r="E15" i="3"/>
  <c r="I15" i="3" s="1"/>
  <c r="E13" i="3"/>
  <c r="I13" i="3" s="1"/>
  <c r="E509" i="3"/>
  <c r="I509" i="3" s="1"/>
  <c r="E489" i="3"/>
  <c r="I489" i="3" s="1"/>
  <c r="E341" i="3"/>
  <c r="I341" i="3" s="1"/>
  <c r="E405" i="3"/>
  <c r="I405" i="3" s="1"/>
  <c r="E385" i="3"/>
  <c r="I385" i="3" s="1"/>
  <c r="E369" i="3"/>
  <c r="I369" i="3" s="1"/>
  <c r="E461" i="3"/>
  <c r="I461" i="3" s="1"/>
  <c r="E445" i="3"/>
  <c r="I445" i="3" s="1"/>
  <c r="E429" i="3"/>
  <c r="I429" i="3" s="1"/>
  <c r="E365" i="3"/>
  <c r="I365" i="3" s="1"/>
  <c r="E353" i="3"/>
  <c r="I353" i="3" s="1"/>
  <c r="E329" i="3"/>
  <c r="I329" i="3" s="1"/>
  <c r="E313" i="3"/>
  <c r="I313" i="3" s="1"/>
  <c r="E279" i="3"/>
  <c r="I279" i="3" s="1"/>
  <c r="E263" i="3"/>
  <c r="I263" i="3" s="1"/>
  <c r="E247" i="3"/>
  <c r="I247" i="3" s="1"/>
  <c r="E416" i="3"/>
  <c r="I416" i="3" s="1"/>
  <c r="E400" i="3"/>
  <c r="I400" i="3" s="1"/>
  <c r="E388" i="3"/>
  <c r="I388" i="3" s="1"/>
  <c r="E372" i="3"/>
  <c r="I372" i="3" s="1"/>
  <c r="E235" i="3"/>
  <c r="I235" i="3" s="1"/>
  <c r="E307" i="3"/>
  <c r="I307" i="3" s="1"/>
  <c r="E286" i="3"/>
  <c r="I286" i="3" s="1"/>
  <c r="E270" i="3"/>
  <c r="I270" i="3" s="1"/>
  <c r="E285" i="3"/>
  <c r="I285" i="3" s="1"/>
  <c r="E269" i="3"/>
  <c r="I269" i="3" s="1"/>
  <c r="E253" i="3"/>
  <c r="I253" i="3" s="1"/>
  <c r="E168" i="3"/>
  <c r="I168" i="3" s="1"/>
  <c r="E152" i="3"/>
  <c r="I152" i="3" s="1"/>
  <c r="E226" i="3"/>
  <c r="I226" i="3" s="1"/>
  <c r="E178" i="3"/>
  <c r="I178" i="3" s="1"/>
  <c r="E164" i="3"/>
  <c r="I164" i="3" s="1"/>
  <c r="E148" i="3"/>
  <c r="I148" i="3" s="1"/>
  <c r="E297" i="3"/>
  <c r="I297" i="3" s="1"/>
  <c r="E282" i="3"/>
  <c r="I282" i="3" s="1"/>
  <c r="E266" i="3"/>
  <c r="I266" i="3" s="1"/>
  <c r="E242" i="3"/>
  <c r="I242" i="3" s="1"/>
  <c r="E198" i="3"/>
  <c r="I198" i="3" s="1"/>
  <c r="E182" i="3"/>
  <c r="I182" i="3" s="1"/>
  <c r="E166" i="3"/>
  <c r="I166" i="3" s="1"/>
  <c r="E142" i="3"/>
  <c r="I142" i="3" s="1"/>
  <c r="E138" i="3"/>
  <c r="I138" i="3" s="1"/>
  <c r="E134" i="3"/>
  <c r="I134" i="3" s="1"/>
  <c r="E130" i="3"/>
  <c r="I130" i="3" s="1"/>
  <c r="E122" i="3"/>
  <c r="I122" i="3" s="1"/>
  <c r="E118" i="3"/>
  <c r="I118" i="3" s="1"/>
  <c r="E114" i="3"/>
  <c r="I114" i="3" s="1"/>
  <c r="E110" i="3"/>
  <c r="I110" i="3" s="1"/>
  <c r="E106" i="3"/>
  <c r="I106" i="3" s="1"/>
  <c r="E102" i="3"/>
  <c r="I102" i="3" s="1"/>
  <c r="E98" i="3"/>
  <c r="I98" i="3" s="1"/>
  <c r="E94" i="3"/>
  <c r="I94" i="3" s="1"/>
  <c r="E90" i="3"/>
  <c r="I90" i="3" s="1"/>
  <c r="E86" i="3"/>
  <c r="I86" i="3" s="1"/>
  <c r="E82" i="3"/>
  <c r="I82" i="3" s="1"/>
  <c r="E78" i="3"/>
  <c r="I78" i="3" s="1"/>
  <c r="E74" i="3"/>
  <c r="I74" i="3" s="1"/>
  <c r="E70" i="3"/>
  <c r="I70" i="3" s="1"/>
  <c r="E66" i="3"/>
  <c r="I66" i="3" s="1"/>
  <c r="E58" i="3"/>
  <c r="I58" i="3" s="1"/>
  <c r="E54" i="3"/>
  <c r="I54" i="3" s="1"/>
  <c r="E50" i="3"/>
  <c r="I50" i="3" s="1"/>
  <c r="E46" i="3"/>
  <c r="I46" i="3" s="1"/>
  <c r="E42" i="3"/>
  <c r="I42" i="3" s="1"/>
  <c r="E38" i="3"/>
  <c r="I38" i="3" s="1"/>
  <c r="E34" i="3"/>
  <c r="I34" i="3" s="1"/>
  <c r="E30" i="3"/>
  <c r="I30" i="3" s="1"/>
  <c r="E22" i="3"/>
  <c r="I22" i="3" s="1"/>
  <c r="E18" i="3"/>
  <c r="I18" i="3" s="1"/>
  <c r="E14" i="3"/>
  <c r="I14" i="3" s="1"/>
  <c r="E417" i="3"/>
  <c r="I417" i="3" s="1"/>
  <c r="E401" i="3"/>
  <c r="I401" i="3" s="1"/>
  <c r="E381" i="3"/>
  <c r="I381" i="3" s="1"/>
  <c r="E357" i="3"/>
  <c r="I357" i="3" s="1"/>
  <c r="E338" i="3"/>
  <c r="I338" i="3" s="1"/>
  <c r="E322" i="3"/>
  <c r="I322" i="3" s="1"/>
  <c r="E348" i="3"/>
  <c r="I348" i="3" s="1"/>
  <c r="E412" i="3"/>
  <c r="I412" i="3" s="1"/>
  <c r="E384" i="3"/>
  <c r="I384" i="3" s="1"/>
  <c r="E368" i="3"/>
  <c r="I368" i="3" s="1"/>
  <c r="E334" i="3"/>
  <c r="I334" i="3" s="1"/>
  <c r="E299" i="3"/>
  <c r="I299" i="3" s="1"/>
  <c r="E283" i="3"/>
  <c r="I283" i="3" s="1"/>
  <c r="E267" i="3"/>
  <c r="I267" i="3" s="1"/>
  <c r="E251" i="3"/>
  <c r="I251" i="3" s="1"/>
  <c r="E302" i="3"/>
  <c r="I302" i="3" s="1"/>
  <c r="E238" i="3"/>
  <c r="I238" i="3" s="1"/>
  <c r="E228" i="3"/>
  <c r="I228" i="3" s="1"/>
  <c r="E220" i="3"/>
  <c r="I220" i="3" s="1"/>
  <c r="E204" i="3"/>
  <c r="I204" i="3" s="1"/>
  <c r="E196" i="3"/>
  <c r="I196" i="3" s="1"/>
  <c r="E180" i="3"/>
  <c r="I180" i="3" s="1"/>
  <c r="E281" i="3"/>
  <c r="I281" i="3" s="1"/>
  <c r="E265" i="3"/>
  <c r="I265" i="3" s="1"/>
  <c r="E245" i="3"/>
  <c r="I245" i="3" s="1"/>
  <c r="E222" i="3"/>
  <c r="I222" i="3" s="1"/>
  <c r="E170" i="3"/>
  <c r="I170" i="3" s="1"/>
  <c r="E174" i="3"/>
  <c r="I174" i="3" s="1"/>
  <c r="E214" i="3"/>
  <c r="I214" i="3" s="1"/>
  <c r="E194" i="3"/>
  <c r="I194" i="3" s="1"/>
  <c r="E158" i="3"/>
  <c r="I158" i="3" s="1"/>
  <c r="E140" i="3"/>
  <c r="I140" i="3" s="1"/>
  <c r="E136" i="3"/>
  <c r="I136" i="3" s="1"/>
  <c r="E132" i="3"/>
  <c r="I132" i="3" s="1"/>
  <c r="E128" i="3"/>
  <c r="I128" i="3" s="1"/>
  <c r="E120" i="3"/>
  <c r="I120" i="3" s="1"/>
  <c r="E116" i="3"/>
  <c r="I116" i="3" s="1"/>
  <c r="E112" i="3"/>
  <c r="I112" i="3" s="1"/>
  <c r="E108" i="3"/>
  <c r="I108" i="3" s="1"/>
  <c r="E104" i="3"/>
  <c r="I104" i="3" s="1"/>
  <c r="E100" i="3"/>
  <c r="I100" i="3" s="1"/>
  <c r="E96" i="3"/>
  <c r="I96" i="3" s="1"/>
  <c r="E92" i="3"/>
  <c r="I92" i="3" s="1"/>
  <c r="E84" i="3"/>
  <c r="I84" i="3" s="1"/>
  <c r="E76" i="3"/>
  <c r="I76" i="3" s="1"/>
  <c r="E72" i="3"/>
  <c r="I72" i="3" s="1"/>
  <c r="E68" i="3"/>
  <c r="I68" i="3" s="1"/>
  <c r="E64" i="3"/>
  <c r="I64" i="3" s="1"/>
  <c r="E60" i="3"/>
  <c r="I60" i="3" s="1"/>
  <c r="E52" i="3"/>
  <c r="I52" i="3" s="1"/>
  <c r="E48" i="3"/>
  <c r="I48" i="3" s="1"/>
  <c r="E40" i="3"/>
  <c r="I40" i="3" s="1"/>
  <c r="E36" i="3"/>
  <c r="I36" i="3" s="1"/>
  <c r="E32" i="3"/>
  <c r="I32" i="3" s="1"/>
  <c r="E28" i="3"/>
  <c r="I28" i="3" s="1"/>
  <c r="E24" i="3"/>
  <c r="I24" i="3" s="1"/>
  <c r="E20" i="3"/>
  <c r="I20" i="3" s="1"/>
  <c r="E16" i="3"/>
  <c r="I16" i="3" s="1"/>
  <c r="E12" i="3"/>
  <c r="I12" i="3" s="1"/>
  <c r="L102" i="1"/>
  <c r="N102" i="1"/>
  <c r="L112" i="1"/>
  <c r="H112" i="1" s="1"/>
  <c r="O112" i="1" s="1"/>
  <c r="N112" i="1"/>
  <c r="O55" i="1"/>
  <c r="N114" i="1"/>
  <c r="P114" i="1"/>
  <c r="L121" i="1"/>
  <c r="H121" i="1" s="1"/>
  <c r="O121" i="1" s="1"/>
  <c r="N121" i="1"/>
  <c r="L117" i="1"/>
  <c r="H117" i="1" s="1"/>
  <c r="O117" i="1" s="1"/>
  <c r="N117" i="1"/>
  <c r="L124" i="1"/>
  <c r="H124" i="1" s="1"/>
  <c r="O124" i="1" s="1"/>
  <c r="N124" i="1"/>
  <c r="L120" i="1"/>
  <c r="H120" i="1" s="1"/>
  <c r="O120" i="1" s="1"/>
  <c r="N120" i="1"/>
  <c r="L116" i="1"/>
  <c r="H116" i="1" s="1"/>
  <c r="O116" i="1" s="1"/>
  <c r="N116" i="1"/>
  <c r="I512" i="3" l="1"/>
  <c r="D7" i="3" s="1"/>
  <c r="F7" i="3" s="1"/>
  <c r="F10" i="5" s="1"/>
  <c r="J10" i="5" s="1"/>
  <c r="N80" i="1"/>
  <c r="N79" i="1"/>
  <c r="O33" i="1"/>
  <c r="P80" i="1"/>
  <c r="P79" i="1"/>
  <c r="N127" i="1"/>
  <c r="N126" i="1"/>
  <c r="P127" i="1"/>
  <c r="O80" i="1"/>
  <c r="L126" i="1"/>
  <c r="L127" i="1"/>
  <c r="H80" i="1"/>
  <c r="H79" i="1"/>
  <c r="I512" i="2"/>
  <c r="D7" i="2" s="1"/>
  <c r="F7" i="2" s="1"/>
  <c r="E10" i="5" s="1"/>
  <c r="I10" i="5" s="1"/>
  <c r="H102" i="1"/>
  <c r="H126" i="1" l="1"/>
  <c r="H127" i="1"/>
  <c r="E19" i="5"/>
  <c r="E11" i="5"/>
  <c r="E18" i="5"/>
  <c r="G10" i="5"/>
  <c r="F19" i="5"/>
  <c r="F11" i="5"/>
  <c r="F18" i="5"/>
  <c r="H10" i="5"/>
  <c r="O102" i="1"/>
  <c r="G18" i="5" l="1"/>
  <c r="I18" i="5"/>
  <c r="H18" i="5"/>
  <c r="J18" i="5"/>
  <c r="H11" i="5"/>
  <c r="H12" i="5" s="1"/>
  <c r="J11" i="5"/>
  <c r="J12" i="5" s="1"/>
  <c r="G11" i="5"/>
  <c r="G12" i="5" s="1"/>
  <c r="I11" i="5"/>
  <c r="I12" i="5" s="1"/>
  <c r="H19" i="5"/>
  <c r="H20" i="5" s="1"/>
  <c r="J19" i="5"/>
  <c r="G19" i="5"/>
  <c r="G20" i="5" s="1"/>
  <c r="I19" i="5"/>
  <c r="O127" i="1"/>
  <c r="I20" i="5" l="1"/>
  <c r="J20" i="5"/>
</calcChain>
</file>

<file path=xl/sharedStrings.xml><?xml version="1.0" encoding="utf-8"?>
<sst xmlns="http://schemas.openxmlformats.org/spreadsheetml/2006/main" count="3637" uniqueCount="1383">
  <si>
    <t>Constant Growth Discounted Cash Flow Model</t>
  </si>
  <si>
    <t>30 Day Average Stock Price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</si>
  <si>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</si>
  <si>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</si>
  <si>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</si>
  <si>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</si>
  <si>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</si>
  <si>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</si>
  <si>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</si>
  <si>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</si>
  <si>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</si>
  <si>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</si>
  <si>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</si>
  <si>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Company</t>
  </si>
  <si>
    <t>Ticker</t>
  </si>
  <si>
    <t>Annualized Dividend</t>
  </si>
  <si>
    <t>Average Stock
Price</t>
  </si>
  <si>
    <t>Dividend Yield</t>
  </si>
  <si>
    <t>Expected Dividend Yield</t>
  </si>
  <si>
    <t>Zacks Earnings Growth</t>
  </si>
  <si>
    <t>First Call Earnings Growth</t>
  </si>
  <si>
    <t>Value Line Earnings Growth</t>
  </si>
  <si>
    <t>Average Earnings Growth</t>
  </si>
  <si>
    <t>Low
ROE</t>
  </si>
  <si>
    <t>Mean
ROE</t>
  </si>
  <si>
    <t>High
ROE</t>
  </si>
  <si>
    <t>ALLETE, Inc.</t>
  </si>
  <si>
    <t>ALE</t>
  </si>
  <si>
    <t>NA</t>
  </si>
  <si>
    <t>Alliant Energy Corporation</t>
  </si>
  <si>
    <t>LNT</t>
  </si>
  <si>
    <t>Ameren Corporation</t>
  </si>
  <si>
    <t>AEE</t>
  </si>
  <si>
    <t>AEP</t>
  </si>
  <si>
    <t>Avangrid, Inc.</t>
  </si>
  <si>
    <t>AGR</t>
  </si>
  <si>
    <t>Black Hills Corporation</t>
  </si>
  <si>
    <t>BKH</t>
  </si>
  <si>
    <t>CMS Energy Corporation</t>
  </si>
  <si>
    <t>CMS</t>
  </si>
  <si>
    <t>Consolidated Edison, Inc.</t>
  </si>
  <si>
    <t>ED</t>
  </si>
  <si>
    <t>DTE Energy Company</t>
  </si>
  <si>
    <t>DTE</t>
  </si>
  <si>
    <t>Duke Energy Corporation</t>
  </si>
  <si>
    <t>DUK</t>
  </si>
  <si>
    <t>El Paso Electric Company</t>
  </si>
  <si>
    <t>EE</t>
  </si>
  <si>
    <t>Evergy, Inc</t>
  </si>
  <si>
    <t>EVRG</t>
  </si>
  <si>
    <t>NMF</t>
  </si>
  <si>
    <t>Eversource Energy</t>
  </si>
  <si>
    <t>ES</t>
  </si>
  <si>
    <t>Hawaiian Electric Industries, Inc.</t>
  </si>
  <si>
    <t>HE</t>
  </si>
  <si>
    <t>NextEra Energy, Inc.</t>
  </si>
  <si>
    <t>NEE</t>
  </si>
  <si>
    <t>NorthWestern Corporation</t>
  </si>
  <si>
    <t>NWE</t>
  </si>
  <si>
    <t>OGE Energy Corp.</t>
  </si>
  <si>
    <t>OGE</t>
  </si>
  <si>
    <t>Otter Tail Corporation</t>
  </si>
  <si>
    <t>OTTR</t>
  </si>
  <si>
    <t>Pinnacle West Capital Corporation</t>
  </si>
  <si>
    <t>PNW</t>
  </si>
  <si>
    <t>PNM Resources, Inc.</t>
  </si>
  <si>
    <t>PNM</t>
  </si>
  <si>
    <t>Portland General Electric Company</t>
  </si>
  <si>
    <t>POR</t>
  </si>
  <si>
    <t>Southern Company</t>
  </si>
  <si>
    <t>SO</t>
  </si>
  <si>
    <t>WEC Energy Group, Inc.</t>
  </si>
  <si>
    <t>WEC</t>
  </si>
  <si>
    <t>Xcel Energy Inc.</t>
  </si>
  <si>
    <t>XEL</t>
  </si>
  <si>
    <t>Proxy Group Mean</t>
  </si>
  <si>
    <t>Proxy Group Median</t>
  </si>
  <si>
    <t>Notes:</t>
  </si>
  <si>
    <t>[1] Source: Bloomberg Professional</t>
  </si>
  <si>
    <t>[2] Source: Bloomberg Professional, equals indicated number of trading day average as of March 15, 2019</t>
  </si>
  <si>
    <t>[3] Equals [1] / [2]</t>
  </si>
  <si>
    <t>[4] Equals [3] x (1 + 0.5 x [8])</t>
  </si>
  <si>
    <t>[5] Source: Zacks</t>
  </si>
  <si>
    <t>[6] Source: Yahoo! Finance</t>
  </si>
  <si>
    <t>[7] Source: Value Line</t>
  </si>
  <si>
    <t>[8] Equals Average([5], [6], [7])</t>
  </si>
  <si>
    <t>[9] Equals [3] x (1 + 0.5 x Minimum([5], [6], [7])) +  Minimum([5], [6], [7])</t>
  </si>
  <si>
    <t>[10] Equals [4] + [8]</t>
  </si>
  <si>
    <t>[11] Equals [3] x (1 + 0.5 x Maximum([5], [6], [7])) +  Maximum([5], [6], [7])</t>
  </si>
  <si>
    <t>90 Day Average Stock Price</t>
  </si>
  <si>
    <t>180 Day Average Stock Price</t>
  </si>
  <si>
    <t>Ex-Ante Market Risk Premium</t>
  </si>
  <si>
    <t>Market DCF Method Based - Bloomberg</t>
  </si>
  <si>
    <t>S&amp;P 500
Est. Required
Market Return</t>
  </si>
  <si>
    <t>Current 30-Year Treasury (30-day average)</t>
  </si>
  <si>
    <t>Implied Market 
Risk Premium</t>
  </si>
  <si>
    <t>Market 
Capitalization</t>
  </si>
  <si>
    <t>Weight in Index</t>
  </si>
  <si>
    <t>Estimated 
Dividend Yield</t>
  </si>
  <si>
    <t>Long-Term 
Growth Est.</t>
  </si>
  <si>
    <t>DCF Result</t>
  </si>
  <si>
    <t>Weighted
DCF Result</t>
  </si>
  <si>
    <t>Agilent Technologies Inc</t>
  </si>
  <si>
    <t>A</t>
  </si>
  <si>
    <t>N/A</t>
  </si>
  <si>
    <t>American Airlines Group Inc</t>
  </si>
  <si>
    <t>AAL</t>
  </si>
  <si>
    <t>Advance Auto Parts Inc</t>
  </si>
  <si>
    <t>AAP</t>
  </si>
  <si>
    <t>Apple Inc</t>
  </si>
  <si>
    <t>AAPL</t>
  </si>
  <si>
    <t>AbbVie Inc</t>
  </si>
  <si>
    <t>ABBV</t>
  </si>
  <si>
    <t>AmerisourceBergen Corp</t>
  </si>
  <si>
    <t>ABC</t>
  </si>
  <si>
    <t>ABIOMED Inc</t>
  </si>
  <si>
    <t>ABMD</t>
  </si>
  <si>
    <t>0.00%</t>
  </si>
  <si>
    <t>Abbott Laboratories</t>
  </si>
  <si>
    <t>ABT</t>
  </si>
  <si>
    <t>Accenture PLC</t>
  </si>
  <si>
    <t>ACN</t>
  </si>
  <si>
    <t>Adobe Inc</t>
  </si>
  <si>
    <t>ADBE</t>
  </si>
  <si>
    <t>Analog Devices Inc</t>
  </si>
  <si>
    <t>ADI</t>
  </si>
  <si>
    <t>Archer-Daniels-Midland Co</t>
  </si>
  <si>
    <t>ADM</t>
  </si>
  <si>
    <t>Automatic Data Processing Inc</t>
  </si>
  <si>
    <t>ADP</t>
  </si>
  <si>
    <t>Alliance Data Systems Corp</t>
  </si>
  <si>
    <t>ADS</t>
  </si>
  <si>
    <t>Autodesk Inc</t>
  </si>
  <si>
    <t>ADSK</t>
  </si>
  <si>
    <t>Ameren Corp</t>
  </si>
  <si>
    <t>American Electric Power Co Inc</t>
  </si>
  <si>
    <t>AES Corp/VA</t>
  </si>
  <si>
    <t>AES</t>
  </si>
  <si>
    <t>Aflac Inc</t>
  </si>
  <si>
    <t>AFL</t>
  </si>
  <si>
    <t>Allergan PLC</t>
  </si>
  <si>
    <t>AGN</t>
  </si>
  <si>
    <t>American International Group Inc</t>
  </si>
  <si>
    <t>AIG</t>
  </si>
  <si>
    <t>Apartment Investment &amp; Management Co</t>
  </si>
  <si>
    <t>AIV</t>
  </si>
  <si>
    <t>Assurant Inc</t>
  </si>
  <si>
    <t>AIZ</t>
  </si>
  <si>
    <t>Arthur J Gallagher &amp; Co</t>
  </si>
  <si>
    <t>AJG</t>
  </si>
  <si>
    <t>Akamai Technologies Inc</t>
  </si>
  <si>
    <t>AKAM</t>
  </si>
  <si>
    <t>Albemarle Corp</t>
  </si>
  <si>
    <t>ALB</t>
  </si>
  <si>
    <t>Align Technology Inc</t>
  </si>
  <si>
    <t>ALGN</t>
  </si>
  <si>
    <t>Alaska Air Group Inc</t>
  </si>
  <si>
    <t>ALK</t>
  </si>
  <si>
    <t>Allstate Corp/The</t>
  </si>
  <si>
    <t>ALL</t>
  </si>
  <si>
    <t>Allegion PLC</t>
  </si>
  <si>
    <t>ALLE</t>
  </si>
  <si>
    <t>Alexion Pharmaceuticals Inc</t>
  </si>
  <si>
    <t>ALXN</t>
  </si>
  <si>
    <t>Applied Materials Inc</t>
  </si>
  <si>
    <t>AMAT</t>
  </si>
  <si>
    <t>Advanced Micro Devices Inc</t>
  </si>
  <si>
    <t>AMD</t>
  </si>
  <si>
    <t>AMETEK Inc</t>
  </si>
  <si>
    <t>AME</t>
  </si>
  <si>
    <t>Affiliated Managers Group Inc</t>
  </si>
  <si>
    <t>AMG</t>
  </si>
  <si>
    <t>Amgen Inc</t>
  </si>
  <si>
    <t>AMGN</t>
  </si>
  <si>
    <t>Ameriprise Financial Inc</t>
  </si>
  <si>
    <t>AMP</t>
  </si>
  <si>
    <t>American Tower Corp</t>
  </si>
  <si>
    <t>AMT</t>
  </si>
  <si>
    <t>Amazon.com Inc</t>
  </si>
  <si>
    <t>AMZN</t>
  </si>
  <si>
    <t>Arista Networks Inc</t>
  </si>
  <si>
    <t>ANET</t>
  </si>
  <si>
    <t>ANSYS Inc</t>
  </si>
  <si>
    <t>ANSS</t>
  </si>
  <si>
    <t>Anthem Inc</t>
  </si>
  <si>
    <t>ANTM</t>
  </si>
  <si>
    <t>Aon PLC</t>
  </si>
  <si>
    <t>AON</t>
  </si>
  <si>
    <t>AO Smith Corp</t>
  </si>
  <si>
    <t>AOS</t>
  </si>
  <si>
    <t>Apache Corp</t>
  </si>
  <si>
    <t>APA</t>
  </si>
  <si>
    <t>Anadarko Petroleum Corp</t>
  </si>
  <si>
    <t>APC</t>
  </si>
  <si>
    <t>Air Products &amp; Chemicals Inc</t>
  </si>
  <si>
    <t>APD</t>
  </si>
  <si>
    <t>Amphenol Corp</t>
  </si>
  <si>
    <t>APH</t>
  </si>
  <si>
    <t>Aptiv PLC</t>
  </si>
  <si>
    <t>APTV</t>
  </si>
  <si>
    <t>Alexandria Real Estate Equities Inc</t>
  </si>
  <si>
    <t>ARE</t>
  </si>
  <si>
    <t>Arconic Inc</t>
  </si>
  <si>
    <t>ARNC</t>
  </si>
  <si>
    <t>Atmos Energy Corp</t>
  </si>
  <si>
    <t>ATO</t>
  </si>
  <si>
    <t>Activision Blizzard Inc</t>
  </si>
  <si>
    <t>ATVI</t>
  </si>
  <si>
    <t>AvalonBay Communities Inc</t>
  </si>
  <si>
    <t>AVB</t>
  </si>
  <si>
    <t>Broadcom Inc</t>
  </si>
  <si>
    <t>AVGO</t>
  </si>
  <si>
    <t>Avery Dennison Corp</t>
  </si>
  <si>
    <t>AVY</t>
  </si>
  <si>
    <t>American Water Works Co Inc</t>
  </si>
  <si>
    <t>AWK</t>
  </si>
  <si>
    <t>American Express Co</t>
  </si>
  <si>
    <t>AXP</t>
  </si>
  <si>
    <t>AutoZone Inc</t>
  </si>
  <si>
    <t>AZO</t>
  </si>
  <si>
    <t>Boeing Co/The</t>
  </si>
  <si>
    <t>BA</t>
  </si>
  <si>
    <t>Bank of America Corp</t>
  </si>
  <si>
    <t>BAC</t>
  </si>
  <si>
    <t>Baxter International Inc</t>
  </si>
  <si>
    <t>BAX</t>
  </si>
  <si>
    <t>BB&amp;T Corp</t>
  </si>
  <si>
    <t>BBT</t>
  </si>
  <si>
    <t>Best Buy Co Inc</t>
  </si>
  <si>
    <t>BBY</t>
  </si>
  <si>
    <t>Becton Dickinson and Co</t>
  </si>
  <si>
    <t>BDX</t>
  </si>
  <si>
    <t>Franklin Resources Inc</t>
  </si>
  <si>
    <t>BEN</t>
  </si>
  <si>
    <t>Brown-Forman Corp</t>
  </si>
  <si>
    <t>BF/B</t>
  </si>
  <si>
    <t>Brighthouse Financial Inc</t>
  </si>
  <si>
    <t>BHF</t>
  </si>
  <si>
    <t>Baker Hughes a GE Co</t>
  </si>
  <si>
    <t>BHGE</t>
  </si>
  <si>
    <t>Biogen Inc</t>
  </si>
  <si>
    <t>BIIB</t>
  </si>
  <si>
    <t>Bank of New York Mellon Corp/The</t>
  </si>
  <si>
    <t>BK</t>
  </si>
  <si>
    <t>Booking Holdings Inc</t>
  </si>
  <si>
    <t>BKNG</t>
  </si>
  <si>
    <t>BlackRock Inc</t>
  </si>
  <si>
    <t>BLK</t>
  </si>
  <si>
    <t>Ball Corp</t>
  </si>
  <si>
    <t>BLL</t>
  </si>
  <si>
    <t>Bristol-Myers Squibb Co</t>
  </si>
  <si>
    <t>BMY</t>
  </si>
  <si>
    <t>Broadridge Financial Solutions Inc</t>
  </si>
  <si>
    <t>BR</t>
  </si>
  <si>
    <t>Berkshire Hathaway Inc</t>
  </si>
  <si>
    <t>BRK/B</t>
  </si>
  <si>
    <t>Boston Scientific Corp</t>
  </si>
  <si>
    <t>BSX</t>
  </si>
  <si>
    <t>BorgWarner Inc</t>
  </si>
  <si>
    <t>BWA</t>
  </si>
  <si>
    <t>Boston Properties Inc</t>
  </si>
  <si>
    <t>BXP</t>
  </si>
  <si>
    <t>Citigroup Inc</t>
  </si>
  <si>
    <t>C</t>
  </si>
  <si>
    <t>Conagra Brands Inc</t>
  </si>
  <si>
    <t>CAG</t>
  </si>
  <si>
    <t>Cardinal Health Inc</t>
  </si>
  <si>
    <t>CAH</t>
  </si>
  <si>
    <t>Caterpillar Inc</t>
  </si>
  <si>
    <t>CAT</t>
  </si>
  <si>
    <t>Chubb Ltd</t>
  </si>
  <si>
    <t>CB</t>
  </si>
  <si>
    <t>Cboe Global Markets Inc</t>
  </si>
  <si>
    <t>CBOE</t>
  </si>
  <si>
    <t>CBRE Group Inc</t>
  </si>
  <si>
    <t>CBRE</t>
  </si>
  <si>
    <t>CBS Corp</t>
  </si>
  <si>
    <t>CBS</t>
  </si>
  <si>
    <t>Crown Castle International Corp</t>
  </si>
  <si>
    <t>CCI</t>
  </si>
  <si>
    <t>Carnival Corp</t>
  </si>
  <si>
    <t>CCL</t>
  </si>
  <si>
    <t>Cadence Design Systems Inc</t>
  </si>
  <si>
    <t>CDNS</t>
  </si>
  <si>
    <t>Celanese Corp</t>
  </si>
  <si>
    <t>CE</t>
  </si>
  <si>
    <t>Celgene Corp</t>
  </si>
  <si>
    <t>CELG</t>
  </si>
  <si>
    <t>Cerner Corp</t>
  </si>
  <si>
    <t>CERN</t>
  </si>
  <si>
    <t>CF Industries Holdings Inc</t>
  </si>
  <si>
    <t>CF</t>
  </si>
  <si>
    <t>Citizens Financial Group Inc</t>
  </si>
  <si>
    <t>CFG</t>
  </si>
  <si>
    <t>Church &amp; Dwight Co Inc</t>
  </si>
  <si>
    <t>CHD</t>
  </si>
  <si>
    <t>CH Robinson Worldwide Inc</t>
  </si>
  <si>
    <t>CHRW</t>
  </si>
  <si>
    <t>Charter Communications Inc</t>
  </si>
  <si>
    <t>CHTR</t>
  </si>
  <si>
    <t>Cigna Corp</t>
  </si>
  <si>
    <t>CI</t>
  </si>
  <si>
    <t>Cincinnati Financial Corp</t>
  </si>
  <si>
    <t>CINF</t>
  </si>
  <si>
    <t>Colgate-Palmolive Co</t>
  </si>
  <si>
    <t>CL</t>
  </si>
  <si>
    <t>Clorox Co/The</t>
  </si>
  <si>
    <t>CLX</t>
  </si>
  <si>
    <t>Comerica Inc</t>
  </si>
  <si>
    <t>CMA</t>
  </si>
  <si>
    <t>Comcast Corp</t>
  </si>
  <si>
    <t>CMCSA</t>
  </si>
  <si>
    <t>CME Group Inc</t>
  </si>
  <si>
    <t>CME</t>
  </si>
  <si>
    <t>Chipotle Mexican Grill Inc</t>
  </si>
  <si>
    <t>CMG</t>
  </si>
  <si>
    <t>Cummins Inc</t>
  </si>
  <si>
    <t>CMI</t>
  </si>
  <si>
    <t>CMS Energy Corp</t>
  </si>
  <si>
    <t>Centene Corp</t>
  </si>
  <si>
    <t>CNC</t>
  </si>
  <si>
    <t>CenterPoint Energy Inc</t>
  </si>
  <si>
    <t>CNP</t>
  </si>
  <si>
    <t>Capital One Financial Corp</t>
  </si>
  <si>
    <t>COF</t>
  </si>
  <si>
    <t>Cabot Oil &amp; Gas Corp</t>
  </si>
  <si>
    <t>COG</t>
  </si>
  <si>
    <t>Cooper Cos Inc/The</t>
  </si>
  <si>
    <t>COO</t>
  </si>
  <si>
    <t>ConocoPhillips</t>
  </si>
  <si>
    <t>COP</t>
  </si>
  <si>
    <t>Costco Wholesale Corp</t>
  </si>
  <si>
    <t>COST</t>
  </si>
  <si>
    <t>Coty Inc</t>
  </si>
  <si>
    <t>COTY</t>
  </si>
  <si>
    <t>Campbell Soup Co</t>
  </si>
  <si>
    <t>CPB</t>
  </si>
  <si>
    <t>Capri Holdings Ltd</t>
  </si>
  <si>
    <t>CPRI</t>
  </si>
  <si>
    <t>Copart Inc</t>
  </si>
  <si>
    <t>CPRT</t>
  </si>
  <si>
    <t>salesforce.com Inc</t>
  </si>
  <si>
    <t>CRM</t>
  </si>
  <si>
    <t>Cisco Systems Inc</t>
  </si>
  <si>
    <t>CSCO</t>
  </si>
  <si>
    <t>CSX Corp</t>
  </si>
  <si>
    <t>CSX</t>
  </si>
  <si>
    <t>Cintas Corp</t>
  </si>
  <si>
    <t>CTAS</t>
  </si>
  <si>
    <t>CenturyLink Inc</t>
  </si>
  <si>
    <t>CTL</t>
  </si>
  <si>
    <t>Cognizant Technology Solutions Corp</t>
  </si>
  <si>
    <t>CTSH</t>
  </si>
  <si>
    <t>Citrix Systems Inc</t>
  </si>
  <si>
    <t>CTXS</t>
  </si>
  <si>
    <t>CVS Health Corp</t>
  </si>
  <si>
    <t>CVS</t>
  </si>
  <si>
    <t>Chevron Corp</t>
  </si>
  <si>
    <t>CVX</t>
  </si>
  <si>
    <t>Concho Resources Inc</t>
  </si>
  <si>
    <t>CXO</t>
  </si>
  <si>
    <t>Dominion Energy Inc</t>
  </si>
  <si>
    <t>D</t>
  </si>
  <si>
    <t>Delta Air Lines Inc</t>
  </si>
  <si>
    <t>DAL</t>
  </si>
  <si>
    <t>Deere &amp; Co</t>
  </si>
  <si>
    <t>DE</t>
  </si>
  <si>
    <t>Discover Financial Services</t>
  </si>
  <si>
    <t>DFS</t>
  </si>
  <si>
    <t>Dollar General Corp</t>
  </si>
  <si>
    <t>DG</t>
  </si>
  <si>
    <t>Quest Diagnostics Inc</t>
  </si>
  <si>
    <t>DGX</t>
  </si>
  <si>
    <t>DR Horton Inc</t>
  </si>
  <si>
    <t>DHI</t>
  </si>
  <si>
    <t>Danaher Corp</t>
  </si>
  <si>
    <t>DHR</t>
  </si>
  <si>
    <t>Walt Disney Co/The</t>
  </si>
  <si>
    <t>DIS</t>
  </si>
  <si>
    <t>Discovery Inc</t>
  </si>
  <si>
    <t>DISCA</t>
  </si>
  <si>
    <t>DISH Network Corp</t>
  </si>
  <si>
    <t>DISH</t>
  </si>
  <si>
    <t>Digital Realty Trust Inc</t>
  </si>
  <si>
    <t>DLR</t>
  </si>
  <si>
    <t>Dollar Tree Inc</t>
  </si>
  <si>
    <t>DLTR</t>
  </si>
  <si>
    <t>Dover Corp</t>
  </si>
  <si>
    <t>DOV</t>
  </si>
  <si>
    <t>Duke Realty Corp</t>
  </si>
  <si>
    <t>DRE</t>
  </si>
  <si>
    <t>Darden Restaurants Inc</t>
  </si>
  <si>
    <t>DRI</t>
  </si>
  <si>
    <t>DTE Energy Co</t>
  </si>
  <si>
    <t>Duke Energy Corp</t>
  </si>
  <si>
    <t>DaVita Inc</t>
  </si>
  <si>
    <t>DVA</t>
  </si>
  <si>
    <t>Devon Energy Corp</t>
  </si>
  <si>
    <t>DVN</t>
  </si>
  <si>
    <t>DowDuPont Inc</t>
  </si>
  <si>
    <t>DWDP</t>
  </si>
  <si>
    <t>DXC Technology Co</t>
  </si>
  <si>
    <t>DXC</t>
  </si>
  <si>
    <t>Electronic Arts Inc</t>
  </si>
  <si>
    <t>EA</t>
  </si>
  <si>
    <t>eBay Inc</t>
  </si>
  <si>
    <t>EBAY</t>
  </si>
  <si>
    <t>Ecolab Inc</t>
  </si>
  <si>
    <t>ECL</t>
  </si>
  <si>
    <t>Consolidated Edison Inc</t>
  </si>
  <si>
    <t>Equifax Inc</t>
  </si>
  <si>
    <t>EFX</t>
  </si>
  <si>
    <t>Edison International</t>
  </si>
  <si>
    <t>EIX</t>
  </si>
  <si>
    <t>Estee Lauder Cos Inc/The</t>
  </si>
  <si>
    <t>EL</t>
  </si>
  <si>
    <t>Eastman Chemical Co</t>
  </si>
  <si>
    <t>EMN</t>
  </si>
  <si>
    <t>Emerson Electric Co</t>
  </si>
  <si>
    <t>EMR</t>
  </si>
  <si>
    <t>EOG Resources Inc</t>
  </si>
  <si>
    <t>EOG</t>
  </si>
  <si>
    <t>Equinix Inc</t>
  </si>
  <si>
    <t>EQIX</t>
  </si>
  <si>
    <t>Equity Residential</t>
  </si>
  <si>
    <t>EQR</t>
  </si>
  <si>
    <t>Essex Property Trust Inc</t>
  </si>
  <si>
    <t>ESS</t>
  </si>
  <si>
    <t>E*TRADE Financial Corp</t>
  </si>
  <si>
    <t>ETFC</t>
  </si>
  <si>
    <t>Eaton Corp PLC</t>
  </si>
  <si>
    <t>ETN</t>
  </si>
  <si>
    <t>Entergy Corp</t>
  </si>
  <si>
    <t>ETR</t>
  </si>
  <si>
    <t>Evergy Inc</t>
  </si>
  <si>
    <t>Edwards Lifesciences Corp</t>
  </si>
  <si>
    <t>EW</t>
  </si>
  <si>
    <t>Exelon Corp</t>
  </si>
  <si>
    <t>EXC</t>
  </si>
  <si>
    <t>Expeditors International of Washington I</t>
  </si>
  <si>
    <t>EXPD</t>
  </si>
  <si>
    <t>Expedia Group Inc</t>
  </si>
  <si>
    <t>EXPE</t>
  </si>
  <si>
    <t>Extra Space Storage Inc</t>
  </si>
  <si>
    <t>EXR</t>
  </si>
  <si>
    <t>Ford Motor Co</t>
  </si>
  <si>
    <t>F</t>
  </si>
  <si>
    <t>Diamondback Energy Inc</t>
  </si>
  <si>
    <t>FANG</t>
  </si>
  <si>
    <t>Fastenal Co</t>
  </si>
  <si>
    <t>FAST</t>
  </si>
  <si>
    <t>Facebook Inc</t>
  </si>
  <si>
    <t>FB</t>
  </si>
  <si>
    <t>Fortune Brands Home &amp; Security Inc</t>
  </si>
  <si>
    <t>FBHS</t>
  </si>
  <si>
    <t>Freeport-McMoRan Inc</t>
  </si>
  <si>
    <t>FCX</t>
  </si>
  <si>
    <t>FedEx Corp</t>
  </si>
  <si>
    <t>FDX</t>
  </si>
  <si>
    <t>FirstEnergy Corp</t>
  </si>
  <si>
    <t>FE</t>
  </si>
  <si>
    <t>F5 Networks Inc</t>
  </si>
  <si>
    <t>FFIV</t>
  </si>
  <si>
    <t>Fidelity National Information Services I</t>
  </si>
  <si>
    <t>FIS</t>
  </si>
  <si>
    <t>Fiserv Inc</t>
  </si>
  <si>
    <t>FISV</t>
  </si>
  <si>
    <t>Fifth Third Bancorp</t>
  </si>
  <si>
    <t>FITB</t>
  </si>
  <si>
    <t>Foot Locker Inc</t>
  </si>
  <si>
    <t>FL</t>
  </si>
  <si>
    <t>FLIR Systems Inc</t>
  </si>
  <si>
    <t>FLIR</t>
  </si>
  <si>
    <t>Fluor Corp</t>
  </si>
  <si>
    <t>FLR</t>
  </si>
  <si>
    <t>Flowserve Corp</t>
  </si>
  <si>
    <t>FLS</t>
  </si>
  <si>
    <t>FleetCor Technologies Inc</t>
  </si>
  <si>
    <t>FLT</t>
  </si>
  <si>
    <t>FMC Corp</t>
  </si>
  <si>
    <t>FMC</t>
  </si>
  <si>
    <t>Twenty-First Century Fox Inc</t>
  </si>
  <si>
    <t>FOXA</t>
  </si>
  <si>
    <t>First Republic Bank/CA</t>
  </si>
  <si>
    <t>FRC</t>
  </si>
  <si>
    <t>Federal Realty Investment Trust</t>
  </si>
  <si>
    <t>FRT</t>
  </si>
  <si>
    <t>TechnipFMC PLC</t>
  </si>
  <si>
    <t>FTI</t>
  </si>
  <si>
    <t>Fortinet Inc</t>
  </si>
  <si>
    <t>FTNT</t>
  </si>
  <si>
    <t>Fortive Corp</t>
  </si>
  <si>
    <t>FTV</t>
  </si>
  <si>
    <t>General Dynamics Corp</t>
  </si>
  <si>
    <t>GD</t>
  </si>
  <si>
    <t>General Electric Co</t>
  </si>
  <si>
    <t>GE</t>
  </si>
  <si>
    <t>Gilead Sciences Inc</t>
  </si>
  <si>
    <t>GILD</t>
  </si>
  <si>
    <t>General Mills Inc</t>
  </si>
  <si>
    <t>GIS</t>
  </si>
  <si>
    <t>Corning Inc</t>
  </si>
  <si>
    <t>GLW</t>
  </si>
  <si>
    <t>General Motors Co</t>
  </si>
  <si>
    <t>GM</t>
  </si>
  <si>
    <t>Alphabet Inc</t>
  </si>
  <si>
    <t>GOOGL</t>
  </si>
  <si>
    <t>Genuine Parts Co</t>
  </si>
  <si>
    <t>GPC</t>
  </si>
  <si>
    <t>Global Payments Inc</t>
  </si>
  <si>
    <t>GPN</t>
  </si>
  <si>
    <t>Gap Inc/The</t>
  </si>
  <si>
    <t>GPS</t>
  </si>
  <si>
    <t>Garmin Ltd</t>
  </si>
  <si>
    <t>GRMN</t>
  </si>
  <si>
    <t>Goldman Sachs Group Inc/The</t>
  </si>
  <si>
    <t>GS</t>
  </si>
  <si>
    <t>WW Grainger Inc</t>
  </si>
  <si>
    <t>GWW</t>
  </si>
  <si>
    <t>Halliburton Co</t>
  </si>
  <si>
    <t>HAL</t>
  </si>
  <si>
    <t>Hasbro Inc</t>
  </si>
  <si>
    <t>HAS</t>
  </si>
  <si>
    <t>Huntington Bancshares Inc/OH</t>
  </si>
  <si>
    <t>HBAN</t>
  </si>
  <si>
    <t>Hanesbrands Inc</t>
  </si>
  <si>
    <t>HBI</t>
  </si>
  <si>
    <t>HCA Healthcare Inc</t>
  </si>
  <si>
    <t>HCA</t>
  </si>
  <si>
    <t>HCP Inc</t>
  </si>
  <si>
    <t>HCP</t>
  </si>
  <si>
    <t>Home Depot Inc/The</t>
  </si>
  <si>
    <t>HD</t>
  </si>
  <si>
    <t>Hess Corp</t>
  </si>
  <si>
    <t>HES</t>
  </si>
  <si>
    <t>HollyFrontier Corp</t>
  </si>
  <si>
    <t>HFC</t>
  </si>
  <si>
    <t>Hartford Financial Services Group Inc/Th</t>
  </si>
  <si>
    <t>HIG</t>
  </si>
  <si>
    <t>Huntington Ingalls Industries Inc</t>
  </si>
  <si>
    <t>HII</t>
  </si>
  <si>
    <t>Hilton Worldwide Holdings Inc</t>
  </si>
  <si>
    <t>HLT</t>
  </si>
  <si>
    <t>Harley-Davidson Inc</t>
  </si>
  <si>
    <t>HOG</t>
  </si>
  <si>
    <t>Hologic Inc</t>
  </si>
  <si>
    <t>HOLX</t>
  </si>
  <si>
    <t>Honeywell International Inc</t>
  </si>
  <si>
    <t>HON</t>
  </si>
  <si>
    <t>Helmerich &amp; Payne Inc</t>
  </si>
  <si>
    <t>HP</t>
  </si>
  <si>
    <t>Hewlett Packard Enterprise Co</t>
  </si>
  <si>
    <t>HPE</t>
  </si>
  <si>
    <t>HP Inc</t>
  </si>
  <si>
    <t>HPQ</t>
  </si>
  <si>
    <t>H&amp;R Block Inc</t>
  </si>
  <si>
    <t>HRB</t>
  </si>
  <si>
    <t>Hormel Foods Corp</t>
  </si>
  <si>
    <t>HRL</t>
  </si>
  <si>
    <t>Harris Corp</t>
  </si>
  <si>
    <t>HRS</t>
  </si>
  <si>
    <t>Henry Schein Inc</t>
  </si>
  <si>
    <t>HSIC</t>
  </si>
  <si>
    <t>Host Hotels &amp; Resorts Inc</t>
  </si>
  <si>
    <t>HST</t>
  </si>
  <si>
    <t>Hershey Co/The</t>
  </si>
  <si>
    <t>HSY</t>
  </si>
  <si>
    <t>Humana Inc</t>
  </si>
  <si>
    <t>HUM</t>
  </si>
  <si>
    <t>International Business Machines Corp</t>
  </si>
  <si>
    <t>IBM</t>
  </si>
  <si>
    <t>Intercontinental Exchange Inc</t>
  </si>
  <si>
    <t>ICE</t>
  </si>
  <si>
    <t>IDEXX Laboratories Inc</t>
  </si>
  <si>
    <t>IDXX</t>
  </si>
  <si>
    <t>International Flavors &amp; Fragrances Inc</t>
  </si>
  <si>
    <t>IFF</t>
  </si>
  <si>
    <t>Illumina Inc</t>
  </si>
  <si>
    <t>ILMN</t>
  </si>
  <si>
    <t>Incyte Corp</t>
  </si>
  <si>
    <t>INCY</t>
  </si>
  <si>
    <t>IHS Markit Ltd</t>
  </si>
  <si>
    <t>INFO</t>
  </si>
  <si>
    <t>Intel Corp</t>
  </si>
  <si>
    <t>INTC</t>
  </si>
  <si>
    <t>Intuit Inc</t>
  </si>
  <si>
    <t>INTU</t>
  </si>
  <si>
    <t>International Paper Co</t>
  </si>
  <si>
    <t>IP</t>
  </si>
  <si>
    <t>Interpublic Group of Cos Inc/The</t>
  </si>
  <si>
    <t>IPG</t>
  </si>
  <si>
    <t>IPG Photonics Corp</t>
  </si>
  <si>
    <t>IPGP</t>
  </si>
  <si>
    <t>IQVIA Holdings Inc</t>
  </si>
  <si>
    <t>IQV</t>
  </si>
  <si>
    <t>Ingersoll-Rand PLC</t>
  </si>
  <si>
    <t>IR</t>
  </si>
  <si>
    <t>Iron Mountain Inc</t>
  </si>
  <si>
    <t>IRM</t>
  </si>
  <si>
    <t>Intuitive Surgical Inc</t>
  </si>
  <si>
    <t>ISRG</t>
  </si>
  <si>
    <t>Gartner Inc</t>
  </si>
  <si>
    <t>IT</t>
  </si>
  <si>
    <t>Illinois Tool Works Inc</t>
  </si>
  <si>
    <t>ITW</t>
  </si>
  <si>
    <t>Invesco Ltd</t>
  </si>
  <si>
    <t>IVZ</t>
  </si>
  <si>
    <t>JB Hunt Transport Services Inc</t>
  </si>
  <si>
    <t>JBHT</t>
  </si>
  <si>
    <t>Johnson Controls International plc</t>
  </si>
  <si>
    <t>JCI</t>
  </si>
  <si>
    <t>Jacobs Engineering Group Inc</t>
  </si>
  <si>
    <t>JEC</t>
  </si>
  <si>
    <t>Jefferies Financial Group Inc</t>
  </si>
  <si>
    <t>JEF</t>
  </si>
  <si>
    <t>Jack Henry &amp; Associates Inc</t>
  </si>
  <si>
    <t>JKHY</t>
  </si>
  <si>
    <t>Johnson &amp; Johnson</t>
  </si>
  <si>
    <t>JNJ</t>
  </si>
  <si>
    <t>Juniper Networks Inc</t>
  </si>
  <si>
    <t>JNPR</t>
  </si>
  <si>
    <t>JPMorgan Chase &amp; Co</t>
  </si>
  <si>
    <t>JPM</t>
  </si>
  <si>
    <t>Nordstrom Inc</t>
  </si>
  <si>
    <t>JWN</t>
  </si>
  <si>
    <t>Kellogg Co</t>
  </si>
  <si>
    <t>K</t>
  </si>
  <si>
    <t>KeyCorp</t>
  </si>
  <si>
    <t>KEY</t>
  </si>
  <si>
    <t>Keysight Technologies Inc</t>
  </si>
  <si>
    <t>KEYS</t>
  </si>
  <si>
    <t>Kraft Heinz Co/The</t>
  </si>
  <si>
    <t>KHC</t>
  </si>
  <si>
    <t>Kimco Realty Corp</t>
  </si>
  <si>
    <t>KIM</t>
  </si>
  <si>
    <t>KLA-Tencor Corp</t>
  </si>
  <si>
    <t>KLAC</t>
  </si>
  <si>
    <t>Kimberly-Clark Corp</t>
  </si>
  <si>
    <t>KMB</t>
  </si>
  <si>
    <t>Kinder Morgan Inc/DE</t>
  </si>
  <si>
    <t>KMI</t>
  </si>
  <si>
    <t>CarMax Inc</t>
  </si>
  <si>
    <t>KMX</t>
  </si>
  <si>
    <t>Coca-Cola Co/The</t>
  </si>
  <si>
    <t>KO</t>
  </si>
  <si>
    <t>Kroger Co/The</t>
  </si>
  <si>
    <t>KR</t>
  </si>
  <si>
    <t>Kohl's Corp</t>
  </si>
  <si>
    <t>KSS</t>
  </si>
  <si>
    <t>Kansas City Southern</t>
  </si>
  <si>
    <t>KSU</t>
  </si>
  <si>
    <t>Loews Corp</t>
  </si>
  <si>
    <t>L</t>
  </si>
  <si>
    <t>L Brands Inc</t>
  </si>
  <si>
    <t>LB</t>
  </si>
  <si>
    <t>Leggett &amp; Platt Inc</t>
  </si>
  <si>
    <t>LEG</t>
  </si>
  <si>
    <t>Lennar Corp</t>
  </si>
  <si>
    <t>LEN</t>
  </si>
  <si>
    <t>Laboratory Corp of America Holdings</t>
  </si>
  <si>
    <t>LH</t>
  </si>
  <si>
    <t>Linde PLC</t>
  </si>
  <si>
    <t>LIN</t>
  </si>
  <si>
    <t>LKQ Corp</t>
  </si>
  <si>
    <t>LKQ</t>
  </si>
  <si>
    <t>L3 Technologies Inc</t>
  </si>
  <si>
    <t>LLL</t>
  </si>
  <si>
    <t>Eli Lilly &amp; Co</t>
  </si>
  <si>
    <t>LLY</t>
  </si>
  <si>
    <t>Lockheed Martin Corp</t>
  </si>
  <si>
    <t>LMT</t>
  </si>
  <si>
    <t>Lincoln National Corp</t>
  </si>
  <si>
    <t>LNC</t>
  </si>
  <si>
    <t>Alliant Energy Corp</t>
  </si>
  <si>
    <t>Lowe's Cos Inc</t>
  </si>
  <si>
    <t>LOW</t>
  </si>
  <si>
    <t>Lam Research Corp</t>
  </si>
  <si>
    <t>LRCX</t>
  </si>
  <si>
    <t>Southwest Airlines Co</t>
  </si>
  <si>
    <t>LUV</t>
  </si>
  <si>
    <t>Lamb Weston Holdings Inc</t>
  </si>
  <si>
    <t>LW</t>
  </si>
  <si>
    <t>LyondellBasell Industries NV</t>
  </si>
  <si>
    <t>LYB</t>
  </si>
  <si>
    <t>Macy's Inc</t>
  </si>
  <si>
    <t>M</t>
  </si>
  <si>
    <t>Mastercard Inc</t>
  </si>
  <si>
    <t>MA</t>
  </si>
  <si>
    <t>Mid-America Apartment Communities Inc</t>
  </si>
  <si>
    <t>MAA</t>
  </si>
  <si>
    <t>Macerich Co/The</t>
  </si>
  <si>
    <t>MAC</t>
  </si>
  <si>
    <t>Marriott International Inc/MD</t>
  </si>
  <si>
    <t>MAR</t>
  </si>
  <si>
    <t>Masco Corp</t>
  </si>
  <si>
    <t>MAS</t>
  </si>
  <si>
    <t>Mattel Inc</t>
  </si>
  <si>
    <t>MAT</t>
  </si>
  <si>
    <t>McDonald's Corp</t>
  </si>
  <si>
    <t>MCD</t>
  </si>
  <si>
    <t>Microchip Technology Inc</t>
  </si>
  <si>
    <t>MCHP</t>
  </si>
  <si>
    <t>McKesson Corp</t>
  </si>
  <si>
    <t>MCK</t>
  </si>
  <si>
    <t>Moody's Corp</t>
  </si>
  <si>
    <t>MCO</t>
  </si>
  <si>
    <t>Mondelez International Inc</t>
  </si>
  <si>
    <t>MDLZ</t>
  </si>
  <si>
    <t>Medtronic PLC</t>
  </si>
  <si>
    <t>MDT</t>
  </si>
  <si>
    <t>MetLife Inc</t>
  </si>
  <si>
    <t>MET</t>
  </si>
  <si>
    <t>MGM Resorts International</t>
  </si>
  <si>
    <t>MGM</t>
  </si>
  <si>
    <t>Mohawk Industries Inc</t>
  </si>
  <si>
    <t>MHK</t>
  </si>
  <si>
    <t>McCormick &amp; Co Inc/MD</t>
  </si>
  <si>
    <t>MKC</t>
  </si>
  <si>
    <t>Martin Marietta Materials Inc</t>
  </si>
  <si>
    <t>MLM</t>
  </si>
  <si>
    <t>Marsh &amp; McLennan Cos Inc</t>
  </si>
  <si>
    <t>MMC</t>
  </si>
  <si>
    <t>3M Co</t>
  </si>
  <si>
    <t>MMM</t>
  </si>
  <si>
    <t>Monster Beverage Corp</t>
  </si>
  <si>
    <t>MNST</t>
  </si>
  <si>
    <t>Altria Group Inc</t>
  </si>
  <si>
    <t>MO</t>
  </si>
  <si>
    <t>Mosaic Co/The</t>
  </si>
  <si>
    <t>MOS</t>
  </si>
  <si>
    <t>Marathon Petroleum Corp</t>
  </si>
  <si>
    <t>MPC</t>
  </si>
  <si>
    <t>Merck &amp; Co Inc</t>
  </si>
  <si>
    <t>MRK</t>
  </si>
  <si>
    <t>Marathon Oil Corp</t>
  </si>
  <si>
    <t>MRO</t>
  </si>
  <si>
    <t>Morgan Stanley</t>
  </si>
  <si>
    <t>MS</t>
  </si>
  <si>
    <t>MSCI Inc</t>
  </si>
  <si>
    <t>MSCI</t>
  </si>
  <si>
    <t>Microsoft Corp</t>
  </si>
  <si>
    <t>MSFT</t>
  </si>
  <si>
    <t>Motorola Solutions Inc</t>
  </si>
  <si>
    <t>MSI</t>
  </si>
  <si>
    <t>M&amp;T Bank Corp</t>
  </si>
  <si>
    <t>MTB</t>
  </si>
  <si>
    <t>Mettler-Toledo International Inc</t>
  </si>
  <si>
    <t>MTD</t>
  </si>
  <si>
    <t>Micron Technology Inc</t>
  </si>
  <si>
    <t>MU</t>
  </si>
  <si>
    <t>Maxim Integrated Products Inc</t>
  </si>
  <si>
    <t>MXIM</t>
  </si>
  <si>
    <t>Mylan NV</t>
  </si>
  <si>
    <t>MYL</t>
  </si>
  <si>
    <t>Noble Energy Inc</t>
  </si>
  <si>
    <t>NBL</t>
  </si>
  <si>
    <t>Norwegian Cruise Line Holdings Ltd</t>
  </si>
  <si>
    <t>NCLH</t>
  </si>
  <si>
    <t>Nasdaq Inc</t>
  </si>
  <si>
    <t>NDAQ</t>
  </si>
  <si>
    <t>NextEra Energy Inc</t>
  </si>
  <si>
    <t>Newmont Mining Corp</t>
  </si>
  <si>
    <t>NEM</t>
  </si>
  <si>
    <t>Netflix Inc</t>
  </si>
  <si>
    <t>NFLX</t>
  </si>
  <si>
    <t>NiSource Inc</t>
  </si>
  <si>
    <t>NI</t>
  </si>
  <si>
    <t>NIKE Inc</t>
  </si>
  <si>
    <t>NKE</t>
  </si>
  <si>
    <t>Nektar Therapeutics</t>
  </si>
  <si>
    <t>NKTR</t>
  </si>
  <si>
    <t>Nielsen Holdings PLC</t>
  </si>
  <si>
    <t>NLSN</t>
  </si>
  <si>
    <t>Northrop Grumman Corp</t>
  </si>
  <si>
    <t>NOC</t>
  </si>
  <si>
    <t>National Oilwell Varco Inc</t>
  </si>
  <si>
    <t>NOV</t>
  </si>
  <si>
    <t>NRG Energy Inc</t>
  </si>
  <si>
    <t>NRG</t>
  </si>
  <si>
    <t>Norfolk Southern Corp</t>
  </si>
  <si>
    <t>NSC</t>
  </si>
  <si>
    <t>NetApp Inc</t>
  </si>
  <si>
    <t>NTAP</t>
  </si>
  <si>
    <t>Northern Trust Corp</t>
  </si>
  <si>
    <t>NTRS</t>
  </si>
  <si>
    <t>Nucor Corp</t>
  </si>
  <si>
    <t>NUE</t>
  </si>
  <si>
    <t>NVIDIA Corp</t>
  </si>
  <si>
    <t>NVDA</t>
  </si>
  <si>
    <t>Newell Brands Inc</t>
  </si>
  <si>
    <t>NWL</t>
  </si>
  <si>
    <t>News Corp</t>
  </si>
  <si>
    <t>NWSA</t>
  </si>
  <si>
    <t>Realty Income Corp</t>
  </si>
  <si>
    <t>O</t>
  </si>
  <si>
    <t>ONEOK Inc</t>
  </si>
  <si>
    <t>OKE</t>
  </si>
  <si>
    <t>Omnicom Group Inc</t>
  </si>
  <si>
    <t>OMC</t>
  </si>
  <si>
    <t>Oracle Corp</t>
  </si>
  <si>
    <t>ORCL</t>
  </si>
  <si>
    <t>O'Reilly Automotive Inc</t>
  </si>
  <si>
    <t>ORLY</t>
  </si>
  <si>
    <t>Occidental Petroleum Corp</t>
  </si>
  <si>
    <t>OXY</t>
  </si>
  <si>
    <t>Paychex Inc</t>
  </si>
  <si>
    <t>PAYX</t>
  </si>
  <si>
    <t>People's United Financial Inc</t>
  </si>
  <si>
    <t>PBCT</t>
  </si>
  <si>
    <t>PACCAR Inc</t>
  </si>
  <si>
    <t>PCAR</t>
  </si>
  <si>
    <t>Public Service Enterprise Group Inc</t>
  </si>
  <si>
    <t>PEG</t>
  </si>
  <si>
    <t>PepsiCo Inc</t>
  </si>
  <si>
    <t>PEP</t>
  </si>
  <si>
    <t>Pfizer Inc</t>
  </si>
  <si>
    <t>PFE</t>
  </si>
  <si>
    <t>Principal Financial Group Inc</t>
  </si>
  <si>
    <t>PFG</t>
  </si>
  <si>
    <t>Procter &amp; Gamble Co/The</t>
  </si>
  <si>
    <t>PG</t>
  </si>
  <si>
    <t>Progressive Corp/The</t>
  </si>
  <si>
    <t>PGR</t>
  </si>
  <si>
    <t>Parker-Hannifin Corp</t>
  </si>
  <si>
    <t>PH</t>
  </si>
  <si>
    <t>PulteGroup Inc</t>
  </si>
  <si>
    <t>PHM</t>
  </si>
  <si>
    <t>Packaging Corp of America</t>
  </si>
  <si>
    <t>PKG</t>
  </si>
  <si>
    <t>PerkinElmer Inc</t>
  </si>
  <si>
    <t>PKI</t>
  </si>
  <si>
    <t>Prologis Inc</t>
  </si>
  <si>
    <t>PLD</t>
  </si>
  <si>
    <t>Philip Morris International Inc</t>
  </si>
  <si>
    <t>PM</t>
  </si>
  <si>
    <t>PNC Financial Services Group Inc/The</t>
  </si>
  <si>
    <t>PNC</t>
  </si>
  <si>
    <t>Pentair PLC</t>
  </si>
  <si>
    <t>PNR</t>
  </si>
  <si>
    <t>Pinnacle West Capital Corp</t>
  </si>
  <si>
    <t>PPG Industries Inc</t>
  </si>
  <si>
    <t>PPG</t>
  </si>
  <si>
    <t>PPL Corp</t>
  </si>
  <si>
    <t>PPL</t>
  </si>
  <si>
    <t>Perrigo Co PLC</t>
  </si>
  <si>
    <t>PRGO</t>
  </si>
  <si>
    <t>Prudential Financial Inc</t>
  </si>
  <si>
    <t>PRU</t>
  </si>
  <si>
    <t>Public Storage</t>
  </si>
  <si>
    <t>PSA</t>
  </si>
  <si>
    <t>Phillips 66</t>
  </si>
  <si>
    <t>PSX</t>
  </si>
  <si>
    <t>PVH Corp</t>
  </si>
  <si>
    <t>PVH</t>
  </si>
  <si>
    <t>Quanta Services Inc</t>
  </si>
  <si>
    <t>PWR</t>
  </si>
  <si>
    <t>Pioneer Natural Resources Co</t>
  </si>
  <si>
    <t>PXD</t>
  </si>
  <si>
    <t>PayPal Holdings Inc</t>
  </si>
  <si>
    <t>PYPL</t>
  </si>
  <si>
    <t>QUALCOMM Inc</t>
  </si>
  <si>
    <t>QCOM</t>
  </si>
  <si>
    <t>Qorvo Inc</t>
  </si>
  <si>
    <t>QRVO</t>
  </si>
  <si>
    <t>Royal Caribbean Cruises Ltd</t>
  </si>
  <si>
    <t>RCL</t>
  </si>
  <si>
    <t>Everest Re Group Ltd</t>
  </si>
  <si>
    <t>RE</t>
  </si>
  <si>
    <t>Regency Centers Corp</t>
  </si>
  <si>
    <t>REG</t>
  </si>
  <si>
    <t>Regeneron Pharmaceuticals Inc</t>
  </si>
  <si>
    <t>REGN</t>
  </si>
  <si>
    <t>Regions Financial Corp</t>
  </si>
  <si>
    <t>RF</t>
  </si>
  <si>
    <t>Robert Half International Inc</t>
  </si>
  <si>
    <t>RHI</t>
  </si>
  <si>
    <t>Red Hat Inc</t>
  </si>
  <si>
    <t>RHT</t>
  </si>
  <si>
    <t>Raymond James Financial Inc</t>
  </si>
  <si>
    <t>RJF</t>
  </si>
  <si>
    <t>Ralph Lauren Corp</t>
  </si>
  <si>
    <t>RL</t>
  </si>
  <si>
    <t>ResMed Inc</t>
  </si>
  <si>
    <t>RMD</t>
  </si>
  <si>
    <t>Rockwell Automation Inc</t>
  </si>
  <si>
    <t>ROK</t>
  </si>
  <si>
    <t>Rollins Inc</t>
  </si>
  <si>
    <t>ROL</t>
  </si>
  <si>
    <t>Roper Technologies Inc</t>
  </si>
  <si>
    <t>ROP</t>
  </si>
  <si>
    <t>Ross Stores Inc</t>
  </si>
  <si>
    <t>ROST</t>
  </si>
  <si>
    <t>Republic Services Inc</t>
  </si>
  <si>
    <t>RSG</t>
  </si>
  <si>
    <t>Raytheon Co</t>
  </si>
  <si>
    <t>RTN</t>
  </si>
  <si>
    <t>SBA Communications Corp</t>
  </si>
  <si>
    <t>SBAC</t>
  </si>
  <si>
    <t>Starbucks Corp</t>
  </si>
  <si>
    <t>SBUX</t>
  </si>
  <si>
    <t>Charles Schwab Corp/The</t>
  </si>
  <si>
    <t>SCHW</t>
  </si>
  <si>
    <t>Sealed Air Corp</t>
  </si>
  <si>
    <t>SEE</t>
  </si>
  <si>
    <t>Sherwin-Williams Co/The</t>
  </si>
  <si>
    <t>SHW</t>
  </si>
  <si>
    <t>SVB Financial Group</t>
  </si>
  <si>
    <t>SIVB</t>
  </si>
  <si>
    <t>JM Smucker Co/The</t>
  </si>
  <si>
    <t>SJM</t>
  </si>
  <si>
    <t>Schlumberger Ltd</t>
  </si>
  <si>
    <t>SLB</t>
  </si>
  <si>
    <t>SL Green Realty Corp</t>
  </si>
  <si>
    <t>SLG</t>
  </si>
  <si>
    <t>Snap-on Inc</t>
  </si>
  <si>
    <t>SNA</t>
  </si>
  <si>
    <t>Synopsys Inc</t>
  </si>
  <si>
    <t>SNPS</t>
  </si>
  <si>
    <t>Southern Co/The</t>
  </si>
  <si>
    <t>Simon Property Group Inc</t>
  </si>
  <si>
    <t>SPG</t>
  </si>
  <si>
    <t>S&amp;P Global Inc</t>
  </si>
  <si>
    <t>SPGI</t>
  </si>
  <si>
    <t>Sempra Energy</t>
  </si>
  <si>
    <t>SRE</t>
  </si>
  <si>
    <t>SunTrust Banks Inc</t>
  </si>
  <si>
    <t>STI</t>
  </si>
  <si>
    <t>State Street Corp</t>
  </si>
  <si>
    <t>STT</t>
  </si>
  <si>
    <t>Seagate Technology PLC</t>
  </si>
  <si>
    <t>STX</t>
  </si>
  <si>
    <t>Constellation Brands Inc</t>
  </si>
  <si>
    <t>STZ</t>
  </si>
  <si>
    <t>Stanley Black &amp; Decker Inc</t>
  </si>
  <si>
    <t>SWK</t>
  </si>
  <si>
    <t>Skyworks Solutions Inc</t>
  </si>
  <si>
    <t>SWKS</t>
  </si>
  <si>
    <t>Synchrony Financial</t>
  </si>
  <si>
    <t>SYF</t>
  </si>
  <si>
    <t>Stryker Corp</t>
  </si>
  <si>
    <t>SYK</t>
  </si>
  <si>
    <t>Symantec Corp</t>
  </si>
  <si>
    <t>SYMC</t>
  </si>
  <si>
    <t>Sysco Corp</t>
  </si>
  <si>
    <t>SYY</t>
  </si>
  <si>
    <t>AT&amp;T Inc</t>
  </si>
  <si>
    <t>T</t>
  </si>
  <si>
    <t>Molson Coors Brewing Co</t>
  </si>
  <si>
    <t>TAP</t>
  </si>
  <si>
    <t>TransDigm Group Inc</t>
  </si>
  <si>
    <t>TDG</t>
  </si>
  <si>
    <t>TE Connectivity Ltd</t>
  </si>
  <si>
    <t>TEL</t>
  </si>
  <si>
    <t>Teleflex Inc</t>
  </si>
  <si>
    <t>TFX</t>
  </si>
  <si>
    <t>Target Corp</t>
  </si>
  <si>
    <t>TGT</t>
  </si>
  <si>
    <t>Tiffany &amp; Co</t>
  </si>
  <si>
    <t>TIF</t>
  </si>
  <si>
    <t>TJX Cos Inc/The</t>
  </si>
  <si>
    <t>TJX</t>
  </si>
  <si>
    <t>Torchmark Corp</t>
  </si>
  <si>
    <t>TMK</t>
  </si>
  <si>
    <t>Thermo Fisher Scientific Inc</t>
  </si>
  <si>
    <t>TMO</t>
  </si>
  <si>
    <t>Tapestry Inc</t>
  </si>
  <si>
    <t>TPR</t>
  </si>
  <si>
    <t>TripAdvisor Inc</t>
  </si>
  <si>
    <t>TRIP</t>
  </si>
  <si>
    <t>T Rowe Price Group Inc</t>
  </si>
  <si>
    <t>TROW</t>
  </si>
  <si>
    <t>Travelers Cos Inc/The</t>
  </si>
  <si>
    <t>TRV</t>
  </si>
  <si>
    <t>Tractor Supply Co</t>
  </si>
  <si>
    <t>TSCO</t>
  </si>
  <si>
    <t>Tyson Foods Inc</t>
  </si>
  <si>
    <t>TSN</t>
  </si>
  <si>
    <t>Total System Services Inc</t>
  </si>
  <si>
    <t>TSS</t>
  </si>
  <si>
    <t>Take-Two Interactive Software Inc</t>
  </si>
  <si>
    <t>TTWO</t>
  </si>
  <si>
    <t>Twitter Inc</t>
  </si>
  <si>
    <t>TWTR</t>
  </si>
  <si>
    <t>Texas Instruments Inc</t>
  </si>
  <si>
    <t>TXN</t>
  </si>
  <si>
    <t>Textron Inc</t>
  </si>
  <si>
    <t>TXT</t>
  </si>
  <si>
    <t>Under Armour Inc</t>
  </si>
  <si>
    <t>UAA</t>
  </si>
  <si>
    <t>United Continental Holdings Inc</t>
  </si>
  <si>
    <t>UAL</t>
  </si>
  <si>
    <t>UDR Inc</t>
  </si>
  <si>
    <t>UDR</t>
  </si>
  <si>
    <t>Universal Health Services Inc</t>
  </si>
  <si>
    <t>UHS</t>
  </si>
  <si>
    <t>Ulta Beauty Inc</t>
  </si>
  <si>
    <t>ULTA</t>
  </si>
  <si>
    <t>UnitedHealth Group Inc</t>
  </si>
  <si>
    <t>UNH</t>
  </si>
  <si>
    <t>Unum Group</t>
  </si>
  <si>
    <t>UNM</t>
  </si>
  <si>
    <t>Union Pacific Corp</t>
  </si>
  <si>
    <t>UNP</t>
  </si>
  <si>
    <t>United Parcel Service Inc</t>
  </si>
  <si>
    <t>UPS</t>
  </si>
  <si>
    <t>United Rentals Inc</t>
  </si>
  <si>
    <t>URI</t>
  </si>
  <si>
    <t>US Bancorp</t>
  </si>
  <si>
    <t>USB</t>
  </si>
  <si>
    <t>United Technologies Corp</t>
  </si>
  <si>
    <t>UTX</t>
  </si>
  <si>
    <t>Visa Inc</t>
  </si>
  <si>
    <t>V</t>
  </si>
  <si>
    <t>Varian Medical Systems Inc</t>
  </si>
  <si>
    <t>VAR</t>
  </si>
  <si>
    <t>VF Corp</t>
  </si>
  <si>
    <t>VFC</t>
  </si>
  <si>
    <t>Viacom Inc</t>
  </si>
  <si>
    <t>VIAB</t>
  </si>
  <si>
    <t>Valero Energy Corp</t>
  </si>
  <si>
    <t>VLO</t>
  </si>
  <si>
    <t>Vulcan Materials Co</t>
  </si>
  <si>
    <t>VMC</t>
  </si>
  <si>
    <t>Vornado Realty Trust</t>
  </si>
  <si>
    <t>VNO</t>
  </si>
  <si>
    <t>Verisk Analytics Inc</t>
  </si>
  <si>
    <t>VRSK</t>
  </si>
  <si>
    <t>VeriSign Inc</t>
  </si>
  <si>
    <t>VRSN</t>
  </si>
  <si>
    <t>Vertex Pharmaceuticals Inc</t>
  </si>
  <si>
    <t>VRTX</t>
  </si>
  <si>
    <t>Ventas Inc</t>
  </si>
  <si>
    <t>VTR</t>
  </si>
  <si>
    <t>Verizon Communications Inc</t>
  </si>
  <si>
    <t>VZ</t>
  </si>
  <si>
    <t>Wabtec Corp</t>
  </si>
  <si>
    <t>WAB</t>
  </si>
  <si>
    <t>Waters Corp</t>
  </si>
  <si>
    <t>WAT</t>
  </si>
  <si>
    <t>Walgreens Boots Alliance Inc</t>
  </si>
  <si>
    <t>WBA</t>
  </si>
  <si>
    <t>WellCare Health Plans Inc</t>
  </si>
  <si>
    <t>WCG</t>
  </si>
  <si>
    <t>Western Digital Corp</t>
  </si>
  <si>
    <t>WDC</t>
  </si>
  <si>
    <t>WEC Energy Group Inc</t>
  </si>
  <si>
    <t>Welltower Inc</t>
  </si>
  <si>
    <t>WELL</t>
  </si>
  <si>
    <t>Wells Fargo &amp; Co</t>
  </si>
  <si>
    <t>WFC</t>
  </si>
  <si>
    <t>Whirlpool Corp</t>
  </si>
  <si>
    <t>WHR</t>
  </si>
  <si>
    <t>Willis Towers Watson PLC</t>
  </si>
  <si>
    <t>WLTW</t>
  </si>
  <si>
    <t>Waste Management Inc</t>
  </si>
  <si>
    <t>WM</t>
  </si>
  <si>
    <t>Williams Cos Inc/The</t>
  </si>
  <si>
    <t>WMB</t>
  </si>
  <si>
    <t>Walmart Inc</t>
  </si>
  <si>
    <t>WMT</t>
  </si>
  <si>
    <t>Westrock Co</t>
  </si>
  <si>
    <t>WRK</t>
  </si>
  <si>
    <t>Western Union Co/The</t>
  </si>
  <si>
    <t>WU</t>
  </si>
  <si>
    <t>Weyerhaeuser Co</t>
  </si>
  <si>
    <t>WY</t>
  </si>
  <si>
    <t>Wynn Resorts Ltd</t>
  </si>
  <si>
    <t>WYNN</t>
  </si>
  <si>
    <t>Cimarex Energy Co</t>
  </si>
  <si>
    <t>XEC</t>
  </si>
  <si>
    <t>Xcel Energy Inc</t>
  </si>
  <si>
    <t>Xilinx Inc</t>
  </si>
  <si>
    <t>XLNX</t>
  </si>
  <si>
    <t>Exxon Mobil Corp</t>
  </si>
  <si>
    <t>XOM</t>
  </si>
  <si>
    <t>DENTSPLY SIRONA Inc</t>
  </si>
  <si>
    <t>XRAY</t>
  </si>
  <si>
    <t>Xerox Corp</t>
  </si>
  <si>
    <t>XRX</t>
  </si>
  <si>
    <t>Xylem Inc/NY</t>
  </si>
  <si>
    <t>XYL</t>
  </si>
  <si>
    <t>Yum! Brands Inc</t>
  </si>
  <si>
    <t>YUM</t>
  </si>
  <si>
    <t>Zimmer Biomet Holdings Inc</t>
  </si>
  <si>
    <t>ZBH</t>
  </si>
  <si>
    <t>Zions Bancorp NA</t>
  </si>
  <si>
    <t>ZION</t>
  </si>
  <si>
    <t>Zoetis Inc</t>
  </si>
  <si>
    <t>ZTS</t>
  </si>
  <si>
    <t>Total Market Capitalization:</t>
  </si>
  <si>
    <t>[1] Equals sum of Col. [9]</t>
  </si>
  <si>
    <t>[2] Source: Bloomberg Professional</t>
  </si>
  <si>
    <t>[3] Equals [1] − [2]</t>
  </si>
  <si>
    <t>[4] Source: Bloomberg Professional</t>
  </si>
  <si>
    <t xml:space="preserve">[5] Equals weight in S&amp;P 500 based on market capitalization </t>
  </si>
  <si>
    <t>[6] Source: Bloomberg Professional</t>
  </si>
  <si>
    <t>[7] Source: Bloomberg Professional</t>
  </si>
  <si>
    <t>[8] Equals ([6] x (1 + (0.5 x [7]))) + [7]</t>
  </si>
  <si>
    <t>[9] Equals Col. [5] x Col. [8]</t>
  </si>
  <si>
    <t>Market DCF Method Based - Value Line</t>
  </si>
  <si>
    <t>[2] Source: Value Line</t>
  </si>
  <si>
    <t>[4] Source: Value Line</t>
  </si>
  <si>
    <t>[6] Source: Value Line</t>
  </si>
  <si>
    <t>Bloomberg and Value Line Beta Coefficients</t>
  </si>
  <si>
    <t>Bloomberg</t>
  </si>
  <si>
    <t>Value Line</t>
  </si>
  <si>
    <t>Mean</t>
  </si>
  <si>
    <t>Bloomberg, and Value Line Derived Market Risk Premium</t>
  </si>
  <si>
    <t>CAPM</t>
  </si>
  <si>
    <t>Risk-Free Rate</t>
  </si>
  <si>
    <t>Average Beta Coefficient</t>
  </si>
  <si>
    <t>Bloomberg Market DCF Derived</t>
  </si>
  <si>
    <t>Value Line Market DCF Derived</t>
  </si>
  <si>
    <t>Bloomberg MRP</t>
  </si>
  <si>
    <t>Value Line MRP</t>
  </si>
  <si>
    <t>PROXY GROUP AVERAGE BLOOMBERG BETA COEFFICIENT</t>
  </si>
  <si>
    <t>PROXY GROUP AVERAGE VALUE LINE AVERAGE BETA COEFFICIENT</t>
  </si>
  <si>
    <t>[5] Equals Col. [1] + (Col. [2] x Col. [3])</t>
  </si>
  <si>
    <t>[6] Equals Col. [1] + (Col. [2] x Col. [4])</t>
  </si>
  <si>
    <t>Bond Yield Plus Risk Premium</t>
  </si>
  <si>
    <t>Constant</t>
  </si>
  <si>
    <t>Slope</t>
  </si>
  <si>
    <t>30-Year Treasury Yield</t>
  </si>
  <si>
    <t>Risk Premium</t>
  </si>
  <si>
    <t>Return on Equity</t>
  </si>
  <si>
    <t>Current 30-Year Treasury</t>
  </si>
  <si>
    <t>Near-Term Projected 30-Year Treasury</t>
  </si>
  <si>
    <t>Long-Term Projected 30-Year Treasury</t>
  </si>
  <si>
    <t>[1] Constant of regression equation</t>
  </si>
  <si>
    <t>[2] Slope of regression equation</t>
  </si>
  <si>
    <t xml:space="preserve">[3] Source: Current = Bloomberg Professional, </t>
  </si>
  <si>
    <r>
      <rPr>
        <sz val="10"/>
        <color theme="0"/>
        <rFont val="Arial"/>
        <family val="2"/>
      </rPr>
      <t xml:space="preserve">[3] </t>
    </r>
    <r>
      <rPr>
        <sz val="10"/>
        <color theme="1"/>
        <rFont val="Arial"/>
        <family val="2"/>
      </rPr>
      <t>Near Term Projected = Blue Chip Financial Forecasts, Vol. 38, No. 3, March 1, 2019, at 2.</t>
    </r>
  </si>
  <si>
    <r>
      <rPr>
        <sz val="10"/>
        <color theme="0"/>
        <rFont val="Arial"/>
        <family val="2"/>
      </rPr>
      <t xml:space="preserve">[3] </t>
    </r>
    <r>
      <rPr>
        <sz val="10"/>
        <color theme="1"/>
        <rFont val="Arial"/>
        <family val="2"/>
      </rPr>
      <t>Long Term Projected = Blue Chip Financial Forecasts, Vol. 37, No. 12, December 1, 2018, at 14.</t>
    </r>
  </si>
  <si>
    <t>[4] Equals [1] + ln([3]) x [2]</t>
  </si>
  <si>
    <t>[5] Equals [3] + [4]</t>
  </si>
  <si>
    <t>[6] Source: S&amp;P Global Market Intelligence</t>
  </si>
  <si>
    <t>[7] Source: S&amp;P Global Market Intelligence</t>
  </si>
  <si>
    <t>[8] Source: Bloomberg Professional, equals 200-trading day average (i.e. lag period)</t>
  </si>
  <si>
    <t>[9] Equals [7] - [8]</t>
  </si>
  <si>
    <t>Date of Electric Rate Case</t>
  </si>
  <si>
    <t>&lt; 9%?</t>
  </si>
  <si>
    <t># of Cases:</t>
  </si>
  <si>
    <t>Average:</t>
  </si>
  <si>
    <t>Summary of Adjustment Clauses &amp; Alternative Regulation/Incentive Plans</t>
  </si>
  <si>
    <t xml:space="preserve">Adjustment Clauses </t>
  </si>
  <si>
    <t>Alternative Regulation / Incentive Plans</t>
  </si>
  <si>
    <t>Parent</t>
  </si>
  <si>
    <t>State</t>
  </si>
  <si>
    <t>Fuel/ Purchased Power</t>
  </si>
  <si>
    <t>Decoupling (F/P) [1]</t>
  </si>
  <si>
    <t>Energy Efficiency [3]</t>
  </si>
  <si>
    <t>Renewables &amp; RPS [4]</t>
  </si>
  <si>
    <t>Environmental [5]</t>
  </si>
  <si>
    <t>Other [6]</t>
  </si>
  <si>
    <t>Formula-Based Rates</t>
  </si>
  <si>
    <t>Price Freeze/ Cap</t>
  </si>
  <si>
    <t>Earnings Sharing</t>
  </si>
  <si>
    <t>Formula-Based ROE</t>
  </si>
  <si>
    <t>Service Quality/ Performance</t>
  </si>
  <si>
    <t>Merger Savings</t>
  </si>
  <si>
    <t>Ameren Illinois Company</t>
  </si>
  <si>
    <t>ü</t>
  </si>
  <si>
    <t>Union Electric Company</t>
  </si>
  <si>
    <t>P</t>
  </si>
  <si>
    <t>United Illuminating Company</t>
  </si>
  <si>
    <t>Central Maine Power Company</t>
  </si>
  <si>
    <t>New York State Electric &amp; Gas Corporation</t>
  </si>
  <si>
    <t>Rochester Gas and Electric Corporation</t>
  </si>
  <si>
    <t>ALLETE (Minnesota Power)</t>
  </si>
  <si>
    <t>Superior Water, Light and Power Company</t>
  </si>
  <si>
    <t>Black Hills Colorado Electric Utility Company, LP</t>
  </si>
  <si>
    <t>Black Hills Power, Inc.</t>
  </si>
  <si>
    <t>Cheyenne Light, Fuel and Power Company</t>
  </si>
  <si>
    <t>Consumers Energy Company</t>
  </si>
  <si>
    <t>DTE Electric Company</t>
  </si>
  <si>
    <t>Duke Energy Florida, LLC</t>
  </si>
  <si>
    <t>Duke Energy Indiana, LLC</t>
  </si>
  <si>
    <t>Duke Energy Kentucky, Inc.</t>
  </si>
  <si>
    <t>Duke Energy Carolinas, LLC</t>
  </si>
  <si>
    <t>Duke Energy Progress, LLC</t>
  </si>
  <si>
    <t>Duke Energy Ohio, Inc.</t>
  </si>
  <si>
    <t>Rockland Electric Company</t>
  </si>
  <si>
    <t>Consolidated Edison Company of New York, Inc.</t>
  </si>
  <si>
    <t>Orange and Rockland Utilities, Inc.</t>
  </si>
  <si>
    <t>Connecticut Light and Power Company</t>
  </si>
  <si>
    <t>NSTAR Electric Company</t>
  </si>
  <si>
    <t>Western Massachusetts Electric Company</t>
  </si>
  <si>
    <t>Public Service Company of New Hampshire</t>
  </si>
  <si>
    <t>Hawaii Electric Light Company, Inc.</t>
  </si>
  <si>
    <t>Hawaiian Electric Company, Inc.</t>
  </si>
  <si>
    <t>Maui Electric Company, Limited</t>
  </si>
  <si>
    <t>Interstate Power and Light Company</t>
  </si>
  <si>
    <t>Wisconsin Power and Light Company</t>
  </si>
  <si>
    <t>Florida Power &amp; Light Company</t>
  </si>
  <si>
    <t>Oklahoma Gas and Electric Company</t>
  </si>
  <si>
    <t>Otter Tail Power Company</t>
  </si>
  <si>
    <t>Public Service Company of New Mexico</t>
  </si>
  <si>
    <t>Arizona Public Service Company</t>
  </si>
  <si>
    <t>Alabama Power Company</t>
  </si>
  <si>
    <t>Gulf Power Company</t>
  </si>
  <si>
    <t>Georgia Power Company</t>
  </si>
  <si>
    <t>Mississippi Power Company</t>
  </si>
  <si>
    <t>Wisconsin Electric Power Company</t>
  </si>
  <si>
    <t>Wisconsin Public Service Corporation</t>
  </si>
  <si>
    <t>Public Service Company of Colorado</t>
  </si>
  <si>
    <t>Northern States Power Company - WI</t>
  </si>
  <si>
    <t>Northern States Power Company - MN</t>
  </si>
  <si>
    <t>Southwestern Public Service Company</t>
  </si>
  <si>
    <t>[1] Full or partial decoupling (such as Straight-Fixed Variable rate design, weather normalization clauses, and recovery of lost revenues as a result of Energy Efficiency programs).</t>
  </si>
  <si>
    <t>[2] Includes recovery of costs related to targeted new generation projects, infrastructure replacement, system integrity/hardening, Smart Grid, AMI metering, and other capital expenditures.</t>
  </si>
  <si>
    <t>[6] Pension expenses, bad debt costs, storm costs, vegetation management, RTO/Transmission Expense, capacity costs, transmission costs, government &amp; franchise fees and taxes, economic development, and low income programs.</t>
  </si>
  <si>
    <t>[3] Utility-sponsored conservation, energy efficiency, load control, or other demand side management programs.</t>
  </si>
  <si>
    <t>Proxy Group Capital Structure</t>
  </si>
  <si>
    <t>% Common Equity</t>
  </si>
  <si>
    <t>% Long-Term Debt</t>
  </si>
  <si>
    <t>2018Q2</t>
  </si>
  <si>
    <t>2018Q1</t>
  </si>
  <si>
    <t>2017Q4</t>
  </si>
  <si>
    <t>2017Q3</t>
  </si>
  <si>
    <t>2017Q2</t>
  </si>
  <si>
    <t>2017Q1</t>
  </si>
  <si>
    <t>2016Q4</t>
  </si>
  <si>
    <t>Average</t>
  </si>
  <si>
    <t>Operating Company Capital Structure</t>
  </si>
  <si>
    <t>Operating Company</t>
  </si>
  <si>
    <t>Kansas City Power &amp; Light Company</t>
  </si>
  <si>
    <t>Kansas Gas and Electric Company</t>
  </si>
  <si>
    <t>KCP&amp;L Greater Missouri Operations Company</t>
  </si>
  <si>
    <t>Westar Energy (KPL)</t>
  </si>
  <si>
    <t>Upper Michigan Energy Resources Corporation</t>
  </si>
  <si>
    <t>Source: S&amp;P Global Market Intelligence</t>
  </si>
  <si>
    <t>2018Q3</t>
  </si>
  <si>
    <t>Expected Earnings Analysis</t>
  </si>
  <si>
    <t>Expected</t>
  </si>
  <si>
    <t>ROE</t>
  </si>
  <si>
    <t>Shares Outstanding</t>
  </si>
  <si>
    <t>Adjustment</t>
  </si>
  <si>
    <t>Adjusted</t>
  </si>
  <si>
    <t>2021-23/ 2022-24</t>
  </si>
  <si>
    <t>% Increase</t>
  </si>
  <si>
    <t>Factor</t>
  </si>
  <si>
    <t>American Electric Power Company, Inc.</t>
  </si>
  <si>
    <t>Evergy, Inc.</t>
  </si>
  <si>
    <t>Wisconsin Energy Corporation</t>
  </si>
  <si>
    <t>Median</t>
  </si>
  <si>
    <t>[1] Source: Value Line</t>
  </si>
  <si>
    <t>[3] Source: Value Line</t>
  </si>
  <si>
    <t>[5] Equals (2 x (1 + [4])) / (2 + [4])</t>
  </si>
  <si>
    <t>[4] Equals =([3] / [2])^(1/3)-1; ([3] / [2])^(1/4)-1</t>
  </si>
  <si>
    <t>[6] Equals [1] x [5]</t>
  </si>
  <si>
    <t>Flotation Cost Adjustment</t>
  </si>
  <si>
    <t>Two most recent open market common stock issuances per company, if available</t>
  </si>
  <si>
    <t>Date</t>
  </si>
  <si>
    <t>Shares
Issued</t>
  </si>
  <si>
    <t>Offering
Price</t>
  </si>
  <si>
    <t>Underwriting 
Discount</t>
  </si>
  <si>
    <t>Offering
Expense</t>
  </si>
  <si>
    <t>Net
Proceeds Per Share</t>
  </si>
  <si>
    <t>Total 
Flotation
Costs</t>
  </si>
  <si>
    <t>Gross Equity Issue Before Costs</t>
  </si>
  <si>
    <t>Net Proceeds</t>
  </si>
  <si>
    <t>Flotation Cost Percentage</t>
  </si>
  <si>
    <t>WEIGHTED AVERAGE FLOTATION COSTS:</t>
  </si>
  <si>
    <t>Constant Growth Discounted Cash Flow Model Adjusted for Flotation Costs - 30 Day Average Stock Price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</si>
  <si>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</si>
  <si>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</si>
  <si>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</si>
  <si>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</si>
  <si>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</si>
  <si>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</si>
  <si>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</si>
  <si>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</si>
  <si>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</si>
  <si>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</si>
  <si>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Zacks</t>
  </si>
  <si>
    <t>First Call</t>
  </si>
  <si>
    <t>Flotation</t>
  </si>
  <si>
    <t>Annualized</t>
  </si>
  <si>
    <t>Stock</t>
  </si>
  <si>
    <t>Dividend</t>
  </si>
  <si>
    <t>Adjusted for</t>
  </si>
  <si>
    <t>Earnings</t>
  </si>
  <si>
    <t>Price</t>
  </si>
  <si>
    <t>Yield</t>
  </si>
  <si>
    <t>Current</t>
  </si>
  <si>
    <t>Flot. Costs</t>
  </si>
  <si>
    <t>Growth</t>
  </si>
  <si>
    <t>DCF k(e)</t>
  </si>
  <si>
    <t>PROXY GROUP MEAN</t>
  </si>
  <si>
    <t>DCF Result Adjusted For Flotation Costs:</t>
  </si>
  <si>
    <t>DCF Result Unadjusted For Flotation Costs:</t>
  </si>
  <si>
    <t>Difference (Flotation Cost Adjustment):</t>
  </si>
  <si>
    <t>[22]</t>
  </si>
  <si>
    <t>The proxy group DCF result is adjusted for flotation costs by dividing each company's expected dividend yield by (1 - flotation cost).  The flotation cost adjustment is derived as the difference between the unadjusted DCF result and the DCF result adjusted for flotation costs.</t>
  </si>
  <si>
    <t>[1] Source: SEC Form 424B</t>
  </si>
  <si>
    <t>[12] Source: Bloomberg Professional</t>
  </si>
  <si>
    <t>[2] Source: SEC Form 424B</t>
  </si>
  <si>
    <t>[13] Equals [11] / [12]</t>
  </si>
  <si>
    <t>[3] Source: SEC Form 424B</t>
  </si>
  <si>
    <t>[14] Equals [3] x (1 + 0.5 x [19])</t>
  </si>
  <si>
    <t>[4] Source: SEC Form 424B</t>
  </si>
  <si>
    <t>[5] Equals [8] / [1]</t>
  </si>
  <si>
    <t>[16] Source: Zacks</t>
  </si>
  <si>
    <t>[6] Equals [4] + ([1] x [3])</t>
  </si>
  <si>
    <t>[17] Source: Yahoo! Finance</t>
  </si>
  <si>
    <t>[7] Equals [1] x [2]</t>
  </si>
  <si>
    <t>[18] Source: Value Line</t>
  </si>
  <si>
    <t>[8] Equals [7] - [6]</t>
  </si>
  <si>
    <t>[19] Equals Average([16], [17], [18])</t>
  </si>
  <si>
    <t>[9] Equals [6] / [7]</t>
  </si>
  <si>
    <t>[20] Equals [14] + [19]</t>
  </si>
  <si>
    <t>[10] Equals average [6] / average [7]</t>
  </si>
  <si>
    <t>[21] Equals [15] + [19]</t>
  </si>
  <si>
    <t>[11] Source: Bloomberg Professional</t>
  </si>
  <si>
    <t>[22] Equals average [21] - average [20]</t>
  </si>
  <si>
    <t>Emera issuances are included for comparison, but are not in averages.</t>
  </si>
  <si>
    <t>Ameren Corp.</t>
  </si>
  <si>
    <t>Consolidated Edison, Inc</t>
  </si>
  <si>
    <t>New Capital Investment [2]</t>
  </si>
  <si>
    <t>Multiyear Rate Plans</t>
  </si>
  <si>
    <t>Performance Based Ratemaking</t>
  </si>
  <si>
    <t>CWIP Allowed in Rate Base (L/F)</t>
  </si>
  <si>
    <t>Forward Test Year</t>
  </si>
  <si>
    <t>Minnesota</t>
  </si>
  <si>
    <t>Wisconsin</t>
  </si>
  <si>
    <t>Iowa</t>
  </si>
  <si>
    <t>Illinois</t>
  </si>
  <si>
    <t>Missouri</t>
  </si>
  <si>
    <t>Arkansas</t>
  </si>
  <si>
    <t>Indiana</t>
  </si>
  <si>
    <t>Kentucky</t>
  </si>
  <si>
    <t>Michigan</t>
  </si>
  <si>
    <t>Ohio</t>
  </si>
  <si>
    <t>Oklahoma</t>
  </si>
  <si>
    <t>Texas</t>
  </si>
  <si>
    <t>Connecticut</t>
  </si>
  <si>
    <t>Maine</t>
  </si>
  <si>
    <t>New York</t>
  </si>
  <si>
    <t>Colorado</t>
  </si>
  <si>
    <t xml:space="preserve">South Dakota </t>
  </si>
  <si>
    <t>Wyoming</t>
  </si>
  <si>
    <t>Florida</t>
  </si>
  <si>
    <t>North Carolina</t>
  </si>
  <si>
    <t>South Carolina</t>
  </si>
  <si>
    <t>New Jersey</t>
  </si>
  <si>
    <t>New Mexico</t>
  </si>
  <si>
    <t>Massachusetts</t>
  </si>
  <si>
    <t>New Hampshire</t>
  </si>
  <si>
    <t>Kansas</t>
  </si>
  <si>
    <t>NorthWestern Energy</t>
  </si>
  <si>
    <t>Montana</t>
  </si>
  <si>
    <t>North Dakota</t>
  </si>
  <si>
    <t>Arizona</t>
  </si>
  <si>
    <t>Texas-New Mexico Power Company</t>
  </si>
  <si>
    <t>Oregon</t>
  </si>
  <si>
    <t>Alabama</t>
  </si>
  <si>
    <t>Georgia</t>
  </si>
  <si>
    <t>Mississippi</t>
  </si>
  <si>
    <t>Upper Michigan Energy Resources Corp</t>
  </si>
  <si>
    <t>Wisconsin Electric Power</t>
  </si>
  <si>
    <t>Wisconsin Public Service Company</t>
  </si>
  <si>
    <t>A mechanism may cover one or more cost categories; therefore, designations may not indicate separate mechanisms for each category.  Texas T&amp;D utilities do not have retail obligation, thus do not need a purchased power clause</t>
  </si>
  <si>
    <t>[4] Recovers costs associated with renewable energy projects, Distributed Energy Resources, REC purchases, net metering, RPS expense, and renewable PPAs.</t>
  </si>
  <si>
    <t xml:space="preserve">[5] EPA upgrade costs, emissions control &amp; allowance purchase costs, nuclear/coal plant decommissioning, and other costs to comply with state and federal environmental mandates. </t>
  </si>
  <si>
    <t>Planned Capital Expenditures / 2018 Net Plant</t>
  </si>
  <si>
    <t>AEP Texas</t>
  </si>
  <si>
    <t>Hawaii</t>
  </si>
  <si>
    <t/>
  </si>
  <si>
    <t>3-year CAPEX / Net Plant [1]</t>
  </si>
  <si>
    <t>ECAPM</t>
  </si>
  <si>
    <t>Current 30-Year Treasury (30-day average) [9]</t>
  </si>
  <si>
    <t>Near-Term Projected 30-Year Treasury [10]</t>
  </si>
  <si>
    <t>[9] Source: Bloomberg Professional</t>
  </si>
  <si>
    <t xml:space="preserve">[10] Source: Blue Chip Financial Forecasts, Vol. 38, No. 3, March 1, 2019, at 2.  </t>
  </si>
  <si>
    <t>[7] Equals Col. [1] + (Col. [2] x Col. [3] x 0.75) + (Col. [3] x 0.25)</t>
  </si>
  <si>
    <t>[8] Equals Col. [1] + (Col. [2] x Col. [4] x 0.75) + (Col. [4] x 0.25)</t>
  </si>
  <si>
    <t>[2] Source: Exhibit RBH-3</t>
  </si>
  <si>
    <t>[3] Source: Exhibit RBH-2</t>
  </si>
  <si>
    <t>[4] Source: Exhibit RBH-2</t>
  </si>
  <si>
    <t>Capital Asset Pricing Model and Empirical Capital Asset Pricing Model Results</t>
  </si>
  <si>
    <r>
      <rPr>
        <sz val="10"/>
        <color rgb="FF000000"/>
        <rFont val="Arial"/>
        <family val="2"/>
      </rPr>
      <t xml:space="preserve">[1] </t>
    </r>
    <r>
      <rPr>
        <i/>
        <sz val="10"/>
        <color indexed="8"/>
        <rFont val="Arial"/>
        <family val="2"/>
      </rPr>
      <t xml:space="preserve">See </t>
    </r>
    <r>
      <rPr>
        <sz val="10"/>
        <color rgb="FF000000"/>
        <rFont val="Arial"/>
        <family val="2"/>
      </rPr>
      <t>Notes [9] and [10]</t>
    </r>
  </si>
  <si>
    <r>
      <t xml:space="preserve">Sources: </t>
    </r>
    <r>
      <rPr>
        <i/>
        <sz val="10"/>
        <color theme="1"/>
        <rFont val="Arial"/>
        <family val="2"/>
      </rPr>
      <t>Alternative Regulation/Incentive Plans: A State-by-State Overview</t>
    </r>
    <r>
      <rPr>
        <sz val="10"/>
        <color theme="1"/>
        <rFont val="Arial"/>
        <family val="2"/>
      </rPr>
      <t xml:space="preserve">, November 19, 2013; Regulatory Research Associates, </t>
    </r>
    <r>
      <rPr>
        <i/>
        <sz val="10"/>
        <color theme="1"/>
        <rFont val="Arial"/>
        <family val="2"/>
      </rPr>
      <t>Adjustment Clauses: A State-by-State Overview</t>
    </r>
    <r>
      <rPr>
        <sz val="10"/>
        <color theme="1"/>
        <rFont val="Arial"/>
        <family val="2"/>
      </rPr>
      <t>, September 28, 2018;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Regulatory Research Associates, </t>
    </r>
    <r>
      <rPr>
        <i/>
        <sz val="10"/>
        <color theme="1"/>
        <rFont val="Arial"/>
        <family val="2"/>
      </rPr>
      <t>Rate Freezes: Their historical context and prevalence today</t>
    </r>
    <r>
      <rPr>
        <sz val="10"/>
        <color theme="1"/>
        <rFont val="Arial"/>
        <family val="2"/>
      </rPr>
      <t xml:space="preserve">, October 15, 2018; ACEEE Utility Business Model Database; Regulatory Research Associates </t>
    </r>
    <r>
      <rPr>
        <i/>
        <sz val="10"/>
        <color theme="1"/>
        <rFont val="Arial"/>
        <family val="2"/>
      </rPr>
      <t>Commission Profiles</t>
    </r>
    <r>
      <rPr>
        <sz val="10"/>
        <color theme="1"/>
        <rFont val="Arial"/>
        <family val="2"/>
      </rPr>
      <t>; SEC Form 10-Ks; Company Tariffs.</t>
    </r>
  </si>
  <si>
    <t>[1] Sources: Value Line; American Electric Power Company, Inc. SEC Form 10-K (Dec 31, 2018).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</si>
</sst>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0.0000%"/>
    <numFmt numFmtId="166" formatCode="_(* #,##0_);_(* \(#,##0\);_(* &quot;-&quot;??_);_(@_)"/>
    <numFmt numFmtId="167" formatCode="0.000"/>
    <numFmt numFmtId="168" formatCode="&quot;[&quot;0&quot;]&quot;"/>
    <numFmt numFmtId="169" formatCode="0.0%"/>
    <numFmt numFmtId="170" formatCode="&quot;$&quot;#,##0.0000_);\(&quot;$&quot;#,##0.0000\)"/>
    <numFmt numFmtId="171" formatCode="0.000%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i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indexed="8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Wingdings"/>
      <charset val="2"/>
    </font>
    <font>
      <sz val="10"/>
      <name val="Wingdings"/>
      <charset val="2"/>
    </font>
    <font>
      <i/>
      <sz val="10"/>
      <color theme="1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15" fillId="0" borderId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5" fillId="0" borderId="0"/>
  </cellStyleXfs>
  <cellXfs count="392">
    <xf numFmtId="0" fontId="0" fillId="0" borderId="0" xfId="0"/>
    <xf numFmtId="0" fontId="4" fillId="0" borderId="0" xfId="3" applyAlignment="1">
      <alignment horizontal="center"/>
    </xf>
    <xf numFmtId="0" fontId="4" fillId="0" borderId="0" xfId="3"/>
    <xf numFmtId="0" fontId="4" fillId="0" borderId="0" xfId="3" applyAlignment="1">
      <alignment horizontal="centerContinuous"/>
    </xf>
    <xf numFmtId="0" fontId="5" fillId="0" borderId="0" xfId="3" applyFont="1" applyAlignment="1">
      <alignment horizontal="center"/>
    </xf>
    <xf numFmtId="0" fontId="4" fillId="0" borderId="0" xfId="4" applyAlignment="1">
      <alignment horizontal="center"/>
    </xf>
    <xf numFmtId="0" fontId="4" fillId="2" borderId="0" xfId="4" applyFill="1" applyAlignment="1">
      <alignment horizontal="center"/>
    </xf>
    <xf numFmtId="0" fontId="5" fillId="0" borderId="0" xfId="3" applyFont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4" fillId="0" borderId="0" xfId="3" applyAlignment="1">
      <alignment horizontal="center" wrapText="1"/>
    </xf>
    <xf numFmtId="0" fontId="4" fillId="0" borderId="1" xfId="3" applyBorder="1" applyAlignment="1">
      <alignment horizontal="center" wrapText="1"/>
    </xf>
    <xf numFmtId="0" fontId="4" fillId="2" borderId="0" xfId="3" applyFill="1" applyAlignment="1">
      <alignment horizontal="center" wrapText="1"/>
    </xf>
    <xf numFmtId="0" fontId="5" fillId="0" borderId="0" xfId="3" applyFont="1"/>
    <xf numFmtId="0" fontId="5" fillId="2" borderId="0" xfId="3" applyFont="1" applyFill="1"/>
    <xf numFmtId="0" fontId="4" fillId="0" borderId="0" xfId="3" applyAlignment="1">
      <alignment horizontal="left"/>
    </xf>
    <xf numFmtId="164" fontId="5" fillId="0" borderId="0" xfId="3" applyNumberFormat="1" applyFont="1" applyAlignment="1">
      <alignment horizontal="center"/>
    </xf>
    <xf numFmtId="10" fontId="4" fillId="0" borderId="0" xfId="3" applyNumberFormat="1" applyAlignment="1">
      <alignment horizontal="center"/>
    </xf>
    <xf numFmtId="10" fontId="5" fillId="0" borderId="0" xfId="2" applyNumberFormat="1" applyFont="1" applyAlignment="1">
      <alignment horizontal="center"/>
    </xf>
    <xf numFmtId="10" fontId="4" fillId="0" borderId="0" xfId="2" applyNumberFormat="1" applyFont="1" applyAlignment="1">
      <alignment horizontal="center"/>
    </xf>
    <xf numFmtId="0" fontId="4" fillId="2" borderId="0" xfId="3" applyFill="1"/>
    <xf numFmtId="0" fontId="4" fillId="0" borderId="2" xfId="3" applyBorder="1"/>
    <xf numFmtId="10" fontId="4" fillId="0" borderId="2" xfId="3" applyNumberFormat="1" applyBorder="1" applyAlignment="1">
      <alignment horizontal="center"/>
    </xf>
    <xf numFmtId="10" fontId="4" fillId="2" borderId="0" xfId="3" applyNumberFormat="1" applyFill="1" applyAlignment="1">
      <alignment horizontal="center"/>
    </xf>
    <xf numFmtId="0" fontId="4" fillId="0" borderId="3" xfId="3" applyBorder="1"/>
    <xf numFmtId="10" fontId="4" fillId="0" borderId="3" xfId="3" applyNumberFormat="1" applyBorder="1" applyAlignment="1">
      <alignment horizontal="center"/>
    </xf>
    <xf numFmtId="10" fontId="4" fillId="0" borderId="0" xfId="3" applyNumberFormat="1" applyAlignment="1">
      <alignment horizontal="right"/>
    </xf>
    <xf numFmtId="0" fontId="6" fillId="0" borderId="0" xfId="0" applyFont="1"/>
    <xf numFmtId="0" fontId="4" fillId="0" borderId="0" xfId="4"/>
    <xf numFmtId="164" fontId="4" fillId="0" borderId="0" xfId="3" applyNumberFormat="1" applyAlignment="1">
      <alignment horizontal="center"/>
    </xf>
    <xf numFmtId="0" fontId="4" fillId="0" borderId="0" xfId="5" applyAlignment="1">
      <alignment horizontal="left"/>
    </xf>
    <xf numFmtId="0" fontId="4" fillId="0" borderId="0" xfId="5" applyAlignment="1">
      <alignment horizontal="centerContinuous"/>
    </xf>
    <xf numFmtId="0" fontId="4" fillId="0" borderId="0" xfId="6" applyAlignment="1">
      <alignment horizontal="centerContinuous"/>
    </xf>
    <xf numFmtId="0" fontId="4" fillId="0" borderId="0" xfId="6"/>
    <xf numFmtId="0" fontId="4" fillId="0" borderId="0" xfId="5"/>
    <xf numFmtId="10" fontId="4" fillId="0" borderId="0" xfId="7" applyNumberFormat="1"/>
    <xf numFmtId="0" fontId="7" fillId="0" borderId="0" xfId="5" applyFont="1"/>
    <xf numFmtId="0" fontId="7" fillId="0" borderId="0" xfId="5" applyFont="1" applyAlignment="1">
      <alignment horizontal="center"/>
    </xf>
    <xf numFmtId="0" fontId="0" fillId="0" borderId="0" xfId="5" applyFont="1"/>
    <xf numFmtId="0" fontId="7" fillId="0" borderId="1" xfId="5" applyFont="1" applyBorder="1" applyAlignment="1">
      <alignment horizontal="center" wrapText="1"/>
    </xf>
    <xf numFmtId="10" fontId="7" fillId="0" borderId="3" xfId="5" applyNumberFormat="1" applyFont="1" applyBorder="1" applyAlignment="1">
      <alignment horizontal="center"/>
    </xf>
    <xf numFmtId="10" fontId="7" fillId="0" borderId="0" xfId="5" applyNumberFormat="1" applyFont="1"/>
    <xf numFmtId="10" fontId="7" fillId="0" borderId="2" xfId="5" applyNumberFormat="1" applyFont="1" applyBorder="1"/>
    <xf numFmtId="0" fontId="7" fillId="0" borderId="2" xfId="5" applyFont="1" applyBorder="1"/>
    <xf numFmtId="0" fontId="4" fillId="0" borderId="0" xfId="5" applyAlignment="1">
      <alignment horizontal="center"/>
    </xf>
    <xf numFmtId="0" fontId="4" fillId="0" borderId="0" xfId="8" applyAlignment="1">
      <alignment horizontal="left"/>
    </xf>
    <xf numFmtId="0" fontId="7" fillId="0" borderId="1" xfId="8" applyFont="1" applyBorder="1" applyAlignment="1">
      <alignment horizontal="center" wrapText="1"/>
    </xf>
    <xf numFmtId="0" fontId="4" fillId="0" borderId="0" xfId="9"/>
    <xf numFmtId="43" fontId="4" fillId="0" borderId="0" xfId="1" applyFont="1" applyAlignment="1">
      <alignment horizontal="right"/>
    </xf>
    <xf numFmtId="10" fontId="7" fillId="0" borderId="0" xfId="10" applyNumberFormat="1" applyFont="1" applyAlignment="1">
      <alignment horizontal="center"/>
    </xf>
    <xf numFmtId="10" fontId="7" fillId="0" borderId="0" xfId="8" applyNumberFormat="1" applyFont="1" applyAlignment="1">
      <alignment horizontal="center"/>
    </xf>
    <xf numFmtId="165" fontId="7" fillId="0" borderId="0" xfId="8" applyNumberFormat="1" applyFont="1" applyAlignment="1">
      <alignment horizontal="center"/>
    </xf>
    <xf numFmtId="166" fontId="7" fillId="0" borderId="0" xfId="11" applyNumberFormat="1" applyFont="1" applyAlignment="1">
      <alignment horizontal="center"/>
    </xf>
    <xf numFmtId="10" fontId="4" fillId="0" borderId="0" xfId="12" applyNumberFormat="1" applyAlignment="1">
      <alignment horizontal="center"/>
    </xf>
    <xf numFmtId="0" fontId="7" fillId="0" borderId="2" xfId="5" applyFont="1" applyBorder="1" applyAlignment="1">
      <alignment horizontal="right"/>
    </xf>
    <xf numFmtId="166" fontId="7" fillId="0" borderId="2" xfId="5" applyNumberFormat="1" applyFont="1" applyBorder="1" applyAlignment="1">
      <alignment horizontal="center"/>
    </xf>
    <xf numFmtId="10" fontId="7" fillId="0" borderId="2" xfId="5" applyNumberFormat="1" applyFont="1" applyBorder="1" applyAlignment="1">
      <alignment horizontal="center"/>
    </xf>
    <xf numFmtId="165" fontId="7" fillId="0" borderId="2" xfId="5" applyNumberFormat="1" applyFont="1" applyBorder="1" applyAlignment="1">
      <alignment horizontal="center"/>
    </xf>
    <xf numFmtId="10" fontId="4" fillId="0" borderId="2" xfId="7" applyNumberFormat="1" applyBorder="1" applyAlignment="1">
      <alignment horizontal="center"/>
    </xf>
    <xf numFmtId="0" fontId="7" fillId="0" borderId="0" xfId="5" applyFont="1" applyAlignment="1">
      <alignment horizontal="right"/>
    </xf>
    <xf numFmtId="43" fontId="7" fillId="0" borderId="0" xfId="5" applyNumberFormat="1" applyFont="1" applyAlignment="1">
      <alignment horizontal="center"/>
    </xf>
    <xf numFmtId="10" fontId="7" fillId="0" borderId="0" xfId="5" applyNumberFormat="1" applyFont="1" applyAlignment="1">
      <alignment horizontal="center"/>
    </xf>
    <xf numFmtId="165" fontId="7" fillId="0" borderId="0" xfId="5" applyNumberFormat="1" applyFont="1" applyAlignment="1">
      <alignment horizontal="center"/>
    </xf>
    <xf numFmtId="10" fontId="4" fillId="0" borderId="0" xfId="7" applyNumberFormat="1" applyAlignment="1">
      <alignment horizontal="center"/>
    </xf>
    <xf numFmtId="43" fontId="7" fillId="0" borderId="0" xfId="5" applyNumberFormat="1" applyFont="1"/>
    <xf numFmtId="10" fontId="7" fillId="0" borderId="0" xfId="7" applyNumberFormat="1" applyFont="1"/>
    <xf numFmtId="0" fontId="4" fillId="0" borderId="0" xfId="13"/>
    <xf numFmtId="0" fontId="7" fillId="0" borderId="0" xfId="13" applyFont="1" applyAlignment="1">
      <alignment horizontal="center"/>
    </xf>
    <xf numFmtId="43" fontId="7" fillId="0" borderId="0" xfId="11" applyFont="1" applyAlignment="1">
      <alignment horizontal="right"/>
    </xf>
    <xf numFmtId="10" fontId="7" fillId="0" borderId="0" xfId="7" applyNumberFormat="1" applyFont="1" applyAlignment="1">
      <alignment horizontal="center"/>
    </xf>
    <xf numFmtId="0" fontId="7" fillId="0" borderId="0" xfId="6" applyFont="1"/>
    <xf numFmtId="0" fontId="7" fillId="0" borderId="0" xfId="6" applyFont="1" applyAlignment="1">
      <alignment horizontal="center"/>
    </xf>
    <xf numFmtId="43" fontId="7" fillId="0" borderId="0" xfId="14" applyFont="1" applyAlignment="1">
      <alignment horizontal="right"/>
    </xf>
    <xf numFmtId="10" fontId="7" fillId="0" borderId="0" xfId="15" applyNumberFormat="1" applyFont="1" applyAlignment="1">
      <alignment horizontal="center"/>
    </xf>
    <xf numFmtId="0" fontId="7" fillId="0" borderId="0" xfId="13" applyFont="1"/>
    <xf numFmtId="0" fontId="7" fillId="0" borderId="3" xfId="6" applyFont="1" applyBorder="1"/>
    <xf numFmtId="0" fontId="7" fillId="0" borderId="3" xfId="6" applyFont="1" applyBorder="1" applyAlignment="1">
      <alignment horizontal="center"/>
    </xf>
    <xf numFmtId="43" fontId="7" fillId="0" borderId="3" xfId="14" applyFont="1" applyBorder="1" applyAlignment="1">
      <alignment horizontal="right"/>
    </xf>
    <xf numFmtId="0" fontId="7" fillId="0" borderId="0" xfId="6" applyFont="1" applyAlignment="1">
      <alignment horizontal="right"/>
    </xf>
    <xf numFmtId="10" fontId="7" fillId="0" borderId="2" xfId="6" applyNumberFormat="1" applyFont="1" applyBorder="1" applyAlignment="1">
      <alignment horizontal="center"/>
    </xf>
    <xf numFmtId="10" fontId="5" fillId="0" borderId="2" xfId="6" applyNumberFormat="1" applyFont="1" applyBorder="1" applyAlignment="1">
      <alignment horizontal="center"/>
    </xf>
    <xf numFmtId="10" fontId="7" fillId="0" borderId="0" xfId="6" applyNumberFormat="1" applyFont="1" applyAlignment="1">
      <alignment horizontal="center"/>
    </xf>
    <xf numFmtId="10" fontId="5" fillId="0" borderId="0" xfId="6" applyNumberFormat="1" applyFont="1" applyAlignment="1">
      <alignment horizontal="center"/>
    </xf>
    <xf numFmtId="0" fontId="8" fillId="0" borderId="0" xfId="13" applyFont="1"/>
    <xf numFmtId="0" fontId="8" fillId="0" borderId="0" xfId="13" applyFont="1" applyAlignment="1">
      <alignment horizontal="center"/>
    </xf>
    <xf numFmtId="0" fontId="8" fillId="0" borderId="0" xfId="6" applyFont="1"/>
    <xf numFmtId="0" fontId="5" fillId="0" borderId="0" xfId="6" applyFont="1"/>
    <xf numFmtId="0" fontId="9" fillId="0" borderId="0" xfId="6" applyFont="1"/>
    <xf numFmtId="0" fontId="4" fillId="0" borderId="0" xfId="6" applyAlignment="1">
      <alignment horizontal="center"/>
    </xf>
    <xf numFmtId="49" fontId="4" fillId="0" borderId="0" xfId="5" applyNumberFormat="1"/>
    <xf numFmtId="0" fontId="10" fillId="0" borderId="0" xfId="5" applyFont="1"/>
    <xf numFmtId="10" fontId="4" fillId="0" borderId="0" xfId="5" applyNumberFormat="1" applyAlignment="1">
      <alignment horizontal="center"/>
    </xf>
    <xf numFmtId="167" fontId="4" fillId="0" borderId="0" xfId="5" applyNumberFormat="1" applyAlignment="1">
      <alignment horizontal="center"/>
    </xf>
    <xf numFmtId="2" fontId="4" fillId="0" borderId="0" xfId="5" applyNumberFormat="1" applyAlignment="1">
      <alignment horizontal="center"/>
    </xf>
    <xf numFmtId="0" fontId="4" fillId="0" borderId="1" xfId="5" applyBorder="1" applyAlignment="1">
      <alignment horizontal="center"/>
    </xf>
    <xf numFmtId="10" fontId="4" fillId="0" borderId="1" xfId="5" applyNumberFormat="1" applyBorder="1" applyAlignment="1">
      <alignment horizontal="center"/>
    </xf>
    <xf numFmtId="167" fontId="4" fillId="0" borderId="1" xfId="5" applyNumberFormat="1" applyBorder="1" applyAlignment="1">
      <alignment horizontal="center"/>
    </xf>
    <xf numFmtId="2" fontId="4" fillId="0" borderId="1" xfId="5" applyNumberFormat="1" applyBorder="1" applyAlignment="1">
      <alignment horizontal="center"/>
    </xf>
    <xf numFmtId="49" fontId="4" fillId="0" borderId="0" xfId="0" applyNumberFormat="1" applyFont="1"/>
    <xf numFmtId="0" fontId="4" fillId="0" borderId="0" xfId="0" applyFont="1"/>
    <xf numFmtId="49" fontId="4" fillId="0" borderId="0" xfId="5" applyNumberFormat="1" applyAlignment="1">
      <alignment horizontal="center"/>
    </xf>
    <xf numFmtId="0" fontId="4" fillId="0" borderId="1" xfId="5" applyBorder="1"/>
    <xf numFmtId="0" fontId="5" fillId="0" borderId="0" xfId="5" applyFont="1"/>
    <xf numFmtId="0" fontId="5" fillId="0" borderId="0" xfId="5" applyFont="1" applyAlignment="1">
      <alignment horizontal="centerContinuous"/>
    </xf>
    <xf numFmtId="168" fontId="5" fillId="0" borderId="0" xfId="5" applyNumberFormat="1" applyFont="1" applyAlignment="1">
      <alignment horizontal="center"/>
    </xf>
    <xf numFmtId="168" fontId="5" fillId="0" borderId="4" xfId="5" applyNumberFormat="1" applyFont="1" applyBorder="1" applyAlignment="1">
      <alignment horizontal="centerContinuous"/>
    </xf>
    <xf numFmtId="168" fontId="5" fillId="0" borderId="5" xfId="5" applyNumberFormat="1" applyFont="1" applyBorder="1" applyAlignment="1">
      <alignment horizontal="centerContinuous"/>
    </xf>
    <xf numFmtId="0" fontId="5" fillId="0" borderId="1" xfId="5" applyFont="1" applyBorder="1"/>
    <xf numFmtId="0" fontId="5" fillId="0" borderId="1" xfId="5" applyFont="1" applyBorder="1" applyAlignment="1">
      <alignment horizontal="center" wrapText="1"/>
    </xf>
    <xf numFmtId="0" fontId="5" fillId="0" borderId="4" xfId="5" applyFont="1" applyBorder="1" applyAlignment="1">
      <alignment horizontal="center" wrapText="1"/>
    </xf>
    <xf numFmtId="0" fontId="5" fillId="0" borderId="5" xfId="5" applyFont="1" applyBorder="1" applyAlignment="1">
      <alignment horizontal="center" wrapText="1"/>
    </xf>
    <xf numFmtId="0" fontId="5" fillId="0" borderId="0" xfId="5" applyFont="1" applyAlignment="1">
      <alignment horizontal="center"/>
    </xf>
    <xf numFmtId="0" fontId="5" fillId="0" borderId="6" xfId="5" applyFont="1" applyBorder="1"/>
    <xf numFmtId="0" fontId="5" fillId="0" borderId="7" xfId="5" applyFont="1" applyBorder="1"/>
    <xf numFmtId="0" fontId="11" fillId="0" borderId="0" xfId="5" applyFont="1"/>
    <xf numFmtId="0" fontId="5" fillId="0" borderId="0" xfId="0" applyFont="1"/>
    <xf numFmtId="10" fontId="7" fillId="0" borderId="0" xfId="2" applyNumberFormat="1" applyFont="1" applyAlignment="1">
      <alignment horizontal="center"/>
    </xf>
    <xf numFmtId="167" fontId="5" fillId="0" borderId="0" xfId="5" applyNumberFormat="1" applyFont="1" applyAlignment="1">
      <alignment horizontal="center"/>
    </xf>
    <xf numFmtId="10" fontId="5" fillId="0" borderId="0" xfId="5" applyNumberFormat="1" applyFont="1" applyAlignment="1">
      <alignment horizontal="center"/>
    </xf>
    <xf numFmtId="10" fontId="5" fillId="0" borderId="6" xfId="5" applyNumberFormat="1" applyFont="1" applyBorder="1" applyAlignment="1">
      <alignment horizontal="center"/>
    </xf>
    <xf numFmtId="10" fontId="5" fillId="0" borderId="7" xfId="5" applyNumberFormat="1" applyFont="1" applyBorder="1" applyAlignment="1">
      <alignment horizontal="center"/>
    </xf>
    <xf numFmtId="0" fontId="5" fillId="0" borderId="3" xfId="0" applyFont="1" applyBorder="1"/>
    <xf numFmtId="167" fontId="5" fillId="0" borderId="3" xfId="5" applyNumberFormat="1" applyFont="1" applyBorder="1" applyAlignment="1">
      <alignment horizontal="center"/>
    </xf>
    <xf numFmtId="10" fontId="5" fillId="0" borderId="3" xfId="5" applyNumberFormat="1" applyFont="1" applyBorder="1" applyAlignment="1">
      <alignment horizontal="center"/>
    </xf>
    <xf numFmtId="10" fontId="5" fillId="0" borderId="8" xfId="5" applyNumberFormat="1" applyFont="1" applyBorder="1" applyAlignment="1">
      <alignment horizontal="center"/>
    </xf>
    <xf numFmtId="10" fontId="5" fillId="0" borderId="4" xfId="5" applyNumberFormat="1" applyFont="1" applyBorder="1" applyAlignment="1">
      <alignment horizontal="center"/>
    </xf>
    <xf numFmtId="10" fontId="5" fillId="0" borderId="5" xfId="5" applyNumberFormat="1" applyFont="1" applyBorder="1" applyAlignment="1">
      <alignment horizontal="center"/>
    </xf>
    <xf numFmtId="0" fontId="12" fillId="0" borderId="0" xfId="5" applyFont="1"/>
    <xf numFmtId="0" fontId="5" fillId="0" borderId="0" xfId="16" applyAlignment="1">
      <alignment horizontal="left"/>
    </xf>
    <xf numFmtId="0" fontId="5" fillId="0" borderId="0" xfId="16"/>
    <xf numFmtId="10" fontId="4" fillId="0" borderId="0" xfId="17" applyNumberFormat="1" applyFont="1"/>
    <xf numFmtId="0" fontId="5" fillId="0" borderId="0" xfId="16" applyAlignment="1">
      <alignment horizontal="centerContinuous"/>
    </xf>
    <xf numFmtId="10" fontId="4" fillId="0" borderId="0" xfId="17" applyNumberFormat="1" applyFont="1" applyAlignment="1">
      <alignment horizontal="centerContinuous"/>
    </xf>
    <xf numFmtId="0" fontId="5" fillId="0" borderId="0" xfId="16" applyAlignment="1">
      <alignment horizontal="center"/>
    </xf>
    <xf numFmtId="10" fontId="4" fillId="0" borderId="0" xfId="17" applyNumberFormat="1" applyFont="1" applyAlignment="1">
      <alignment horizontal="center"/>
    </xf>
    <xf numFmtId="0" fontId="5" fillId="0" borderId="3" xfId="16" applyBorder="1" applyAlignment="1">
      <alignment horizontal="center" wrapText="1"/>
    </xf>
    <xf numFmtId="10" fontId="4" fillId="0" borderId="1" xfId="2" applyNumberFormat="1" applyFont="1" applyBorder="1" applyAlignment="1">
      <alignment horizontal="center"/>
    </xf>
    <xf numFmtId="10" fontId="4" fillId="0" borderId="5" xfId="18" applyNumberFormat="1" applyFont="1" applyBorder="1" applyAlignment="1">
      <alignment horizontal="center"/>
    </xf>
    <xf numFmtId="0" fontId="5" fillId="0" borderId="4" xfId="16" applyBorder="1"/>
    <xf numFmtId="0" fontId="5" fillId="0" borderId="1" xfId="16" applyBorder="1"/>
    <xf numFmtId="0" fontId="5" fillId="0" borderId="5" xfId="16" applyBorder="1"/>
    <xf numFmtId="1" fontId="4" fillId="0" borderId="0" xfId="17" applyNumberFormat="1" applyFont="1" applyAlignment="1">
      <alignment horizontal="right"/>
    </xf>
    <xf numFmtId="10" fontId="5" fillId="0" borderId="0" xfId="16" applyNumberFormat="1" applyAlignment="1">
      <alignment horizontal="center"/>
    </xf>
    <xf numFmtId="0" fontId="5" fillId="0" borderId="3" xfId="16" applyBorder="1"/>
    <xf numFmtId="10" fontId="4" fillId="0" borderId="3" xfId="17" applyNumberFormat="1" applyFont="1" applyBorder="1" applyAlignment="1">
      <alignment horizontal="center"/>
    </xf>
    <xf numFmtId="1" fontId="4" fillId="0" borderId="3" xfId="17" applyNumberFormat="1" applyFont="1" applyBorder="1" applyAlignment="1">
      <alignment horizontal="right"/>
    </xf>
    <xf numFmtId="10" fontId="5" fillId="0" borderId="3" xfId="16" applyNumberFormat="1" applyBorder="1" applyAlignment="1">
      <alignment horizontal="center"/>
    </xf>
    <xf numFmtId="0" fontId="5" fillId="0" borderId="0" xfId="19" applyFont="1" applyAlignment="1">
      <alignment horizontal="right"/>
    </xf>
    <xf numFmtId="10" fontId="4" fillId="0" borderId="0" xfId="17" applyNumberFormat="1" applyFont="1" applyAlignment="1">
      <alignment horizontal="left"/>
    </xf>
    <xf numFmtId="14" fontId="5" fillId="0" borderId="0" xfId="16" applyNumberFormat="1"/>
    <xf numFmtId="14" fontId="5" fillId="0" borderId="0" xfId="20" applyNumberFormat="1" applyFont="1"/>
    <xf numFmtId="14" fontId="4" fillId="0" borderId="0" xfId="20" applyNumberFormat="1"/>
    <xf numFmtId="14" fontId="14" fillId="0" borderId="0" xfId="16" applyNumberFormat="1" applyFont="1"/>
    <xf numFmtId="10" fontId="4" fillId="0" borderId="0" xfId="21" applyNumberFormat="1" applyFont="1" applyAlignment="1">
      <alignment horizontal="centerContinuous"/>
    </xf>
    <xf numFmtId="10" fontId="4" fillId="0" borderId="0" xfId="21" applyNumberFormat="1" applyFont="1" applyAlignment="1">
      <alignment horizontal="center"/>
    </xf>
    <xf numFmtId="0" fontId="4" fillId="0" borderId="0" xfId="20" applyAlignment="1">
      <alignment horizontal="center"/>
    </xf>
    <xf numFmtId="0" fontId="5" fillId="0" borderId="0" xfId="16" applyAlignment="1">
      <alignment horizontal="left" wrapText="1"/>
    </xf>
    <xf numFmtId="0" fontId="5" fillId="0" borderId="0" xfId="16" applyAlignment="1">
      <alignment wrapText="1"/>
    </xf>
    <xf numFmtId="14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0" xfId="16" quotePrefix="1" applyAlignment="1">
      <alignment horizontal="right" wrapText="1"/>
    </xf>
    <xf numFmtId="14" fontId="4" fillId="0" borderId="0" xfId="22" applyNumberFormat="1" applyFont="1" applyAlignment="1">
      <alignment horizontal="center"/>
    </xf>
    <xf numFmtId="10" fontId="4" fillId="0" borderId="0" xfId="22" applyNumberFormat="1" applyFont="1" applyAlignment="1">
      <alignment horizontal="center"/>
    </xf>
    <xf numFmtId="10" fontId="5" fillId="0" borderId="0" xfId="16" applyNumberFormat="1"/>
    <xf numFmtId="0" fontId="4" fillId="0" borderId="0" xfId="26"/>
    <xf numFmtId="0" fontId="4" fillId="0" borderId="2" xfId="3" applyBorder="1" applyAlignment="1">
      <alignment horizontal="center"/>
    </xf>
    <xf numFmtId="0" fontId="4" fillId="0" borderId="3" xfId="3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3" applyBorder="1"/>
    <xf numFmtId="0" fontId="4" fillId="0" borderId="1" xfId="3" applyBorder="1" applyAlignment="1">
      <alignment horizontal="center"/>
    </xf>
    <xf numFmtId="10" fontId="4" fillId="0" borderId="1" xfId="12" applyNumberFormat="1" applyBorder="1" applyAlignment="1">
      <alignment horizontal="center"/>
    </xf>
    <xf numFmtId="0" fontId="4" fillId="0" borderId="0" xfId="26" applyAlignment="1">
      <alignment horizontal="center"/>
    </xf>
    <xf numFmtId="1" fontId="4" fillId="0" borderId="0" xfId="3" applyNumberFormat="1" applyAlignment="1">
      <alignment horizontal="left"/>
    </xf>
    <xf numFmtId="0" fontId="5" fillId="0" borderId="0" xfId="27" applyFont="1" applyAlignment="1">
      <alignment horizontal="center"/>
    </xf>
    <xf numFmtId="0" fontId="5" fillId="0" borderId="0" xfId="27" applyFont="1"/>
    <xf numFmtId="0" fontId="5" fillId="0" borderId="3" xfId="27" applyFont="1" applyBorder="1" applyAlignment="1">
      <alignment horizontal="center"/>
    </xf>
    <xf numFmtId="0" fontId="5" fillId="0" borderId="3" xfId="28" applyFont="1" applyBorder="1"/>
    <xf numFmtId="0" fontId="5" fillId="0" borderId="3" xfId="27" applyFont="1" applyBorder="1" applyAlignment="1">
      <alignment horizontal="center" wrapText="1"/>
    </xf>
    <xf numFmtId="0" fontId="5" fillId="0" borderId="0" xfId="27" applyFont="1" applyAlignment="1">
      <alignment horizontal="center" wrapText="1"/>
    </xf>
    <xf numFmtId="0" fontId="5" fillId="0" borderId="0" xfId="28" applyFont="1"/>
    <xf numFmtId="169" fontId="5" fillId="0" borderId="0" xfId="27" applyNumberFormat="1" applyFont="1" applyAlignment="1">
      <alignment horizontal="center"/>
    </xf>
    <xf numFmtId="2" fontId="5" fillId="0" borderId="0" xfId="27" applyNumberFormat="1" applyFont="1" applyAlignment="1">
      <alignment horizontal="center"/>
    </xf>
    <xf numFmtId="10" fontId="5" fillId="0" borderId="0" xfId="29" applyNumberFormat="1" applyFont="1" applyAlignment="1">
      <alignment horizontal="center"/>
    </xf>
    <xf numFmtId="167" fontId="5" fillId="0" borderId="0" xfId="27" applyNumberFormat="1" applyFont="1" applyAlignment="1">
      <alignment horizontal="center"/>
    </xf>
    <xf numFmtId="0" fontId="4" fillId="0" borderId="0" xfId="27" applyFont="1" applyAlignment="1">
      <alignment horizontal="center"/>
    </xf>
    <xf numFmtId="0" fontId="4" fillId="0" borderId="0" xfId="30"/>
    <xf numFmtId="0" fontId="4" fillId="0" borderId="0" xfId="30" applyAlignment="1">
      <alignment horizontal="center"/>
    </xf>
    <xf numFmtId="0" fontId="5" fillId="0" borderId="2" xfId="27" applyFont="1" applyBorder="1"/>
    <xf numFmtId="0" fontId="5" fillId="0" borderId="2" xfId="27" applyFont="1" applyBorder="1" applyAlignment="1">
      <alignment horizontal="center"/>
    </xf>
    <xf numFmtId="169" fontId="5" fillId="0" borderId="2" xfId="27" applyNumberFormat="1" applyFont="1" applyBorder="1" applyAlignment="1">
      <alignment horizontal="center"/>
    </xf>
    <xf numFmtId="2" fontId="5" fillId="0" borderId="2" xfId="27" applyNumberFormat="1" applyFont="1" applyBorder="1" applyAlignment="1">
      <alignment horizontal="center"/>
    </xf>
    <xf numFmtId="10" fontId="5" fillId="0" borderId="2" xfId="29" applyNumberFormat="1" applyFont="1" applyBorder="1" applyAlignment="1">
      <alignment horizontal="center"/>
    </xf>
    <xf numFmtId="10" fontId="5" fillId="0" borderId="2" xfId="27" applyNumberFormat="1" applyFont="1" applyBorder="1" applyAlignment="1">
      <alignment horizontal="center"/>
    </xf>
    <xf numFmtId="10" fontId="5" fillId="0" borderId="0" xfId="27" applyNumberFormat="1" applyFont="1" applyAlignment="1">
      <alignment horizontal="center"/>
    </xf>
    <xf numFmtId="0" fontId="5" fillId="0" borderId="3" xfId="27" applyFont="1" applyBorder="1"/>
    <xf numFmtId="10" fontId="5" fillId="0" borderId="0" xfId="29" applyNumberFormat="1" applyFont="1"/>
    <xf numFmtId="2" fontId="5" fillId="0" borderId="0" xfId="29" applyNumberFormat="1" applyFont="1"/>
    <xf numFmtId="0" fontId="4" fillId="0" borderId="0" xfId="31"/>
    <xf numFmtId="14" fontId="4" fillId="0" borderId="0" xfId="32" applyNumberFormat="1" applyAlignment="1">
      <alignment horizontal="right"/>
    </xf>
    <xf numFmtId="41" fontId="4" fillId="0" borderId="0" xfId="32" applyNumberFormat="1" applyAlignment="1">
      <alignment horizontal="right"/>
    </xf>
    <xf numFmtId="7" fontId="4" fillId="0" borderId="0" xfId="32" applyNumberFormat="1" applyAlignment="1">
      <alignment horizontal="right"/>
    </xf>
    <xf numFmtId="170" fontId="4" fillId="0" borderId="0" xfId="32" applyNumberFormat="1" applyAlignment="1">
      <alignment horizontal="right"/>
    </xf>
    <xf numFmtId="5" fontId="4" fillId="0" borderId="0" xfId="32" applyNumberFormat="1" applyAlignment="1">
      <alignment horizontal="right"/>
    </xf>
    <xf numFmtId="14" fontId="4" fillId="0" borderId="0" xfId="34" applyNumberFormat="1" applyAlignment="1">
      <alignment horizontal="right"/>
    </xf>
    <xf numFmtId="41" fontId="4" fillId="0" borderId="0" xfId="34" applyNumberFormat="1" applyAlignment="1">
      <alignment horizontal="right"/>
    </xf>
    <xf numFmtId="7" fontId="4" fillId="0" borderId="0" xfId="34" applyNumberFormat="1" applyAlignment="1">
      <alignment horizontal="right"/>
    </xf>
    <xf numFmtId="170" fontId="4" fillId="0" borderId="0" xfId="34" applyNumberFormat="1" applyAlignment="1">
      <alignment horizontal="right"/>
    </xf>
    <xf numFmtId="5" fontId="4" fillId="0" borderId="0" xfId="34" applyNumberFormat="1" applyAlignment="1">
      <alignment horizontal="right"/>
    </xf>
    <xf numFmtId="171" fontId="4" fillId="0" borderId="0" xfId="35" applyNumberFormat="1" applyAlignment="1">
      <alignment horizontal="center"/>
    </xf>
    <xf numFmtId="171" fontId="4" fillId="0" borderId="0" xfId="35" applyNumberFormat="1"/>
    <xf numFmtId="0" fontId="4" fillId="0" borderId="0" xfId="37" applyAlignment="1">
      <alignment horizontal="centerContinuous"/>
    </xf>
    <xf numFmtId="0" fontId="4" fillId="0" borderId="0" xfId="37"/>
    <xf numFmtId="0" fontId="14" fillId="0" borderId="0" xfId="37" applyFont="1"/>
    <xf numFmtId="0" fontId="5" fillId="0" borderId="3" xfId="37" applyFont="1" applyBorder="1" applyAlignment="1">
      <alignment horizontal="center"/>
    </xf>
    <xf numFmtId="0" fontId="4" fillId="0" borderId="3" xfId="37" applyBorder="1" applyAlignment="1">
      <alignment horizontal="center"/>
    </xf>
    <xf numFmtId="0" fontId="4" fillId="0" borderId="9" xfId="37" applyBorder="1" applyAlignment="1">
      <alignment horizontal="center"/>
    </xf>
    <xf numFmtId="0" fontId="4" fillId="0" borderId="9" xfId="37" applyBorder="1" applyAlignment="1">
      <alignment horizontal="center" wrapText="1"/>
    </xf>
    <xf numFmtId="0" fontId="4" fillId="0" borderId="0" xfId="38"/>
    <xf numFmtId="0" fontId="4" fillId="0" borderId="0" xfId="24" applyFont="1"/>
    <xf numFmtId="171" fontId="4" fillId="0" borderId="3" xfId="35" applyNumberFormat="1" applyBorder="1" applyAlignment="1">
      <alignment horizontal="center"/>
    </xf>
    <xf numFmtId="14" fontId="4" fillId="0" borderId="0" xfId="39" applyNumberFormat="1" applyAlignment="1">
      <alignment horizontal="right"/>
    </xf>
    <xf numFmtId="41" fontId="4" fillId="0" borderId="0" xfId="39" applyNumberFormat="1" applyAlignment="1">
      <alignment horizontal="right"/>
    </xf>
    <xf numFmtId="7" fontId="4" fillId="0" borderId="0" xfId="39" applyNumberFormat="1" applyAlignment="1">
      <alignment horizontal="right"/>
    </xf>
    <xf numFmtId="170" fontId="4" fillId="0" borderId="0" xfId="39" applyNumberFormat="1" applyAlignment="1">
      <alignment horizontal="right"/>
    </xf>
    <xf numFmtId="5" fontId="4" fillId="0" borderId="0" xfId="39" applyNumberFormat="1" applyAlignment="1">
      <alignment horizontal="right"/>
    </xf>
    <xf numFmtId="0" fontId="4" fillId="0" borderId="0" xfId="40"/>
    <xf numFmtId="14" fontId="4" fillId="0" borderId="0" xfId="41" applyNumberFormat="1" applyAlignment="1">
      <alignment horizontal="right"/>
    </xf>
    <xf numFmtId="41" fontId="4" fillId="0" borderId="0" xfId="41" applyNumberFormat="1" applyAlignment="1">
      <alignment horizontal="right"/>
    </xf>
    <xf numFmtId="7" fontId="4" fillId="0" borderId="0" xfId="41" applyNumberFormat="1" applyAlignment="1">
      <alignment horizontal="right"/>
    </xf>
    <xf numFmtId="170" fontId="4" fillId="0" borderId="0" xfId="41" applyNumberFormat="1" applyAlignment="1">
      <alignment horizontal="right"/>
    </xf>
    <xf numFmtId="5" fontId="4" fillId="0" borderId="0" xfId="41" applyNumberFormat="1" applyAlignment="1">
      <alignment horizontal="right"/>
    </xf>
    <xf numFmtId="41" fontId="4" fillId="0" borderId="0" xfId="24" applyNumberFormat="1" applyFont="1"/>
    <xf numFmtId="0" fontId="4" fillId="0" borderId="10" xfId="37" applyBorder="1"/>
    <xf numFmtId="41" fontId="4" fillId="0" borderId="10" xfId="39" applyNumberFormat="1" applyBorder="1" applyAlignment="1">
      <alignment horizontal="right"/>
    </xf>
    <xf numFmtId="7" fontId="4" fillId="0" borderId="10" xfId="39" applyNumberFormat="1" applyBorder="1" applyAlignment="1">
      <alignment horizontal="right"/>
    </xf>
    <xf numFmtId="170" fontId="4" fillId="0" borderId="10" xfId="39" applyNumberFormat="1" applyBorder="1" applyAlignment="1">
      <alignment horizontal="right"/>
    </xf>
    <xf numFmtId="5" fontId="4" fillId="0" borderId="10" xfId="39" applyNumberFormat="1" applyBorder="1" applyAlignment="1">
      <alignment horizontal="right"/>
    </xf>
    <xf numFmtId="171" fontId="4" fillId="0" borderId="10" xfId="35" applyNumberFormat="1" applyBorder="1" applyAlignment="1">
      <alignment horizontal="center"/>
    </xf>
    <xf numFmtId="171" fontId="4" fillId="0" borderId="0" xfId="37" applyNumberFormat="1"/>
    <xf numFmtId="0" fontId="4" fillId="0" borderId="0" xfId="37" applyAlignment="1">
      <alignment horizontal="center"/>
    </xf>
    <xf numFmtId="0" fontId="5" fillId="0" borderId="0" xfId="37" applyFont="1" applyAlignment="1">
      <alignment horizontal="center" wrapText="1"/>
    </xf>
    <xf numFmtId="0" fontId="4" fillId="0" borderId="0" xfId="37" applyAlignment="1">
      <alignment horizontal="center" wrapText="1"/>
    </xf>
    <xf numFmtId="0" fontId="4" fillId="0" borderId="1" xfId="37" applyBorder="1" applyAlignment="1">
      <alignment horizontal="centerContinuous" wrapText="1"/>
    </xf>
    <xf numFmtId="0" fontId="4" fillId="0" borderId="2" xfId="37" applyBorder="1" applyAlignment="1">
      <alignment horizontal="center" wrapText="1"/>
    </xf>
    <xf numFmtId="0" fontId="5" fillId="0" borderId="3" xfId="37" applyFont="1" applyBorder="1" applyAlignment="1">
      <alignment horizontal="center" wrapText="1"/>
    </xf>
    <xf numFmtId="0" fontId="4" fillId="0" borderId="3" xfId="37" applyBorder="1" applyAlignment="1">
      <alignment horizontal="center" wrapText="1"/>
    </xf>
    <xf numFmtId="0" fontId="5" fillId="0" borderId="0" xfId="37" applyFont="1"/>
    <xf numFmtId="10" fontId="4" fillId="0" borderId="0" xfId="37" applyNumberFormat="1" applyAlignment="1">
      <alignment horizontal="center"/>
    </xf>
    <xf numFmtId="164" fontId="4" fillId="0" borderId="0" xfId="37" applyNumberFormat="1" applyAlignment="1">
      <alignment horizontal="center"/>
    </xf>
    <xf numFmtId="0" fontId="4" fillId="0" borderId="2" xfId="37" applyBorder="1"/>
    <xf numFmtId="10" fontId="4" fillId="0" borderId="2" xfId="37" applyNumberFormat="1" applyBorder="1" applyAlignment="1">
      <alignment horizontal="center"/>
    </xf>
    <xf numFmtId="10" fontId="4" fillId="0" borderId="0" xfId="37" applyNumberFormat="1"/>
    <xf numFmtId="0" fontId="4" fillId="0" borderId="0" xfId="37" applyAlignment="1">
      <alignment horizontal="right"/>
    </xf>
    <xf numFmtId="10" fontId="4" fillId="0" borderId="3" xfId="37" applyNumberFormat="1" applyBorder="1"/>
    <xf numFmtId="10" fontId="4" fillId="0" borderId="11" xfId="37" applyNumberFormat="1" applyBorder="1"/>
    <xf numFmtId="0" fontId="4" fillId="0" borderId="3" xfId="37" applyBorder="1"/>
    <xf numFmtId="0" fontId="4" fillId="0" borderId="0" xfId="37" applyAlignment="1">
      <alignment wrapText="1"/>
    </xf>
    <xf numFmtId="10" fontId="4" fillId="0" borderId="0" xfId="42" applyNumberFormat="1"/>
    <xf numFmtId="0" fontId="4" fillId="0" borderId="0" xfId="43" applyFont="1"/>
    <xf numFmtId="0" fontId="4" fillId="0" borderId="0" xfId="43" applyFont="1" applyAlignment="1">
      <alignment horizontal="centerContinuous"/>
    </xf>
    <xf numFmtId="0" fontId="16" fillId="0" borderId="0" xfId="43" applyFont="1"/>
    <xf numFmtId="0" fontId="16" fillId="0" borderId="0" xfId="43" applyFont="1" applyAlignment="1">
      <alignment horizontal="centerContinuous"/>
    </xf>
    <xf numFmtId="0" fontId="4" fillId="0" borderId="4" xfId="43" applyFont="1" applyBorder="1" applyAlignment="1">
      <alignment horizontal="centerContinuous"/>
    </xf>
    <xf numFmtId="0" fontId="4" fillId="0" borderId="1" xfId="43" applyFont="1" applyBorder="1" applyAlignment="1">
      <alignment horizontal="centerContinuous"/>
    </xf>
    <xf numFmtId="0" fontId="4" fillId="0" borderId="5" xfId="43" applyFont="1" applyBorder="1" applyAlignment="1">
      <alignment horizontal="centerContinuous"/>
    </xf>
    <xf numFmtId="0" fontId="4" fillId="0" borderId="4" xfId="43" applyFont="1" applyBorder="1" applyAlignment="1">
      <alignment wrapText="1"/>
    </xf>
    <xf numFmtId="0" fontId="4" fillId="0" borderId="1" xfId="43" applyFont="1" applyBorder="1" applyAlignment="1">
      <alignment horizontal="center" wrapText="1"/>
    </xf>
    <xf numFmtId="0" fontId="4" fillId="0" borderId="5" xfId="43" applyFont="1" applyBorder="1" applyAlignment="1">
      <alignment horizontal="center" wrapText="1"/>
    </xf>
    <xf numFmtId="0" fontId="4" fillId="0" borderId="4" xfId="43" applyFont="1" applyBorder="1" applyAlignment="1">
      <alignment horizontal="center" wrapText="1"/>
    </xf>
    <xf numFmtId="0" fontId="4" fillId="0" borderId="6" xfId="43" applyFont="1" applyBorder="1"/>
    <xf numFmtId="0" fontId="4" fillId="0" borderId="7" xfId="43" applyFont="1" applyBorder="1"/>
    <xf numFmtId="0" fontId="17" fillId="0" borderId="0" xfId="44" applyFont="1" applyAlignment="1">
      <alignment horizontal="center"/>
    </xf>
    <xf numFmtId="0" fontId="17" fillId="0" borderId="7" xfId="44" applyFont="1" applyBorder="1" applyAlignment="1">
      <alignment horizontal="center"/>
    </xf>
    <xf numFmtId="0" fontId="17" fillId="0" borderId="6" xfId="43" applyFont="1" applyBorder="1" applyAlignment="1">
      <alignment horizontal="center"/>
    </xf>
    <xf numFmtId="0" fontId="17" fillId="0" borderId="7" xfId="43" applyFont="1" applyBorder="1" applyAlignment="1">
      <alignment horizontal="center"/>
    </xf>
    <xf numFmtId="1" fontId="4" fillId="0" borderId="6" xfId="27" applyNumberFormat="1" applyFont="1" applyBorder="1" applyAlignment="1">
      <alignment horizontal="left"/>
    </xf>
    <xf numFmtId="1" fontId="4" fillId="0" borderId="7" xfId="27" applyNumberFormat="1" applyFont="1" applyBorder="1"/>
    <xf numFmtId="0" fontId="17" fillId="0" borderId="6" xfId="44" applyFont="1" applyBorder="1" applyAlignment="1">
      <alignment horizontal="center"/>
    </xf>
    <xf numFmtId="1" fontId="4" fillId="0" borderId="7" xfId="24" applyNumberFormat="1" applyFont="1" applyBorder="1" applyAlignment="1">
      <alignment horizontal="left"/>
    </xf>
    <xf numFmtId="0" fontId="18" fillId="0" borderId="7" xfId="38" applyFont="1" applyBorder="1" applyAlignment="1">
      <alignment horizontal="center" vertical="center"/>
    </xf>
    <xf numFmtId="0" fontId="4" fillId="0" borderId="6" xfId="44" applyFont="1" applyBorder="1"/>
    <xf numFmtId="0" fontId="4" fillId="0" borderId="7" xfId="44" applyFont="1" applyBorder="1"/>
    <xf numFmtId="0" fontId="4" fillId="0" borderId="6" xfId="44" applyFont="1" applyBorder="1" applyAlignment="1">
      <alignment horizontal="center"/>
    </xf>
    <xf numFmtId="0" fontId="4" fillId="0" borderId="0" xfId="43" applyFont="1" applyAlignment="1">
      <alignment horizontal="center"/>
    </xf>
    <xf numFmtId="0" fontId="4" fillId="0" borderId="12" xfId="43" applyFont="1" applyBorder="1"/>
    <xf numFmtId="0" fontId="4" fillId="0" borderId="3" xfId="43" applyFont="1" applyBorder="1"/>
    <xf numFmtId="0" fontId="17" fillId="0" borderId="12" xfId="44" applyFont="1" applyBorder="1" applyAlignment="1">
      <alignment horizontal="center"/>
    </xf>
    <xf numFmtId="0" fontId="4" fillId="0" borderId="3" xfId="45" applyFont="1" applyBorder="1"/>
    <xf numFmtId="0" fontId="4" fillId="0" borderId="3" xfId="45" applyFont="1" applyBorder="1" applyAlignment="1">
      <alignment horizontal="center"/>
    </xf>
    <xf numFmtId="0" fontId="17" fillId="0" borderId="8" xfId="44" applyFont="1" applyBorder="1" applyAlignment="1">
      <alignment horizontal="center"/>
    </xf>
    <xf numFmtId="0" fontId="5" fillId="0" borderId="3" xfId="38" applyFont="1" applyBorder="1" applyAlignment="1">
      <alignment horizontal="center" vertical="center"/>
    </xf>
    <xf numFmtId="0" fontId="18" fillId="0" borderId="3" xfId="38" applyFont="1" applyBorder="1" applyAlignment="1">
      <alignment horizontal="center" vertical="center"/>
    </xf>
    <xf numFmtId="0" fontId="17" fillId="0" borderId="3" xfId="43" applyFont="1" applyBorder="1" applyAlignment="1">
      <alignment horizontal="center"/>
    </xf>
    <xf numFmtId="0" fontId="4" fillId="0" borderId="8" xfId="43" applyFont="1" applyBorder="1"/>
    <xf numFmtId="9" fontId="4" fillId="0" borderId="0" xfId="2" applyFont="1" applyAlignment="1">
      <alignment horizontal="center"/>
    </xf>
    <xf numFmtId="0" fontId="4" fillId="0" borderId="0" xfId="41" applyAlignment="1">
      <alignment horizontal="center"/>
    </xf>
    <xf numFmtId="0" fontId="4" fillId="0" borderId="0" xfId="41" applyAlignment="1">
      <alignment horizontal="centerContinuous"/>
    </xf>
    <xf numFmtId="0" fontId="4" fillId="0" borderId="0" xfId="41"/>
    <xf numFmtId="0" fontId="5" fillId="0" borderId="1" xfId="41" applyFont="1" applyBorder="1" applyAlignment="1">
      <alignment horizontal="center" wrapText="1"/>
    </xf>
    <xf numFmtId="0" fontId="5" fillId="0" borderId="0" xfId="41" applyFont="1" applyAlignment="1">
      <alignment horizontal="center" wrapText="1"/>
    </xf>
    <xf numFmtId="0" fontId="5" fillId="0" borderId="0" xfId="41" applyFont="1"/>
    <xf numFmtId="10" fontId="4" fillId="0" borderId="0" xfId="46" applyNumberFormat="1" applyAlignment="1">
      <alignment horizontal="center"/>
    </xf>
    <xf numFmtId="0" fontId="4" fillId="0" borderId="0" xfId="0" applyFont="1" applyAlignment="1">
      <alignment horizontal="center"/>
    </xf>
    <xf numFmtId="10" fontId="5" fillId="0" borderId="0" xfId="2" applyNumberFormat="1" applyFont="1"/>
    <xf numFmtId="10" fontId="4" fillId="0" borderId="0" xfId="2" applyNumberFormat="1" applyFont="1"/>
    <xf numFmtId="10" fontId="4" fillId="0" borderId="0" xfId="2" applyNumberFormat="1" applyFont="1" applyAlignment="1">
      <alignment horizontal="right"/>
    </xf>
    <xf numFmtId="0" fontId="5" fillId="0" borderId="0" xfId="47" applyAlignment="1">
      <alignment horizontal="center"/>
    </xf>
    <xf numFmtId="10" fontId="4" fillId="0" borderId="0" xfId="41" applyNumberFormat="1" applyAlignment="1">
      <alignment horizontal="center"/>
    </xf>
    <xf numFmtId="0" fontId="4" fillId="0" borderId="1" xfId="41" applyBorder="1"/>
    <xf numFmtId="10" fontId="4" fillId="0" borderId="1" xfId="41" applyNumberFormat="1" applyBorder="1" applyAlignment="1">
      <alignment horizontal="center"/>
    </xf>
    <xf numFmtId="0" fontId="7" fillId="0" borderId="0" xfId="41" applyFont="1"/>
    <xf numFmtId="0" fontId="7" fillId="0" borderId="3" xfId="41" applyFont="1" applyBorder="1"/>
    <xf numFmtId="0" fontId="4" fillId="0" borderId="0" xfId="3" applyAlignment="1">
      <alignment horizontal="center"/>
    </xf>
    <xf numFmtId="2" fontId="4" fillId="0" borderId="0" xfId="3" applyNumberFormat="1"/>
    <xf numFmtId="164" fontId="4" fillId="0" borderId="0" xfId="3" applyNumberFormat="1"/>
    <xf numFmtId="10" fontId="4" fillId="0" borderId="0" xfId="3" applyNumberFormat="1"/>
    <xf numFmtId="166" fontId="7" fillId="0" borderId="0" xfId="14" applyNumberFormat="1" applyFont="1" applyAlignment="1">
      <alignment horizontal="right"/>
    </xf>
    <xf numFmtId="167" fontId="4" fillId="0" borderId="0" xfId="0" applyNumberFormat="1" applyFont="1"/>
    <xf numFmtId="169" fontId="5" fillId="0" borderId="0" xfId="27" applyNumberFormat="1" applyFont="1" applyFill="1" applyAlignment="1">
      <alignment horizontal="center"/>
    </xf>
    <xf numFmtId="2" fontId="5" fillId="0" borderId="0" xfId="27" applyNumberFormat="1" applyFont="1" applyFill="1" applyAlignment="1">
      <alignment horizontal="center"/>
    </xf>
    <xf numFmtId="0" fontId="2" fillId="0" borderId="0" xfId="44" applyFont="1" applyAlignment="1">
      <alignment horizontal="center"/>
    </xf>
    <xf numFmtId="10" fontId="4" fillId="0" borderId="0" xfId="41" applyNumberFormat="1"/>
    <xf numFmtId="0" fontId="5" fillId="0" borderId="1" xfId="41" applyFont="1" applyFill="1" applyBorder="1" applyAlignment="1">
      <alignment horizontal="center" wrapText="1"/>
    </xf>
    <xf numFmtId="10" fontId="5" fillId="0" borderId="0" xfId="2" applyNumberFormat="1" applyFont="1" applyFill="1" applyAlignment="1">
      <alignment horizontal="center"/>
    </xf>
    <xf numFmtId="10" fontId="7" fillId="0" borderId="3" xfId="5" applyNumberFormat="1" applyFont="1" applyFill="1" applyBorder="1" applyAlignment="1">
      <alignment horizontal="center"/>
    </xf>
    <xf numFmtId="0" fontId="4" fillId="0" borderId="0" xfId="5" applyFill="1"/>
    <xf numFmtId="0" fontId="4" fillId="0" borderId="0" xfId="5" applyFill="1" applyAlignment="1">
      <alignment horizontal="center"/>
    </xf>
    <xf numFmtId="167" fontId="4" fillId="0" borderId="0" xfId="5" applyNumberFormat="1" applyFill="1" applyAlignment="1">
      <alignment horizontal="center"/>
    </xf>
    <xf numFmtId="10" fontId="4" fillId="0" borderId="0" xfId="5" applyNumberFormat="1" applyFill="1" applyAlignment="1">
      <alignment horizontal="center"/>
    </xf>
    <xf numFmtId="0" fontId="7" fillId="0" borderId="0" xfId="5" applyFont="1" applyFill="1"/>
    <xf numFmtId="10" fontId="5" fillId="0" borderId="0" xfId="16" applyNumberFormat="1" applyFill="1" applyAlignment="1">
      <alignment horizontal="center"/>
    </xf>
    <xf numFmtId="0" fontId="4" fillId="0" borderId="0" xfId="41" applyFill="1"/>
    <xf numFmtId="10" fontId="4" fillId="0" borderId="0" xfId="2" applyNumberFormat="1" applyFont="1" applyFill="1" applyAlignment="1">
      <alignment horizontal="center"/>
    </xf>
    <xf numFmtId="1" fontId="2" fillId="0" borderId="0" xfId="24" applyNumberFormat="1" applyFont="1" applyFill="1" applyBorder="1" applyAlignment="1">
      <alignment horizontal="left"/>
    </xf>
    <xf numFmtId="0" fontId="17" fillId="0" borderId="6" xfId="25" applyFont="1" applyFill="1" applyBorder="1" applyAlignment="1">
      <alignment horizontal="center"/>
    </xf>
    <xf numFmtId="0" fontId="2" fillId="0" borderId="0" xfId="25" applyFont="1" applyFill="1" applyBorder="1" applyAlignment="1">
      <alignment horizontal="center"/>
    </xf>
    <xf numFmtId="0" fontId="17" fillId="0" borderId="0" xfId="25" applyFont="1" applyFill="1" applyBorder="1" applyAlignment="1">
      <alignment horizontal="center"/>
    </xf>
    <xf numFmtId="0" fontId="17" fillId="0" borderId="7" xfId="25" applyFont="1" applyFill="1" applyBorder="1" applyAlignment="1">
      <alignment horizontal="center"/>
    </xf>
    <xf numFmtId="0" fontId="4" fillId="0" borderId="6" xfId="43" applyFont="1" applyFill="1" applyBorder="1"/>
    <xf numFmtId="0" fontId="4" fillId="0" borderId="7" xfId="43" applyFont="1" applyFill="1" applyBorder="1"/>
    <xf numFmtId="0" fontId="17" fillId="0" borderId="0" xfId="23" applyFont="1" applyFill="1" applyBorder="1" applyAlignment="1">
      <alignment horizontal="center"/>
    </xf>
    <xf numFmtId="0" fontId="4" fillId="0" borderId="0" xfId="43" applyFont="1" applyAlignment="1">
      <alignment vertical="top" wrapText="1"/>
    </xf>
    <xf numFmtId="0" fontId="19" fillId="0" borderId="2" xfId="43" applyFont="1" applyBorder="1" applyAlignment="1">
      <alignment vertical="top" wrapText="1"/>
    </xf>
    <xf numFmtId="0" fontId="4" fillId="0" borderId="2" xfId="43" applyFont="1" applyBorder="1" applyAlignment="1">
      <alignment vertical="top" wrapText="1"/>
    </xf>
    <xf numFmtId="10" fontId="4" fillId="0" borderId="0" xfId="37" applyNumberFormat="1" applyBorder="1" applyAlignment="1">
      <alignment horizontal="center"/>
    </xf>
    <xf numFmtId="10" fontId="4" fillId="0" borderId="3" xfId="37" applyNumberFormat="1" applyBorder="1" applyAlignment="1">
      <alignment horizontal="center"/>
    </xf>
    <xf numFmtId="0" fontId="1" fillId="0" borderId="0" xfId="43" applyFont="1" applyAlignment="1">
      <alignment vertical="top" wrapText="1"/>
    </xf>
    <xf numFmtId="0" fontId="4" fillId="0" borderId="13" xfId="43" applyFont="1" applyBorder="1"/>
    <xf numFmtId="0" fontId="4" fillId="0" borderId="2" xfId="43" applyFont="1" applyBorder="1"/>
    <xf numFmtId="0" fontId="4" fillId="0" borderId="14" xfId="43" applyFont="1" applyBorder="1"/>
    <xf numFmtId="0" fontId="17" fillId="0" borderId="2" xfId="44" applyFont="1" applyBorder="1" applyAlignment="1">
      <alignment horizontal="center"/>
    </xf>
    <xf numFmtId="0" fontId="4" fillId="0" borderId="2" xfId="44" applyFont="1" applyBorder="1" applyAlignment="1">
      <alignment horizontal="center"/>
    </xf>
    <xf numFmtId="0" fontId="17" fillId="0" borderId="14" xfId="44" applyFont="1" applyBorder="1" applyAlignment="1">
      <alignment horizontal="center"/>
    </xf>
    <xf numFmtId="0" fontId="4" fillId="0" borderId="0" xfId="43" applyFont="1" applyBorder="1"/>
    <xf numFmtId="0" fontId="17" fillId="0" borderId="0" xfId="44" applyFont="1" applyBorder="1" applyAlignment="1">
      <alignment horizontal="center"/>
    </xf>
    <xf numFmtId="0" fontId="4" fillId="0" borderId="0" xfId="44" applyFont="1" applyBorder="1" applyAlignment="1">
      <alignment horizontal="center"/>
    </xf>
    <xf numFmtId="1" fontId="4" fillId="0" borderId="0" xfId="27" applyNumberFormat="1" applyFont="1" applyBorder="1"/>
    <xf numFmtId="1" fontId="4" fillId="0" borderId="6" xfId="24" applyNumberFormat="1" applyFont="1" applyBorder="1" applyAlignment="1">
      <alignment horizontal="left"/>
    </xf>
    <xf numFmtId="1" fontId="4" fillId="0" borderId="0" xfId="24" applyNumberFormat="1" applyFont="1" applyBorder="1" applyAlignment="1">
      <alignment horizontal="left"/>
    </xf>
    <xf numFmtId="0" fontId="4" fillId="0" borderId="0" xfId="38" applyBorder="1"/>
    <xf numFmtId="1" fontId="4" fillId="0" borderId="6" xfId="24" applyNumberFormat="1" applyFont="1" applyFill="1" applyBorder="1" applyAlignment="1">
      <alignment horizontal="left"/>
    </xf>
    <xf numFmtId="1" fontId="4" fillId="0" borderId="0" xfId="24" applyNumberFormat="1" applyFont="1" applyFill="1" applyBorder="1" applyAlignment="1">
      <alignment horizontal="left"/>
    </xf>
    <xf numFmtId="0" fontId="17" fillId="0" borderId="13" xfId="44" applyFont="1" applyBorder="1" applyAlignment="1">
      <alignment horizontal="center"/>
    </xf>
    <xf numFmtId="0" fontId="17" fillId="0" borderId="13" xfId="43" applyFont="1" applyBorder="1" applyAlignment="1">
      <alignment horizontal="center"/>
    </xf>
    <xf numFmtId="0" fontId="17" fillId="0" borderId="2" xfId="43" applyFont="1" applyBorder="1" applyAlignment="1">
      <alignment horizontal="center"/>
    </xf>
    <xf numFmtId="0" fontId="6" fillId="0" borderId="2" xfId="38" applyFont="1" applyBorder="1"/>
    <xf numFmtId="0" fontId="5" fillId="0" borderId="2" xfId="38" applyFont="1" applyBorder="1" applyAlignment="1">
      <alignment horizontal="center" vertical="center"/>
    </xf>
    <xf numFmtId="0" fontId="18" fillId="0" borderId="2" xfId="38" applyFont="1" applyBorder="1" applyAlignment="1">
      <alignment horizontal="center" vertical="center"/>
    </xf>
    <xf numFmtId="0" fontId="17" fillId="0" borderId="0" xfId="43" applyFont="1" applyBorder="1" applyAlignment="1">
      <alignment horizontal="center"/>
    </xf>
    <xf numFmtId="0" fontId="18" fillId="0" borderId="0" xfId="38" applyFont="1" applyBorder="1" applyAlignment="1">
      <alignment horizontal="center" vertical="center"/>
    </xf>
    <xf numFmtId="0" fontId="5" fillId="0" borderId="0" xfId="38" applyFont="1" applyBorder="1" applyAlignment="1">
      <alignment horizontal="center" vertical="center"/>
    </xf>
    <xf numFmtId="0" fontId="6" fillId="0" borderId="0" xfId="38" applyFont="1" applyBorder="1"/>
    <xf numFmtId="0" fontId="20" fillId="0" borderId="0" xfId="38" applyFont="1" applyBorder="1" applyAlignment="1">
      <alignment horizontal="center" vertical="center"/>
    </xf>
    <xf numFmtId="0" fontId="17" fillId="0" borderId="0" xfId="44" applyFont="1" applyBorder="1"/>
    <xf numFmtId="0" fontId="5" fillId="0" borderId="0" xfId="38" applyFont="1" applyFill="1" applyBorder="1" applyAlignment="1">
      <alignment horizontal="center" vertical="center"/>
    </xf>
    <xf numFmtId="0" fontId="4" fillId="0" borderId="0" xfId="43" applyFont="1" applyFill="1" applyBorder="1"/>
    <xf numFmtId="0" fontId="4" fillId="0" borderId="0" xfId="44" applyFont="1" applyBorder="1"/>
    <xf numFmtId="0" fontId="4" fillId="0" borderId="0" xfId="43" applyFont="1" applyBorder="1" applyAlignment="1">
      <alignment horizontal="center"/>
    </xf>
    <xf numFmtId="0" fontId="4" fillId="0" borderId="0" xfId="38" applyBorder="1" applyAlignment="1">
      <alignment horizontal="center"/>
    </xf>
    <xf numFmtId="0" fontId="4" fillId="0" borderId="0" xfId="5" applyAlignment="1">
      <alignment horizontal="center"/>
    </xf>
    <xf numFmtId="0" fontId="5" fillId="0" borderId="0" xfId="27" applyFont="1" applyAlignment="1">
      <alignment horizontal="center"/>
    </xf>
    <xf numFmtId="0" fontId="5" fillId="0" borderId="3" xfId="27" applyFont="1" applyBorder="1" applyAlignment="1">
      <alignment horizontal="center"/>
    </xf>
    <xf numFmtId="0" fontId="4" fillId="0" borderId="0" xfId="37" applyAlignment="1">
      <alignment vertical="top" wrapText="1"/>
    </xf>
    <xf numFmtId="0" fontId="4" fillId="0" borderId="0" xfId="37" applyAlignment="1">
      <alignment wrapText="1"/>
    </xf>
    <xf numFmtId="0" fontId="1" fillId="0" borderId="0" xfId="43" applyFont="1" applyAlignment="1">
      <alignment horizontal="left" vertical="top" wrapText="1"/>
    </xf>
    <xf numFmtId="0" fontId="19" fillId="0" borderId="2" xfId="43" applyFont="1" applyBorder="1" applyAlignment="1">
      <alignment horizontal="left" vertical="top" wrapText="1"/>
    </xf>
    <xf numFmtId="0" fontId="4" fillId="0" borderId="0" xfId="43" applyFont="1" applyAlignment="1">
      <alignment horizontal="left" vertical="top" wrapText="1"/>
    </xf>
    <xf numFmtId="0" fontId="4" fillId="0" borderId="0" xfId="43" applyFont="1" applyBorder="1" applyAlignment="1">
      <alignment horizontal="left" vertical="top" wrapText="1"/>
    </xf>
    <xf numFmtId="0" fontId="4" fillId="0" borderId="0" xfId="41" applyAlignment="1">
      <alignment horizontal="center"/>
    </xf>
    <xf numFmtId="0" fontId="7" fillId="0" borderId="0" xfId="41" applyFont="1" applyAlignment="1">
      <alignment horizontal="left" wrapText="1"/>
    </xf>
    <xf numFmtId="0" fontId="4" fillId="0" borderId="3" xfId="3" applyBorder="1" applyAlignment="1">
      <alignment horizontal="center"/>
    </xf>
    <xf numFmtId="0" fontId="4" fillId="0" borderId="2" xfId="3" applyBorder="1" applyAlignment="1">
      <alignment horizontal="center"/>
    </xf>
    <xf numFmtId="0" fontId="4" fillId="0" borderId="0" xfId="3" applyAlignment="1">
      <alignment horizontal="center"/>
    </xf>
  </cellXfs>
  <cellStyles count="48">
    <cellStyle name="Comma" xfId="1" builtinId="3"/>
    <cellStyle name="Comma 2 106 3 2" xfId="11"/>
    <cellStyle name="Comma 4 18 2 2" xfId="14"/>
    <cellStyle name="Normal" xfId="0" builtinId="0"/>
    <cellStyle name="Normal 10 10 3 2 2" xfId="3"/>
    <cellStyle name="Normal 10 10 3 2 2 2" xfId="19"/>
    <cellStyle name="Normal 10 10 3 2 2 2 2" xfId="26"/>
    <cellStyle name="Normal 10 10 3 2 2 2 2 2" xfId="38"/>
    <cellStyle name="Normal 10 10 3 2 2 2 3" xfId="30"/>
    <cellStyle name="Normal 10 10 3 2 2 3" xfId="6"/>
    <cellStyle name="Normal 10 10 3 2 2 5" xfId="9"/>
    <cellStyle name="Normal 10 10 3 2 3 2 2" xfId="40"/>
    <cellStyle name="Normal 10 11 8" xfId="31"/>
    <cellStyle name="Normal 10 11 8 2" xfId="37"/>
    <cellStyle name="Normal 10 21 3" xfId="47"/>
    <cellStyle name="Normal 14 12 10 2 2" xfId="43"/>
    <cellStyle name="Normal 14 12 10 3" xfId="25"/>
    <cellStyle name="Normal 14 12 10 3 2" xfId="44"/>
    <cellStyle name="Normal 2 141" xfId="28"/>
    <cellStyle name="Normal 2 2 2 152" xfId="4"/>
    <cellStyle name="Normal 2 2 2 152 2" xfId="20"/>
    <cellStyle name="Normal 2 2 2 152 2 2" xfId="34"/>
    <cellStyle name="Normal 2 2 2 152 2 2 2 2" xfId="41"/>
    <cellStyle name="Normal 2 2 2 153" xfId="32"/>
    <cellStyle name="Normal 2 2 2 153 2" xfId="39"/>
    <cellStyle name="Normal 2 2 9 4 4" xfId="16"/>
    <cellStyle name="Normal 201" xfId="24"/>
    <cellStyle name="Normal 201 3" xfId="27"/>
    <cellStyle name="Normal 202 2" xfId="23"/>
    <cellStyle name="Normal 202 2 2" xfId="45"/>
    <cellStyle name="Normal 3 10 2 2 2 2" xfId="5"/>
    <cellStyle name="Normal 3 10 2 2 2 4" xfId="8"/>
    <cellStyle name="Normal 3 100 3 2" xfId="13"/>
    <cellStyle name="Percent" xfId="2" builtinId="5"/>
    <cellStyle name="Percent 10" xfId="22"/>
    <cellStyle name="Percent 2 10 3 4 3" xfId="12"/>
    <cellStyle name="Percent 2 10 3 4 3 2" xfId="46"/>
    <cellStyle name="Percent 2 105 3 2" xfId="7"/>
    <cellStyle name="Percent 2 105 3 4" xfId="10"/>
    <cellStyle name="Percent 2 105 4" xfId="36"/>
    <cellStyle name="Percent 2 105 4 2" xfId="42"/>
    <cellStyle name="Percent 2 152" xfId="21"/>
    <cellStyle name="Percent 2 16" xfId="18"/>
    <cellStyle name="Percent 2 2 10" xfId="17"/>
    <cellStyle name="Percent 2 2 2 28 2 2" xfId="33"/>
    <cellStyle name="Percent 2 2 2 28 2 2 2 2" xfId="35"/>
    <cellStyle name="Percent 2 2 2 28 3 2" xfId="15"/>
    <cellStyle name="Percent 85 2" xfId="29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82164353804711"/>
          <c:y val="7.7733567995854347E-2"/>
          <c:w val="0.78341447944007003"/>
          <c:h val="0.8263713910761154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4472C4"/>
              </a:solidFill>
              <a:ln>
                <a:noFill/>
              </a:ln>
            </c:spPr>
          </c:marker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og"/>
            <c:dispRSqr val="1"/>
            <c:dispEq val="1"/>
            <c:trendlineLbl>
              <c:layout>
                <c:manualLayout>
                  <c:x val="0.11325889457555621"/>
                  <c:y val="-0.31951487897416653"/>
                </c:manualLayout>
              </c:layout>
              <c:numFmt formatCode="#,##0.0000" sourceLinked="0"/>
            </c:trendlineLbl>
          </c:trendline>
          <c:xVal>
            <c:numRef>
              <c:f>'RBH-5 Risk Premium'!$F$46:$F$1629</c:f>
              <c:numCache>
                <c:formatCode>0.00%</c:formatCode>
                <c:ptCount val="1584"/>
                <c:pt idx="0">
                  <c:v>9.357899999999994E-2</c:v>
                </c:pt>
                <c:pt idx="1">
                  <c:v>9.3833499999999931E-2</c:v>
                </c:pt>
                <c:pt idx="2">
                  <c:v>9.3958499999999903E-2</c:v>
                </c:pt>
                <c:pt idx="3">
                  <c:v>9.4156499999999921E-2</c:v>
                </c:pt>
                <c:pt idx="4">
                  <c:v>9.4368999999999939E-2</c:v>
                </c:pt>
                <c:pt idx="5">
                  <c:v>9.4704499999999955E-2</c:v>
                </c:pt>
                <c:pt idx="6">
                  <c:v>9.5205499999999971E-2</c:v>
                </c:pt>
                <c:pt idx="7">
                  <c:v>9.530599999999996E-2</c:v>
                </c:pt>
                <c:pt idx="8">
                  <c:v>9.5788999999999902E-2</c:v>
                </c:pt>
                <c:pt idx="9">
                  <c:v>9.6325999999999912E-2</c:v>
                </c:pt>
                <c:pt idx="10">
                  <c:v>9.6464499999999939E-2</c:v>
                </c:pt>
                <c:pt idx="11">
                  <c:v>9.6781999999999951E-2</c:v>
                </c:pt>
                <c:pt idx="12">
                  <c:v>9.7818500000000003E-2</c:v>
                </c:pt>
                <c:pt idx="13">
                  <c:v>9.8118500000000011E-2</c:v>
                </c:pt>
                <c:pt idx="14">
                  <c:v>9.8118500000000011E-2</c:v>
                </c:pt>
                <c:pt idx="15">
                  <c:v>9.8118500000000011E-2</c:v>
                </c:pt>
                <c:pt idx="16">
                  <c:v>9.8918499999999993E-2</c:v>
                </c:pt>
                <c:pt idx="17">
                  <c:v>9.9685000000000024E-2</c:v>
                </c:pt>
                <c:pt idx="18">
                  <c:v>0.10099500000000008</c:v>
                </c:pt>
                <c:pt idx="19">
                  <c:v>0.10117500000000008</c:v>
                </c:pt>
                <c:pt idx="20">
                  <c:v>0.10134700000000009</c:v>
                </c:pt>
                <c:pt idx="21">
                  <c:v>0.10273700000000006</c:v>
                </c:pt>
                <c:pt idx="22">
                  <c:v>0.10286450000000008</c:v>
                </c:pt>
                <c:pt idx="23">
                  <c:v>0.10309550000000005</c:v>
                </c:pt>
                <c:pt idx="24">
                  <c:v>0.10352400000000003</c:v>
                </c:pt>
                <c:pt idx="25">
                  <c:v>0.10352400000000003</c:v>
                </c:pt>
                <c:pt idx="26">
                  <c:v>0.10375000000000002</c:v>
                </c:pt>
                <c:pt idx="27">
                  <c:v>0.10406750000000001</c:v>
                </c:pt>
                <c:pt idx="28">
                  <c:v>0.10446700000000002</c:v>
                </c:pt>
                <c:pt idx="29">
                  <c:v>0.10452700000000002</c:v>
                </c:pt>
                <c:pt idx="30">
                  <c:v>0.10459449999999998</c:v>
                </c:pt>
                <c:pt idx="31">
                  <c:v>0.1046675</c:v>
                </c:pt>
                <c:pt idx="32">
                  <c:v>0.10480400000000001</c:v>
                </c:pt>
                <c:pt idx="33">
                  <c:v>0.10494250000000001</c:v>
                </c:pt>
                <c:pt idx="34">
                  <c:v>0.10510200000000001</c:v>
                </c:pt>
                <c:pt idx="35">
                  <c:v>0.10543049999999995</c:v>
                </c:pt>
                <c:pt idx="36">
                  <c:v>0.10543049999999995</c:v>
                </c:pt>
                <c:pt idx="37">
                  <c:v>0.10556699999999999</c:v>
                </c:pt>
                <c:pt idx="38">
                  <c:v>0.10563800000000001</c:v>
                </c:pt>
                <c:pt idx="39">
                  <c:v>0.10571200000000001</c:v>
                </c:pt>
                <c:pt idx="40">
                  <c:v>0.10598149999999999</c:v>
                </c:pt>
                <c:pt idx="41">
                  <c:v>0.10602749999999993</c:v>
                </c:pt>
                <c:pt idx="42">
                  <c:v>0.10609799999999997</c:v>
                </c:pt>
                <c:pt idx="43">
                  <c:v>0.10622499999999999</c:v>
                </c:pt>
                <c:pt idx="44">
                  <c:v>0.106452</c:v>
                </c:pt>
                <c:pt idx="45">
                  <c:v>0.106452</c:v>
                </c:pt>
                <c:pt idx="46">
                  <c:v>0.10673699999999998</c:v>
                </c:pt>
                <c:pt idx="47">
                  <c:v>0.10678949999999998</c:v>
                </c:pt>
                <c:pt idx="48">
                  <c:v>0.10696149999999999</c:v>
                </c:pt>
                <c:pt idx="49">
                  <c:v>0.10710050000000003</c:v>
                </c:pt>
                <c:pt idx="50">
                  <c:v>0.10718649999999999</c:v>
                </c:pt>
                <c:pt idx="51">
                  <c:v>0.10727700000000001</c:v>
                </c:pt>
                <c:pt idx="52">
                  <c:v>0.10732649999999999</c:v>
                </c:pt>
                <c:pt idx="53">
                  <c:v>0.10751150000000001</c:v>
                </c:pt>
                <c:pt idx="54">
                  <c:v>0.107776</c:v>
                </c:pt>
                <c:pt idx="55">
                  <c:v>0.107776</c:v>
                </c:pt>
                <c:pt idx="56">
                  <c:v>0.107776</c:v>
                </c:pt>
                <c:pt idx="57">
                  <c:v>0.10781400000000002</c:v>
                </c:pt>
                <c:pt idx="58">
                  <c:v>0.10791400000000001</c:v>
                </c:pt>
                <c:pt idx="59">
                  <c:v>0.10791400000000001</c:v>
                </c:pt>
                <c:pt idx="60">
                  <c:v>0.10819500000000001</c:v>
                </c:pt>
                <c:pt idx="61">
                  <c:v>0.1082685</c:v>
                </c:pt>
                <c:pt idx="62">
                  <c:v>0.10837050000000001</c:v>
                </c:pt>
                <c:pt idx="63">
                  <c:v>0.10878700000000001</c:v>
                </c:pt>
                <c:pt idx="64">
                  <c:v>0.10878700000000001</c:v>
                </c:pt>
                <c:pt idx="65">
                  <c:v>0.10878700000000001</c:v>
                </c:pt>
                <c:pt idx="66">
                  <c:v>0.109273</c:v>
                </c:pt>
                <c:pt idx="67">
                  <c:v>0.109273</c:v>
                </c:pt>
                <c:pt idx="68">
                  <c:v>0.10943600000000001</c:v>
                </c:pt>
                <c:pt idx="69">
                  <c:v>0.10959250000000001</c:v>
                </c:pt>
                <c:pt idx="70">
                  <c:v>0.10959250000000001</c:v>
                </c:pt>
                <c:pt idx="71">
                  <c:v>0.10966849999999997</c:v>
                </c:pt>
                <c:pt idx="72">
                  <c:v>0.10980549999999997</c:v>
                </c:pt>
                <c:pt idx="73">
                  <c:v>0.10992249999999998</c:v>
                </c:pt>
                <c:pt idx="74">
                  <c:v>0.11003499999999999</c:v>
                </c:pt>
                <c:pt idx="75">
                  <c:v>0.11003499999999999</c:v>
                </c:pt>
                <c:pt idx="76">
                  <c:v>0.11003499999999999</c:v>
                </c:pt>
                <c:pt idx="77">
                  <c:v>0.11024199999999999</c:v>
                </c:pt>
                <c:pt idx="78">
                  <c:v>0.11030250000000001</c:v>
                </c:pt>
                <c:pt idx="79">
                  <c:v>0.11107250000000005</c:v>
                </c:pt>
                <c:pt idx="80">
                  <c:v>0.11107250000000005</c:v>
                </c:pt>
                <c:pt idx="81">
                  <c:v>0.11116000000000004</c:v>
                </c:pt>
                <c:pt idx="82">
                  <c:v>0.1112475</c:v>
                </c:pt>
                <c:pt idx="83">
                  <c:v>0.1112475</c:v>
                </c:pt>
                <c:pt idx="84">
                  <c:v>0.11143350000000002</c:v>
                </c:pt>
                <c:pt idx="85">
                  <c:v>0.11153500000000001</c:v>
                </c:pt>
                <c:pt idx="86">
                  <c:v>0.11181100000000002</c:v>
                </c:pt>
                <c:pt idx="87">
                  <c:v>0.11187000000000005</c:v>
                </c:pt>
                <c:pt idx="88">
                  <c:v>0.11192500000000004</c:v>
                </c:pt>
                <c:pt idx="89">
                  <c:v>0.11206050000000004</c:v>
                </c:pt>
                <c:pt idx="90">
                  <c:v>0.11211500000000001</c:v>
                </c:pt>
                <c:pt idx="91">
                  <c:v>0.11222860000000001</c:v>
                </c:pt>
                <c:pt idx="92">
                  <c:v>0.11222860000000001</c:v>
                </c:pt>
                <c:pt idx="93">
                  <c:v>0.1122242</c:v>
                </c:pt>
                <c:pt idx="94">
                  <c:v>0.11225749999999998</c:v>
                </c:pt>
                <c:pt idx="95">
                  <c:v>0.11231979999999998</c:v>
                </c:pt>
                <c:pt idx="96">
                  <c:v>0.1123349</c:v>
                </c:pt>
                <c:pt idx="97">
                  <c:v>0.1123285</c:v>
                </c:pt>
                <c:pt idx="98">
                  <c:v>0.1123285</c:v>
                </c:pt>
                <c:pt idx="99">
                  <c:v>0.1122961</c:v>
                </c:pt>
                <c:pt idx="100">
                  <c:v>0.1122961</c:v>
                </c:pt>
                <c:pt idx="101">
                  <c:v>0.1121776</c:v>
                </c:pt>
                <c:pt idx="102">
                  <c:v>0.1121776</c:v>
                </c:pt>
                <c:pt idx="103">
                  <c:v>0.11216720000000002</c:v>
                </c:pt>
                <c:pt idx="104">
                  <c:v>0.11215730000000003</c:v>
                </c:pt>
                <c:pt idx="105">
                  <c:v>0.1121106</c:v>
                </c:pt>
                <c:pt idx="106">
                  <c:v>0.11197739999999998</c:v>
                </c:pt>
                <c:pt idx="107">
                  <c:v>0.11200329999999997</c:v>
                </c:pt>
                <c:pt idx="108">
                  <c:v>0.11200329999999997</c:v>
                </c:pt>
                <c:pt idx="109">
                  <c:v>0.11202489999999996</c:v>
                </c:pt>
                <c:pt idx="110">
                  <c:v>0.11205099999999996</c:v>
                </c:pt>
                <c:pt idx="111">
                  <c:v>0.11216229999999999</c:v>
                </c:pt>
                <c:pt idx="112">
                  <c:v>0.11229649999999998</c:v>
                </c:pt>
                <c:pt idx="113">
                  <c:v>0.11245769999999997</c:v>
                </c:pt>
                <c:pt idx="114">
                  <c:v>0.11282909999999997</c:v>
                </c:pt>
                <c:pt idx="115">
                  <c:v>0.1133156</c:v>
                </c:pt>
                <c:pt idx="116">
                  <c:v>0.11493489999999998</c:v>
                </c:pt>
                <c:pt idx="117">
                  <c:v>0.11504899999999997</c:v>
                </c:pt>
                <c:pt idx="118">
                  <c:v>0.11504899999999997</c:v>
                </c:pt>
                <c:pt idx="119">
                  <c:v>0.11515309999999994</c:v>
                </c:pt>
                <c:pt idx="120">
                  <c:v>0.11547389999999998</c:v>
                </c:pt>
                <c:pt idx="121">
                  <c:v>0.11557199999999997</c:v>
                </c:pt>
                <c:pt idx="122">
                  <c:v>0.11578369999999996</c:v>
                </c:pt>
                <c:pt idx="123">
                  <c:v>0.11604089999999995</c:v>
                </c:pt>
                <c:pt idx="124">
                  <c:v>0.11677039999999993</c:v>
                </c:pt>
                <c:pt idx="125">
                  <c:v>0.11710309999999995</c:v>
                </c:pt>
                <c:pt idx="126">
                  <c:v>0.11781649999999995</c:v>
                </c:pt>
                <c:pt idx="127">
                  <c:v>0.11781649999999995</c:v>
                </c:pt>
                <c:pt idx="128">
                  <c:v>0.11781649999999995</c:v>
                </c:pt>
                <c:pt idx="129">
                  <c:v>0.11781649999999995</c:v>
                </c:pt>
                <c:pt idx="130">
                  <c:v>0.11799909999999997</c:v>
                </c:pt>
                <c:pt idx="131">
                  <c:v>0.11817769999999996</c:v>
                </c:pt>
                <c:pt idx="132">
                  <c:v>0.11852439999999996</c:v>
                </c:pt>
                <c:pt idx="133">
                  <c:v>0.11869499999999997</c:v>
                </c:pt>
                <c:pt idx="134">
                  <c:v>0.11869499999999997</c:v>
                </c:pt>
                <c:pt idx="135">
                  <c:v>0.11901569999999997</c:v>
                </c:pt>
                <c:pt idx="136">
                  <c:v>0.11901569999999997</c:v>
                </c:pt>
                <c:pt idx="137">
                  <c:v>0.11949799999999998</c:v>
                </c:pt>
                <c:pt idx="138">
                  <c:v>0.1196561</c:v>
                </c:pt>
                <c:pt idx="139">
                  <c:v>0.1196561</c:v>
                </c:pt>
                <c:pt idx="140">
                  <c:v>0.11999079999999999</c:v>
                </c:pt>
                <c:pt idx="141">
                  <c:v>0.1201629</c:v>
                </c:pt>
                <c:pt idx="142">
                  <c:v>0.12050859999999998</c:v>
                </c:pt>
                <c:pt idx="143">
                  <c:v>0.12070469999999998</c:v>
                </c:pt>
                <c:pt idx="144">
                  <c:v>0.1210854</c:v>
                </c:pt>
                <c:pt idx="145">
                  <c:v>0.1210854</c:v>
                </c:pt>
                <c:pt idx="146">
                  <c:v>0.12126399999999998</c:v>
                </c:pt>
                <c:pt idx="147">
                  <c:v>0.12126399999999998</c:v>
                </c:pt>
                <c:pt idx="148">
                  <c:v>0.12164169999999999</c:v>
                </c:pt>
                <c:pt idx="149">
                  <c:v>0.12216549999999998</c:v>
                </c:pt>
                <c:pt idx="150">
                  <c:v>0.12231009999999998</c:v>
                </c:pt>
                <c:pt idx="151">
                  <c:v>0.12261079999999999</c:v>
                </c:pt>
                <c:pt idx="152">
                  <c:v>0.12274739999999999</c:v>
                </c:pt>
                <c:pt idx="153">
                  <c:v>0.12300459999999999</c:v>
                </c:pt>
                <c:pt idx="154">
                  <c:v>0.12313369999999998</c:v>
                </c:pt>
                <c:pt idx="155">
                  <c:v>0.12337140000000002</c:v>
                </c:pt>
                <c:pt idx="156">
                  <c:v>0.12347949999999998</c:v>
                </c:pt>
                <c:pt idx="157">
                  <c:v>0.1236872</c:v>
                </c:pt>
                <c:pt idx="158">
                  <c:v>0.12390339999999998</c:v>
                </c:pt>
                <c:pt idx="159">
                  <c:v>0.12418219999999999</c:v>
                </c:pt>
                <c:pt idx="160">
                  <c:v>0.12458070000000003</c:v>
                </c:pt>
                <c:pt idx="161">
                  <c:v>0.1246633</c:v>
                </c:pt>
                <c:pt idx="162">
                  <c:v>0.12512629999999997</c:v>
                </c:pt>
                <c:pt idx="163">
                  <c:v>0.12523039999999996</c:v>
                </c:pt>
                <c:pt idx="164">
                  <c:v>0.1254411</c:v>
                </c:pt>
                <c:pt idx="165">
                  <c:v>0.1255637</c:v>
                </c:pt>
                <c:pt idx="166">
                  <c:v>0.1255637</c:v>
                </c:pt>
                <c:pt idx="167">
                  <c:v>0.12617979999999998</c:v>
                </c:pt>
                <c:pt idx="168">
                  <c:v>0.12637849999999998</c:v>
                </c:pt>
                <c:pt idx="169">
                  <c:v>0.12646959999999999</c:v>
                </c:pt>
                <c:pt idx="170">
                  <c:v>0.12665230000000002</c:v>
                </c:pt>
                <c:pt idx="171">
                  <c:v>0.12675539999999999</c:v>
                </c:pt>
                <c:pt idx="172">
                  <c:v>0.12685100000000002</c:v>
                </c:pt>
                <c:pt idx="173">
                  <c:v>0.12741050000000001</c:v>
                </c:pt>
                <c:pt idx="174">
                  <c:v>0.12780780000000003</c:v>
                </c:pt>
                <c:pt idx="175">
                  <c:v>0.12780780000000003</c:v>
                </c:pt>
                <c:pt idx="176">
                  <c:v>0.12780780000000003</c:v>
                </c:pt>
                <c:pt idx="177">
                  <c:v>0.12826110000000004</c:v>
                </c:pt>
                <c:pt idx="178">
                  <c:v>0.12865340000000006</c:v>
                </c:pt>
                <c:pt idx="179">
                  <c:v>0.12875850000000008</c:v>
                </c:pt>
                <c:pt idx="180">
                  <c:v>0.12945470000000003</c:v>
                </c:pt>
                <c:pt idx="181">
                  <c:v>0.12945470000000003</c:v>
                </c:pt>
                <c:pt idx="182">
                  <c:v>0.12966790000000006</c:v>
                </c:pt>
                <c:pt idx="183">
                  <c:v>0.13007030000000003</c:v>
                </c:pt>
                <c:pt idx="184">
                  <c:v>0.13054370000000007</c:v>
                </c:pt>
                <c:pt idx="185">
                  <c:v>0.13105260000000007</c:v>
                </c:pt>
                <c:pt idx="186">
                  <c:v>0.13116170000000008</c:v>
                </c:pt>
                <c:pt idx="187">
                  <c:v>0.13148600000000008</c:v>
                </c:pt>
                <c:pt idx="188">
                  <c:v>0.13157350000000009</c:v>
                </c:pt>
                <c:pt idx="189">
                  <c:v>0.13195250000000006</c:v>
                </c:pt>
                <c:pt idx="190">
                  <c:v>0.13229650000000004</c:v>
                </c:pt>
                <c:pt idx="191">
                  <c:v>0.13328350000000003</c:v>
                </c:pt>
                <c:pt idx="192">
                  <c:v>0.13366350000000002</c:v>
                </c:pt>
                <c:pt idx="193">
                  <c:v>0.133793</c:v>
                </c:pt>
                <c:pt idx="194">
                  <c:v>0.133793</c:v>
                </c:pt>
                <c:pt idx="195">
                  <c:v>0.13391999999999998</c:v>
                </c:pt>
                <c:pt idx="196">
                  <c:v>0.13405249999999999</c:v>
                </c:pt>
                <c:pt idx="197">
                  <c:v>0.13405249999999999</c:v>
                </c:pt>
                <c:pt idx="198">
                  <c:v>0.13452399999999998</c:v>
                </c:pt>
                <c:pt idx="199">
                  <c:v>0.13483699999999998</c:v>
                </c:pt>
                <c:pt idx="200">
                  <c:v>0.1351135</c:v>
                </c:pt>
                <c:pt idx="201">
                  <c:v>0.1351135</c:v>
                </c:pt>
                <c:pt idx="202">
                  <c:v>0.13533600000000004</c:v>
                </c:pt>
                <c:pt idx="203">
                  <c:v>0.135518</c:v>
                </c:pt>
                <c:pt idx="204">
                  <c:v>0.135605</c:v>
                </c:pt>
                <c:pt idx="205">
                  <c:v>0.13606850000000001</c:v>
                </c:pt>
                <c:pt idx="206">
                  <c:v>0.13607499999999997</c:v>
                </c:pt>
                <c:pt idx="207">
                  <c:v>0.13607499999999997</c:v>
                </c:pt>
                <c:pt idx="208">
                  <c:v>0.13607499999999997</c:v>
                </c:pt>
                <c:pt idx="209">
                  <c:v>0.13607499999999997</c:v>
                </c:pt>
                <c:pt idx="210">
                  <c:v>0.13608849999999995</c:v>
                </c:pt>
                <c:pt idx="211">
                  <c:v>0.13608849999999995</c:v>
                </c:pt>
                <c:pt idx="212">
                  <c:v>0.13608849999999995</c:v>
                </c:pt>
                <c:pt idx="213">
                  <c:v>0.13608849999999995</c:v>
                </c:pt>
                <c:pt idx="214">
                  <c:v>0.13609449999999992</c:v>
                </c:pt>
                <c:pt idx="215">
                  <c:v>0.13625799999999996</c:v>
                </c:pt>
                <c:pt idx="216">
                  <c:v>0.13628049999999994</c:v>
                </c:pt>
                <c:pt idx="217">
                  <c:v>0.13629649999999993</c:v>
                </c:pt>
                <c:pt idx="218">
                  <c:v>0.13629649999999993</c:v>
                </c:pt>
                <c:pt idx="219">
                  <c:v>0.13631399999999994</c:v>
                </c:pt>
                <c:pt idx="220">
                  <c:v>0.13632849999999994</c:v>
                </c:pt>
                <c:pt idx="221">
                  <c:v>0.13634349999999998</c:v>
                </c:pt>
                <c:pt idx="222">
                  <c:v>0.13668599999999997</c:v>
                </c:pt>
                <c:pt idx="223">
                  <c:v>0.13668599999999997</c:v>
                </c:pt>
                <c:pt idx="224">
                  <c:v>0.13668599999999997</c:v>
                </c:pt>
                <c:pt idx="225">
                  <c:v>0.13674749999999997</c:v>
                </c:pt>
                <c:pt idx="226">
                  <c:v>0.13674749999999997</c:v>
                </c:pt>
                <c:pt idx="227">
                  <c:v>0.13724049999999996</c:v>
                </c:pt>
                <c:pt idx="228">
                  <c:v>0.13724049999999996</c:v>
                </c:pt>
                <c:pt idx="229">
                  <c:v>0.13739999999999997</c:v>
                </c:pt>
                <c:pt idx="230">
                  <c:v>0.13747699999999999</c:v>
                </c:pt>
                <c:pt idx="231">
                  <c:v>0.13755149999999999</c:v>
                </c:pt>
                <c:pt idx="232">
                  <c:v>0.13755149999999999</c:v>
                </c:pt>
                <c:pt idx="233">
                  <c:v>0.13793</c:v>
                </c:pt>
                <c:pt idx="234">
                  <c:v>0.13809750000000001</c:v>
                </c:pt>
                <c:pt idx="235">
                  <c:v>0.13813900000000001</c:v>
                </c:pt>
                <c:pt idx="236">
                  <c:v>0.13818350000000001</c:v>
                </c:pt>
                <c:pt idx="237">
                  <c:v>0.13824250000000002</c:v>
                </c:pt>
                <c:pt idx="238">
                  <c:v>0.13835800000000004</c:v>
                </c:pt>
                <c:pt idx="239">
                  <c:v>0.13855450000000002</c:v>
                </c:pt>
                <c:pt idx="240">
                  <c:v>0.13876700000000003</c:v>
                </c:pt>
                <c:pt idx="241">
                  <c:v>0.13876700000000003</c:v>
                </c:pt>
                <c:pt idx="242">
                  <c:v>0.13886200000000001</c:v>
                </c:pt>
                <c:pt idx="243">
                  <c:v>0.13892150000000003</c:v>
                </c:pt>
                <c:pt idx="244">
                  <c:v>0.13888400000000004</c:v>
                </c:pt>
                <c:pt idx="245">
                  <c:v>0.13887350000000004</c:v>
                </c:pt>
                <c:pt idx="246">
                  <c:v>0.13887350000000004</c:v>
                </c:pt>
                <c:pt idx="247">
                  <c:v>0.13883250000000005</c:v>
                </c:pt>
                <c:pt idx="248">
                  <c:v>0.13876400000000003</c:v>
                </c:pt>
                <c:pt idx="249">
                  <c:v>0.13878500000000005</c:v>
                </c:pt>
                <c:pt idx="250">
                  <c:v>0.13881200000000005</c:v>
                </c:pt>
                <c:pt idx="251">
                  <c:v>0.13886250000000006</c:v>
                </c:pt>
                <c:pt idx="252">
                  <c:v>0.13894750000000006</c:v>
                </c:pt>
                <c:pt idx="253">
                  <c:v>0.13902850000000005</c:v>
                </c:pt>
                <c:pt idx="254">
                  <c:v>0.13906800000000005</c:v>
                </c:pt>
                <c:pt idx="255">
                  <c:v>0.13910700000000006</c:v>
                </c:pt>
                <c:pt idx="256">
                  <c:v>0.13910700000000006</c:v>
                </c:pt>
                <c:pt idx="257">
                  <c:v>0.13914550000000006</c:v>
                </c:pt>
                <c:pt idx="258">
                  <c:v>0.13918950000000008</c:v>
                </c:pt>
                <c:pt idx="259">
                  <c:v>0.13933900000000007</c:v>
                </c:pt>
                <c:pt idx="260">
                  <c:v>0.13937600000000006</c:v>
                </c:pt>
                <c:pt idx="261">
                  <c:v>0.13941300000000006</c:v>
                </c:pt>
                <c:pt idx="262">
                  <c:v>0.13940350000000004</c:v>
                </c:pt>
                <c:pt idx="263">
                  <c:v>0.13939600000000005</c:v>
                </c:pt>
                <c:pt idx="264">
                  <c:v>0.13938950000000003</c:v>
                </c:pt>
                <c:pt idx="265">
                  <c:v>0.13938950000000003</c:v>
                </c:pt>
                <c:pt idx="266">
                  <c:v>0.13939950000000004</c:v>
                </c:pt>
                <c:pt idx="267">
                  <c:v>0.13940150000000004</c:v>
                </c:pt>
                <c:pt idx="268">
                  <c:v>0.13921900000000004</c:v>
                </c:pt>
                <c:pt idx="269">
                  <c:v>0.13917900000000005</c:v>
                </c:pt>
                <c:pt idx="270">
                  <c:v>0.13915400000000003</c:v>
                </c:pt>
                <c:pt idx="271">
                  <c:v>0.1391165</c:v>
                </c:pt>
                <c:pt idx="272">
                  <c:v>0.1391165</c:v>
                </c:pt>
                <c:pt idx="273">
                  <c:v>0.1391165</c:v>
                </c:pt>
                <c:pt idx="274">
                  <c:v>0.1391165</c:v>
                </c:pt>
                <c:pt idx="275">
                  <c:v>0.13907750000000002</c:v>
                </c:pt>
                <c:pt idx="276">
                  <c:v>0.13891700000000004</c:v>
                </c:pt>
                <c:pt idx="277">
                  <c:v>0.13888450000000005</c:v>
                </c:pt>
                <c:pt idx="278">
                  <c:v>0.13888450000000005</c:v>
                </c:pt>
                <c:pt idx="279">
                  <c:v>0.13886400000000004</c:v>
                </c:pt>
                <c:pt idx="280">
                  <c:v>0.13886400000000004</c:v>
                </c:pt>
                <c:pt idx="281">
                  <c:v>0.13881600000000005</c:v>
                </c:pt>
                <c:pt idx="282">
                  <c:v>0.13877800000000001</c:v>
                </c:pt>
                <c:pt idx="283">
                  <c:v>0.13876450000000001</c:v>
                </c:pt>
                <c:pt idx="284">
                  <c:v>0.13868550000000002</c:v>
                </c:pt>
                <c:pt idx="285">
                  <c:v>0.1386635</c:v>
                </c:pt>
                <c:pt idx="286">
                  <c:v>0.13862350000000001</c:v>
                </c:pt>
                <c:pt idx="287">
                  <c:v>0.13862350000000001</c:v>
                </c:pt>
                <c:pt idx="288">
                  <c:v>0.13859850000000001</c:v>
                </c:pt>
                <c:pt idx="289">
                  <c:v>0.13857549999999999</c:v>
                </c:pt>
                <c:pt idx="290">
                  <c:v>0.13841199999999998</c:v>
                </c:pt>
                <c:pt idx="291">
                  <c:v>0.13837949999999999</c:v>
                </c:pt>
                <c:pt idx="292">
                  <c:v>0.13837949999999999</c:v>
                </c:pt>
                <c:pt idx="293">
                  <c:v>0.13817449999999998</c:v>
                </c:pt>
                <c:pt idx="294">
                  <c:v>0.13817449999999998</c:v>
                </c:pt>
                <c:pt idx="295">
                  <c:v>0.138154</c:v>
                </c:pt>
                <c:pt idx="296">
                  <c:v>0.138154</c:v>
                </c:pt>
                <c:pt idx="297">
                  <c:v>0.13798549999999996</c:v>
                </c:pt>
                <c:pt idx="298">
                  <c:v>0.13770799999999991</c:v>
                </c:pt>
                <c:pt idx="299">
                  <c:v>0.13770799999999991</c:v>
                </c:pt>
                <c:pt idx="300">
                  <c:v>0.13746099999999994</c:v>
                </c:pt>
                <c:pt idx="301">
                  <c:v>0.13735549999999994</c:v>
                </c:pt>
                <c:pt idx="302">
                  <c:v>0.13682899999999995</c:v>
                </c:pt>
                <c:pt idx="303">
                  <c:v>0.13627799999999995</c:v>
                </c:pt>
                <c:pt idx="304">
                  <c:v>0.13601599999999997</c:v>
                </c:pt>
                <c:pt idx="305">
                  <c:v>0.13571249999999999</c:v>
                </c:pt>
                <c:pt idx="306">
                  <c:v>0.135625</c:v>
                </c:pt>
                <c:pt idx="307">
                  <c:v>0.13550849999999998</c:v>
                </c:pt>
                <c:pt idx="308">
                  <c:v>0.13532049999999998</c:v>
                </c:pt>
                <c:pt idx="309">
                  <c:v>0.1352235</c:v>
                </c:pt>
                <c:pt idx="310">
                  <c:v>0.13502149999999999</c:v>
                </c:pt>
                <c:pt idx="311">
                  <c:v>0.13502149999999999</c:v>
                </c:pt>
                <c:pt idx="312">
                  <c:v>0.13499249999999999</c:v>
                </c:pt>
                <c:pt idx="313">
                  <c:v>0.13495299999999999</c:v>
                </c:pt>
                <c:pt idx="314">
                  <c:v>0.134709</c:v>
                </c:pt>
                <c:pt idx="315">
                  <c:v>0.13463999999999998</c:v>
                </c:pt>
                <c:pt idx="316">
                  <c:v>0.13456899999999999</c:v>
                </c:pt>
                <c:pt idx="317">
                  <c:v>0.1342255</c:v>
                </c:pt>
                <c:pt idx="318">
                  <c:v>0.13319399999999998</c:v>
                </c:pt>
                <c:pt idx="319">
                  <c:v>0.13243500000000002</c:v>
                </c:pt>
                <c:pt idx="320">
                  <c:v>0.13243500000000002</c:v>
                </c:pt>
                <c:pt idx="321">
                  <c:v>0.13164300000000001</c:v>
                </c:pt>
                <c:pt idx="322">
                  <c:v>0.13146950000000002</c:v>
                </c:pt>
                <c:pt idx="323">
                  <c:v>0.13128500000000001</c:v>
                </c:pt>
                <c:pt idx="324">
                  <c:v>0.13110450000000001</c:v>
                </c:pt>
                <c:pt idx="325">
                  <c:v>0.13091600000000003</c:v>
                </c:pt>
                <c:pt idx="326">
                  <c:v>0.13054200000000002</c:v>
                </c:pt>
                <c:pt idx="327">
                  <c:v>0.12885900000000003</c:v>
                </c:pt>
                <c:pt idx="328">
                  <c:v>0.12885900000000003</c:v>
                </c:pt>
                <c:pt idx="329">
                  <c:v>0.12805400000000003</c:v>
                </c:pt>
                <c:pt idx="330">
                  <c:v>0.12785650000000004</c:v>
                </c:pt>
                <c:pt idx="331">
                  <c:v>0.12727200000000005</c:v>
                </c:pt>
                <c:pt idx="332">
                  <c:v>0.12727200000000005</c:v>
                </c:pt>
                <c:pt idx="333">
                  <c:v>0.12660600000000005</c:v>
                </c:pt>
                <c:pt idx="334">
                  <c:v>0.12645350000000005</c:v>
                </c:pt>
                <c:pt idx="335">
                  <c:v>0.12629150000000003</c:v>
                </c:pt>
                <c:pt idx="336">
                  <c:v>0.12629150000000003</c:v>
                </c:pt>
                <c:pt idx="337">
                  <c:v>0.12571050000000003</c:v>
                </c:pt>
                <c:pt idx="338">
                  <c:v>0.12556950000000003</c:v>
                </c:pt>
                <c:pt idx="339">
                  <c:v>0.12556950000000003</c:v>
                </c:pt>
                <c:pt idx="340">
                  <c:v>0.1254295</c:v>
                </c:pt>
                <c:pt idx="341">
                  <c:v>0.1254295</c:v>
                </c:pt>
                <c:pt idx="342">
                  <c:v>0.1254295</c:v>
                </c:pt>
                <c:pt idx="343">
                  <c:v>0.12481899999999997</c:v>
                </c:pt>
                <c:pt idx="344">
                  <c:v>0.12481899999999997</c:v>
                </c:pt>
                <c:pt idx="345">
                  <c:v>0.12465949999999998</c:v>
                </c:pt>
                <c:pt idx="346">
                  <c:v>0.12465949999999998</c:v>
                </c:pt>
                <c:pt idx="347">
                  <c:v>0.12465949999999998</c:v>
                </c:pt>
                <c:pt idx="348">
                  <c:v>0.12403849999999998</c:v>
                </c:pt>
                <c:pt idx="349">
                  <c:v>0.12344799999999996</c:v>
                </c:pt>
                <c:pt idx="350">
                  <c:v>0.12329649999999996</c:v>
                </c:pt>
                <c:pt idx="351">
                  <c:v>0.12329649999999996</c:v>
                </c:pt>
                <c:pt idx="352">
                  <c:v>0.12235649999999994</c:v>
                </c:pt>
                <c:pt idx="353">
                  <c:v>0.12220949999999994</c:v>
                </c:pt>
                <c:pt idx="354">
                  <c:v>0.12206699999999994</c:v>
                </c:pt>
                <c:pt idx="355">
                  <c:v>0.12206699999999994</c:v>
                </c:pt>
                <c:pt idx="356">
                  <c:v>0.12192249999999995</c:v>
                </c:pt>
                <c:pt idx="357">
                  <c:v>0.12167199999999996</c:v>
                </c:pt>
                <c:pt idx="358">
                  <c:v>0.12131099999999995</c:v>
                </c:pt>
                <c:pt idx="359">
                  <c:v>0.1209909999999999</c:v>
                </c:pt>
                <c:pt idx="360">
                  <c:v>0.12056949999999994</c:v>
                </c:pt>
                <c:pt idx="361">
                  <c:v>0.11984049999999993</c:v>
                </c:pt>
                <c:pt idx="362">
                  <c:v>0.11970499999999992</c:v>
                </c:pt>
                <c:pt idx="363">
                  <c:v>0.11957949999999994</c:v>
                </c:pt>
                <c:pt idx="364">
                  <c:v>0.11957949999999994</c:v>
                </c:pt>
                <c:pt idx="365">
                  <c:v>0.11891849999999991</c:v>
                </c:pt>
                <c:pt idx="366">
                  <c:v>0.11824799999999991</c:v>
                </c:pt>
                <c:pt idx="367">
                  <c:v>0.11772549999999987</c:v>
                </c:pt>
                <c:pt idx="368">
                  <c:v>0.11730849999999986</c:v>
                </c:pt>
                <c:pt idx="369">
                  <c:v>0.11686049999999987</c:v>
                </c:pt>
                <c:pt idx="370">
                  <c:v>0.11670799999999987</c:v>
                </c:pt>
                <c:pt idx="371">
                  <c:v>0.11625449999999987</c:v>
                </c:pt>
                <c:pt idx="372">
                  <c:v>0.11610649999999988</c:v>
                </c:pt>
                <c:pt idx="373">
                  <c:v>0.1159464999999999</c:v>
                </c:pt>
                <c:pt idx="374">
                  <c:v>0.11578649999999989</c:v>
                </c:pt>
                <c:pt idx="375">
                  <c:v>0.11508049999999991</c:v>
                </c:pt>
                <c:pt idx="376">
                  <c:v>0.11489299999999993</c:v>
                </c:pt>
                <c:pt idx="377">
                  <c:v>0.11377149999999993</c:v>
                </c:pt>
                <c:pt idx="378">
                  <c:v>0.11360049999999994</c:v>
                </c:pt>
                <c:pt idx="379">
                  <c:v>0.11244799999999999</c:v>
                </c:pt>
                <c:pt idx="380">
                  <c:v>0.11244799999999999</c:v>
                </c:pt>
                <c:pt idx="381">
                  <c:v>0.11152350000000003</c:v>
                </c:pt>
                <c:pt idx="382">
                  <c:v>0.11123250000000003</c:v>
                </c:pt>
                <c:pt idx="383">
                  <c:v>0.11107850000000002</c:v>
                </c:pt>
                <c:pt idx="384">
                  <c:v>0.11048350000000003</c:v>
                </c:pt>
                <c:pt idx="385">
                  <c:v>0.11010150000000003</c:v>
                </c:pt>
                <c:pt idx="386">
                  <c:v>0.11010150000000003</c:v>
                </c:pt>
                <c:pt idx="387">
                  <c:v>0.10983650000000006</c:v>
                </c:pt>
                <c:pt idx="388">
                  <c:v>0.10958450000000004</c:v>
                </c:pt>
                <c:pt idx="389">
                  <c:v>0.10946915000000006</c:v>
                </c:pt>
                <c:pt idx="390">
                  <c:v>0.10946915000000006</c:v>
                </c:pt>
                <c:pt idx="391">
                  <c:v>0.10925160000000007</c:v>
                </c:pt>
                <c:pt idx="392">
                  <c:v>0.10840485000000008</c:v>
                </c:pt>
                <c:pt idx="393">
                  <c:v>0.10775645000000007</c:v>
                </c:pt>
                <c:pt idx="394">
                  <c:v>0.10775645000000007</c:v>
                </c:pt>
                <c:pt idx="395">
                  <c:v>0.10757595000000007</c:v>
                </c:pt>
                <c:pt idx="396">
                  <c:v>0.10751065000000005</c:v>
                </c:pt>
                <c:pt idx="397">
                  <c:v>0.10741695000000005</c:v>
                </c:pt>
                <c:pt idx="398">
                  <c:v>0.10741695000000005</c:v>
                </c:pt>
                <c:pt idx="399">
                  <c:v>0.10734425000000002</c:v>
                </c:pt>
                <c:pt idx="400">
                  <c:v>0.10737085000000002</c:v>
                </c:pt>
                <c:pt idx="401">
                  <c:v>0.10751795000000004</c:v>
                </c:pt>
                <c:pt idx="402">
                  <c:v>0.10751795000000004</c:v>
                </c:pt>
                <c:pt idx="403">
                  <c:v>0.10798080000000003</c:v>
                </c:pt>
                <c:pt idx="404">
                  <c:v>0.10802160000000001</c:v>
                </c:pt>
                <c:pt idx="405">
                  <c:v>0.10802160000000001</c:v>
                </c:pt>
                <c:pt idx="406">
                  <c:v>0.10843825000000001</c:v>
                </c:pt>
                <c:pt idx="407">
                  <c:v>0.10863820000000002</c:v>
                </c:pt>
                <c:pt idx="408">
                  <c:v>0.10893140000000001</c:v>
                </c:pt>
                <c:pt idx="409">
                  <c:v>0.10903325000000001</c:v>
                </c:pt>
                <c:pt idx="410">
                  <c:v>0.1090793</c:v>
                </c:pt>
                <c:pt idx="411">
                  <c:v>0.10912459999999999</c:v>
                </c:pt>
                <c:pt idx="412">
                  <c:v>0.10941374999999999</c:v>
                </c:pt>
                <c:pt idx="413">
                  <c:v>0.10945684999999999</c:v>
                </c:pt>
                <c:pt idx="414">
                  <c:v>0.10950299999999999</c:v>
                </c:pt>
                <c:pt idx="415">
                  <c:v>0.10950299999999999</c:v>
                </c:pt>
                <c:pt idx="416">
                  <c:v>0.10958385000000001</c:v>
                </c:pt>
                <c:pt idx="417">
                  <c:v>0.10968635000000003</c:v>
                </c:pt>
                <c:pt idx="418">
                  <c:v>0.10985320000000004</c:v>
                </c:pt>
                <c:pt idx="419">
                  <c:v>0.10995655000000001</c:v>
                </c:pt>
                <c:pt idx="420">
                  <c:v>0.11001024999999999</c:v>
                </c:pt>
                <c:pt idx="421">
                  <c:v>0.11006359999999998</c:v>
                </c:pt>
                <c:pt idx="422">
                  <c:v>0.11006359999999998</c:v>
                </c:pt>
                <c:pt idx="423">
                  <c:v>0.11035989999999998</c:v>
                </c:pt>
                <c:pt idx="424">
                  <c:v>0.11041899999999996</c:v>
                </c:pt>
                <c:pt idx="425">
                  <c:v>0.11061244999999992</c:v>
                </c:pt>
                <c:pt idx="426">
                  <c:v>0.11092819999999998</c:v>
                </c:pt>
                <c:pt idx="427">
                  <c:v>0.11097264999999998</c:v>
                </c:pt>
                <c:pt idx="428">
                  <c:v>0.11128789999999997</c:v>
                </c:pt>
                <c:pt idx="429">
                  <c:v>0.11128789999999997</c:v>
                </c:pt>
                <c:pt idx="430">
                  <c:v>0.11139364999999996</c:v>
                </c:pt>
                <c:pt idx="431">
                  <c:v>0.11150269999999995</c:v>
                </c:pt>
                <c:pt idx="432">
                  <c:v>0.11154474999999996</c:v>
                </c:pt>
                <c:pt idx="433">
                  <c:v>0.11163384999999995</c:v>
                </c:pt>
                <c:pt idx="434">
                  <c:v>0.11168509999999995</c:v>
                </c:pt>
                <c:pt idx="435">
                  <c:v>0.11174229999999996</c:v>
                </c:pt>
                <c:pt idx="436">
                  <c:v>0.11194829999999995</c:v>
                </c:pt>
                <c:pt idx="437">
                  <c:v>0.11209059999999992</c:v>
                </c:pt>
                <c:pt idx="438">
                  <c:v>0.11216629999999991</c:v>
                </c:pt>
                <c:pt idx="439">
                  <c:v>0.11216629999999991</c:v>
                </c:pt>
                <c:pt idx="440">
                  <c:v>0.11216629999999991</c:v>
                </c:pt>
                <c:pt idx="441">
                  <c:v>0.11230604999999989</c:v>
                </c:pt>
                <c:pt idx="442">
                  <c:v>0.11230604999999989</c:v>
                </c:pt>
                <c:pt idx="443">
                  <c:v>0.11267004999999991</c:v>
                </c:pt>
                <c:pt idx="444">
                  <c:v>0.1129568499999999</c:v>
                </c:pt>
                <c:pt idx="445">
                  <c:v>0.11306554999999992</c:v>
                </c:pt>
                <c:pt idx="446">
                  <c:v>0.11325839999999994</c:v>
                </c:pt>
                <c:pt idx="447">
                  <c:v>0.11330744999999993</c:v>
                </c:pt>
                <c:pt idx="448">
                  <c:v>0.11368539999999998</c:v>
                </c:pt>
                <c:pt idx="449">
                  <c:v>0.11374979999999997</c:v>
                </c:pt>
                <c:pt idx="450">
                  <c:v>0.11381229999999999</c:v>
                </c:pt>
                <c:pt idx="451">
                  <c:v>0.11401064999999999</c:v>
                </c:pt>
                <c:pt idx="452">
                  <c:v>0.11401064999999999</c:v>
                </c:pt>
                <c:pt idx="453">
                  <c:v>0.11421739999999998</c:v>
                </c:pt>
                <c:pt idx="454">
                  <c:v>0.11442859999999999</c:v>
                </c:pt>
                <c:pt idx="455">
                  <c:v>0.11458119999999998</c:v>
                </c:pt>
                <c:pt idx="456">
                  <c:v>0.11458119999999998</c:v>
                </c:pt>
                <c:pt idx="457">
                  <c:v>0.11474589999999997</c:v>
                </c:pt>
                <c:pt idx="458">
                  <c:v>0.11510764999999998</c:v>
                </c:pt>
                <c:pt idx="459">
                  <c:v>0.11537674999999999</c:v>
                </c:pt>
                <c:pt idx="460">
                  <c:v>0.11643675000000001</c:v>
                </c:pt>
                <c:pt idx="461">
                  <c:v>0.11668369999999997</c:v>
                </c:pt>
                <c:pt idx="462">
                  <c:v>0.11676094999999996</c:v>
                </c:pt>
                <c:pt idx="463">
                  <c:v>0.11714874999999995</c:v>
                </c:pt>
                <c:pt idx="464">
                  <c:v>0.11750484999999994</c:v>
                </c:pt>
                <c:pt idx="465">
                  <c:v>0.11776299999999994</c:v>
                </c:pt>
                <c:pt idx="466">
                  <c:v>0.11808729999999988</c:v>
                </c:pt>
                <c:pt idx="467">
                  <c:v>0.11816629999999988</c:v>
                </c:pt>
                <c:pt idx="468">
                  <c:v>0.11850694999999983</c:v>
                </c:pt>
                <c:pt idx="469">
                  <c:v>0.11873814999999982</c:v>
                </c:pt>
                <c:pt idx="470">
                  <c:v>0.11984799999999987</c:v>
                </c:pt>
                <c:pt idx="471">
                  <c:v>0.11984799999999987</c:v>
                </c:pt>
                <c:pt idx="472">
                  <c:v>0.1202221499999999</c:v>
                </c:pt>
                <c:pt idx="473">
                  <c:v>0.12058984999999992</c:v>
                </c:pt>
                <c:pt idx="474">
                  <c:v>0.12153489999999989</c:v>
                </c:pt>
                <c:pt idx="475">
                  <c:v>0.12169899999999988</c:v>
                </c:pt>
                <c:pt idx="476">
                  <c:v>0.12209664999999989</c:v>
                </c:pt>
                <c:pt idx="477">
                  <c:v>0.12255849999999996</c:v>
                </c:pt>
                <c:pt idx="478">
                  <c:v>0.12266154999999994</c:v>
                </c:pt>
                <c:pt idx="479">
                  <c:v>0.12308479999999995</c:v>
                </c:pt>
                <c:pt idx="480">
                  <c:v>0.12324849999999998</c:v>
                </c:pt>
                <c:pt idx="481">
                  <c:v>0.12332624999999998</c:v>
                </c:pt>
                <c:pt idx="482">
                  <c:v>0.12349909999999996</c:v>
                </c:pt>
                <c:pt idx="483">
                  <c:v>0.12358214999999997</c:v>
                </c:pt>
                <c:pt idx="484">
                  <c:v>0.12358214999999997</c:v>
                </c:pt>
                <c:pt idx="485">
                  <c:v>0.12366359999999998</c:v>
                </c:pt>
                <c:pt idx="486">
                  <c:v>0.12392130000000004</c:v>
                </c:pt>
                <c:pt idx="487">
                  <c:v>0.12427570000000009</c:v>
                </c:pt>
                <c:pt idx="488">
                  <c:v>0.12442590000000008</c:v>
                </c:pt>
                <c:pt idx="489">
                  <c:v>0.12487420000000006</c:v>
                </c:pt>
                <c:pt idx="490">
                  <c:v>0.12490390000000005</c:v>
                </c:pt>
                <c:pt idx="491">
                  <c:v>0.12505670000000005</c:v>
                </c:pt>
                <c:pt idx="492">
                  <c:v>0.12521850000000004</c:v>
                </c:pt>
                <c:pt idx="493">
                  <c:v>0.12533995000000006</c:v>
                </c:pt>
                <c:pt idx="494">
                  <c:v>0.12541255000000004</c:v>
                </c:pt>
                <c:pt idx="495">
                  <c:v>0.12549995000000005</c:v>
                </c:pt>
                <c:pt idx="496">
                  <c:v>0.12555325000000006</c:v>
                </c:pt>
                <c:pt idx="497">
                  <c:v>0.12568860000000007</c:v>
                </c:pt>
                <c:pt idx="498">
                  <c:v>0.12571090000000004</c:v>
                </c:pt>
                <c:pt idx="499">
                  <c:v>0.12571090000000004</c:v>
                </c:pt>
                <c:pt idx="500">
                  <c:v>0.12580525000000006</c:v>
                </c:pt>
                <c:pt idx="501">
                  <c:v>0.12585355000000006</c:v>
                </c:pt>
                <c:pt idx="502">
                  <c:v>0.12586880000000003</c:v>
                </c:pt>
                <c:pt idx="503">
                  <c:v>0.12583735000000001</c:v>
                </c:pt>
                <c:pt idx="504">
                  <c:v>0.12582690000000002</c:v>
                </c:pt>
                <c:pt idx="505">
                  <c:v>0.12579864999999998</c:v>
                </c:pt>
                <c:pt idx="506">
                  <c:v>0.12580109999999997</c:v>
                </c:pt>
                <c:pt idx="507">
                  <c:v>0.12580834999999996</c:v>
                </c:pt>
                <c:pt idx="508">
                  <c:v>0.12578809999999996</c:v>
                </c:pt>
                <c:pt idx="509">
                  <c:v>0.12578809999999996</c:v>
                </c:pt>
                <c:pt idx="510">
                  <c:v>0.12575299999999995</c:v>
                </c:pt>
                <c:pt idx="511">
                  <c:v>0.12568404999999996</c:v>
                </c:pt>
                <c:pt idx="512">
                  <c:v>0.12562729999999994</c:v>
                </c:pt>
                <c:pt idx="513">
                  <c:v>0.12560679999999996</c:v>
                </c:pt>
                <c:pt idx="514">
                  <c:v>0.12533640000000001</c:v>
                </c:pt>
                <c:pt idx="515">
                  <c:v>0.12530244999999998</c:v>
                </c:pt>
                <c:pt idx="516">
                  <c:v>0.12530244999999998</c:v>
                </c:pt>
                <c:pt idx="517">
                  <c:v>0.12526155</c:v>
                </c:pt>
                <c:pt idx="518">
                  <c:v>0.12503929999999996</c:v>
                </c:pt>
                <c:pt idx="519">
                  <c:v>0.12492869999999996</c:v>
                </c:pt>
                <c:pt idx="520">
                  <c:v>0.12468189999999996</c:v>
                </c:pt>
                <c:pt idx="521">
                  <c:v>0.12463824999999995</c:v>
                </c:pt>
                <c:pt idx="522">
                  <c:v>0.12433764999999995</c:v>
                </c:pt>
                <c:pt idx="523">
                  <c:v>0.12426399999999996</c:v>
                </c:pt>
                <c:pt idx="524">
                  <c:v>0.12419039999999995</c:v>
                </c:pt>
                <c:pt idx="525">
                  <c:v>0.12397919999999997</c:v>
                </c:pt>
                <c:pt idx="526">
                  <c:v>0.12391354999999998</c:v>
                </c:pt>
                <c:pt idx="527">
                  <c:v>0.12353199999999996</c:v>
                </c:pt>
                <c:pt idx="528">
                  <c:v>0.12305924999999998</c:v>
                </c:pt>
                <c:pt idx="529">
                  <c:v>0.12283740000000001</c:v>
                </c:pt>
                <c:pt idx="530">
                  <c:v>0.12254870000000004</c:v>
                </c:pt>
                <c:pt idx="531">
                  <c:v>0.12254870000000004</c:v>
                </c:pt>
                <c:pt idx="532">
                  <c:v>0.12167215000000006</c:v>
                </c:pt>
                <c:pt idx="533">
                  <c:v>0.12135055000000004</c:v>
                </c:pt>
                <c:pt idx="534">
                  <c:v>0.12107150000000004</c:v>
                </c:pt>
                <c:pt idx="535">
                  <c:v>0.1205702</c:v>
                </c:pt>
                <c:pt idx="536">
                  <c:v>0.12017030000000002</c:v>
                </c:pt>
                <c:pt idx="537">
                  <c:v>0.11977570000000001</c:v>
                </c:pt>
                <c:pt idx="538">
                  <c:v>0.11967885</c:v>
                </c:pt>
                <c:pt idx="539">
                  <c:v>0.11935499999999999</c:v>
                </c:pt>
                <c:pt idx="540">
                  <c:v>0.11889925000000001</c:v>
                </c:pt>
                <c:pt idx="541">
                  <c:v>0.11867630000000001</c:v>
                </c:pt>
                <c:pt idx="542">
                  <c:v>0.11733070000000007</c:v>
                </c:pt>
                <c:pt idx="543">
                  <c:v>0.11711065000000007</c:v>
                </c:pt>
                <c:pt idx="544">
                  <c:v>0.11608430000000007</c:v>
                </c:pt>
                <c:pt idx="545">
                  <c:v>0.11445275000000001</c:v>
                </c:pt>
                <c:pt idx="546">
                  <c:v>0.11392445000000002</c:v>
                </c:pt>
                <c:pt idx="547">
                  <c:v>0.11326930000000003</c:v>
                </c:pt>
                <c:pt idx="548">
                  <c:v>0.11289140000000002</c:v>
                </c:pt>
                <c:pt idx="549">
                  <c:v>0.11266330000000004</c:v>
                </c:pt>
                <c:pt idx="550">
                  <c:v>0.11151809999999998</c:v>
                </c:pt>
                <c:pt idx="551">
                  <c:v>0.11151809999999998</c:v>
                </c:pt>
                <c:pt idx="552">
                  <c:v>0.11145754999999996</c:v>
                </c:pt>
                <c:pt idx="553">
                  <c:v>0.11113019999999997</c:v>
                </c:pt>
                <c:pt idx="554">
                  <c:v>0.11113019999999997</c:v>
                </c:pt>
                <c:pt idx="555">
                  <c:v>0.11083999999999999</c:v>
                </c:pt>
                <c:pt idx="556">
                  <c:v>0.11062834999999999</c:v>
                </c:pt>
                <c:pt idx="557">
                  <c:v>0.11045634999999995</c:v>
                </c:pt>
                <c:pt idx="558">
                  <c:v>0.11045634999999995</c:v>
                </c:pt>
                <c:pt idx="559">
                  <c:v>0.11033019999999993</c:v>
                </c:pt>
                <c:pt idx="560">
                  <c:v>0.11033019999999993</c:v>
                </c:pt>
                <c:pt idx="561">
                  <c:v>0.11028289999999995</c:v>
                </c:pt>
                <c:pt idx="562">
                  <c:v>0.10957884999999994</c:v>
                </c:pt>
                <c:pt idx="563">
                  <c:v>0.10957884999999994</c:v>
                </c:pt>
                <c:pt idx="564">
                  <c:v>0.10957884999999994</c:v>
                </c:pt>
                <c:pt idx="565">
                  <c:v>0.10949164999999995</c:v>
                </c:pt>
                <c:pt idx="566">
                  <c:v>0.10943534999999993</c:v>
                </c:pt>
                <c:pt idx="567">
                  <c:v>0.10931394999999997</c:v>
                </c:pt>
                <c:pt idx="568">
                  <c:v>0.10917304999999995</c:v>
                </c:pt>
                <c:pt idx="569">
                  <c:v>0.10896159999999996</c:v>
                </c:pt>
                <c:pt idx="570">
                  <c:v>0.10889554999999998</c:v>
                </c:pt>
                <c:pt idx="571">
                  <c:v>0.10730604999999997</c:v>
                </c:pt>
                <c:pt idx="572">
                  <c:v>0.1069314</c:v>
                </c:pt>
                <c:pt idx="573">
                  <c:v>0.10669679999999999</c:v>
                </c:pt>
                <c:pt idx="574">
                  <c:v>0.10669679999999999</c:v>
                </c:pt>
                <c:pt idx="575">
                  <c:v>0.10669679999999999</c:v>
                </c:pt>
                <c:pt idx="576">
                  <c:v>0.10406049999999992</c:v>
                </c:pt>
                <c:pt idx="577">
                  <c:v>0.10351064999999987</c:v>
                </c:pt>
                <c:pt idx="578">
                  <c:v>0.10320114999999989</c:v>
                </c:pt>
                <c:pt idx="579">
                  <c:v>0.10320114999999989</c:v>
                </c:pt>
                <c:pt idx="580">
                  <c:v>0.1029048999999999</c:v>
                </c:pt>
                <c:pt idx="581">
                  <c:v>0.10279754999999989</c:v>
                </c:pt>
                <c:pt idx="582">
                  <c:v>0.1024421499999999</c:v>
                </c:pt>
                <c:pt idx="583">
                  <c:v>0.10231094999999991</c:v>
                </c:pt>
                <c:pt idx="584">
                  <c:v>0.10179149999999991</c:v>
                </c:pt>
                <c:pt idx="585">
                  <c:v>0.10151839999999991</c:v>
                </c:pt>
                <c:pt idx="586">
                  <c:v>0.10076204999999991</c:v>
                </c:pt>
                <c:pt idx="587">
                  <c:v>0.10018434999999991</c:v>
                </c:pt>
                <c:pt idx="588">
                  <c:v>0.10003894999999993</c:v>
                </c:pt>
                <c:pt idx="589">
                  <c:v>9.8555949999999976E-2</c:v>
                </c:pt>
                <c:pt idx="590">
                  <c:v>9.8401799999999984E-2</c:v>
                </c:pt>
                <c:pt idx="591">
                  <c:v>9.8252949999999964E-2</c:v>
                </c:pt>
                <c:pt idx="592">
                  <c:v>9.8099049999999993E-2</c:v>
                </c:pt>
                <c:pt idx="593">
                  <c:v>9.7810199999999958E-2</c:v>
                </c:pt>
                <c:pt idx="594">
                  <c:v>9.6894799999999948E-2</c:v>
                </c:pt>
                <c:pt idx="595">
                  <c:v>9.5746699999999935E-2</c:v>
                </c:pt>
                <c:pt idx="596">
                  <c:v>9.3214849999999932E-2</c:v>
                </c:pt>
                <c:pt idx="597">
                  <c:v>9.3214849999999932E-2</c:v>
                </c:pt>
                <c:pt idx="598">
                  <c:v>9.1948999999999934E-2</c:v>
                </c:pt>
                <c:pt idx="599">
                  <c:v>9.1806449999999942E-2</c:v>
                </c:pt>
                <c:pt idx="600">
                  <c:v>9.1670149999999936E-2</c:v>
                </c:pt>
                <c:pt idx="601">
                  <c:v>9.0701049999999964E-2</c:v>
                </c:pt>
                <c:pt idx="602">
                  <c:v>8.9375799999999991E-2</c:v>
                </c:pt>
                <c:pt idx="603">
                  <c:v>8.9051699999999998E-2</c:v>
                </c:pt>
                <c:pt idx="604">
                  <c:v>8.9051699999999998E-2</c:v>
                </c:pt>
                <c:pt idx="605">
                  <c:v>8.8707200000000028E-2</c:v>
                </c:pt>
                <c:pt idx="606">
                  <c:v>8.7492550000000002E-2</c:v>
                </c:pt>
                <c:pt idx="607">
                  <c:v>8.7322850000000007E-2</c:v>
                </c:pt>
                <c:pt idx="608">
                  <c:v>8.7148450000000002E-2</c:v>
                </c:pt>
                <c:pt idx="609">
                  <c:v>8.6642850000000035E-2</c:v>
                </c:pt>
                <c:pt idx="610">
                  <c:v>8.5660900000000012E-2</c:v>
                </c:pt>
                <c:pt idx="611">
                  <c:v>8.4428249999999955E-2</c:v>
                </c:pt>
                <c:pt idx="612">
                  <c:v>8.3514749999999985E-2</c:v>
                </c:pt>
                <c:pt idx="613">
                  <c:v>8.064665E-2</c:v>
                </c:pt>
                <c:pt idx="614">
                  <c:v>8.0322900000000017E-2</c:v>
                </c:pt>
                <c:pt idx="615">
                  <c:v>7.9491499999999979E-2</c:v>
                </c:pt>
                <c:pt idx="616">
                  <c:v>7.9300599999999971E-2</c:v>
                </c:pt>
                <c:pt idx="617">
                  <c:v>7.7739250000000024E-2</c:v>
                </c:pt>
                <c:pt idx="618">
                  <c:v>7.7466800000000016E-2</c:v>
                </c:pt>
                <c:pt idx="619">
                  <c:v>7.5836300000000009E-2</c:v>
                </c:pt>
                <c:pt idx="620">
                  <c:v>7.5752350000000024E-2</c:v>
                </c:pt>
                <c:pt idx="621">
                  <c:v>7.5227850000000041E-2</c:v>
                </c:pt>
                <c:pt idx="622">
                  <c:v>7.5067400000000048E-2</c:v>
                </c:pt>
                <c:pt idx="623">
                  <c:v>7.4902650000000057E-2</c:v>
                </c:pt>
                <c:pt idx="624">
                  <c:v>7.4853500000000059E-2</c:v>
                </c:pt>
                <c:pt idx="625">
                  <c:v>7.4660250000000067E-2</c:v>
                </c:pt>
                <c:pt idx="626">
                  <c:v>7.4577250000000039E-2</c:v>
                </c:pt>
                <c:pt idx="627">
                  <c:v>7.4728600000000048E-2</c:v>
                </c:pt>
                <c:pt idx="628">
                  <c:v>7.4730950000000032E-2</c:v>
                </c:pt>
                <c:pt idx="629">
                  <c:v>7.4732300000000043E-2</c:v>
                </c:pt>
                <c:pt idx="630">
                  <c:v>7.4715200000000037E-2</c:v>
                </c:pt>
                <c:pt idx="631">
                  <c:v>7.4710200000000018E-2</c:v>
                </c:pt>
                <c:pt idx="632">
                  <c:v>7.4648850000000003E-2</c:v>
                </c:pt>
                <c:pt idx="633">
                  <c:v>7.4709100000000014E-2</c:v>
                </c:pt>
                <c:pt idx="634">
                  <c:v>7.4919100000000002E-2</c:v>
                </c:pt>
                <c:pt idx="635">
                  <c:v>7.5008250000000012E-2</c:v>
                </c:pt>
                <c:pt idx="636">
                  <c:v>7.5395900000000002E-2</c:v>
                </c:pt>
                <c:pt idx="637">
                  <c:v>7.5826100000000007E-2</c:v>
                </c:pt>
                <c:pt idx="638">
                  <c:v>7.6201200000000024E-2</c:v>
                </c:pt>
                <c:pt idx="639">
                  <c:v>7.6969650000000028E-2</c:v>
                </c:pt>
                <c:pt idx="640">
                  <c:v>7.7796050000000005E-2</c:v>
                </c:pt>
                <c:pt idx="641">
                  <c:v>7.8337950000000003E-2</c:v>
                </c:pt>
                <c:pt idx="642">
                  <c:v>7.8385300000000005E-2</c:v>
                </c:pt>
                <c:pt idx="643">
                  <c:v>7.8576599999999996E-2</c:v>
                </c:pt>
                <c:pt idx="644">
                  <c:v>7.8647399999999992E-2</c:v>
                </c:pt>
                <c:pt idx="645">
                  <c:v>7.8773449999999981E-2</c:v>
                </c:pt>
                <c:pt idx="646">
                  <c:v>7.8819699999999979E-2</c:v>
                </c:pt>
                <c:pt idx="647">
                  <c:v>7.8819699999999979E-2</c:v>
                </c:pt>
                <c:pt idx="648">
                  <c:v>7.9214800000000002E-2</c:v>
                </c:pt>
                <c:pt idx="649">
                  <c:v>7.9214800000000002E-2</c:v>
                </c:pt>
                <c:pt idx="650">
                  <c:v>7.9214800000000002E-2</c:v>
                </c:pt>
                <c:pt idx="651">
                  <c:v>7.9463749999999986E-2</c:v>
                </c:pt>
                <c:pt idx="652">
                  <c:v>8.0555649999999965E-2</c:v>
                </c:pt>
                <c:pt idx="653">
                  <c:v>8.0555649999999965E-2</c:v>
                </c:pt>
                <c:pt idx="654">
                  <c:v>8.0628599999999953E-2</c:v>
                </c:pt>
                <c:pt idx="655">
                  <c:v>8.137804999999998E-2</c:v>
                </c:pt>
                <c:pt idx="656">
                  <c:v>8.3065799999999954E-2</c:v>
                </c:pt>
                <c:pt idx="657">
                  <c:v>8.3065799999999954E-2</c:v>
                </c:pt>
                <c:pt idx="658">
                  <c:v>8.3299849999999953E-2</c:v>
                </c:pt>
                <c:pt idx="659">
                  <c:v>8.4325649999999988E-2</c:v>
                </c:pt>
                <c:pt idx="660">
                  <c:v>8.5474299999999948E-2</c:v>
                </c:pt>
                <c:pt idx="661">
                  <c:v>8.6358049999999978E-2</c:v>
                </c:pt>
                <c:pt idx="662">
                  <c:v>8.68057E-2</c:v>
                </c:pt>
                <c:pt idx="663">
                  <c:v>8.7034399999999984E-2</c:v>
                </c:pt>
                <c:pt idx="664">
                  <c:v>8.7735449999999951E-2</c:v>
                </c:pt>
                <c:pt idx="665">
                  <c:v>8.781939999999995E-2</c:v>
                </c:pt>
                <c:pt idx="666">
                  <c:v>8.781939999999995E-2</c:v>
                </c:pt>
                <c:pt idx="667">
                  <c:v>8.790239999999995E-2</c:v>
                </c:pt>
                <c:pt idx="668">
                  <c:v>8.7976999999999958E-2</c:v>
                </c:pt>
                <c:pt idx="669">
                  <c:v>8.805524999999996E-2</c:v>
                </c:pt>
                <c:pt idx="670">
                  <c:v>8.8131799999999968E-2</c:v>
                </c:pt>
                <c:pt idx="671">
                  <c:v>8.8131799999999968E-2</c:v>
                </c:pt>
                <c:pt idx="672">
                  <c:v>8.8131799999999968E-2</c:v>
                </c:pt>
                <c:pt idx="673">
                  <c:v>8.8131799999999968E-2</c:v>
                </c:pt>
                <c:pt idx="674">
                  <c:v>8.9351449999999971E-2</c:v>
                </c:pt>
                <c:pt idx="675">
                  <c:v>8.9507149999999952E-2</c:v>
                </c:pt>
                <c:pt idx="676">
                  <c:v>8.9572549999999959E-2</c:v>
                </c:pt>
                <c:pt idx="677">
                  <c:v>8.9590249999999982E-2</c:v>
                </c:pt>
                <c:pt idx="678">
                  <c:v>8.9413999999999966E-2</c:v>
                </c:pt>
                <c:pt idx="679">
                  <c:v>8.9195149999999987E-2</c:v>
                </c:pt>
                <c:pt idx="680">
                  <c:v>8.9199249999999994E-2</c:v>
                </c:pt>
                <c:pt idx="681">
                  <c:v>8.9208749999999989E-2</c:v>
                </c:pt>
                <c:pt idx="682">
                  <c:v>8.9222199999999988E-2</c:v>
                </c:pt>
                <c:pt idx="683">
                  <c:v>8.9296600000000004E-2</c:v>
                </c:pt>
                <c:pt idx="684">
                  <c:v>8.9572100000000057E-2</c:v>
                </c:pt>
                <c:pt idx="685">
                  <c:v>8.9740100000000031E-2</c:v>
                </c:pt>
                <c:pt idx="686">
                  <c:v>8.9883050000000034E-2</c:v>
                </c:pt>
                <c:pt idx="687">
                  <c:v>8.9929350000000033E-2</c:v>
                </c:pt>
                <c:pt idx="688">
                  <c:v>8.9968200000000026E-2</c:v>
                </c:pt>
                <c:pt idx="689">
                  <c:v>8.9935050000000002E-2</c:v>
                </c:pt>
                <c:pt idx="690">
                  <c:v>8.9625799999999992E-2</c:v>
                </c:pt>
                <c:pt idx="691">
                  <c:v>8.9183249999999936E-2</c:v>
                </c:pt>
                <c:pt idx="692">
                  <c:v>8.9289049999999967E-2</c:v>
                </c:pt>
                <c:pt idx="693">
                  <c:v>8.9400249999999987E-2</c:v>
                </c:pt>
                <c:pt idx="694">
                  <c:v>8.9422749999999981E-2</c:v>
                </c:pt>
                <c:pt idx="695">
                  <c:v>8.94876E-2</c:v>
                </c:pt>
                <c:pt idx="696">
                  <c:v>8.9349249999999991E-2</c:v>
                </c:pt>
                <c:pt idx="697">
                  <c:v>9.0161550000000007E-2</c:v>
                </c:pt>
                <c:pt idx="698">
                  <c:v>9.0193350000000005E-2</c:v>
                </c:pt>
                <c:pt idx="699">
                  <c:v>9.0193350000000005E-2</c:v>
                </c:pt>
                <c:pt idx="700">
                  <c:v>9.0216849999999973E-2</c:v>
                </c:pt>
                <c:pt idx="701">
                  <c:v>9.0279299999999979E-2</c:v>
                </c:pt>
                <c:pt idx="702">
                  <c:v>9.0301299999999973E-2</c:v>
                </c:pt>
                <c:pt idx="703">
                  <c:v>9.0350549999999974E-2</c:v>
                </c:pt>
                <c:pt idx="704">
                  <c:v>9.0542850000000022E-2</c:v>
                </c:pt>
                <c:pt idx="705">
                  <c:v>9.0548250000000025E-2</c:v>
                </c:pt>
                <c:pt idx="706">
                  <c:v>9.0521149999999953E-2</c:v>
                </c:pt>
                <c:pt idx="707">
                  <c:v>9.0521149999999953E-2</c:v>
                </c:pt>
                <c:pt idx="708">
                  <c:v>9.052344999999995E-2</c:v>
                </c:pt>
                <c:pt idx="709">
                  <c:v>9.0502899999999969E-2</c:v>
                </c:pt>
                <c:pt idx="710">
                  <c:v>9.0478649999999994E-2</c:v>
                </c:pt>
                <c:pt idx="711">
                  <c:v>9.0493199999999968E-2</c:v>
                </c:pt>
                <c:pt idx="712">
                  <c:v>9.0539149999999999E-2</c:v>
                </c:pt>
                <c:pt idx="713">
                  <c:v>9.0495200000000053E-2</c:v>
                </c:pt>
                <c:pt idx="714">
                  <c:v>9.0033950000000071E-2</c:v>
                </c:pt>
                <c:pt idx="715">
                  <c:v>8.9826150000000049E-2</c:v>
                </c:pt>
                <c:pt idx="716">
                  <c:v>8.9147549999999992E-2</c:v>
                </c:pt>
                <c:pt idx="717">
                  <c:v>8.9010800000000001E-2</c:v>
                </c:pt>
                <c:pt idx="718">
                  <c:v>8.7666549999999982E-2</c:v>
                </c:pt>
                <c:pt idx="719">
                  <c:v>8.6295049999999929E-2</c:v>
                </c:pt>
                <c:pt idx="720">
                  <c:v>8.5415699999999942E-2</c:v>
                </c:pt>
                <c:pt idx="721">
                  <c:v>8.4850849999999992E-2</c:v>
                </c:pt>
                <c:pt idx="722">
                  <c:v>8.3381049999999984E-2</c:v>
                </c:pt>
                <c:pt idx="723">
                  <c:v>8.3188650000000003E-2</c:v>
                </c:pt>
                <c:pt idx="724">
                  <c:v>8.312555000000002E-2</c:v>
                </c:pt>
                <c:pt idx="725">
                  <c:v>8.2941600000000018E-2</c:v>
                </c:pt>
                <c:pt idx="726">
                  <c:v>8.2941600000000018E-2</c:v>
                </c:pt>
                <c:pt idx="727">
                  <c:v>8.2416249999999996E-2</c:v>
                </c:pt>
                <c:pt idx="728">
                  <c:v>8.2368499999999983E-2</c:v>
                </c:pt>
                <c:pt idx="729">
                  <c:v>8.2202399999999981E-2</c:v>
                </c:pt>
                <c:pt idx="730">
                  <c:v>8.1963399999999992E-2</c:v>
                </c:pt>
                <c:pt idx="731">
                  <c:v>8.1732749999999979E-2</c:v>
                </c:pt>
                <c:pt idx="732">
                  <c:v>8.1502749999999957E-2</c:v>
                </c:pt>
                <c:pt idx="733">
                  <c:v>8.1610599999999991E-2</c:v>
                </c:pt>
                <c:pt idx="734">
                  <c:v>8.1655249999999985E-2</c:v>
                </c:pt>
                <c:pt idx="735">
                  <c:v>8.1794049999999979E-2</c:v>
                </c:pt>
                <c:pt idx="736">
                  <c:v>8.1960849999999988E-2</c:v>
                </c:pt>
                <c:pt idx="737">
                  <c:v>8.283339999999996E-2</c:v>
                </c:pt>
                <c:pt idx="738">
                  <c:v>8.2974649999999969E-2</c:v>
                </c:pt>
                <c:pt idx="739">
                  <c:v>8.301184999999997E-2</c:v>
                </c:pt>
                <c:pt idx="740">
                  <c:v>8.3037799999999939E-2</c:v>
                </c:pt>
                <c:pt idx="741">
                  <c:v>8.3061299999999921E-2</c:v>
                </c:pt>
                <c:pt idx="742">
                  <c:v>8.3153299999999972E-2</c:v>
                </c:pt>
                <c:pt idx="743">
                  <c:v>8.3212799999999962E-2</c:v>
                </c:pt>
                <c:pt idx="744">
                  <c:v>8.3313599999999988E-2</c:v>
                </c:pt>
                <c:pt idx="745">
                  <c:v>8.334289999999997E-2</c:v>
                </c:pt>
                <c:pt idx="746">
                  <c:v>8.3387099999999978E-2</c:v>
                </c:pt>
                <c:pt idx="747">
                  <c:v>8.3387099999999978E-2</c:v>
                </c:pt>
                <c:pt idx="748">
                  <c:v>8.4074199999999946E-2</c:v>
                </c:pt>
                <c:pt idx="749">
                  <c:v>8.4255449999999982E-2</c:v>
                </c:pt>
                <c:pt idx="750">
                  <c:v>8.4470500000000032E-2</c:v>
                </c:pt>
                <c:pt idx="751">
                  <c:v>8.4597550000000035E-2</c:v>
                </c:pt>
                <c:pt idx="752">
                  <c:v>8.5894249999999964E-2</c:v>
                </c:pt>
                <c:pt idx="753">
                  <c:v>8.6106199999999994E-2</c:v>
                </c:pt>
                <c:pt idx="754">
                  <c:v>8.6232050000000005E-2</c:v>
                </c:pt>
                <c:pt idx="755">
                  <c:v>8.6657550000000028E-2</c:v>
                </c:pt>
                <c:pt idx="756">
                  <c:v>8.6760300000000012E-2</c:v>
                </c:pt>
                <c:pt idx="757">
                  <c:v>8.6921400000000024E-2</c:v>
                </c:pt>
                <c:pt idx="758">
                  <c:v>8.6732100000000034E-2</c:v>
                </c:pt>
                <c:pt idx="759">
                  <c:v>8.668875000000005E-2</c:v>
                </c:pt>
                <c:pt idx="760">
                  <c:v>8.6657400000000051E-2</c:v>
                </c:pt>
                <c:pt idx="761">
                  <c:v>8.6636200000000052E-2</c:v>
                </c:pt>
                <c:pt idx="762">
                  <c:v>8.6617050000000043E-2</c:v>
                </c:pt>
                <c:pt idx="763">
                  <c:v>8.6604100000000059E-2</c:v>
                </c:pt>
                <c:pt idx="764">
                  <c:v>8.6568250000000069E-2</c:v>
                </c:pt>
                <c:pt idx="765">
                  <c:v>8.6548550000000044E-2</c:v>
                </c:pt>
                <c:pt idx="766">
                  <c:v>8.6517750000000046E-2</c:v>
                </c:pt>
                <c:pt idx="767">
                  <c:v>8.6446950000000022E-2</c:v>
                </c:pt>
                <c:pt idx="768">
                  <c:v>8.628325000000002E-2</c:v>
                </c:pt>
                <c:pt idx="769">
                  <c:v>8.6045000000000038E-2</c:v>
                </c:pt>
                <c:pt idx="770">
                  <c:v>8.5897300000000024E-2</c:v>
                </c:pt>
                <c:pt idx="771">
                  <c:v>8.5750000000000048E-2</c:v>
                </c:pt>
                <c:pt idx="772">
                  <c:v>8.5663900000000057E-2</c:v>
                </c:pt>
                <c:pt idx="773">
                  <c:v>8.545750000000002E-2</c:v>
                </c:pt>
                <c:pt idx="774">
                  <c:v>8.5279500000000022E-2</c:v>
                </c:pt>
                <c:pt idx="775">
                  <c:v>8.524550000000003E-2</c:v>
                </c:pt>
                <c:pt idx="776">
                  <c:v>8.524550000000003E-2</c:v>
                </c:pt>
                <c:pt idx="777">
                  <c:v>8.490120000000001E-2</c:v>
                </c:pt>
                <c:pt idx="778">
                  <c:v>8.4732550000000004E-2</c:v>
                </c:pt>
                <c:pt idx="779">
                  <c:v>8.470179999999998E-2</c:v>
                </c:pt>
                <c:pt idx="780">
                  <c:v>8.435970000000001E-2</c:v>
                </c:pt>
                <c:pt idx="781">
                  <c:v>8.4080799999999969E-2</c:v>
                </c:pt>
                <c:pt idx="782">
                  <c:v>8.3873049999999991E-2</c:v>
                </c:pt>
                <c:pt idx="783">
                  <c:v>8.3786650000000004E-2</c:v>
                </c:pt>
                <c:pt idx="784">
                  <c:v>8.3756549999999985E-2</c:v>
                </c:pt>
                <c:pt idx="785">
                  <c:v>8.3684350000000018E-2</c:v>
                </c:pt>
                <c:pt idx="786">
                  <c:v>8.341090000000001E-2</c:v>
                </c:pt>
                <c:pt idx="787">
                  <c:v>8.3197849999999962E-2</c:v>
                </c:pt>
                <c:pt idx="788">
                  <c:v>8.2890199999999942E-2</c:v>
                </c:pt>
                <c:pt idx="789">
                  <c:v>8.2336799999999974E-2</c:v>
                </c:pt>
                <c:pt idx="790">
                  <c:v>8.2315649999999976E-2</c:v>
                </c:pt>
                <c:pt idx="791">
                  <c:v>8.2034249999999961E-2</c:v>
                </c:pt>
                <c:pt idx="792">
                  <c:v>8.1968299999999966E-2</c:v>
                </c:pt>
                <c:pt idx="793">
                  <c:v>8.1968299999999966E-2</c:v>
                </c:pt>
                <c:pt idx="794">
                  <c:v>8.1900249999999966E-2</c:v>
                </c:pt>
                <c:pt idx="795">
                  <c:v>8.1885399999999955E-2</c:v>
                </c:pt>
                <c:pt idx="796">
                  <c:v>8.1863399999999961E-2</c:v>
                </c:pt>
                <c:pt idx="797">
                  <c:v>8.1806450000000003E-2</c:v>
                </c:pt>
                <c:pt idx="798">
                  <c:v>8.1806450000000003E-2</c:v>
                </c:pt>
                <c:pt idx="799">
                  <c:v>8.177139999999998E-2</c:v>
                </c:pt>
                <c:pt idx="800">
                  <c:v>8.1769299999999989E-2</c:v>
                </c:pt>
                <c:pt idx="801">
                  <c:v>8.1769299999999989E-2</c:v>
                </c:pt>
                <c:pt idx="802">
                  <c:v>8.1765600000000008E-2</c:v>
                </c:pt>
                <c:pt idx="803">
                  <c:v>8.1488050000000006E-2</c:v>
                </c:pt>
                <c:pt idx="804">
                  <c:v>8.1460750000000012E-2</c:v>
                </c:pt>
                <c:pt idx="805">
                  <c:v>8.1460750000000012E-2</c:v>
                </c:pt>
                <c:pt idx="806">
                  <c:v>8.1425800000000007E-2</c:v>
                </c:pt>
                <c:pt idx="807">
                  <c:v>8.0886800000000023E-2</c:v>
                </c:pt>
                <c:pt idx="808">
                  <c:v>8.072670000000004E-2</c:v>
                </c:pt>
                <c:pt idx="809">
                  <c:v>8.0638749999999995E-2</c:v>
                </c:pt>
                <c:pt idx="810">
                  <c:v>8.0614249999999998E-2</c:v>
                </c:pt>
                <c:pt idx="811">
                  <c:v>8.054515000000001E-2</c:v>
                </c:pt>
                <c:pt idx="812">
                  <c:v>8.0442399999999997E-2</c:v>
                </c:pt>
                <c:pt idx="813">
                  <c:v>8.0294300000000013E-2</c:v>
                </c:pt>
                <c:pt idx="814">
                  <c:v>8.011675E-2</c:v>
                </c:pt>
                <c:pt idx="815">
                  <c:v>7.9845900000000011E-2</c:v>
                </c:pt>
                <c:pt idx="816">
                  <c:v>7.9799099999999998E-2</c:v>
                </c:pt>
                <c:pt idx="817">
                  <c:v>7.9499550000000002E-2</c:v>
                </c:pt>
                <c:pt idx="818">
                  <c:v>7.9362550000000004E-2</c:v>
                </c:pt>
                <c:pt idx="819">
                  <c:v>7.933560000000002E-2</c:v>
                </c:pt>
                <c:pt idx="820">
                  <c:v>7.9272250000000002E-2</c:v>
                </c:pt>
                <c:pt idx="821">
                  <c:v>7.8940650000000015E-2</c:v>
                </c:pt>
                <c:pt idx="822">
                  <c:v>7.884229999999999E-2</c:v>
                </c:pt>
                <c:pt idx="823">
                  <c:v>7.884229999999999E-2</c:v>
                </c:pt>
                <c:pt idx="824">
                  <c:v>7.8655000000000003E-2</c:v>
                </c:pt>
                <c:pt idx="825">
                  <c:v>7.8560000000000005E-2</c:v>
                </c:pt>
                <c:pt idx="826">
                  <c:v>7.8482349999999979E-2</c:v>
                </c:pt>
                <c:pt idx="827">
                  <c:v>7.8474999999999989E-2</c:v>
                </c:pt>
                <c:pt idx="828">
                  <c:v>7.8469399999999981E-2</c:v>
                </c:pt>
                <c:pt idx="829">
                  <c:v>7.8374399999999997E-2</c:v>
                </c:pt>
                <c:pt idx="830">
                  <c:v>7.8374399999999997E-2</c:v>
                </c:pt>
                <c:pt idx="831">
                  <c:v>7.8300350000000005E-2</c:v>
                </c:pt>
                <c:pt idx="832">
                  <c:v>7.8093100000000013E-2</c:v>
                </c:pt>
                <c:pt idx="833">
                  <c:v>7.8010250000000003E-2</c:v>
                </c:pt>
                <c:pt idx="834">
                  <c:v>7.7141649999999964E-2</c:v>
                </c:pt>
                <c:pt idx="835">
                  <c:v>7.7070099999999975E-2</c:v>
                </c:pt>
                <c:pt idx="836">
                  <c:v>7.7045099999999991E-2</c:v>
                </c:pt>
                <c:pt idx="837">
                  <c:v>7.7025400000000008E-2</c:v>
                </c:pt>
                <c:pt idx="838">
                  <c:v>7.7019250000000011E-2</c:v>
                </c:pt>
                <c:pt idx="839">
                  <c:v>7.703790000000002E-2</c:v>
                </c:pt>
                <c:pt idx="840">
                  <c:v>7.7067549999999999E-2</c:v>
                </c:pt>
                <c:pt idx="841">
                  <c:v>7.7061549999999993E-2</c:v>
                </c:pt>
                <c:pt idx="842">
                  <c:v>7.6797200000000038E-2</c:v>
                </c:pt>
                <c:pt idx="843">
                  <c:v>7.6621250000000043E-2</c:v>
                </c:pt>
                <c:pt idx="844">
                  <c:v>7.6599250000000035E-2</c:v>
                </c:pt>
                <c:pt idx="845">
                  <c:v>7.6599250000000035E-2</c:v>
                </c:pt>
                <c:pt idx="846">
                  <c:v>7.6575250000000039E-2</c:v>
                </c:pt>
                <c:pt idx="847">
                  <c:v>7.6479900000000059E-2</c:v>
                </c:pt>
                <c:pt idx="848">
                  <c:v>7.6479900000000059E-2</c:v>
                </c:pt>
                <c:pt idx="849">
                  <c:v>7.6316650000000041E-2</c:v>
                </c:pt>
                <c:pt idx="850">
                  <c:v>7.6284150000000023E-2</c:v>
                </c:pt>
                <c:pt idx="851">
                  <c:v>7.6256700000000024E-2</c:v>
                </c:pt>
                <c:pt idx="852">
                  <c:v>7.6068950000000052E-2</c:v>
                </c:pt>
                <c:pt idx="853">
                  <c:v>7.5882300000000041E-2</c:v>
                </c:pt>
                <c:pt idx="854">
                  <c:v>7.5587000000000043E-2</c:v>
                </c:pt>
                <c:pt idx="855">
                  <c:v>7.5204000000000049E-2</c:v>
                </c:pt>
                <c:pt idx="856">
                  <c:v>7.4893600000000018E-2</c:v>
                </c:pt>
                <c:pt idx="857">
                  <c:v>7.4804000000000009E-2</c:v>
                </c:pt>
                <c:pt idx="858">
                  <c:v>7.4804000000000009E-2</c:v>
                </c:pt>
                <c:pt idx="859">
                  <c:v>7.2882499999999975E-2</c:v>
                </c:pt>
                <c:pt idx="860">
                  <c:v>7.2459250000000003E-2</c:v>
                </c:pt>
                <c:pt idx="861">
                  <c:v>7.2381749999999981E-2</c:v>
                </c:pt>
                <c:pt idx="862">
                  <c:v>7.2250699999999973E-2</c:v>
                </c:pt>
                <c:pt idx="863">
                  <c:v>7.2191999999999978E-2</c:v>
                </c:pt>
                <c:pt idx="864">
                  <c:v>7.2092349999999972E-2</c:v>
                </c:pt>
                <c:pt idx="865">
                  <c:v>7.1864299999999964E-2</c:v>
                </c:pt>
                <c:pt idx="866">
                  <c:v>7.1819899999999978E-2</c:v>
                </c:pt>
                <c:pt idx="867">
                  <c:v>7.1680299999999975E-2</c:v>
                </c:pt>
                <c:pt idx="868">
                  <c:v>7.0973749999999988E-2</c:v>
                </c:pt>
                <c:pt idx="869">
                  <c:v>7.0891299999999977E-2</c:v>
                </c:pt>
                <c:pt idx="870">
                  <c:v>6.9576699999999991E-2</c:v>
                </c:pt>
                <c:pt idx="871">
                  <c:v>6.8080149999999992E-2</c:v>
                </c:pt>
                <c:pt idx="872">
                  <c:v>6.7661750000000007E-2</c:v>
                </c:pt>
                <c:pt idx="873">
                  <c:v>6.7595250000000009E-2</c:v>
                </c:pt>
                <c:pt idx="874">
                  <c:v>6.6035699999999989E-2</c:v>
                </c:pt>
                <c:pt idx="875">
                  <c:v>6.5667450000000002E-2</c:v>
                </c:pt>
                <c:pt idx="876">
                  <c:v>6.5216300000000005E-2</c:v>
                </c:pt>
                <c:pt idx="877">
                  <c:v>6.4831800000000009E-2</c:v>
                </c:pt>
                <c:pt idx="878">
                  <c:v>6.4788399999999996E-2</c:v>
                </c:pt>
                <c:pt idx="879">
                  <c:v>6.4714499999999994E-2</c:v>
                </c:pt>
                <c:pt idx="880">
                  <c:v>6.4436249999999987E-2</c:v>
                </c:pt>
                <c:pt idx="881">
                  <c:v>6.4193749999999994E-2</c:v>
                </c:pt>
                <c:pt idx="882">
                  <c:v>6.4030500000000004E-2</c:v>
                </c:pt>
                <c:pt idx="883">
                  <c:v>6.3917250000000023E-2</c:v>
                </c:pt>
                <c:pt idx="884">
                  <c:v>6.3810850000000016E-2</c:v>
                </c:pt>
                <c:pt idx="885">
                  <c:v>6.3606599999999999E-2</c:v>
                </c:pt>
                <c:pt idx="886">
                  <c:v>6.352049999999998E-2</c:v>
                </c:pt>
                <c:pt idx="887">
                  <c:v>6.352049999999998E-2</c:v>
                </c:pt>
                <c:pt idx="888">
                  <c:v>6.3491299999999987E-2</c:v>
                </c:pt>
                <c:pt idx="889">
                  <c:v>6.3467199999999988E-2</c:v>
                </c:pt>
                <c:pt idx="890">
                  <c:v>6.4050399999999993E-2</c:v>
                </c:pt>
                <c:pt idx="891">
                  <c:v>6.4452750000000003E-2</c:v>
                </c:pt>
                <c:pt idx="892">
                  <c:v>6.4604400000000006E-2</c:v>
                </c:pt>
                <c:pt idx="893">
                  <c:v>6.5365500000000021E-2</c:v>
                </c:pt>
                <c:pt idx="894">
                  <c:v>6.6465950000000038E-2</c:v>
                </c:pt>
                <c:pt idx="895">
                  <c:v>6.8753100000000039E-2</c:v>
                </c:pt>
                <c:pt idx="896">
                  <c:v>7.325999999999995E-2</c:v>
                </c:pt>
                <c:pt idx="897">
                  <c:v>7.3902649999999959E-2</c:v>
                </c:pt>
                <c:pt idx="898">
                  <c:v>7.3902649999999959E-2</c:v>
                </c:pt>
                <c:pt idx="899">
                  <c:v>7.4503099999999961E-2</c:v>
                </c:pt>
                <c:pt idx="900">
                  <c:v>7.4667049999999943E-2</c:v>
                </c:pt>
                <c:pt idx="901">
                  <c:v>7.4943649999999959E-2</c:v>
                </c:pt>
                <c:pt idx="902">
                  <c:v>7.5430749999999977E-2</c:v>
                </c:pt>
                <c:pt idx="903">
                  <c:v>7.5430749999999977E-2</c:v>
                </c:pt>
                <c:pt idx="904">
                  <c:v>7.5638949999999955E-2</c:v>
                </c:pt>
                <c:pt idx="905">
                  <c:v>7.5684549999999975E-2</c:v>
                </c:pt>
                <c:pt idx="906">
                  <c:v>7.5776899999999967E-2</c:v>
                </c:pt>
                <c:pt idx="907">
                  <c:v>7.6109499999999997E-2</c:v>
                </c:pt>
                <c:pt idx="908">
                  <c:v>7.6415700000000003E-2</c:v>
                </c:pt>
                <c:pt idx="909">
                  <c:v>7.6871200000000001E-2</c:v>
                </c:pt>
                <c:pt idx="910">
                  <c:v>7.7012350000000007E-2</c:v>
                </c:pt>
                <c:pt idx="911">
                  <c:v>7.702225E-2</c:v>
                </c:pt>
                <c:pt idx="912">
                  <c:v>7.7145500000000033E-2</c:v>
                </c:pt>
                <c:pt idx="913">
                  <c:v>7.7185199999999995E-2</c:v>
                </c:pt>
                <c:pt idx="914">
                  <c:v>7.7198849999999999E-2</c:v>
                </c:pt>
                <c:pt idx="915">
                  <c:v>7.7181400000000011E-2</c:v>
                </c:pt>
                <c:pt idx="916">
                  <c:v>7.7147150000000025E-2</c:v>
                </c:pt>
                <c:pt idx="917">
                  <c:v>7.7135950000000009E-2</c:v>
                </c:pt>
                <c:pt idx="918">
                  <c:v>7.7022200000000013E-2</c:v>
                </c:pt>
                <c:pt idx="919">
                  <c:v>7.6766000000000015E-2</c:v>
                </c:pt>
                <c:pt idx="920">
                  <c:v>7.6473500000000014E-2</c:v>
                </c:pt>
                <c:pt idx="921">
                  <c:v>7.5996250000000029E-2</c:v>
                </c:pt>
                <c:pt idx="922">
                  <c:v>7.558690000000004E-2</c:v>
                </c:pt>
                <c:pt idx="923">
                  <c:v>7.5162650000000053E-2</c:v>
                </c:pt>
                <c:pt idx="924">
                  <c:v>7.2048500000000029E-2</c:v>
                </c:pt>
                <c:pt idx="925">
                  <c:v>7.1246950000000045E-2</c:v>
                </c:pt>
                <c:pt idx="926">
                  <c:v>7.1246950000000045E-2</c:v>
                </c:pt>
                <c:pt idx="927">
                  <c:v>7.1246950000000045E-2</c:v>
                </c:pt>
                <c:pt idx="928">
                  <c:v>7.111730000000005E-2</c:v>
                </c:pt>
                <c:pt idx="929">
                  <c:v>6.8974699999999972E-2</c:v>
                </c:pt>
                <c:pt idx="930">
                  <c:v>6.8974699999999972E-2</c:v>
                </c:pt>
                <c:pt idx="931">
                  <c:v>6.8561899999999981E-2</c:v>
                </c:pt>
                <c:pt idx="932">
                  <c:v>6.7808749999999987E-2</c:v>
                </c:pt>
                <c:pt idx="933">
                  <c:v>6.7446349999999988E-2</c:v>
                </c:pt>
                <c:pt idx="934">
                  <c:v>6.6968399999999983E-2</c:v>
                </c:pt>
                <c:pt idx="935">
                  <c:v>6.6630349999999963E-2</c:v>
                </c:pt>
                <c:pt idx="936">
                  <c:v>6.4800449999999982E-2</c:v>
                </c:pt>
                <c:pt idx="937">
                  <c:v>6.4170899999999975E-2</c:v>
                </c:pt>
                <c:pt idx="938">
                  <c:v>6.4206799999999981E-2</c:v>
                </c:pt>
                <c:pt idx="939">
                  <c:v>6.4255300000000001E-2</c:v>
                </c:pt>
                <c:pt idx="940">
                  <c:v>6.4255300000000001E-2</c:v>
                </c:pt>
                <c:pt idx="941">
                  <c:v>6.4332050000000016E-2</c:v>
                </c:pt>
                <c:pt idx="942">
                  <c:v>6.4322050000000006E-2</c:v>
                </c:pt>
                <c:pt idx="943">
                  <c:v>6.4375450000000015E-2</c:v>
                </c:pt>
                <c:pt idx="944">
                  <c:v>6.4346250000000008E-2</c:v>
                </c:pt>
                <c:pt idx="945">
                  <c:v>6.4774750000000034E-2</c:v>
                </c:pt>
                <c:pt idx="946">
                  <c:v>6.482515000000004E-2</c:v>
                </c:pt>
                <c:pt idx="947">
                  <c:v>6.5711800000000042E-2</c:v>
                </c:pt>
                <c:pt idx="948">
                  <c:v>6.7074300000000073E-2</c:v>
                </c:pt>
                <c:pt idx="949">
                  <c:v>6.7602850000000048E-2</c:v>
                </c:pt>
                <c:pt idx="950">
                  <c:v>6.8082749999999997E-2</c:v>
                </c:pt>
                <c:pt idx="951">
                  <c:v>6.8323849999999978E-2</c:v>
                </c:pt>
                <c:pt idx="952">
                  <c:v>6.834599999999999E-2</c:v>
                </c:pt>
                <c:pt idx="953">
                  <c:v>6.8313449999999984E-2</c:v>
                </c:pt>
                <c:pt idx="954">
                  <c:v>6.8315599999999976E-2</c:v>
                </c:pt>
                <c:pt idx="955">
                  <c:v>6.824029999999999E-2</c:v>
                </c:pt>
                <c:pt idx="956">
                  <c:v>6.8160849999999995E-2</c:v>
                </c:pt>
                <c:pt idx="957">
                  <c:v>6.8025600000000006E-2</c:v>
                </c:pt>
                <c:pt idx="958">
                  <c:v>6.8028900000000003E-2</c:v>
                </c:pt>
                <c:pt idx="959">
                  <c:v>6.8106050000000001E-2</c:v>
                </c:pt>
                <c:pt idx="960">
                  <c:v>6.8106550000000002E-2</c:v>
                </c:pt>
                <c:pt idx="961">
                  <c:v>6.7725500000000022E-2</c:v>
                </c:pt>
                <c:pt idx="962">
                  <c:v>6.6042899999999974E-2</c:v>
                </c:pt>
                <c:pt idx="963">
                  <c:v>6.5701949999999995E-2</c:v>
                </c:pt>
                <c:pt idx="964">
                  <c:v>6.3915950000000027E-2</c:v>
                </c:pt>
                <c:pt idx="965">
                  <c:v>6.2885450000000009E-2</c:v>
                </c:pt>
                <c:pt idx="966">
                  <c:v>6.2697450000000016E-2</c:v>
                </c:pt>
                <c:pt idx="967">
                  <c:v>6.2235500000000006E-2</c:v>
                </c:pt>
                <c:pt idx="968">
                  <c:v>6.1230599999999982E-2</c:v>
                </c:pt>
                <c:pt idx="969">
                  <c:v>5.9372999999999995E-2</c:v>
                </c:pt>
                <c:pt idx="970">
                  <c:v>5.781435E-2</c:v>
                </c:pt>
                <c:pt idx="971">
                  <c:v>5.5817849999999981E-2</c:v>
                </c:pt>
                <c:pt idx="972">
                  <c:v>5.5425049999999997E-2</c:v>
                </c:pt>
                <c:pt idx="973">
                  <c:v>5.5189999999999975E-2</c:v>
                </c:pt>
                <c:pt idx="974">
                  <c:v>5.3824000000000004E-2</c:v>
                </c:pt>
                <c:pt idx="975">
                  <c:v>5.3382450000000012E-2</c:v>
                </c:pt>
                <c:pt idx="976">
                  <c:v>5.3219350000000019E-2</c:v>
                </c:pt>
                <c:pt idx="977">
                  <c:v>5.5161149999999957E-2</c:v>
                </c:pt>
                <c:pt idx="978">
                  <c:v>5.6997550000000008E-2</c:v>
                </c:pt>
                <c:pt idx="979">
                  <c:v>5.8954450000000047E-2</c:v>
                </c:pt>
                <c:pt idx="980">
                  <c:v>6.0469550000000039E-2</c:v>
                </c:pt>
                <c:pt idx="981">
                  <c:v>6.0469550000000039E-2</c:v>
                </c:pt>
                <c:pt idx="982">
                  <c:v>6.1735100000000057E-2</c:v>
                </c:pt>
                <c:pt idx="983">
                  <c:v>6.1950100000000043E-2</c:v>
                </c:pt>
                <c:pt idx="984">
                  <c:v>6.1819100000000002E-2</c:v>
                </c:pt>
                <c:pt idx="985">
                  <c:v>6.1566649999999959E-2</c:v>
                </c:pt>
                <c:pt idx="986">
                  <c:v>6.0313850000000023E-2</c:v>
                </c:pt>
                <c:pt idx="987">
                  <c:v>5.8881200000000036E-2</c:v>
                </c:pt>
                <c:pt idx="988">
                  <c:v>5.8833050000000046E-2</c:v>
                </c:pt>
                <c:pt idx="989">
                  <c:v>5.7928399999999998E-2</c:v>
                </c:pt>
                <c:pt idx="990">
                  <c:v>5.7711700000000005E-2</c:v>
                </c:pt>
                <c:pt idx="991">
                  <c:v>5.6202749999999989E-2</c:v>
                </c:pt>
                <c:pt idx="992">
                  <c:v>5.6221150000000011E-2</c:v>
                </c:pt>
                <c:pt idx="993">
                  <c:v>5.5976400000000009E-2</c:v>
                </c:pt>
                <c:pt idx="994">
                  <c:v>5.5976400000000009E-2</c:v>
                </c:pt>
                <c:pt idx="995">
                  <c:v>5.593745E-2</c:v>
                </c:pt>
                <c:pt idx="996">
                  <c:v>5.5586599999999972E-2</c:v>
                </c:pt>
                <c:pt idx="997">
                  <c:v>5.5527899999999963E-2</c:v>
                </c:pt>
                <c:pt idx="998">
                  <c:v>5.5517999999999956E-2</c:v>
                </c:pt>
                <c:pt idx="999">
                  <c:v>5.5488349999999957E-2</c:v>
                </c:pt>
                <c:pt idx="1000">
                  <c:v>5.541264999999998E-2</c:v>
                </c:pt>
                <c:pt idx="1001">
                  <c:v>5.49054E-2</c:v>
                </c:pt>
                <c:pt idx="1002">
                  <c:v>5.4869050000000016E-2</c:v>
                </c:pt>
                <c:pt idx="1003">
                  <c:v>5.4963149999999988E-2</c:v>
                </c:pt>
                <c:pt idx="1004">
                  <c:v>5.4970449999999997E-2</c:v>
                </c:pt>
                <c:pt idx="1005">
                  <c:v>5.4472699999999985E-2</c:v>
                </c:pt>
                <c:pt idx="1006">
                  <c:v>5.4506704999999996E-2</c:v>
                </c:pt>
                <c:pt idx="1007">
                  <c:v>5.4643645000000005E-2</c:v>
                </c:pt>
                <c:pt idx="1008">
                  <c:v>5.4737105000000022E-2</c:v>
                </c:pt>
                <c:pt idx="1009">
                  <c:v>5.4755294999999995E-2</c:v>
                </c:pt>
                <c:pt idx="1010">
                  <c:v>5.4755530000000004E-2</c:v>
                </c:pt>
                <c:pt idx="1011">
                  <c:v>5.4755530000000004E-2</c:v>
                </c:pt>
                <c:pt idx="1012">
                  <c:v>5.4751090000000023E-2</c:v>
                </c:pt>
                <c:pt idx="1013">
                  <c:v>5.4518514999999983E-2</c:v>
                </c:pt>
                <c:pt idx="1014">
                  <c:v>5.4118579999999999E-2</c:v>
                </c:pt>
                <c:pt idx="1015">
                  <c:v>5.2908400000000022E-2</c:v>
                </c:pt>
                <c:pt idx="1016">
                  <c:v>5.269355000000002E-2</c:v>
                </c:pt>
                <c:pt idx="1017">
                  <c:v>5.2493560000000022E-2</c:v>
                </c:pt>
                <c:pt idx="1018">
                  <c:v>5.1905654999999981E-2</c:v>
                </c:pt>
                <c:pt idx="1019">
                  <c:v>5.1277524999999935E-2</c:v>
                </c:pt>
                <c:pt idx="1020">
                  <c:v>5.0451579999999968E-2</c:v>
                </c:pt>
                <c:pt idx="1021">
                  <c:v>5.025915999999999E-2</c:v>
                </c:pt>
                <c:pt idx="1022">
                  <c:v>5.0212619999999993E-2</c:v>
                </c:pt>
                <c:pt idx="1023">
                  <c:v>4.9839924999999993E-2</c:v>
                </c:pt>
                <c:pt idx="1024">
                  <c:v>4.9577599999999993E-2</c:v>
                </c:pt>
                <c:pt idx="1025">
                  <c:v>4.9369774999999984E-2</c:v>
                </c:pt>
                <c:pt idx="1026">
                  <c:v>4.7923609999999985E-2</c:v>
                </c:pt>
                <c:pt idx="1027">
                  <c:v>4.7916619999999986E-2</c:v>
                </c:pt>
                <c:pt idx="1028">
                  <c:v>4.7893089999999985E-2</c:v>
                </c:pt>
                <c:pt idx="1029">
                  <c:v>4.7918094999999987E-2</c:v>
                </c:pt>
                <c:pt idx="1030">
                  <c:v>4.7954594999999996E-2</c:v>
                </c:pt>
                <c:pt idx="1031">
                  <c:v>4.8304124999999969E-2</c:v>
                </c:pt>
                <c:pt idx="1032">
                  <c:v>4.9353754999999992E-2</c:v>
                </c:pt>
                <c:pt idx="1033">
                  <c:v>4.9353754999999992E-2</c:v>
                </c:pt>
                <c:pt idx="1034">
                  <c:v>4.9363669999999998E-2</c:v>
                </c:pt>
                <c:pt idx="1035">
                  <c:v>4.9376585000000001E-2</c:v>
                </c:pt>
                <c:pt idx="1036">
                  <c:v>4.9376585000000001E-2</c:v>
                </c:pt>
                <c:pt idx="1037">
                  <c:v>4.9394299999999988E-2</c:v>
                </c:pt>
                <c:pt idx="1038">
                  <c:v>4.9484714999999985E-2</c:v>
                </c:pt>
                <c:pt idx="1039">
                  <c:v>4.9874455000000005E-2</c:v>
                </c:pt>
                <c:pt idx="1040">
                  <c:v>5.0211335000000031E-2</c:v>
                </c:pt>
                <c:pt idx="1041">
                  <c:v>5.0327295000000029E-2</c:v>
                </c:pt>
                <c:pt idx="1042">
                  <c:v>5.073539500000001E-2</c:v>
                </c:pt>
                <c:pt idx="1043">
                  <c:v>5.0754530000000013E-2</c:v>
                </c:pt>
                <c:pt idx="1044">
                  <c:v>5.0760485000000008E-2</c:v>
                </c:pt>
                <c:pt idx="1045">
                  <c:v>5.0778860000000002E-2</c:v>
                </c:pt>
                <c:pt idx="1046">
                  <c:v>5.0999780000000022E-2</c:v>
                </c:pt>
                <c:pt idx="1047">
                  <c:v>5.0999780000000022E-2</c:v>
                </c:pt>
                <c:pt idx="1048">
                  <c:v>5.1100485000000001E-2</c:v>
                </c:pt>
                <c:pt idx="1049">
                  <c:v>5.1028705000000042E-2</c:v>
                </c:pt>
                <c:pt idx="1050">
                  <c:v>5.0973580000000025E-2</c:v>
                </c:pt>
                <c:pt idx="1051">
                  <c:v>5.0650630000000002E-2</c:v>
                </c:pt>
                <c:pt idx="1052">
                  <c:v>5.0628380000000001E-2</c:v>
                </c:pt>
                <c:pt idx="1053">
                  <c:v>5.065215E-2</c:v>
                </c:pt>
                <c:pt idx="1054">
                  <c:v>5.0680660000000016E-2</c:v>
                </c:pt>
                <c:pt idx="1055">
                  <c:v>5.0680660000000016E-2</c:v>
                </c:pt>
                <c:pt idx="1056">
                  <c:v>5.0688820000000009E-2</c:v>
                </c:pt>
                <c:pt idx="1057">
                  <c:v>5.0688820000000009E-2</c:v>
                </c:pt>
                <c:pt idx="1058">
                  <c:v>5.0743129999999997E-2</c:v>
                </c:pt>
                <c:pt idx="1059">
                  <c:v>5.0765169999999998E-2</c:v>
                </c:pt>
                <c:pt idx="1060">
                  <c:v>4.9777244999999991E-2</c:v>
                </c:pt>
                <c:pt idx="1061">
                  <c:v>4.9580269999999996E-2</c:v>
                </c:pt>
                <c:pt idx="1062">
                  <c:v>4.9281899999999997E-2</c:v>
                </c:pt>
                <c:pt idx="1063">
                  <c:v>4.8971625000000005E-2</c:v>
                </c:pt>
                <c:pt idx="1064">
                  <c:v>4.8770170000000015E-2</c:v>
                </c:pt>
                <c:pt idx="1065">
                  <c:v>4.8687225000000015E-2</c:v>
                </c:pt>
                <c:pt idx="1066">
                  <c:v>4.7804755000000011E-2</c:v>
                </c:pt>
                <c:pt idx="1067">
                  <c:v>4.7649545000000015E-2</c:v>
                </c:pt>
                <c:pt idx="1068">
                  <c:v>4.7619625000000013E-2</c:v>
                </c:pt>
                <c:pt idx="1069">
                  <c:v>4.7479965000000013E-2</c:v>
                </c:pt>
                <c:pt idx="1070">
                  <c:v>4.6447849999999985E-2</c:v>
                </c:pt>
                <c:pt idx="1071">
                  <c:v>4.6236454999999996E-2</c:v>
                </c:pt>
                <c:pt idx="1072">
                  <c:v>4.6140174999999999E-2</c:v>
                </c:pt>
                <c:pt idx="1073">
                  <c:v>4.5426810000000047E-2</c:v>
                </c:pt>
                <c:pt idx="1074">
                  <c:v>4.5367425000000051E-2</c:v>
                </c:pt>
                <c:pt idx="1075">
                  <c:v>4.5480054999999991E-2</c:v>
                </c:pt>
                <c:pt idx="1076">
                  <c:v>4.5480899999999991E-2</c:v>
                </c:pt>
                <c:pt idx="1077">
                  <c:v>4.5437975000000012E-2</c:v>
                </c:pt>
                <c:pt idx="1078">
                  <c:v>4.5437975000000012E-2</c:v>
                </c:pt>
                <c:pt idx="1079">
                  <c:v>4.5429970000000007E-2</c:v>
                </c:pt>
                <c:pt idx="1080">
                  <c:v>4.5429970000000007E-2</c:v>
                </c:pt>
                <c:pt idx="1081">
                  <c:v>4.5381459999999992E-2</c:v>
                </c:pt>
                <c:pt idx="1082">
                  <c:v>4.5381459999999992E-2</c:v>
                </c:pt>
                <c:pt idx="1083">
                  <c:v>4.5288720000000005E-2</c:v>
                </c:pt>
                <c:pt idx="1084">
                  <c:v>4.5202390000000002E-2</c:v>
                </c:pt>
                <c:pt idx="1085">
                  <c:v>4.5308105000000001E-2</c:v>
                </c:pt>
                <c:pt idx="1086">
                  <c:v>4.614783499999997E-2</c:v>
                </c:pt>
                <c:pt idx="1087">
                  <c:v>4.6398069999999993E-2</c:v>
                </c:pt>
                <c:pt idx="1088">
                  <c:v>4.6941779999999975E-2</c:v>
                </c:pt>
                <c:pt idx="1089">
                  <c:v>4.7440834999999994E-2</c:v>
                </c:pt>
                <c:pt idx="1090">
                  <c:v>4.799825000000002E-2</c:v>
                </c:pt>
                <c:pt idx="1091">
                  <c:v>4.8250234999999995E-2</c:v>
                </c:pt>
                <c:pt idx="1092">
                  <c:v>4.8560284999999988E-2</c:v>
                </c:pt>
                <c:pt idx="1093">
                  <c:v>4.860072E-2</c:v>
                </c:pt>
                <c:pt idx="1094">
                  <c:v>4.8641905000000006E-2</c:v>
                </c:pt>
                <c:pt idx="1095">
                  <c:v>4.8874224999999993E-2</c:v>
                </c:pt>
                <c:pt idx="1096">
                  <c:v>4.8957119999999986E-2</c:v>
                </c:pt>
                <c:pt idx="1097">
                  <c:v>4.9057829999999976E-2</c:v>
                </c:pt>
                <c:pt idx="1098">
                  <c:v>4.918154999999997E-2</c:v>
                </c:pt>
                <c:pt idx="1099">
                  <c:v>4.9507710000000031E-2</c:v>
                </c:pt>
                <c:pt idx="1100">
                  <c:v>4.9507710000000031E-2</c:v>
                </c:pt>
                <c:pt idx="1101">
                  <c:v>4.9507710000000031E-2</c:v>
                </c:pt>
                <c:pt idx="1102">
                  <c:v>4.9540805000000049E-2</c:v>
                </c:pt>
                <c:pt idx="1103">
                  <c:v>4.9540805000000049E-2</c:v>
                </c:pt>
                <c:pt idx="1104">
                  <c:v>4.9545205000000037E-2</c:v>
                </c:pt>
                <c:pt idx="1105">
                  <c:v>4.9528340000000039E-2</c:v>
                </c:pt>
                <c:pt idx="1106">
                  <c:v>4.9528340000000039E-2</c:v>
                </c:pt>
                <c:pt idx="1107">
                  <c:v>4.9530365000000035E-2</c:v>
                </c:pt>
                <c:pt idx="1108">
                  <c:v>4.9526725000000021E-2</c:v>
                </c:pt>
                <c:pt idx="1109">
                  <c:v>4.9495975000000018E-2</c:v>
                </c:pt>
                <c:pt idx="1110">
                  <c:v>4.9495975000000018E-2</c:v>
                </c:pt>
                <c:pt idx="1111">
                  <c:v>4.9495975000000018E-2</c:v>
                </c:pt>
                <c:pt idx="1112">
                  <c:v>4.9486210000000017E-2</c:v>
                </c:pt>
                <c:pt idx="1113">
                  <c:v>4.9486210000000017E-2</c:v>
                </c:pt>
                <c:pt idx="1114">
                  <c:v>4.9434705000000016E-2</c:v>
                </c:pt>
                <c:pt idx="1115">
                  <c:v>4.8661975000000003E-2</c:v>
                </c:pt>
                <c:pt idx="1116">
                  <c:v>4.8643889999999995E-2</c:v>
                </c:pt>
                <c:pt idx="1117">
                  <c:v>4.8080460000000019E-2</c:v>
                </c:pt>
                <c:pt idx="1118">
                  <c:v>4.8063975000000009E-2</c:v>
                </c:pt>
                <c:pt idx="1119">
                  <c:v>4.8063975000000009E-2</c:v>
                </c:pt>
                <c:pt idx="1120">
                  <c:v>4.8045000000000018E-2</c:v>
                </c:pt>
                <c:pt idx="1121">
                  <c:v>4.8045000000000018E-2</c:v>
                </c:pt>
                <c:pt idx="1122">
                  <c:v>4.8045595000000017E-2</c:v>
                </c:pt>
                <c:pt idx="1123">
                  <c:v>4.8046375000000016E-2</c:v>
                </c:pt>
                <c:pt idx="1124">
                  <c:v>4.8216160000000008E-2</c:v>
                </c:pt>
                <c:pt idx="1125">
                  <c:v>4.8283169999999986E-2</c:v>
                </c:pt>
                <c:pt idx="1126">
                  <c:v>4.830009499999998E-2</c:v>
                </c:pt>
                <c:pt idx="1127">
                  <c:v>4.8369924999999994E-2</c:v>
                </c:pt>
                <c:pt idx="1128">
                  <c:v>4.8589229999999997E-2</c:v>
                </c:pt>
                <c:pt idx="1129">
                  <c:v>4.8655155000000019E-2</c:v>
                </c:pt>
                <c:pt idx="1130">
                  <c:v>4.8655155000000019E-2</c:v>
                </c:pt>
                <c:pt idx="1131">
                  <c:v>4.8791689999999999E-2</c:v>
                </c:pt>
                <c:pt idx="1132">
                  <c:v>4.9086119999999997E-2</c:v>
                </c:pt>
                <c:pt idx="1133">
                  <c:v>4.9126994999999979E-2</c:v>
                </c:pt>
                <c:pt idx="1134">
                  <c:v>4.9043509999999978E-2</c:v>
                </c:pt>
                <c:pt idx="1135">
                  <c:v>4.8677349999999973E-2</c:v>
                </c:pt>
                <c:pt idx="1136">
                  <c:v>4.8601469999999987E-2</c:v>
                </c:pt>
                <c:pt idx="1137">
                  <c:v>4.8581100000000002E-2</c:v>
                </c:pt>
                <c:pt idx="1138">
                  <c:v>4.857794499999999E-2</c:v>
                </c:pt>
                <c:pt idx="1139">
                  <c:v>4.857794499999999E-2</c:v>
                </c:pt>
                <c:pt idx="1140">
                  <c:v>4.8553399999999997E-2</c:v>
                </c:pt>
                <c:pt idx="1141">
                  <c:v>4.8542589999999997E-2</c:v>
                </c:pt>
                <c:pt idx="1142">
                  <c:v>4.8542589999999997E-2</c:v>
                </c:pt>
                <c:pt idx="1143">
                  <c:v>4.8501264999999988E-2</c:v>
                </c:pt>
                <c:pt idx="1144">
                  <c:v>4.8483864999999994E-2</c:v>
                </c:pt>
                <c:pt idx="1145">
                  <c:v>4.8343504999999995E-2</c:v>
                </c:pt>
                <c:pt idx="1146">
                  <c:v>4.814949000000001E-2</c:v>
                </c:pt>
                <c:pt idx="1147">
                  <c:v>4.7950795000000018E-2</c:v>
                </c:pt>
                <c:pt idx="1148">
                  <c:v>4.7905805000000017E-2</c:v>
                </c:pt>
                <c:pt idx="1149">
                  <c:v>4.7877900000000029E-2</c:v>
                </c:pt>
                <c:pt idx="1150">
                  <c:v>4.7492605000000007E-2</c:v>
                </c:pt>
                <c:pt idx="1151">
                  <c:v>4.7279645000000009E-2</c:v>
                </c:pt>
                <c:pt idx="1152">
                  <c:v>4.6842684999999981E-2</c:v>
                </c:pt>
                <c:pt idx="1153">
                  <c:v>4.6039035000000006E-2</c:v>
                </c:pt>
                <c:pt idx="1154">
                  <c:v>4.5979275000000007E-2</c:v>
                </c:pt>
                <c:pt idx="1155">
                  <c:v>4.5856575000000017E-2</c:v>
                </c:pt>
                <c:pt idx="1156">
                  <c:v>4.5635369999999995E-2</c:v>
                </c:pt>
                <c:pt idx="1157">
                  <c:v>4.5515289999999979E-2</c:v>
                </c:pt>
                <c:pt idx="1158">
                  <c:v>4.5423774999999965E-2</c:v>
                </c:pt>
                <c:pt idx="1159">
                  <c:v>4.538727499999997E-2</c:v>
                </c:pt>
                <c:pt idx="1160">
                  <c:v>4.538727499999997E-2</c:v>
                </c:pt>
                <c:pt idx="1161">
                  <c:v>4.5235064999999963E-2</c:v>
                </c:pt>
                <c:pt idx="1162">
                  <c:v>4.5163544999999958E-2</c:v>
                </c:pt>
                <c:pt idx="1163">
                  <c:v>4.5087534999999949E-2</c:v>
                </c:pt>
                <c:pt idx="1164">
                  <c:v>4.5082029999999967E-2</c:v>
                </c:pt>
                <c:pt idx="1165">
                  <c:v>4.505768999999997E-2</c:v>
                </c:pt>
                <c:pt idx="1166">
                  <c:v>4.4992214999999974E-2</c:v>
                </c:pt>
                <c:pt idx="1167">
                  <c:v>4.4954185000000008E-2</c:v>
                </c:pt>
                <c:pt idx="1168">
                  <c:v>4.4804484999999998E-2</c:v>
                </c:pt>
                <c:pt idx="1169">
                  <c:v>4.4804484999999998E-2</c:v>
                </c:pt>
                <c:pt idx="1170">
                  <c:v>4.4804484999999998E-2</c:v>
                </c:pt>
                <c:pt idx="1171">
                  <c:v>4.4750110000000003E-2</c:v>
                </c:pt>
                <c:pt idx="1172">
                  <c:v>4.4623629999999997E-2</c:v>
                </c:pt>
                <c:pt idx="1173">
                  <c:v>4.4452234999999993E-2</c:v>
                </c:pt>
                <c:pt idx="1174">
                  <c:v>4.443246499999999E-2</c:v>
                </c:pt>
                <c:pt idx="1175">
                  <c:v>4.3955734999999975E-2</c:v>
                </c:pt>
                <c:pt idx="1176">
                  <c:v>4.2698614999999968E-2</c:v>
                </c:pt>
                <c:pt idx="1177">
                  <c:v>4.2378929999999967E-2</c:v>
                </c:pt>
                <c:pt idx="1178">
                  <c:v>4.2378929999999967E-2</c:v>
                </c:pt>
                <c:pt idx="1179">
                  <c:v>4.2209994999999959E-2</c:v>
                </c:pt>
                <c:pt idx="1180">
                  <c:v>4.1509119999999962E-2</c:v>
                </c:pt>
                <c:pt idx="1181">
                  <c:v>4.1150309999999975E-2</c:v>
                </c:pt>
                <c:pt idx="1182">
                  <c:v>4.1150309999999975E-2</c:v>
                </c:pt>
                <c:pt idx="1183">
                  <c:v>4.1150309999999975E-2</c:v>
                </c:pt>
                <c:pt idx="1184">
                  <c:v>4.0912529999999968E-2</c:v>
                </c:pt>
                <c:pt idx="1185">
                  <c:v>4.0762724999999979E-2</c:v>
                </c:pt>
                <c:pt idx="1186">
                  <c:v>4.0625459999999981E-2</c:v>
                </c:pt>
                <c:pt idx="1187">
                  <c:v>3.9637715000000018E-2</c:v>
                </c:pt>
                <c:pt idx="1188">
                  <c:v>3.9308615000000019E-2</c:v>
                </c:pt>
                <c:pt idx="1189">
                  <c:v>3.8514375000000017E-2</c:v>
                </c:pt>
                <c:pt idx="1190">
                  <c:v>3.8009035000000024E-2</c:v>
                </c:pt>
                <c:pt idx="1191">
                  <c:v>3.789086500000003E-2</c:v>
                </c:pt>
                <c:pt idx="1192">
                  <c:v>3.7755245000000021E-2</c:v>
                </c:pt>
                <c:pt idx="1193">
                  <c:v>3.7696825000000017E-2</c:v>
                </c:pt>
                <c:pt idx="1194">
                  <c:v>3.74344E-2</c:v>
                </c:pt>
                <c:pt idx="1195">
                  <c:v>3.7429730000000015E-2</c:v>
                </c:pt>
                <c:pt idx="1196">
                  <c:v>3.7637790000000011E-2</c:v>
                </c:pt>
                <c:pt idx="1197">
                  <c:v>3.7668755000000012E-2</c:v>
                </c:pt>
                <c:pt idx="1198">
                  <c:v>3.7664310000000013E-2</c:v>
                </c:pt>
                <c:pt idx="1199">
                  <c:v>3.7766770000000012E-2</c:v>
                </c:pt>
                <c:pt idx="1200">
                  <c:v>3.8173985000000014E-2</c:v>
                </c:pt>
                <c:pt idx="1201">
                  <c:v>4.0127500000000003E-2</c:v>
                </c:pt>
                <c:pt idx="1202">
                  <c:v>4.0573575000000008E-2</c:v>
                </c:pt>
                <c:pt idx="1203">
                  <c:v>4.0911160000000002E-2</c:v>
                </c:pt>
                <c:pt idx="1204">
                  <c:v>4.0965425000000007E-2</c:v>
                </c:pt>
                <c:pt idx="1205">
                  <c:v>4.1533230000000011E-2</c:v>
                </c:pt>
                <c:pt idx="1206">
                  <c:v>4.1567560000000017E-2</c:v>
                </c:pt>
                <c:pt idx="1207">
                  <c:v>4.1661690000000008E-2</c:v>
                </c:pt>
                <c:pt idx="1208">
                  <c:v>4.176682000000001E-2</c:v>
                </c:pt>
                <c:pt idx="1209">
                  <c:v>4.1839824999999997E-2</c:v>
                </c:pt>
                <c:pt idx="1210">
                  <c:v>4.2143010000000022E-2</c:v>
                </c:pt>
                <c:pt idx="1211">
                  <c:v>4.2143010000000022E-2</c:v>
                </c:pt>
                <c:pt idx="1212">
                  <c:v>4.2222530000000029E-2</c:v>
                </c:pt>
                <c:pt idx="1213">
                  <c:v>4.2222530000000029E-2</c:v>
                </c:pt>
                <c:pt idx="1214">
                  <c:v>4.2301820000000018E-2</c:v>
                </c:pt>
                <c:pt idx="1215">
                  <c:v>4.2301820000000018E-2</c:v>
                </c:pt>
                <c:pt idx="1216">
                  <c:v>4.2301820000000018E-2</c:v>
                </c:pt>
                <c:pt idx="1217">
                  <c:v>4.2602649999999992E-2</c:v>
                </c:pt>
                <c:pt idx="1218">
                  <c:v>4.2755130000000016E-2</c:v>
                </c:pt>
                <c:pt idx="1219">
                  <c:v>4.3024215000000011E-2</c:v>
                </c:pt>
                <c:pt idx="1220">
                  <c:v>4.3499850000000014E-2</c:v>
                </c:pt>
                <c:pt idx="1221">
                  <c:v>4.3537805000000013E-2</c:v>
                </c:pt>
                <c:pt idx="1222">
                  <c:v>4.3537805000000013E-2</c:v>
                </c:pt>
                <c:pt idx="1223">
                  <c:v>4.3537805000000013E-2</c:v>
                </c:pt>
                <c:pt idx="1224">
                  <c:v>4.3800075000000022E-2</c:v>
                </c:pt>
                <c:pt idx="1225">
                  <c:v>4.3974925000000019E-2</c:v>
                </c:pt>
                <c:pt idx="1226">
                  <c:v>4.4077970000000015E-2</c:v>
                </c:pt>
                <c:pt idx="1227">
                  <c:v>4.4112229999999995E-2</c:v>
                </c:pt>
                <c:pt idx="1228">
                  <c:v>4.4113314999999986E-2</c:v>
                </c:pt>
                <c:pt idx="1229">
                  <c:v>4.4128624999999977E-2</c:v>
                </c:pt>
                <c:pt idx="1230">
                  <c:v>4.4162614999999975E-2</c:v>
                </c:pt>
                <c:pt idx="1231">
                  <c:v>4.4149779999999972E-2</c:v>
                </c:pt>
                <c:pt idx="1232">
                  <c:v>4.4167044999999981E-2</c:v>
                </c:pt>
                <c:pt idx="1233">
                  <c:v>4.4272550000000008E-2</c:v>
                </c:pt>
                <c:pt idx="1234">
                  <c:v>4.4572045000000005E-2</c:v>
                </c:pt>
                <c:pt idx="1235">
                  <c:v>4.4582985000000006E-2</c:v>
                </c:pt>
                <c:pt idx="1236">
                  <c:v>4.4582985000000006E-2</c:v>
                </c:pt>
                <c:pt idx="1237">
                  <c:v>4.4582985000000006E-2</c:v>
                </c:pt>
                <c:pt idx="1238">
                  <c:v>4.4546975000000003E-2</c:v>
                </c:pt>
                <c:pt idx="1239">
                  <c:v>4.4546975000000003E-2</c:v>
                </c:pt>
                <c:pt idx="1240">
                  <c:v>4.4417099999999987E-2</c:v>
                </c:pt>
                <c:pt idx="1241">
                  <c:v>4.4417099999999987E-2</c:v>
                </c:pt>
                <c:pt idx="1242">
                  <c:v>4.4407954999999999E-2</c:v>
                </c:pt>
                <c:pt idx="1243">
                  <c:v>4.438433E-2</c:v>
                </c:pt>
                <c:pt idx="1244">
                  <c:v>4.4334775000000014E-2</c:v>
                </c:pt>
                <c:pt idx="1245">
                  <c:v>4.4334775000000014E-2</c:v>
                </c:pt>
                <c:pt idx="1246">
                  <c:v>4.4306095000000018E-2</c:v>
                </c:pt>
                <c:pt idx="1247">
                  <c:v>4.429219500000002E-2</c:v>
                </c:pt>
                <c:pt idx="1248">
                  <c:v>4.4274310000000018E-2</c:v>
                </c:pt>
                <c:pt idx="1249">
                  <c:v>4.4274310000000018E-2</c:v>
                </c:pt>
                <c:pt idx="1250">
                  <c:v>4.4144900000000015E-2</c:v>
                </c:pt>
                <c:pt idx="1251">
                  <c:v>4.4109435000000016E-2</c:v>
                </c:pt>
                <c:pt idx="1252">
                  <c:v>4.4083630000000013E-2</c:v>
                </c:pt>
                <c:pt idx="1253">
                  <c:v>4.3707389999999985E-2</c:v>
                </c:pt>
                <c:pt idx="1254">
                  <c:v>4.3491149999999985E-2</c:v>
                </c:pt>
                <c:pt idx="1255">
                  <c:v>4.3307564999999985E-2</c:v>
                </c:pt>
                <c:pt idx="1256">
                  <c:v>4.3251160000000004E-2</c:v>
                </c:pt>
                <c:pt idx="1257">
                  <c:v>4.3251160000000004E-2</c:v>
                </c:pt>
                <c:pt idx="1258">
                  <c:v>4.2862235000000019E-2</c:v>
                </c:pt>
                <c:pt idx="1259">
                  <c:v>4.2416735000000004E-2</c:v>
                </c:pt>
                <c:pt idx="1260">
                  <c:v>4.2089504999999985E-2</c:v>
                </c:pt>
                <c:pt idx="1261">
                  <c:v>4.2003574999999987E-2</c:v>
                </c:pt>
                <c:pt idx="1262">
                  <c:v>4.1953549999999985E-2</c:v>
                </c:pt>
                <c:pt idx="1263">
                  <c:v>4.1773109999999995E-2</c:v>
                </c:pt>
                <c:pt idx="1264">
                  <c:v>4.1750884999999995E-2</c:v>
                </c:pt>
                <c:pt idx="1265">
                  <c:v>4.1585334999999987E-2</c:v>
                </c:pt>
                <c:pt idx="1266">
                  <c:v>4.1541309999999998E-2</c:v>
                </c:pt>
                <c:pt idx="1267">
                  <c:v>4.1516984999999992E-2</c:v>
                </c:pt>
                <c:pt idx="1268">
                  <c:v>4.1492380000000002E-2</c:v>
                </c:pt>
                <c:pt idx="1269">
                  <c:v>4.1485044999999998E-2</c:v>
                </c:pt>
                <c:pt idx="1270">
                  <c:v>4.1480219999999991E-2</c:v>
                </c:pt>
                <c:pt idx="1271">
                  <c:v>4.1464170000000002E-2</c:v>
                </c:pt>
                <c:pt idx="1272">
                  <c:v>4.1454910000000005E-2</c:v>
                </c:pt>
                <c:pt idx="1273">
                  <c:v>4.1446470000000006E-2</c:v>
                </c:pt>
                <c:pt idx="1274">
                  <c:v>4.1420650000000003E-2</c:v>
                </c:pt>
                <c:pt idx="1275">
                  <c:v>4.1401930000000003E-2</c:v>
                </c:pt>
                <c:pt idx="1276">
                  <c:v>4.1320884999999981E-2</c:v>
                </c:pt>
                <c:pt idx="1277">
                  <c:v>4.1247490000000005E-2</c:v>
                </c:pt>
                <c:pt idx="1278">
                  <c:v>4.1234775000000008E-2</c:v>
                </c:pt>
                <c:pt idx="1279">
                  <c:v>4.120998E-2</c:v>
                </c:pt>
                <c:pt idx="1280">
                  <c:v>4.1194564999999989E-2</c:v>
                </c:pt>
                <c:pt idx="1281">
                  <c:v>4.1194564999999989E-2</c:v>
                </c:pt>
                <c:pt idx="1282">
                  <c:v>4.1157145000000013E-2</c:v>
                </c:pt>
                <c:pt idx="1283">
                  <c:v>4.116259500000001E-2</c:v>
                </c:pt>
                <c:pt idx="1284">
                  <c:v>4.142336000000002E-2</c:v>
                </c:pt>
                <c:pt idx="1285">
                  <c:v>4.177166999999999E-2</c:v>
                </c:pt>
                <c:pt idx="1286">
                  <c:v>4.1832554999999993E-2</c:v>
                </c:pt>
                <c:pt idx="1287">
                  <c:v>4.2102435000000001E-2</c:v>
                </c:pt>
                <c:pt idx="1288">
                  <c:v>4.2312974999999982E-2</c:v>
                </c:pt>
                <c:pt idx="1289">
                  <c:v>4.2333554999999981E-2</c:v>
                </c:pt>
                <c:pt idx="1290">
                  <c:v>4.2361739999999981E-2</c:v>
                </c:pt>
                <c:pt idx="1291">
                  <c:v>4.2448554999999992E-2</c:v>
                </c:pt>
                <c:pt idx="1292">
                  <c:v>4.2448554999999992E-2</c:v>
                </c:pt>
                <c:pt idx="1293">
                  <c:v>4.2676204999999995E-2</c:v>
                </c:pt>
                <c:pt idx="1294">
                  <c:v>4.3013209999999982E-2</c:v>
                </c:pt>
                <c:pt idx="1295">
                  <c:v>4.3151199999999994E-2</c:v>
                </c:pt>
                <c:pt idx="1296">
                  <c:v>4.3168014999999983E-2</c:v>
                </c:pt>
                <c:pt idx="1297">
                  <c:v>4.3627729999999997E-2</c:v>
                </c:pt>
                <c:pt idx="1298">
                  <c:v>4.387095999999998E-2</c:v>
                </c:pt>
                <c:pt idx="1299">
                  <c:v>4.381568999999997E-2</c:v>
                </c:pt>
                <c:pt idx="1300">
                  <c:v>4.3758889999999974E-2</c:v>
                </c:pt>
                <c:pt idx="1301">
                  <c:v>4.373921499999997E-2</c:v>
                </c:pt>
                <c:pt idx="1302">
                  <c:v>4.3573509999999989E-2</c:v>
                </c:pt>
                <c:pt idx="1303">
                  <c:v>4.3201639999999993E-2</c:v>
                </c:pt>
                <c:pt idx="1304">
                  <c:v>4.2412050000000007E-2</c:v>
                </c:pt>
                <c:pt idx="1305">
                  <c:v>4.1387189999999997E-2</c:v>
                </c:pt>
                <c:pt idx="1306">
                  <c:v>4.0992300000000009E-2</c:v>
                </c:pt>
                <c:pt idx="1307">
                  <c:v>3.8742940000000003E-2</c:v>
                </c:pt>
                <c:pt idx="1308">
                  <c:v>3.8742940000000003E-2</c:v>
                </c:pt>
                <c:pt idx="1309">
                  <c:v>3.7976950000000002E-2</c:v>
                </c:pt>
                <c:pt idx="1310">
                  <c:v>3.7976950000000002E-2</c:v>
                </c:pt>
                <c:pt idx="1311">
                  <c:v>3.7649209999999995E-2</c:v>
                </c:pt>
                <c:pt idx="1312">
                  <c:v>3.7581484999999998E-2</c:v>
                </c:pt>
                <c:pt idx="1313">
                  <c:v>3.7508720000000009E-2</c:v>
                </c:pt>
                <c:pt idx="1314">
                  <c:v>3.7508720000000009E-2</c:v>
                </c:pt>
                <c:pt idx="1315">
                  <c:v>3.7440730000000005E-2</c:v>
                </c:pt>
                <c:pt idx="1316">
                  <c:v>3.5699994999999998E-2</c:v>
                </c:pt>
                <c:pt idx="1317">
                  <c:v>3.5560449999999993E-2</c:v>
                </c:pt>
                <c:pt idx="1318">
                  <c:v>3.4730250000000004E-2</c:v>
                </c:pt>
                <c:pt idx="1319">
                  <c:v>3.4389119999999995E-2</c:v>
                </c:pt>
                <c:pt idx="1320">
                  <c:v>3.4268259999999995E-2</c:v>
                </c:pt>
                <c:pt idx="1321">
                  <c:v>3.4149560000000002E-2</c:v>
                </c:pt>
                <c:pt idx="1322">
                  <c:v>3.3163905000000014E-2</c:v>
                </c:pt>
                <c:pt idx="1323">
                  <c:v>3.2978010000000009E-2</c:v>
                </c:pt>
                <c:pt idx="1324">
                  <c:v>3.2071719999999998E-2</c:v>
                </c:pt>
                <c:pt idx="1325">
                  <c:v>3.1839275E-2</c:v>
                </c:pt>
                <c:pt idx="1326">
                  <c:v>3.1679054999999991E-2</c:v>
                </c:pt>
                <c:pt idx="1327">
                  <c:v>3.144644499999999E-2</c:v>
                </c:pt>
                <c:pt idx="1328">
                  <c:v>3.1078864999999983E-2</c:v>
                </c:pt>
                <c:pt idx="1329">
                  <c:v>3.0756959999999989E-2</c:v>
                </c:pt>
                <c:pt idx="1330">
                  <c:v>3.0613499999999988E-2</c:v>
                </c:pt>
                <c:pt idx="1331">
                  <c:v>3.0585384999999996E-2</c:v>
                </c:pt>
                <c:pt idx="1332">
                  <c:v>3.0555869999999992E-2</c:v>
                </c:pt>
                <c:pt idx="1333">
                  <c:v>3.0526169999999991E-2</c:v>
                </c:pt>
                <c:pt idx="1334">
                  <c:v>3.0386129999999994E-2</c:v>
                </c:pt>
                <c:pt idx="1335">
                  <c:v>3.0357564999999986E-2</c:v>
                </c:pt>
                <c:pt idx="1336">
                  <c:v>3.0275404999999974E-2</c:v>
                </c:pt>
                <c:pt idx="1337">
                  <c:v>3.0188814999999973E-2</c:v>
                </c:pt>
                <c:pt idx="1338">
                  <c:v>3.0072789999999978E-2</c:v>
                </c:pt>
                <c:pt idx="1339">
                  <c:v>3.0072789999999978E-2</c:v>
                </c:pt>
                <c:pt idx="1340">
                  <c:v>2.9396009999999979E-2</c:v>
                </c:pt>
                <c:pt idx="1341">
                  <c:v>2.9396929999999974E-2</c:v>
                </c:pt>
                <c:pt idx="1342">
                  <c:v>2.9396929999999974E-2</c:v>
                </c:pt>
                <c:pt idx="1343">
                  <c:v>2.9393189999999986E-2</c:v>
                </c:pt>
                <c:pt idx="1344">
                  <c:v>2.9323840000000007E-2</c:v>
                </c:pt>
                <c:pt idx="1345">
                  <c:v>2.9318135000000013E-2</c:v>
                </c:pt>
                <c:pt idx="1346">
                  <c:v>2.9317795000000015E-2</c:v>
                </c:pt>
                <c:pt idx="1347">
                  <c:v>2.9200860000000023E-2</c:v>
                </c:pt>
                <c:pt idx="1348">
                  <c:v>2.8965480000000033E-2</c:v>
                </c:pt>
                <c:pt idx="1349">
                  <c:v>2.8948325000000039E-2</c:v>
                </c:pt>
                <c:pt idx="1350">
                  <c:v>2.8948325000000039E-2</c:v>
                </c:pt>
                <c:pt idx="1351">
                  <c:v>2.8891185000000038E-2</c:v>
                </c:pt>
                <c:pt idx="1352">
                  <c:v>2.8891185000000038E-2</c:v>
                </c:pt>
                <c:pt idx="1353">
                  <c:v>2.8816970000000032E-2</c:v>
                </c:pt>
                <c:pt idx="1354">
                  <c:v>2.880351500000003E-2</c:v>
                </c:pt>
                <c:pt idx="1355">
                  <c:v>2.880351500000003E-2</c:v>
                </c:pt>
                <c:pt idx="1356">
                  <c:v>2.8787825000000034E-2</c:v>
                </c:pt>
                <c:pt idx="1357">
                  <c:v>2.8742410000000027E-2</c:v>
                </c:pt>
                <c:pt idx="1358">
                  <c:v>2.8742410000000027E-2</c:v>
                </c:pt>
                <c:pt idx="1359">
                  <c:v>2.8720705000000023E-2</c:v>
                </c:pt>
                <c:pt idx="1360">
                  <c:v>2.8720705000000023E-2</c:v>
                </c:pt>
                <c:pt idx="1361">
                  <c:v>2.8720705000000023E-2</c:v>
                </c:pt>
                <c:pt idx="1362">
                  <c:v>2.8720705000000023E-2</c:v>
                </c:pt>
                <c:pt idx="1363">
                  <c:v>2.8720705000000023E-2</c:v>
                </c:pt>
                <c:pt idx="1364">
                  <c:v>2.8720705000000023E-2</c:v>
                </c:pt>
                <c:pt idx="1365">
                  <c:v>2.8720705000000023E-2</c:v>
                </c:pt>
                <c:pt idx="1366">
                  <c:v>2.8696960000000025E-2</c:v>
                </c:pt>
                <c:pt idx="1367">
                  <c:v>2.8621580000000021E-2</c:v>
                </c:pt>
                <c:pt idx="1368">
                  <c:v>2.846275500000001E-2</c:v>
                </c:pt>
                <c:pt idx="1369">
                  <c:v>2.846275500000001E-2</c:v>
                </c:pt>
                <c:pt idx="1370">
                  <c:v>2.846275500000001E-2</c:v>
                </c:pt>
                <c:pt idx="1371">
                  <c:v>2.8419520000000014E-2</c:v>
                </c:pt>
                <c:pt idx="1372">
                  <c:v>2.8419520000000014E-2</c:v>
                </c:pt>
                <c:pt idx="1373">
                  <c:v>2.844207E-2</c:v>
                </c:pt>
                <c:pt idx="1374">
                  <c:v>2.8535854999999999E-2</c:v>
                </c:pt>
                <c:pt idx="1375">
                  <c:v>2.8573249999999991E-2</c:v>
                </c:pt>
                <c:pt idx="1376">
                  <c:v>2.8818004999999994E-2</c:v>
                </c:pt>
                <c:pt idx="1377">
                  <c:v>2.901277E-2</c:v>
                </c:pt>
                <c:pt idx="1378">
                  <c:v>2.9396739999999998E-2</c:v>
                </c:pt>
                <c:pt idx="1379">
                  <c:v>2.9602710000000001E-2</c:v>
                </c:pt>
                <c:pt idx="1380">
                  <c:v>2.9796390000000002E-2</c:v>
                </c:pt>
                <c:pt idx="1381">
                  <c:v>2.9820289999999999E-2</c:v>
                </c:pt>
                <c:pt idx="1382">
                  <c:v>3.002247500000001E-2</c:v>
                </c:pt>
                <c:pt idx="1383">
                  <c:v>3.0235500000000012E-2</c:v>
                </c:pt>
                <c:pt idx="1384">
                  <c:v>3.0291925000000015E-2</c:v>
                </c:pt>
                <c:pt idx="1385">
                  <c:v>3.0747120000000017E-2</c:v>
                </c:pt>
                <c:pt idx="1386">
                  <c:v>3.1437945000000023E-2</c:v>
                </c:pt>
                <c:pt idx="1387">
                  <c:v>3.1602895000000027E-2</c:v>
                </c:pt>
                <c:pt idx="1388">
                  <c:v>3.2637825000000023E-2</c:v>
                </c:pt>
                <c:pt idx="1389">
                  <c:v>3.2637825000000023E-2</c:v>
                </c:pt>
                <c:pt idx="1390">
                  <c:v>3.3051120000000017E-2</c:v>
                </c:pt>
                <c:pt idx="1391">
                  <c:v>3.3313845000000002E-2</c:v>
                </c:pt>
                <c:pt idx="1392">
                  <c:v>3.4068189999999998E-2</c:v>
                </c:pt>
                <c:pt idx="1393">
                  <c:v>3.4417204999999999E-2</c:v>
                </c:pt>
                <c:pt idx="1394">
                  <c:v>3.4511484999999988E-2</c:v>
                </c:pt>
                <c:pt idx="1395">
                  <c:v>3.4685594999999993E-2</c:v>
                </c:pt>
                <c:pt idx="1396">
                  <c:v>3.472568999999999E-2</c:v>
                </c:pt>
                <c:pt idx="1397">
                  <c:v>3.4767099999999995E-2</c:v>
                </c:pt>
                <c:pt idx="1398">
                  <c:v>3.4848279999999988E-2</c:v>
                </c:pt>
                <c:pt idx="1399">
                  <c:v>3.4848279999999988E-2</c:v>
                </c:pt>
                <c:pt idx="1400">
                  <c:v>3.498755999999998E-2</c:v>
                </c:pt>
                <c:pt idx="1401">
                  <c:v>3.5019269999999977E-2</c:v>
                </c:pt>
                <c:pt idx="1402">
                  <c:v>3.5019269999999977E-2</c:v>
                </c:pt>
                <c:pt idx="1403">
                  <c:v>3.5019269999999977E-2</c:v>
                </c:pt>
                <c:pt idx="1404">
                  <c:v>3.5051909999999985E-2</c:v>
                </c:pt>
                <c:pt idx="1405">
                  <c:v>3.5051909999999985E-2</c:v>
                </c:pt>
                <c:pt idx="1406">
                  <c:v>3.5086329999999985E-2</c:v>
                </c:pt>
                <c:pt idx="1407">
                  <c:v>3.5086329999999985E-2</c:v>
                </c:pt>
                <c:pt idx="1408">
                  <c:v>3.5119854999999978E-2</c:v>
                </c:pt>
                <c:pt idx="1409">
                  <c:v>3.5373319999999979E-2</c:v>
                </c:pt>
                <c:pt idx="1410">
                  <c:v>3.6827419999999972E-2</c:v>
                </c:pt>
                <c:pt idx="1411">
                  <c:v>3.6926519999999977E-2</c:v>
                </c:pt>
                <c:pt idx="1412">
                  <c:v>3.7172019999999972E-2</c:v>
                </c:pt>
                <c:pt idx="1413">
                  <c:v>3.7263304999999983E-2</c:v>
                </c:pt>
                <c:pt idx="1414">
                  <c:v>3.7263304999999983E-2</c:v>
                </c:pt>
                <c:pt idx="1415">
                  <c:v>3.7265424999999998E-2</c:v>
                </c:pt>
                <c:pt idx="1416">
                  <c:v>3.7029440000000025E-2</c:v>
                </c:pt>
                <c:pt idx="1417">
                  <c:v>3.6805080000000032E-2</c:v>
                </c:pt>
                <c:pt idx="1418">
                  <c:v>3.6730525000000028E-2</c:v>
                </c:pt>
                <c:pt idx="1419">
                  <c:v>3.6410425000000031E-2</c:v>
                </c:pt>
                <c:pt idx="1420">
                  <c:v>3.6386405000000031E-2</c:v>
                </c:pt>
                <c:pt idx="1421">
                  <c:v>3.6301360000000032E-2</c:v>
                </c:pt>
                <c:pt idx="1422">
                  <c:v>3.6109350000000026E-2</c:v>
                </c:pt>
                <c:pt idx="1423">
                  <c:v>3.6031120000000028E-2</c:v>
                </c:pt>
                <c:pt idx="1424">
                  <c:v>3.6002300000000022E-2</c:v>
                </c:pt>
                <c:pt idx="1425">
                  <c:v>3.5661080000000019E-2</c:v>
                </c:pt>
                <c:pt idx="1426">
                  <c:v>3.5568070000000021E-2</c:v>
                </c:pt>
                <c:pt idx="1427">
                  <c:v>3.5417600000000014E-2</c:v>
                </c:pt>
                <c:pt idx="1428">
                  <c:v>3.5130945000000011E-2</c:v>
                </c:pt>
                <c:pt idx="1429">
                  <c:v>3.5077285000000014E-2</c:v>
                </c:pt>
                <c:pt idx="1430">
                  <c:v>3.4450265000000001E-2</c:v>
                </c:pt>
                <c:pt idx="1431">
                  <c:v>3.3700879999999982E-2</c:v>
                </c:pt>
                <c:pt idx="1432">
                  <c:v>3.3700879999999982E-2</c:v>
                </c:pt>
                <c:pt idx="1433">
                  <c:v>3.3536809999999993E-2</c:v>
                </c:pt>
                <c:pt idx="1434">
                  <c:v>3.3269735000000002E-2</c:v>
                </c:pt>
                <c:pt idx="1435">
                  <c:v>3.3269735000000002E-2</c:v>
                </c:pt>
                <c:pt idx="1436">
                  <c:v>3.3057195000000011E-2</c:v>
                </c:pt>
                <c:pt idx="1437">
                  <c:v>3.2914300000000007E-2</c:v>
                </c:pt>
                <c:pt idx="1438">
                  <c:v>3.2914300000000007E-2</c:v>
                </c:pt>
                <c:pt idx="1439">
                  <c:v>3.2870150000000015E-2</c:v>
                </c:pt>
                <c:pt idx="1440">
                  <c:v>3.2820980000000007E-2</c:v>
                </c:pt>
                <c:pt idx="1441">
                  <c:v>3.2674025000000002E-2</c:v>
                </c:pt>
                <c:pt idx="1442">
                  <c:v>3.2635405000000006E-2</c:v>
                </c:pt>
                <c:pt idx="1443">
                  <c:v>3.138705E-2</c:v>
                </c:pt>
                <c:pt idx="1444">
                  <c:v>3.0378630000000007E-2</c:v>
                </c:pt>
                <c:pt idx="1445">
                  <c:v>2.9799104999999996E-2</c:v>
                </c:pt>
                <c:pt idx="1446">
                  <c:v>2.9572034999999993E-2</c:v>
                </c:pt>
                <c:pt idx="1447">
                  <c:v>2.9527724999999994E-2</c:v>
                </c:pt>
                <c:pt idx="1448">
                  <c:v>2.8693315000000007E-2</c:v>
                </c:pt>
                <c:pt idx="1449">
                  <c:v>2.8574290000000006E-2</c:v>
                </c:pt>
                <c:pt idx="1450">
                  <c:v>2.852598000000001E-2</c:v>
                </c:pt>
                <c:pt idx="1451">
                  <c:v>2.8302755000000013E-2</c:v>
                </c:pt>
                <c:pt idx="1452">
                  <c:v>2.8206625000000006E-2</c:v>
                </c:pt>
                <c:pt idx="1453">
                  <c:v>2.8206625000000006E-2</c:v>
                </c:pt>
                <c:pt idx="1454">
                  <c:v>2.7911319999999993E-2</c:v>
                </c:pt>
                <c:pt idx="1455">
                  <c:v>2.7904534999999991E-2</c:v>
                </c:pt>
                <c:pt idx="1456">
                  <c:v>2.811312999999999E-2</c:v>
                </c:pt>
                <c:pt idx="1457">
                  <c:v>2.8797094999999998E-2</c:v>
                </c:pt>
                <c:pt idx="1458">
                  <c:v>2.8797094999999998E-2</c:v>
                </c:pt>
                <c:pt idx="1459">
                  <c:v>2.8957474999999996E-2</c:v>
                </c:pt>
                <c:pt idx="1460">
                  <c:v>2.9017155000000003E-2</c:v>
                </c:pt>
                <c:pt idx="1461">
                  <c:v>2.9017155000000003E-2</c:v>
                </c:pt>
                <c:pt idx="1462">
                  <c:v>2.9030605000000004E-2</c:v>
                </c:pt>
                <c:pt idx="1463">
                  <c:v>2.9051415000000004E-2</c:v>
                </c:pt>
                <c:pt idx="1464">
                  <c:v>2.9078745000000003E-2</c:v>
                </c:pt>
                <c:pt idx="1465">
                  <c:v>2.9089910000000004E-2</c:v>
                </c:pt>
                <c:pt idx="1466">
                  <c:v>2.9265320000000008E-2</c:v>
                </c:pt>
                <c:pt idx="1467">
                  <c:v>2.9379435000000016E-2</c:v>
                </c:pt>
                <c:pt idx="1468">
                  <c:v>2.9361715000000014E-2</c:v>
                </c:pt>
                <c:pt idx="1469">
                  <c:v>2.9090290000000008E-2</c:v>
                </c:pt>
                <c:pt idx="1470">
                  <c:v>2.8329485000000019E-2</c:v>
                </c:pt>
                <c:pt idx="1471">
                  <c:v>2.8024370000000007E-2</c:v>
                </c:pt>
                <c:pt idx="1472">
                  <c:v>2.7963185000000005E-2</c:v>
                </c:pt>
                <c:pt idx="1473">
                  <c:v>2.7841974999999998E-2</c:v>
                </c:pt>
                <c:pt idx="1474">
                  <c:v>2.7841974999999998E-2</c:v>
                </c:pt>
                <c:pt idx="1475">
                  <c:v>2.7106674999999986E-2</c:v>
                </c:pt>
                <c:pt idx="1476">
                  <c:v>2.6608554999999992E-2</c:v>
                </c:pt>
                <c:pt idx="1477">
                  <c:v>2.6324899999999995E-2</c:v>
                </c:pt>
                <c:pt idx="1478">
                  <c:v>2.6164409999999996E-2</c:v>
                </c:pt>
                <c:pt idx="1479">
                  <c:v>2.5936499999999994E-2</c:v>
                </c:pt>
                <c:pt idx="1480">
                  <c:v>2.576077999999999E-2</c:v>
                </c:pt>
                <c:pt idx="1481">
                  <c:v>2.5363589999999981E-2</c:v>
                </c:pt>
                <c:pt idx="1482">
                  <c:v>2.5297164999999983E-2</c:v>
                </c:pt>
                <c:pt idx="1483">
                  <c:v>2.4823794999999999E-2</c:v>
                </c:pt>
                <c:pt idx="1484">
                  <c:v>2.4837754999999996E-2</c:v>
                </c:pt>
                <c:pt idx="1485">
                  <c:v>2.4893164999999998E-2</c:v>
                </c:pt>
                <c:pt idx="1486">
                  <c:v>2.4961889999999997E-2</c:v>
                </c:pt>
                <c:pt idx="1487">
                  <c:v>2.5093499999999994E-2</c:v>
                </c:pt>
                <c:pt idx="1488">
                  <c:v>2.5140624999999993E-2</c:v>
                </c:pt>
                <c:pt idx="1489">
                  <c:v>2.5203354999999997E-2</c:v>
                </c:pt>
                <c:pt idx="1490">
                  <c:v>2.5203354999999997E-2</c:v>
                </c:pt>
                <c:pt idx="1491">
                  <c:v>2.5220249999999996E-2</c:v>
                </c:pt>
                <c:pt idx="1492">
                  <c:v>2.528793E-2</c:v>
                </c:pt>
                <c:pt idx="1493">
                  <c:v>2.5338645E-2</c:v>
                </c:pt>
                <c:pt idx="1494">
                  <c:v>2.5402494999999997E-2</c:v>
                </c:pt>
                <c:pt idx="1495">
                  <c:v>2.5402494999999997E-2</c:v>
                </c:pt>
                <c:pt idx="1496">
                  <c:v>2.5464880000000002E-2</c:v>
                </c:pt>
                <c:pt idx="1497">
                  <c:v>2.5464880000000002E-2</c:v>
                </c:pt>
                <c:pt idx="1498">
                  <c:v>2.5548925000000007E-2</c:v>
                </c:pt>
                <c:pt idx="1499">
                  <c:v>2.5849335000000015E-2</c:v>
                </c:pt>
                <c:pt idx="1500">
                  <c:v>2.5939180000000017E-2</c:v>
                </c:pt>
                <c:pt idx="1501">
                  <c:v>2.6031590000000011E-2</c:v>
                </c:pt>
                <c:pt idx="1502">
                  <c:v>2.6248585000000012E-2</c:v>
                </c:pt>
                <c:pt idx="1503">
                  <c:v>2.6356929999999997E-2</c:v>
                </c:pt>
                <c:pt idx="1504">
                  <c:v>2.6391599999999994E-2</c:v>
                </c:pt>
                <c:pt idx="1505">
                  <c:v>2.6427164999999992E-2</c:v>
                </c:pt>
                <c:pt idx="1506">
                  <c:v>2.6468634999999997E-2</c:v>
                </c:pt>
                <c:pt idx="1507">
                  <c:v>2.6819209999999996E-2</c:v>
                </c:pt>
                <c:pt idx="1508">
                  <c:v>2.7140674999999989E-2</c:v>
                </c:pt>
                <c:pt idx="1509">
                  <c:v>2.7362629999999992E-2</c:v>
                </c:pt>
                <c:pt idx="1510">
                  <c:v>2.7575824999999981E-2</c:v>
                </c:pt>
                <c:pt idx="1511">
                  <c:v>2.7883474999999994E-2</c:v>
                </c:pt>
                <c:pt idx="1512">
                  <c:v>2.8111265000000003E-2</c:v>
                </c:pt>
                <c:pt idx="1513">
                  <c:v>2.8282245000000011E-2</c:v>
                </c:pt>
                <c:pt idx="1514">
                  <c:v>2.8379370000000004E-2</c:v>
                </c:pt>
                <c:pt idx="1515">
                  <c:v>2.8911910000000009E-2</c:v>
                </c:pt>
                <c:pt idx="1516">
                  <c:v>2.8971930000000014E-2</c:v>
                </c:pt>
                <c:pt idx="1517">
                  <c:v>2.8971930000000014E-2</c:v>
                </c:pt>
                <c:pt idx="1518">
                  <c:v>2.9456445000000019E-2</c:v>
                </c:pt>
                <c:pt idx="1519">
                  <c:v>2.9691330000000005E-2</c:v>
                </c:pt>
                <c:pt idx="1520">
                  <c:v>2.9301384999999996E-2</c:v>
                </c:pt>
                <c:pt idx="1521">
                  <c:v>2.9240089999999993E-2</c:v>
                </c:pt>
                <c:pt idx="1522">
                  <c:v>2.9102729999999986E-2</c:v>
                </c:pt>
                <c:pt idx="1523">
                  <c:v>2.9090164999999994E-2</c:v>
                </c:pt>
                <c:pt idx="1524">
                  <c:v>2.9090164999999994E-2</c:v>
                </c:pt>
                <c:pt idx="1525">
                  <c:v>2.9090164999999994E-2</c:v>
                </c:pt>
                <c:pt idx="1526">
                  <c:v>2.9018409999999991E-2</c:v>
                </c:pt>
                <c:pt idx="1527">
                  <c:v>2.8938514999999988E-2</c:v>
                </c:pt>
                <c:pt idx="1528">
                  <c:v>2.8798649999999995E-2</c:v>
                </c:pt>
                <c:pt idx="1529">
                  <c:v>2.8798649999999995E-2</c:v>
                </c:pt>
                <c:pt idx="1530">
                  <c:v>2.8765014999999994E-2</c:v>
                </c:pt>
                <c:pt idx="1531">
                  <c:v>2.8748474999999996E-2</c:v>
                </c:pt>
                <c:pt idx="1532">
                  <c:v>2.8748474999999996E-2</c:v>
                </c:pt>
                <c:pt idx="1533">
                  <c:v>2.8732865E-2</c:v>
                </c:pt>
                <c:pt idx="1534">
                  <c:v>2.8638839999999992E-2</c:v>
                </c:pt>
                <c:pt idx="1535">
                  <c:v>2.8638839999999992E-2</c:v>
                </c:pt>
                <c:pt idx="1536">
                  <c:v>2.8591394999999995E-2</c:v>
                </c:pt>
                <c:pt idx="1537">
                  <c:v>2.8562129999999995E-2</c:v>
                </c:pt>
                <c:pt idx="1538">
                  <c:v>2.854669499999999E-2</c:v>
                </c:pt>
                <c:pt idx="1539">
                  <c:v>2.8482739999999986E-2</c:v>
                </c:pt>
                <c:pt idx="1540">
                  <c:v>2.8469064999999984E-2</c:v>
                </c:pt>
                <c:pt idx="1541">
                  <c:v>2.837019499999999E-2</c:v>
                </c:pt>
                <c:pt idx="1542">
                  <c:v>2.8377099999999992E-2</c:v>
                </c:pt>
                <c:pt idx="1543">
                  <c:v>2.8386894999999992E-2</c:v>
                </c:pt>
                <c:pt idx="1544">
                  <c:v>2.8502739999999985E-2</c:v>
                </c:pt>
                <c:pt idx="1545">
                  <c:v>2.8640164999999992E-2</c:v>
                </c:pt>
                <c:pt idx="1546">
                  <c:v>2.8675874999999997E-2</c:v>
                </c:pt>
                <c:pt idx="1547">
                  <c:v>2.8813670000000013E-2</c:v>
                </c:pt>
                <c:pt idx="1548">
                  <c:v>2.8917130000000024E-2</c:v>
                </c:pt>
                <c:pt idx="1549">
                  <c:v>2.8922035000000023E-2</c:v>
                </c:pt>
                <c:pt idx="1550">
                  <c:v>2.894057500000002E-2</c:v>
                </c:pt>
                <c:pt idx="1551">
                  <c:v>2.894057500000002E-2</c:v>
                </c:pt>
                <c:pt idx="1552">
                  <c:v>2.9024460000000026E-2</c:v>
                </c:pt>
                <c:pt idx="1553">
                  <c:v>2.9393205000000013E-2</c:v>
                </c:pt>
                <c:pt idx="1554">
                  <c:v>2.940601000000001E-2</c:v>
                </c:pt>
                <c:pt idx="1555">
                  <c:v>2.9581400000000008E-2</c:v>
                </c:pt>
                <c:pt idx="1556">
                  <c:v>2.9670490000000004E-2</c:v>
                </c:pt>
                <c:pt idx="1557">
                  <c:v>2.9670490000000004E-2</c:v>
                </c:pt>
                <c:pt idx="1558">
                  <c:v>2.9708190000000002E-2</c:v>
                </c:pt>
                <c:pt idx="1559">
                  <c:v>2.9718634999999997E-2</c:v>
                </c:pt>
                <c:pt idx="1560">
                  <c:v>2.9939245000000007E-2</c:v>
                </c:pt>
                <c:pt idx="1561">
                  <c:v>3.0032905000000009E-2</c:v>
                </c:pt>
                <c:pt idx="1562">
                  <c:v>3.0060605000000015E-2</c:v>
                </c:pt>
                <c:pt idx="1563">
                  <c:v>3.0165250000000022E-2</c:v>
                </c:pt>
                <c:pt idx="1564">
                  <c:v>3.0282875000000015E-2</c:v>
                </c:pt>
                <c:pt idx="1565">
                  <c:v>3.0370355000000022E-2</c:v>
                </c:pt>
                <c:pt idx="1566">
                  <c:v>3.0455770000000028E-2</c:v>
                </c:pt>
                <c:pt idx="1567">
                  <c:v>3.0455770000000028E-2</c:v>
                </c:pt>
                <c:pt idx="1568">
                  <c:v>3.047283000000002E-2</c:v>
                </c:pt>
                <c:pt idx="1569">
                  <c:v>3.059041500000002E-2</c:v>
                </c:pt>
                <c:pt idx="1570">
                  <c:v>3.102814500000001E-2</c:v>
                </c:pt>
                <c:pt idx="1571">
                  <c:v>3.107473500000001E-2</c:v>
                </c:pt>
                <c:pt idx="1572">
                  <c:v>3.1099490000000011E-2</c:v>
                </c:pt>
                <c:pt idx="1573">
                  <c:v>3.1385585000000001E-2</c:v>
                </c:pt>
                <c:pt idx="1574">
                  <c:v>3.1391820000000001E-2</c:v>
                </c:pt>
                <c:pt idx="1575">
                  <c:v>3.1391085000000006E-2</c:v>
                </c:pt>
                <c:pt idx="1576">
                  <c:v>3.1384940000000007E-2</c:v>
                </c:pt>
                <c:pt idx="1577">
                  <c:v>3.1384440000000013E-2</c:v>
                </c:pt>
                <c:pt idx="1578">
                  <c:v>3.1382130000000008E-2</c:v>
                </c:pt>
                <c:pt idx="1579">
                  <c:v>3.1354200000000006E-2</c:v>
                </c:pt>
                <c:pt idx="1580">
                  <c:v>3.1205290000000007E-2</c:v>
                </c:pt>
                <c:pt idx="1581">
                  <c:v>3.119723000000001E-2</c:v>
                </c:pt>
                <c:pt idx="1582">
                  <c:v>3.1196105000000012E-2</c:v>
                </c:pt>
                <c:pt idx="1583">
                  <c:v>3.1196105000000012E-2</c:v>
                </c:pt>
              </c:numCache>
            </c:numRef>
          </c:xVal>
          <c:yVal>
            <c:numRef>
              <c:f>'RBH-5 Risk Premium'!$G$46:$G$1629</c:f>
              <c:numCache>
                <c:formatCode>0.00%</c:formatCode>
                <c:ptCount val="1584"/>
                <c:pt idx="0">
                  <c:v>5.142100000000005E-2</c:v>
                </c:pt>
                <c:pt idx="1">
                  <c:v>5.0066500000000069E-2</c:v>
                </c:pt>
                <c:pt idx="2">
                  <c:v>5.6041500000000091E-2</c:v>
                </c:pt>
                <c:pt idx="3">
                  <c:v>5.7543500000000081E-2</c:v>
                </c:pt>
                <c:pt idx="4">
                  <c:v>4.4931000000000068E-2</c:v>
                </c:pt>
                <c:pt idx="5">
                  <c:v>6.0295500000000044E-2</c:v>
                </c:pt>
                <c:pt idx="6">
                  <c:v>4.339450000000003E-2</c:v>
                </c:pt>
                <c:pt idx="7">
                  <c:v>3.079400000000003E-2</c:v>
                </c:pt>
                <c:pt idx="8">
                  <c:v>4.1311000000000098E-2</c:v>
                </c:pt>
                <c:pt idx="9">
                  <c:v>3.1674000000000091E-2</c:v>
                </c:pt>
                <c:pt idx="10">
                  <c:v>3.3535500000000065E-2</c:v>
                </c:pt>
                <c:pt idx="11">
                  <c:v>3.8218000000000057E-2</c:v>
                </c:pt>
                <c:pt idx="12">
                  <c:v>3.9681500000000008E-2</c:v>
                </c:pt>
                <c:pt idx="13">
                  <c:v>3.93815E-2</c:v>
                </c:pt>
                <c:pt idx="14">
                  <c:v>4.1881500000000002E-2</c:v>
                </c:pt>
                <c:pt idx="15">
                  <c:v>4.9581499999999987E-2</c:v>
                </c:pt>
                <c:pt idx="16">
                  <c:v>2.8081500000000009E-2</c:v>
                </c:pt>
                <c:pt idx="17">
                  <c:v>3.5314999999999985E-2</c:v>
                </c:pt>
                <c:pt idx="18">
                  <c:v>4.0604999999999919E-2</c:v>
                </c:pt>
                <c:pt idx="19">
                  <c:v>4.1224999999999914E-2</c:v>
                </c:pt>
                <c:pt idx="20">
                  <c:v>4.36529999999999E-2</c:v>
                </c:pt>
                <c:pt idx="21">
                  <c:v>2.4762999999999938E-2</c:v>
                </c:pt>
                <c:pt idx="22">
                  <c:v>3.5635499999999903E-2</c:v>
                </c:pt>
                <c:pt idx="23">
                  <c:v>5.1904499999999951E-2</c:v>
                </c:pt>
                <c:pt idx="24">
                  <c:v>2.8975999999999974E-2</c:v>
                </c:pt>
                <c:pt idx="25">
                  <c:v>3.547599999999998E-2</c:v>
                </c:pt>
                <c:pt idx="26">
                  <c:v>6.4249999999999988E-2</c:v>
                </c:pt>
                <c:pt idx="27">
                  <c:v>5.0932499999999992E-2</c:v>
                </c:pt>
                <c:pt idx="28">
                  <c:v>3.2532999999999965E-2</c:v>
                </c:pt>
                <c:pt idx="29">
                  <c:v>4.5472999999999972E-2</c:v>
                </c:pt>
                <c:pt idx="30">
                  <c:v>3.2905500000000032E-2</c:v>
                </c:pt>
                <c:pt idx="31">
                  <c:v>3.8832499999999992E-2</c:v>
                </c:pt>
                <c:pt idx="32">
                  <c:v>3.1196000000000002E-2</c:v>
                </c:pt>
                <c:pt idx="33">
                  <c:v>2.7557499999999999E-2</c:v>
                </c:pt>
                <c:pt idx="34">
                  <c:v>3.2397999999999996E-2</c:v>
                </c:pt>
                <c:pt idx="35">
                  <c:v>3.0769500000000033E-2</c:v>
                </c:pt>
                <c:pt idx="36">
                  <c:v>4.0569500000000036E-2</c:v>
                </c:pt>
                <c:pt idx="37">
                  <c:v>5.4433000000000009E-2</c:v>
                </c:pt>
                <c:pt idx="38">
                  <c:v>3.2362000000000002E-2</c:v>
                </c:pt>
                <c:pt idx="39">
                  <c:v>5.058799999999998E-2</c:v>
                </c:pt>
                <c:pt idx="40">
                  <c:v>5.301850000000001E-2</c:v>
                </c:pt>
                <c:pt idx="41">
                  <c:v>3.1772500000000078E-2</c:v>
                </c:pt>
                <c:pt idx="42">
                  <c:v>3.6402000000000018E-2</c:v>
                </c:pt>
                <c:pt idx="43">
                  <c:v>2.7775000000000022E-2</c:v>
                </c:pt>
                <c:pt idx="44">
                  <c:v>2.3547999999999999E-2</c:v>
                </c:pt>
                <c:pt idx="45">
                  <c:v>2.7548000000000003E-2</c:v>
                </c:pt>
                <c:pt idx="46">
                  <c:v>4.0763000000000008E-2</c:v>
                </c:pt>
                <c:pt idx="47">
                  <c:v>4.3210500000000013E-2</c:v>
                </c:pt>
                <c:pt idx="48">
                  <c:v>5.1038500000000014E-2</c:v>
                </c:pt>
                <c:pt idx="49">
                  <c:v>3.0899499999999983E-2</c:v>
                </c:pt>
                <c:pt idx="50">
                  <c:v>3.3813499999999996E-2</c:v>
                </c:pt>
                <c:pt idx="51">
                  <c:v>4.2722999999999983E-2</c:v>
                </c:pt>
                <c:pt idx="52">
                  <c:v>2.7473500000000012E-2</c:v>
                </c:pt>
                <c:pt idx="53">
                  <c:v>3.8288500000000003E-2</c:v>
                </c:pt>
                <c:pt idx="54">
                  <c:v>2.7224000000000012E-2</c:v>
                </c:pt>
                <c:pt idx="55">
                  <c:v>3.2224000000000017E-2</c:v>
                </c:pt>
                <c:pt idx="56">
                  <c:v>4.6724000000000002E-2</c:v>
                </c:pt>
                <c:pt idx="57">
                  <c:v>4.0685999999999972E-2</c:v>
                </c:pt>
                <c:pt idx="58">
                  <c:v>3.2086000000000003E-2</c:v>
                </c:pt>
                <c:pt idx="59">
                  <c:v>5.4585999999999996E-2</c:v>
                </c:pt>
                <c:pt idx="60">
                  <c:v>2.9304999999999998E-2</c:v>
                </c:pt>
                <c:pt idx="61">
                  <c:v>2.9731500000000008E-2</c:v>
                </c:pt>
                <c:pt idx="62">
                  <c:v>1.6629499999999992E-2</c:v>
                </c:pt>
                <c:pt idx="63">
                  <c:v>2.6213E-2</c:v>
                </c:pt>
                <c:pt idx="64">
                  <c:v>3.0512999999999998E-2</c:v>
                </c:pt>
                <c:pt idx="65">
                  <c:v>4.9212999999999993E-2</c:v>
                </c:pt>
                <c:pt idx="66">
                  <c:v>1.5727000000000005E-2</c:v>
                </c:pt>
                <c:pt idx="67">
                  <c:v>4.0726999999999999E-2</c:v>
                </c:pt>
                <c:pt idx="68">
                  <c:v>2.8064000000000006E-2</c:v>
                </c:pt>
                <c:pt idx="69">
                  <c:v>3.1407499999999977E-2</c:v>
                </c:pt>
                <c:pt idx="70">
                  <c:v>3.2407499999999978E-2</c:v>
                </c:pt>
                <c:pt idx="71">
                  <c:v>2.9331500000000038E-2</c:v>
                </c:pt>
                <c:pt idx="72">
                  <c:v>4.5194500000000026E-2</c:v>
                </c:pt>
                <c:pt idx="73">
                  <c:v>1.5077500000000021E-2</c:v>
                </c:pt>
                <c:pt idx="74">
                  <c:v>2.2465000000000013E-2</c:v>
                </c:pt>
                <c:pt idx="75">
                  <c:v>3.4964999999999996E-2</c:v>
                </c:pt>
                <c:pt idx="76">
                  <c:v>3.4964999999999996E-2</c:v>
                </c:pt>
                <c:pt idx="77">
                  <c:v>5.0758000000000011E-2</c:v>
                </c:pt>
                <c:pt idx="78">
                  <c:v>3.4697499999999978E-2</c:v>
                </c:pt>
                <c:pt idx="79">
                  <c:v>2.6427499999999965E-2</c:v>
                </c:pt>
                <c:pt idx="80">
                  <c:v>3.1427499999999942E-2</c:v>
                </c:pt>
                <c:pt idx="81">
                  <c:v>3.8839999999999958E-2</c:v>
                </c:pt>
                <c:pt idx="82">
                  <c:v>2.6252500000000012E-2</c:v>
                </c:pt>
                <c:pt idx="83">
                  <c:v>2.8752500000000014E-2</c:v>
                </c:pt>
                <c:pt idx="84">
                  <c:v>2.6066499999999992E-2</c:v>
                </c:pt>
                <c:pt idx="85">
                  <c:v>3.6964999999999984E-2</c:v>
                </c:pt>
                <c:pt idx="86">
                  <c:v>2.8188999999999992E-2</c:v>
                </c:pt>
                <c:pt idx="87">
                  <c:v>2.8129999999999961E-2</c:v>
                </c:pt>
                <c:pt idx="88">
                  <c:v>1.8074999999999966E-2</c:v>
                </c:pt>
                <c:pt idx="89">
                  <c:v>2.7939499999999978E-2</c:v>
                </c:pt>
                <c:pt idx="90">
                  <c:v>2.7885000000000007E-2</c:v>
                </c:pt>
                <c:pt idx="91">
                  <c:v>2.9271400000000003E-2</c:v>
                </c:pt>
                <c:pt idx="92">
                  <c:v>3.8771399999999984E-2</c:v>
                </c:pt>
                <c:pt idx="93">
                  <c:v>4.1275800000000001E-2</c:v>
                </c:pt>
                <c:pt idx="94">
                  <c:v>4.2242500000000016E-2</c:v>
                </c:pt>
                <c:pt idx="95">
                  <c:v>2.0180200000000023E-2</c:v>
                </c:pt>
                <c:pt idx="96">
                  <c:v>4.56651E-2</c:v>
                </c:pt>
                <c:pt idx="97">
                  <c:v>3.2671499999999992E-2</c:v>
                </c:pt>
                <c:pt idx="98">
                  <c:v>3.4071500000000005E-2</c:v>
                </c:pt>
                <c:pt idx="99">
                  <c:v>2.2203899999999985E-2</c:v>
                </c:pt>
                <c:pt idx="100">
                  <c:v>3.7703899999999999E-2</c:v>
                </c:pt>
                <c:pt idx="101">
                  <c:v>3.2822399999999988E-2</c:v>
                </c:pt>
                <c:pt idx="102">
                  <c:v>3.7322399999999992E-2</c:v>
                </c:pt>
                <c:pt idx="103">
                  <c:v>2.1732799999999997E-2</c:v>
                </c:pt>
                <c:pt idx="104">
                  <c:v>4.0342699999999967E-2</c:v>
                </c:pt>
                <c:pt idx="105">
                  <c:v>3.0889400000000011E-2</c:v>
                </c:pt>
                <c:pt idx="106">
                  <c:v>4.052260000000002E-2</c:v>
                </c:pt>
                <c:pt idx="107">
                  <c:v>1.8996700000000033E-2</c:v>
                </c:pt>
                <c:pt idx="108">
                  <c:v>3.1996700000000045E-2</c:v>
                </c:pt>
                <c:pt idx="109">
                  <c:v>4.0475100000000042E-2</c:v>
                </c:pt>
                <c:pt idx="110">
                  <c:v>3.7949000000000038E-2</c:v>
                </c:pt>
                <c:pt idx="111">
                  <c:v>2.2537700000000022E-2</c:v>
                </c:pt>
                <c:pt idx="112">
                  <c:v>4.0203500000000017E-2</c:v>
                </c:pt>
                <c:pt idx="113">
                  <c:v>4.5042300000000035E-2</c:v>
                </c:pt>
                <c:pt idx="114">
                  <c:v>4.3170900000000026E-2</c:v>
                </c:pt>
                <c:pt idx="115">
                  <c:v>3.9184399999999994E-2</c:v>
                </c:pt>
                <c:pt idx="116">
                  <c:v>3.9065100000000019E-2</c:v>
                </c:pt>
                <c:pt idx="117">
                  <c:v>3.0051000000000036E-2</c:v>
                </c:pt>
                <c:pt idx="118">
                  <c:v>4.4951000000000033E-2</c:v>
                </c:pt>
                <c:pt idx="119">
                  <c:v>1.5046900000000044E-2</c:v>
                </c:pt>
                <c:pt idx="120">
                  <c:v>4.642610000000004E-2</c:v>
                </c:pt>
                <c:pt idx="121">
                  <c:v>2.1928000000000045E-2</c:v>
                </c:pt>
                <c:pt idx="122">
                  <c:v>2.7216300000000054E-2</c:v>
                </c:pt>
                <c:pt idx="123">
                  <c:v>3.695910000000005E-2</c:v>
                </c:pt>
                <c:pt idx="124">
                  <c:v>2.8529600000000058E-2</c:v>
                </c:pt>
                <c:pt idx="125">
                  <c:v>7.3896900000000057E-2</c:v>
                </c:pt>
                <c:pt idx="126">
                  <c:v>3.2183500000000045E-2</c:v>
                </c:pt>
                <c:pt idx="127">
                  <c:v>3.5183500000000048E-2</c:v>
                </c:pt>
                <c:pt idx="128">
                  <c:v>4.7183500000000059E-2</c:v>
                </c:pt>
                <c:pt idx="129">
                  <c:v>5.2183500000000063E-2</c:v>
                </c:pt>
                <c:pt idx="130">
                  <c:v>1.9500900000000043E-2</c:v>
                </c:pt>
                <c:pt idx="131">
                  <c:v>1.752230000000006E-2</c:v>
                </c:pt>
                <c:pt idx="132">
                  <c:v>3.4475600000000037E-2</c:v>
                </c:pt>
                <c:pt idx="133">
                  <c:v>1.6305000000000042E-2</c:v>
                </c:pt>
                <c:pt idx="134">
                  <c:v>2.2305000000000019E-2</c:v>
                </c:pt>
                <c:pt idx="135">
                  <c:v>2.0984300000000039E-2</c:v>
                </c:pt>
                <c:pt idx="136">
                  <c:v>4.8984300000000036E-2</c:v>
                </c:pt>
                <c:pt idx="137">
                  <c:v>4.0502000000000024E-2</c:v>
                </c:pt>
                <c:pt idx="138">
                  <c:v>5.3438999999999987E-3</c:v>
                </c:pt>
                <c:pt idx="139">
                  <c:v>1.6443899999999997E-2</c:v>
                </c:pt>
                <c:pt idx="140">
                  <c:v>1.6509200000000016E-2</c:v>
                </c:pt>
                <c:pt idx="141">
                  <c:v>1.4837100000000006E-2</c:v>
                </c:pt>
                <c:pt idx="142">
                  <c:v>4.1691400000000003E-2</c:v>
                </c:pt>
                <c:pt idx="143">
                  <c:v>2.3295300000000033E-2</c:v>
                </c:pt>
                <c:pt idx="144">
                  <c:v>4.141460000000001E-2</c:v>
                </c:pt>
                <c:pt idx="145">
                  <c:v>4.1614599999999988E-2</c:v>
                </c:pt>
                <c:pt idx="146">
                  <c:v>8.7360000000000215E-3</c:v>
                </c:pt>
                <c:pt idx="147">
                  <c:v>3.873600000000002E-2</c:v>
                </c:pt>
                <c:pt idx="148">
                  <c:v>1.3358300000000017E-2</c:v>
                </c:pt>
                <c:pt idx="149">
                  <c:v>3.5334500000000019E-2</c:v>
                </c:pt>
                <c:pt idx="150">
                  <c:v>2.6489900000000038E-2</c:v>
                </c:pt>
                <c:pt idx="151">
                  <c:v>3.7389200000000011E-2</c:v>
                </c:pt>
                <c:pt idx="152">
                  <c:v>1.7252600000000021E-2</c:v>
                </c:pt>
                <c:pt idx="153">
                  <c:v>2.5995400000000002E-2</c:v>
                </c:pt>
                <c:pt idx="154">
                  <c:v>2.686630000000001E-2</c:v>
                </c:pt>
                <c:pt idx="155">
                  <c:v>3.1628599999999979E-2</c:v>
                </c:pt>
                <c:pt idx="156">
                  <c:v>4.152050000000003E-2</c:v>
                </c:pt>
                <c:pt idx="157">
                  <c:v>2.30128E-2</c:v>
                </c:pt>
                <c:pt idx="158">
                  <c:v>6.0966000000000214E-3</c:v>
                </c:pt>
                <c:pt idx="159">
                  <c:v>4.3317800000000017E-2</c:v>
                </c:pt>
                <c:pt idx="160">
                  <c:v>1.9419299999999987E-2</c:v>
                </c:pt>
                <c:pt idx="161">
                  <c:v>3.8636699999999968E-2</c:v>
                </c:pt>
                <c:pt idx="162">
                  <c:v>2.2373700000000024E-2</c:v>
                </c:pt>
                <c:pt idx="163">
                  <c:v>3.4769600000000039E-2</c:v>
                </c:pt>
                <c:pt idx="164">
                  <c:v>2.7058899999999997E-2</c:v>
                </c:pt>
                <c:pt idx="165">
                  <c:v>2.9436299999999999E-2</c:v>
                </c:pt>
                <c:pt idx="166">
                  <c:v>4.9436299999999989E-2</c:v>
                </c:pt>
                <c:pt idx="167">
                  <c:v>3.3820200000000022E-2</c:v>
                </c:pt>
                <c:pt idx="168">
                  <c:v>4.2621500000000007E-2</c:v>
                </c:pt>
                <c:pt idx="169">
                  <c:v>3.3530400000000016E-2</c:v>
                </c:pt>
                <c:pt idx="170">
                  <c:v>2.3347699999999971E-2</c:v>
                </c:pt>
                <c:pt idx="171">
                  <c:v>2.3244600000000004E-2</c:v>
                </c:pt>
                <c:pt idx="172">
                  <c:v>1.3148999999999994E-2</c:v>
                </c:pt>
                <c:pt idx="173">
                  <c:v>7.3894999999999933E-3</c:v>
                </c:pt>
                <c:pt idx="174">
                  <c:v>7.1921999999999819E-3</c:v>
                </c:pt>
                <c:pt idx="175">
                  <c:v>2.2192199999999968E-2</c:v>
                </c:pt>
                <c:pt idx="176">
                  <c:v>3.2192199999999976E-2</c:v>
                </c:pt>
                <c:pt idx="177">
                  <c:v>2.8838899999999973E-2</c:v>
                </c:pt>
                <c:pt idx="178">
                  <c:v>1.6346599999999933E-2</c:v>
                </c:pt>
                <c:pt idx="179">
                  <c:v>2.1241499999999913E-2</c:v>
                </c:pt>
                <c:pt idx="180">
                  <c:v>5.5452999999999752E-3</c:v>
                </c:pt>
                <c:pt idx="181">
                  <c:v>3.5545299999999974E-2</c:v>
                </c:pt>
                <c:pt idx="182">
                  <c:v>2.0332099999999936E-2</c:v>
                </c:pt>
                <c:pt idx="183">
                  <c:v>1.9929699999999967E-2</c:v>
                </c:pt>
                <c:pt idx="184">
                  <c:v>1.4456299999999922E-2</c:v>
                </c:pt>
                <c:pt idx="185">
                  <c:v>1.3947399999999915E-2</c:v>
                </c:pt>
                <c:pt idx="186">
                  <c:v>2.8838299999999928E-2</c:v>
                </c:pt>
                <c:pt idx="187">
                  <c:v>2.8513999999999928E-2</c:v>
                </c:pt>
                <c:pt idx="188">
                  <c:v>3.3426499999999915E-2</c:v>
                </c:pt>
                <c:pt idx="189">
                  <c:v>2.6547499999999946E-2</c:v>
                </c:pt>
                <c:pt idx="190">
                  <c:v>2.270349999999996E-2</c:v>
                </c:pt>
                <c:pt idx="191">
                  <c:v>2.4216499999999974E-2</c:v>
                </c:pt>
                <c:pt idx="192">
                  <c:v>2.8836499999999987E-2</c:v>
                </c:pt>
                <c:pt idx="193">
                  <c:v>2.1207000000000004E-2</c:v>
                </c:pt>
                <c:pt idx="194">
                  <c:v>3.1207000000000013E-2</c:v>
                </c:pt>
                <c:pt idx="195">
                  <c:v>8.5800000000000043E-3</c:v>
                </c:pt>
                <c:pt idx="196">
                  <c:v>1.8447500000000006E-2</c:v>
                </c:pt>
                <c:pt idx="197">
                  <c:v>3.5947500000000021E-2</c:v>
                </c:pt>
                <c:pt idx="198">
                  <c:v>2.5476000000000026E-2</c:v>
                </c:pt>
                <c:pt idx="199">
                  <c:v>-3.4836999999999979E-2</c:v>
                </c:pt>
                <c:pt idx="200">
                  <c:v>1.2386499999999995E-2</c:v>
                </c:pt>
                <c:pt idx="201">
                  <c:v>2.988650000000001E-2</c:v>
                </c:pt>
                <c:pt idx="202">
                  <c:v>1.6363999999999962E-2</c:v>
                </c:pt>
                <c:pt idx="203">
                  <c:v>3.0482000000000009E-2</c:v>
                </c:pt>
                <c:pt idx="204">
                  <c:v>1.6094999999999998E-2</c:v>
                </c:pt>
                <c:pt idx="205">
                  <c:v>1.893149999999999E-2</c:v>
                </c:pt>
                <c:pt idx="206">
                  <c:v>1.6425000000000023E-2</c:v>
                </c:pt>
                <c:pt idx="207">
                  <c:v>1.7425000000000024E-2</c:v>
                </c:pt>
                <c:pt idx="208">
                  <c:v>2.492500000000003E-2</c:v>
                </c:pt>
                <c:pt idx="209">
                  <c:v>2.492500000000003E-2</c:v>
                </c:pt>
                <c:pt idx="210">
                  <c:v>2.0911500000000055E-2</c:v>
                </c:pt>
                <c:pt idx="211">
                  <c:v>2.3911500000000058E-2</c:v>
                </c:pt>
                <c:pt idx="212">
                  <c:v>2.8811500000000045E-2</c:v>
                </c:pt>
                <c:pt idx="213">
                  <c:v>2.8911500000000062E-2</c:v>
                </c:pt>
                <c:pt idx="214">
                  <c:v>2.3905500000000079E-2</c:v>
                </c:pt>
                <c:pt idx="215">
                  <c:v>2.6242000000000043E-2</c:v>
                </c:pt>
                <c:pt idx="216">
                  <c:v>3.71950000000007E-3</c:v>
                </c:pt>
                <c:pt idx="217">
                  <c:v>2.1803500000000087E-2</c:v>
                </c:pt>
                <c:pt idx="218">
                  <c:v>2.3703500000000072E-2</c:v>
                </c:pt>
                <c:pt idx="219">
                  <c:v>1.6186000000000061E-2</c:v>
                </c:pt>
                <c:pt idx="220">
                  <c:v>2.8671500000000072E-2</c:v>
                </c:pt>
                <c:pt idx="221">
                  <c:v>1.815650000000002E-2</c:v>
                </c:pt>
                <c:pt idx="222">
                  <c:v>5.8140000000000136E-3</c:v>
                </c:pt>
                <c:pt idx="223">
                  <c:v>2.3314000000000029E-2</c:v>
                </c:pt>
                <c:pt idx="224">
                  <c:v>2.5814000000000031E-2</c:v>
                </c:pt>
                <c:pt idx="225">
                  <c:v>2.4752500000000011E-2</c:v>
                </c:pt>
                <c:pt idx="226">
                  <c:v>1.8252500000000033E-2</c:v>
                </c:pt>
                <c:pt idx="227">
                  <c:v>7.7595000000000303E-3</c:v>
                </c:pt>
                <c:pt idx="228">
                  <c:v>3.2759500000000052E-2</c:v>
                </c:pt>
                <c:pt idx="229">
                  <c:v>1.0100000000000026E-2</c:v>
                </c:pt>
                <c:pt idx="230">
                  <c:v>2.0023000000000013E-2</c:v>
                </c:pt>
                <c:pt idx="231">
                  <c:v>1.2448500000000001E-2</c:v>
                </c:pt>
                <c:pt idx="232">
                  <c:v>2.7448500000000015E-2</c:v>
                </c:pt>
                <c:pt idx="233">
                  <c:v>2.4570000000000008E-2</c:v>
                </c:pt>
                <c:pt idx="234">
                  <c:v>3.0302499999999982E-2</c:v>
                </c:pt>
                <c:pt idx="235">
                  <c:v>-8.1390000000000073E-3</c:v>
                </c:pt>
                <c:pt idx="236">
                  <c:v>1.6816499999999984E-2</c:v>
                </c:pt>
                <c:pt idx="237">
                  <c:v>2.0257499999999984E-2</c:v>
                </c:pt>
                <c:pt idx="238">
                  <c:v>2.6041999999999982E-2</c:v>
                </c:pt>
                <c:pt idx="239">
                  <c:v>1.6445499999999974E-2</c:v>
                </c:pt>
                <c:pt idx="240">
                  <c:v>2.1232999999999974E-2</c:v>
                </c:pt>
                <c:pt idx="241">
                  <c:v>2.3232999999999976E-2</c:v>
                </c:pt>
                <c:pt idx="242">
                  <c:v>1.1137999999999981E-2</c:v>
                </c:pt>
                <c:pt idx="243">
                  <c:v>1.277849999999997E-2</c:v>
                </c:pt>
                <c:pt idx="244">
                  <c:v>1.3615999999999961E-2</c:v>
                </c:pt>
                <c:pt idx="245">
                  <c:v>1.1426499999999951E-2</c:v>
                </c:pt>
                <c:pt idx="246">
                  <c:v>2.1126499999999965E-2</c:v>
                </c:pt>
                <c:pt idx="247">
                  <c:v>1.1167499999999941E-2</c:v>
                </c:pt>
                <c:pt idx="248">
                  <c:v>3.2235999999999987E-2</c:v>
                </c:pt>
                <c:pt idx="249">
                  <c:v>2.3714999999999958E-2</c:v>
                </c:pt>
                <c:pt idx="250">
                  <c:v>3.4187999999999968E-2</c:v>
                </c:pt>
                <c:pt idx="251">
                  <c:v>1.213749999999994E-2</c:v>
                </c:pt>
                <c:pt idx="252">
                  <c:v>1.5052499999999941E-2</c:v>
                </c:pt>
                <c:pt idx="253">
                  <c:v>1.5971499999999944E-2</c:v>
                </c:pt>
                <c:pt idx="254">
                  <c:v>3.093199999999996E-2</c:v>
                </c:pt>
                <c:pt idx="255">
                  <c:v>7.8929999999999279E-3</c:v>
                </c:pt>
                <c:pt idx="256">
                  <c:v>2.5892999999999944E-2</c:v>
                </c:pt>
                <c:pt idx="257">
                  <c:v>1.5854499999999938E-2</c:v>
                </c:pt>
                <c:pt idx="258">
                  <c:v>1.5810499999999922E-2</c:v>
                </c:pt>
                <c:pt idx="259">
                  <c:v>2.4660999999999905E-2</c:v>
                </c:pt>
                <c:pt idx="260">
                  <c:v>5.6239999999999346E-3</c:v>
                </c:pt>
                <c:pt idx="261">
                  <c:v>1.8086999999999936E-2</c:v>
                </c:pt>
                <c:pt idx="262">
                  <c:v>1.0596499999999953E-2</c:v>
                </c:pt>
                <c:pt idx="263">
                  <c:v>1.8103999999999953E-2</c:v>
                </c:pt>
                <c:pt idx="264">
                  <c:v>7.6104999999999645E-3</c:v>
                </c:pt>
                <c:pt idx="265">
                  <c:v>1.5610499999999972E-2</c:v>
                </c:pt>
                <c:pt idx="266">
                  <c:v>2.6600499999999971E-2</c:v>
                </c:pt>
                <c:pt idx="267">
                  <c:v>2.0598499999999964E-2</c:v>
                </c:pt>
                <c:pt idx="268">
                  <c:v>1.5780999999999962E-2</c:v>
                </c:pt>
                <c:pt idx="269">
                  <c:v>1.5020999999999951E-2</c:v>
                </c:pt>
                <c:pt idx="270">
                  <c:v>7.7459999999999751E-3</c:v>
                </c:pt>
                <c:pt idx="271">
                  <c:v>1.088349999999999E-2</c:v>
                </c:pt>
                <c:pt idx="272">
                  <c:v>1.1883499999999991E-2</c:v>
                </c:pt>
                <c:pt idx="273">
                  <c:v>1.5883499999999995E-2</c:v>
                </c:pt>
                <c:pt idx="274">
                  <c:v>2.3883500000000002E-2</c:v>
                </c:pt>
                <c:pt idx="275">
                  <c:v>3.8422499999999971E-2</c:v>
                </c:pt>
                <c:pt idx="276">
                  <c:v>1.1082999999999954E-2</c:v>
                </c:pt>
                <c:pt idx="277">
                  <c:v>1.6115499999999949E-2</c:v>
                </c:pt>
                <c:pt idx="278">
                  <c:v>3.1115499999999963E-2</c:v>
                </c:pt>
                <c:pt idx="279">
                  <c:v>-1.3640000000000319E-3</c:v>
                </c:pt>
                <c:pt idx="280">
                  <c:v>2.7135999999999966E-2</c:v>
                </c:pt>
                <c:pt idx="281">
                  <c:v>3.9783999999999931E-2</c:v>
                </c:pt>
                <c:pt idx="282">
                  <c:v>1.8721999999999989E-2</c:v>
                </c:pt>
                <c:pt idx="283">
                  <c:v>9.7354999999999803E-3</c:v>
                </c:pt>
                <c:pt idx="284">
                  <c:v>1.6314499999999982E-2</c:v>
                </c:pt>
                <c:pt idx="285">
                  <c:v>1.0336499999999998E-2</c:v>
                </c:pt>
                <c:pt idx="286">
                  <c:v>2.1376499999999993E-2</c:v>
                </c:pt>
                <c:pt idx="287">
                  <c:v>2.30765E-2</c:v>
                </c:pt>
                <c:pt idx="288">
                  <c:v>9.9014999999999798E-3</c:v>
                </c:pt>
                <c:pt idx="289">
                  <c:v>8.4245000000000014E-3</c:v>
                </c:pt>
                <c:pt idx="290">
                  <c:v>2.1588000000000024E-2</c:v>
                </c:pt>
                <c:pt idx="291">
                  <c:v>1.7820500000000017E-2</c:v>
                </c:pt>
                <c:pt idx="292">
                  <c:v>3.1620500000000024E-2</c:v>
                </c:pt>
                <c:pt idx="293">
                  <c:v>1.8255000000000354E-3</c:v>
                </c:pt>
                <c:pt idx="294">
                  <c:v>2.9825500000000033E-2</c:v>
                </c:pt>
                <c:pt idx="295">
                  <c:v>1.9445999999999991E-2</c:v>
                </c:pt>
                <c:pt idx="296">
                  <c:v>2.204600000000001E-2</c:v>
                </c:pt>
                <c:pt idx="297">
                  <c:v>2.7014500000000052E-2</c:v>
                </c:pt>
                <c:pt idx="298">
                  <c:v>7.2920000000000762E-3</c:v>
                </c:pt>
                <c:pt idx="299">
                  <c:v>3.2292000000000098E-2</c:v>
                </c:pt>
                <c:pt idx="300">
                  <c:v>3.0039000000000066E-2</c:v>
                </c:pt>
                <c:pt idx="301">
                  <c:v>2.7644500000000072E-2</c:v>
                </c:pt>
                <c:pt idx="302">
                  <c:v>3.8171000000000038E-2</c:v>
                </c:pt>
                <c:pt idx="303">
                  <c:v>3.4422000000000036E-2</c:v>
                </c:pt>
                <c:pt idx="304">
                  <c:v>2.1284000000000025E-2</c:v>
                </c:pt>
                <c:pt idx="305">
                  <c:v>2.4287500000000017E-2</c:v>
                </c:pt>
                <c:pt idx="306">
                  <c:v>1.9375000000000003E-2</c:v>
                </c:pt>
                <c:pt idx="307">
                  <c:v>1.4491500000000018E-2</c:v>
                </c:pt>
                <c:pt idx="308">
                  <c:v>2.6679500000000023E-2</c:v>
                </c:pt>
                <c:pt idx="309">
                  <c:v>1.4776499999999998E-2</c:v>
                </c:pt>
                <c:pt idx="310">
                  <c:v>-4.2214999999999892E-3</c:v>
                </c:pt>
                <c:pt idx="311">
                  <c:v>2.7478500000000017E-2</c:v>
                </c:pt>
                <c:pt idx="312">
                  <c:v>2.5007500000000016E-2</c:v>
                </c:pt>
                <c:pt idx="313">
                  <c:v>1.7547000000000007E-2</c:v>
                </c:pt>
                <c:pt idx="314">
                  <c:v>3.6991000000000024E-2</c:v>
                </c:pt>
                <c:pt idx="315">
                  <c:v>1.0360000000000008E-2</c:v>
                </c:pt>
                <c:pt idx="316">
                  <c:v>1.7931000000000002E-2</c:v>
                </c:pt>
                <c:pt idx="317">
                  <c:v>2.0774500000000001E-2</c:v>
                </c:pt>
                <c:pt idx="318">
                  <c:v>2.5806000000000023E-2</c:v>
                </c:pt>
                <c:pt idx="319">
                  <c:v>2.5064999999999976E-2</c:v>
                </c:pt>
                <c:pt idx="320">
                  <c:v>3.9064999999999961E-2</c:v>
                </c:pt>
                <c:pt idx="321">
                  <c:v>2.3756999999999973E-2</c:v>
                </c:pt>
                <c:pt idx="322">
                  <c:v>2.3530499999999982E-2</c:v>
                </c:pt>
                <c:pt idx="323">
                  <c:v>4.0714999999999973E-2</c:v>
                </c:pt>
                <c:pt idx="324">
                  <c:v>3.1395499999999993E-2</c:v>
                </c:pt>
                <c:pt idx="325">
                  <c:v>3.1083999999999973E-2</c:v>
                </c:pt>
                <c:pt idx="326">
                  <c:v>2.9457999999999984E-2</c:v>
                </c:pt>
                <c:pt idx="327">
                  <c:v>2.614099999999997E-2</c:v>
                </c:pt>
                <c:pt idx="328">
                  <c:v>2.9640999999999973E-2</c:v>
                </c:pt>
                <c:pt idx="329">
                  <c:v>3.6945999999999979E-2</c:v>
                </c:pt>
                <c:pt idx="330">
                  <c:v>4.2543499999999956E-2</c:v>
                </c:pt>
                <c:pt idx="331">
                  <c:v>2.2727999999999943E-2</c:v>
                </c:pt>
                <c:pt idx="332">
                  <c:v>3.6227999999999955E-2</c:v>
                </c:pt>
                <c:pt idx="333">
                  <c:v>2.8393999999999947E-2</c:v>
                </c:pt>
                <c:pt idx="334">
                  <c:v>3.3546499999999951E-2</c:v>
                </c:pt>
                <c:pt idx="335">
                  <c:v>2.6708499999999968E-2</c:v>
                </c:pt>
                <c:pt idx="336">
                  <c:v>3.770849999999995E-2</c:v>
                </c:pt>
                <c:pt idx="337">
                  <c:v>3.4289499999999973E-2</c:v>
                </c:pt>
                <c:pt idx="338">
                  <c:v>2.1930499999999964E-2</c:v>
                </c:pt>
                <c:pt idx="339">
                  <c:v>3.2930499999999974E-2</c:v>
                </c:pt>
                <c:pt idx="340">
                  <c:v>3.7070500000000006E-2</c:v>
                </c:pt>
                <c:pt idx="341">
                  <c:v>4.0370499999999976E-2</c:v>
                </c:pt>
                <c:pt idx="342">
                  <c:v>4.2070500000000011E-2</c:v>
                </c:pt>
                <c:pt idx="343">
                  <c:v>2.4181000000000022E-2</c:v>
                </c:pt>
                <c:pt idx="344">
                  <c:v>3.7681000000000034E-2</c:v>
                </c:pt>
                <c:pt idx="345">
                  <c:v>3.5340500000000025E-2</c:v>
                </c:pt>
                <c:pt idx="346">
                  <c:v>3.8840500000000028E-2</c:v>
                </c:pt>
                <c:pt idx="347">
                  <c:v>4.3040500000000009E-2</c:v>
                </c:pt>
                <c:pt idx="348">
                  <c:v>4.92615E-2</c:v>
                </c:pt>
                <c:pt idx="349">
                  <c:v>3.5552000000000042E-2</c:v>
                </c:pt>
                <c:pt idx="350">
                  <c:v>2.3003500000000052E-2</c:v>
                </c:pt>
                <c:pt idx="351">
                  <c:v>3.1703500000000037E-2</c:v>
                </c:pt>
                <c:pt idx="352">
                  <c:v>5.5143500000000054E-2</c:v>
                </c:pt>
                <c:pt idx="353">
                  <c:v>2.7790500000000051E-2</c:v>
                </c:pt>
                <c:pt idx="354">
                  <c:v>2.2933000000000051E-2</c:v>
                </c:pt>
                <c:pt idx="355">
                  <c:v>3.2933000000000059E-2</c:v>
                </c:pt>
                <c:pt idx="356">
                  <c:v>3.6577500000000054E-2</c:v>
                </c:pt>
                <c:pt idx="357">
                  <c:v>3.9728000000000055E-2</c:v>
                </c:pt>
                <c:pt idx="358">
                  <c:v>6.3689000000000051E-2</c:v>
                </c:pt>
                <c:pt idx="359">
                  <c:v>1.9009000000000109E-2</c:v>
                </c:pt>
                <c:pt idx="360">
                  <c:v>2.9430500000000054E-2</c:v>
                </c:pt>
                <c:pt idx="361">
                  <c:v>3.5159500000000066E-2</c:v>
                </c:pt>
                <c:pt idx="362">
                  <c:v>3.5295000000000076E-2</c:v>
                </c:pt>
                <c:pt idx="363">
                  <c:v>3.1420500000000059E-2</c:v>
                </c:pt>
                <c:pt idx="364">
                  <c:v>4.0420500000000067E-2</c:v>
                </c:pt>
                <c:pt idx="365">
                  <c:v>3.3581500000000084E-2</c:v>
                </c:pt>
                <c:pt idx="366">
                  <c:v>3.3752000000000087E-2</c:v>
                </c:pt>
                <c:pt idx="367">
                  <c:v>1.2274500000000133E-2</c:v>
                </c:pt>
                <c:pt idx="368">
                  <c:v>3.5191500000000139E-2</c:v>
                </c:pt>
                <c:pt idx="369">
                  <c:v>3.7139500000000131E-2</c:v>
                </c:pt>
                <c:pt idx="370">
                  <c:v>3.3292000000000127E-2</c:v>
                </c:pt>
                <c:pt idx="371">
                  <c:v>3.8745500000000127E-2</c:v>
                </c:pt>
                <c:pt idx="372">
                  <c:v>5.0993500000000122E-2</c:v>
                </c:pt>
                <c:pt idx="373">
                  <c:v>3.4053500000000098E-2</c:v>
                </c:pt>
                <c:pt idx="374">
                  <c:v>3.6213500000000107E-2</c:v>
                </c:pt>
                <c:pt idx="375">
                  <c:v>3.9919500000000094E-2</c:v>
                </c:pt>
                <c:pt idx="376">
                  <c:v>3.3207000000000084E-2</c:v>
                </c:pt>
                <c:pt idx="377">
                  <c:v>3.1228500000000062E-2</c:v>
                </c:pt>
                <c:pt idx="378">
                  <c:v>4.6399500000000066E-2</c:v>
                </c:pt>
                <c:pt idx="379">
                  <c:v>4.7552000000000011E-2</c:v>
                </c:pt>
                <c:pt idx="380">
                  <c:v>3.2551999999999998E-2</c:v>
                </c:pt>
                <c:pt idx="381">
                  <c:v>4.3476499999999974E-2</c:v>
                </c:pt>
                <c:pt idx="382">
                  <c:v>5.3367499999999971E-2</c:v>
                </c:pt>
                <c:pt idx="383">
                  <c:v>3.0321499999999973E-2</c:v>
                </c:pt>
                <c:pt idx="384">
                  <c:v>3.9516499999999968E-2</c:v>
                </c:pt>
                <c:pt idx="385">
                  <c:v>3.8898499999999961E-2</c:v>
                </c:pt>
                <c:pt idx="386">
                  <c:v>4.4898499999999966E-2</c:v>
                </c:pt>
                <c:pt idx="387">
                  <c:v>4.516349999999994E-2</c:v>
                </c:pt>
                <c:pt idx="388">
                  <c:v>4.0415499999999951E-2</c:v>
                </c:pt>
                <c:pt idx="389">
                  <c:v>3.0530849999999957E-2</c:v>
                </c:pt>
                <c:pt idx="390">
                  <c:v>4.5530849999999942E-2</c:v>
                </c:pt>
                <c:pt idx="391">
                  <c:v>3.5748399999999916E-2</c:v>
                </c:pt>
                <c:pt idx="392">
                  <c:v>4.1895149999999909E-2</c:v>
                </c:pt>
                <c:pt idx="393">
                  <c:v>4.0243549999999947E-2</c:v>
                </c:pt>
                <c:pt idx="394">
                  <c:v>4.1243549999999921E-2</c:v>
                </c:pt>
                <c:pt idx="395">
                  <c:v>5.4924049999999933E-2</c:v>
                </c:pt>
                <c:pt idx="396">
                  <c:v>2.4489349999999951E-2</c:v>
                </c:pt>
                <c:pt idx="397">
                  <c:v>4.2583049999999942E-2</c:v>
                </c:pt>
                <c:pt idx="398">
                  <c:v>4.3583049999999943E-2</c:v>
                </c:pt>
                <c:pt idx="399">
                  <c:v>5.515574999999999E-2</c:v>
                </c:pt>
                <c:pt idx="400">
                  <c:v>5.1629149999999985E-2</c:v>
                </c:pt>
                <c:pt idx="401">
                  <c:v>5.5882049999999947E-2</c:v>
                </c:pt>
                <c:pt idx="402">
                  <c:v>5.7482049999999965E-2</c:v>
                </c:pt>
                <c:pt idx="403">
                  <c:v>4.2019199999999965E-2</c:v>
                </c:pt>
                <c:pt idx="404">
                  <c:v>4.697839999999999E-2</c:v>
                </c:pt>
                <c:pt idx="405">
                  <c:v>5.597839999999997E-2</c:v>
                </c:pt>
                <c:pt idx="406">
                  <c:v>3.9061749999999978E-2</c:v>
                </c:pt>
                <c:pt idx="407">
                  <c:v>4.1361799999999976E-2</c:v>
                </c:pt>
                <c:pt idx="408">
                  <c:v>4.8868599999999984E-2</c:v>
                </c:pt>
                <c:pt idx="409">
                  <c:v>4.0966749999999982E-2</c:v>
                </c:pt>
                <c:pt idx="410">
                  <c:v>3.5920699999999986E-2</c:v>
                </c:pt>
                <c:pt idx="411">
                  <c:v>5.5875400000000019E-2</c:v>
                </c:pt>
                <c:pt idx="412">
                  <c:v>3.558625E-2</c:v>
                </c:pt>
                <c:pt idx="413">
                  <c:v>4.5543150000000004E-2</c:v>
                </c:pt>
                <c:pt idx="414">
                  <c:v>4.2997000000000007E-2</c:v>
                </c:pt>
                <c:pt idx="415">
                  <c:v>5.1996999999999988E-2</c:v>
                </c:pt>
                <c:pt idx="416">
                  <c:v>3.841615000000001E-2</c:v>
                </c:pt>
                <c:pt idx="417">
                  <c:v>5.0313649999999974E-2</c:v>
                </c:pt>
                <c:pt idx="418">
                  <c:v>4.5346799999999965E-2</c:v>
                </c:pt>
                <c:pt idx="419">
                  <c:v>4.5043449999999985E-2</c:v>
                </c:pt>
                <c:pt idx="420">
                  <c:v>3.498975E-2</c:v>
                </c:pt>
                <c:pt idx="421">
                  <c:v>5.2436400000000022E-2</c:v>
                </c:pt>
                <c:pt idx="422">
                  <c:v>5.4936400000000024E-2</c:v>
                </c:pt>
                <c:pt idx="423">
                  <c:v>3.9640100000000011E-2</c:v>
                </c:pt>
                <c:pt idx="424">
                  <c:v>4.1581000000000035E-2</c:v>
                </c:pt>
                <c:pt idx="425">
                  <c:v>4.9387550000000086E-2</c:v>
                </c:pt>
                <c:pt idx="426">
                  <c:v>3.8071800000000017E-2</c:v>
                </c:pt>
                <c:pt idx="427">
                  <c:v>3.252735000000001E-2</c:v>
                </c:pt>
                <c:pt idx="428">
                  <c:v>4.8712100000000036E-2</c:v>
                </c:pt>
                <c:pt idx="429">
                  <c:v>5.021210000000001E-2</c:v>
                </c:pt>
                <c:pt idx="430">
                  <c:v>3.8606350000000039E-2</c:v>
                </c:pt>
                <c:pt idx="431">
                  <c:v>4.0997300000000042E-2</c:v>
                </c:pt>
                <c:pt idx="432">
                  <c:v>3.9155250000000044E-2</c:v>
                </c:pt>
                <c:pt idx="433">
                  <c:v>4.7366150000000051E-2</c:v>
                </c:pt>
                <c:pt idx="434">
                  <c:v>3.5814900000000038E-2</c:v>
                </c:pt>
                <c:pt idx="435">
                  <c:v>3.3257700000000029E-2</c:v>
                </c:pt>
                <c:pt idx="436">
                  <c:v>4.3651700000000071E-2</c:v>
                </c:pt>
                <c:pt idx="437">
                  <c:v>3.5909400000000105E-2</c:v>
                </c:pt>
                <c:pt idx="438">
                  <c:v>3.473370000000009E-2</c:v>
                </c:pt>
                <c:pt idx="439">
                  <c:v>4.783370000000009E-2</c:v>
                </c:pt>
                <c:pt idx="440">
                  <c:v>5.0333700000000092E-2</c:v>
                </c:pt>
                <c:pt idx="441">
                  <c:v>3.5193950000000099E-2</c:v>
                </c:pt>
                <c:pt idx="442">
                  <c:v>4.5193950000000108E-2</c:v>
                </c:pt>
                <c:pt idx="443">
                  <c:v>3.4829950000000082E-2</c:v>
                </c:pt>
                <c:pt idx="444">
                  <c:v>4.6043150000000102E-2</c:v>
                </c:pt>
                <c:pt idx="445">
                  <c:v>4.2934450000000082E-2</c:v>
                </c:pt>
                <c:pt idx="446">
                  <c:v>2.4241600000000071E-2</c:v>
                </c:pt>
                <c:pt idx="447">
                  <c:v>4.5692550000000068E-2</c:v>
                </c:pt>
                <c:pt idx="448">
                  <c:v>4.7314600000000026E-2</c:v>
                </c:pt>
                <c:pt idx="449">
                  <c:v>3.8750200000000026E-2</c:v>
                </c:pt>
                <c:pt idx="450">
                  <c:v>3.4187700000000029E-2</c:v>
                </c:pt>
                <c:pt idx="451">
                  <c:v>2.348935000000002E-2</c:v>
                </c:pt>
                <c:pt idx="452">
                  <c:v>3.3489350000000001E-2</c:v>
                </c:pt>
                <c:pt idx="453">
                  <c:v>3.8282600000000014E-2</c:v>
                </c:pt>
                <c:pt idx="454">
                  <c:v>4.2571400000000009E-2</c:v>
                </c:pt>
                <c:pt idx="455">
                  <c:v>3.5418800000000014E-2</c:v>
                </c:pt>
                <c:pt idx="456">
                  <c:v>3.5418800000000014E-2</c:v>
                </c:pt>
                <c:pt idx="457">
                  <c:v>3.2754100000000022E-2</c:v>
                </c:pt>
                <c:pt idx="458">
                  <c:v>2.9892350000000012E-2</c:v>
                </c:pt>
                <c:pt idx="459">
                  <c:v>2.7123250000000002E-2</c:v>
                </c:pt>
                <c:pt idx="460">
                  <c:v>4.3563249999999998E-2</c:v>
                </c:pt>
                <c:pt idx="461">
                  <c:v>3.8316300000000025E-2</c:v>
                </c:pt>
                <c:pt idx="462">
                  <c:v>3.0339050000000048E-2</c:v>
                </c:pt>
                <c:pt idx="463">
                  <c:v>3.7851250000000045E-2</c:v>
                </c:pt>
                <c:pt idx="464">
                  <c:v>2.9895150000000065E-2</c:v>
                </c:pt>
                <c:pt idx="465">
                  <c:v>3.9437000000000069E-2</c:v>
                </c:pt>
                <c:pt idx="466">
                  <c:v>3.1912700000000113E-2</c:v>
                </c:pt>
                <c:pt idx="467">
                  <c:v>4.3833700000000128E-2</c:v>
                </c:pt>
                <c:pt idx="468">
                  <c:v>2.7893050000000169E-2</c:v>
                </c:pt>
                <c:pt idx="469">
                  <c:v>2.5261850000000197E-2</c:v>
                </c:pt>
                <c:pt idx="470">
                  <c:v>2.7052000000000131E-2</c:v>
                </c:pt>
                <c:pt idx="471">
                  <c:v>3.0152000000000123E-2</c:v>
                </c:pt>
                <c:pt idx="472">
                  <c:v>2.3777850000000114E-2</c:v>
                </c:pt>
                <c:pt idx="473">
                  <c:v>3.041015000000008E-2</c:v>
                </c:pt>
                <c:pt idx="474">
                  <c:v>3.0965100000000106E-2</c:v>
                </c:pt>
                <c:pt idx="475">
                  <c:v>3.4301000000000123E-2</c:v>
                </c:pt>
                <c:pt idx="476">
                  <c:v>4.0403350000000116E-2</c:v>
                </c:pt>
                <c:pt idx="477">
                  <c:v>2.9941500000000038E-2</c:v>
                </c:pt>
                <c:pt idx="478">
                  <c:v>1.0838450000000069E-2</c:v>
                </c:pt>
                <c:pt idx="479">
                  <c:v>3.6915200000000051E-2</c:v>
                </c:pt>
                <c:pt idx="480">
                  <c:v>4.1751500000000025E-2</c:v>
                </c:pt>
                <c:pt idx="481">
                  <c:v>3.9173750000000021E-2</c:v>
                </c:pt>
                <c:pt idx="482">
                  <c:v>1.7900900000000039E-2</c:v>
                </c:pt>
                <c:pt idx="483">
                  <c:v>2.9417850000000023E-2</c:v>
                </c:pt>
                <c:pt idx="484">
                  <c:v>3.1417850000000025E-2</c:v>
                </c:pt>
                <c:pt idx="485">
                  <c:v>1.9336400000000031E-2</c:v>
                </c:pt>
                <c:pt idx="486">
                  <c:v>4.3978699999999954E-2</c:v>
                </c:pt>
                <c:pt idx="487">
                  <c:v>3.5724299999999917E-2</c:v>
                </c:pt>
                <c:pt idx="488">
                  <c:v>1.8074099999999912E-2</c:v>
                </c:pt>
                <c:pt idx="489">
                  <c:v>1.8125799999999956E-2</c:v>
                </c:pt>
                <c:pt idx="490">
                  <c:v>2.5096099999999941E-2</c:v>
                </c:pt>
                <c:pt idx="491">
                  <c:v>3.7943299999999958E-2</c:v>
                </c:pt>
                <c:pt idx="492">
                  <c:v>3.0281499999999961E-2</c:v>
                </c:pt>
                <c:pt idx="493">
                  <c:v>3.4660049999999942E-2</c:v>
                </c:pt>
                <c:pt idx="494">
                  <c:v>2.2087449999999953E-2</c:v>
                </c:pt>
                <c:pt idx="495">
                  <c:v>2.450004999999994E-2</c:v>
                </c:pt>
                <c:pt idx="496">
                  <c:v>4.8246749999999922E-2</c:v>
                </c:pt>
                <c:pt idx="497">
                  <c:v>1.9311399999999923E-2</c:v>
                </c:pt>
                <c:pt idx="498">
                  <c:v>2.4289099999999952E-2</c:v>
                </c:pt>
                <c:pt idx="499">
                  <c:v>3.6789099999999963E-2</c:v>
                </c:pt>
                <c:pt idx="500">
                  <c:v>2.1694749999999929E-2</c:v>
                </c:pt>
                <c:pt idx="501">
                  <c:v>3.0146449999999936E-2</c:v>
                </c:pt>
                <c:pt idx="502">
                  <c:v>2.4131199999999964E-2</c:v>
                </c:pt>
                <c:pt idx="503">
                  <c:v>3.8162649999999965E-2</c:v>
                </c:pt>
                <c:pt idx="504">
                  <c:v>3.6673099999999986E-2</c:v>
                </c:pt>
                <c:pt idx="505">
                  <c:v>3.0201350000000016E-2</c:v>
                </c:pt>
                <c:pt idx="506">
                  <c:v>3.4198900000000032E-2</c:v>
                </c:pt>
                <c:pt idx="507">
                  <c:v>3.1691650000000043E-2</c:v>
                </c:pt>
                <c:pt idx="508">
                  <c:v>2.6711900000000038E-2</c:v>
                </c:pt>
                <c:pt idx="509">
                  <c:v>3.341190000000005E-2</c:v>
                </c:pt>
                <c:pt idx="510">
                  <c:v>2.4247000000000046E-2</c:v>
                </c:pt>
                <c:pt idx="511">
                  <c:v>3.5815950000000013E-2</c:v>
                </c:pt>
                <c:pt idx="512">
                  <c:v>3.237270000000006E-2</c:v>
                </c:pt>
                <c:pt idx="513">
                  <c:v>3.9393200000000045E-2</c:v>
                </c:pt>
                <c:pt idx="514">
                  <c:v>3.8663599999999965E-2</c:v>
                </c:pt>
                <c:pt idx="515">
                  <c:v>2.219755000000001E-2</c:v>
                </c:pt>
                <c:pt idx="516">
                  <c:v>2.4697550000000013E-2</c:v>
                </c:pt>
                <c:pt idx="517">
                  <c:v>3.4738450000000004E-2</c:v>
                </c:pt>
                <c:pt idx="518">
                  <c:v>3.4960700000000039E-2</c:v>
                </c:pt>
                <c:pt idx="519">
                  <c:v>2.257130000000003E-2</c:v>
                </c:pt>
                <c:pt idx="520">
                  <c:v>3.2818100000000044E-2</c:v>
                </c:pt>
                <c:pt idx="521">
                  <c:v>3.8361750000000056E-2</c:v>
                </c:pt>
                <c:pt idx="522">
                  <c:v>3.3662350000000049E-2</c:v>
                </c:pt>
                <c:pt idx="523">
                  <c:v>3.3936000000000049E-2</c:v>
                </c:pt>
                <c:pt idx="524">
                  <c:v>4.3309600000000059E-2</c:v>
                </c:pt>
                <c:pt idx="525">
                  <c:v>2.5020800000000024E-2</c:v>
                </c:pt>
                <c:pt idx="526">
                  <c:v>2.3586450000000009E-2</c:v>
                </c:pt>
                <c:pt idx="527">
                  <c:v>2.1168000000000034E-2</c:v>
                </c:pt>
                <c:pt idx="528">
                  <c:v>1.5340750000000014E-2</c:v>
                </c:pt>
                <c:pt idx="529">
                  <c:v>4.5662599999999998E-2</c:v>
                </c:pt>
                <c:pt idx="530">
                  <c:v>3.2451299999999961E-2</c:v>
                </c:pt>
                <c:pt idx="531">
                  <c:v>3.3651299999999967E-2</c:v>
                </c:pt>
                <c:pt idx="532">
                  <c:v>3.4527849999999943E-2</c:v>
                </c:pt>
                <c:pt idx="533">
                  <c:v>2.4649449999999948E-2</c:v>
                </c:pt>
                <c:pt idx="534">
                  <c:v>3.3928499999999959E-2</c:v>
                </c:pt>
                <c:pt idx="535">
                  <c:v>3.6429799999999998E-2</c:v>
                </c:pt>
                <c:pt idx="536">
                  <c:v>1.9829699999999992E-2</c:v>
                </c:pt>
                <c:pt idx="537">
                  <c:v>3.5224299999999986E-2</c:v>
                </c:pt>
                <c:pt idx="538">
                  <c:v>3.0321149999999991E-2</c:v>
                </c:pt>
                <c:pt idx="539">
                  <c:v>2.7444999999999997E-2</c:v>
                </c:pt>
                <c:pt idx="540">
                  <c:v>3.7300749999999994E-2</c:v>
                </c:pt>
                <c:pt idx="541">
                  <c:v>4.6323699999999995E-2</c:v>
                </c:pt>
                <c:pt idx="542">
                  <c:v>2.8769299999999942E-2</c:v>
                </c:pt>
                <c:pt idx="543">
                  <c:v>4.2889349999999937E-2</c:v>
                </c:pt>
                <c:pt idx="544">
                  <c:v>3.8915699999999928E-2</c:v>
                </c:pt>
                <c:pt idx="545">
                  <c:v>3.5547249999999989E-2</c:v>
                </c:pt>
                <c:pt idx="546">
                  <c:v>3.1075549999999966E-2</c:v>
                </c:pt>
                <c:pt idx="547">
                  <c:v>3.1730699999999959E-2</c:v>
                </c:pt>
                <c:pt idx="548">
                  <c:v>3.5108600000000004E-2</c:v>
                </c:pt>
                <c:pt idx="549">
                  <c:v>3.7336699999999959E-2</c:v>
                </c:pt>
                <c:pt idx="550">
                  <c:v>3.0981900000000007E-2</c:v>
                </c:pt>
                <c:pt idx="551">
                  <c:v>4.3481900000000018E-2</c:v>
                </c:pt>
                <c:pt idx="552">
                  <c:v>3.3542450000000029E-2</c:v>
                </c:pt>
                <c:pt idx="553">
                  <c:v>3.486980000000002E-2</c:v>
                </c:pt>
                <c:pt idx="554">
                  <c:v>3.7869800000000023E-2</c:v>
                </c:pt>
                <c:pt idx="555">
                  <c:v>3.8159999999999999E-2</c:v>
                </c:pt>
                <c:pt idx="556">
                  <c:v>3.9371650000000008E-2</c:v>
                </c:pt>
                <c:pt idx="557">
                  <c:v>4.4543650000000046E-2</c:v>
                </c:pt>
                <c:pt idx="558">
                  <c:v>4.7543650000000048E-2</c:v>
                </c:pt>
                <c:pt idx="559">
                  <c:v>2.9669800000000079E-2</c:v>
                </c:pt>
                <c:pt idx="560">
                  <c:v>3.7169800000000058E-2</c:v>
                </c:pt>
                <c:pt idx="561">
                  <c:v>4.2217100000000049E-2</c:v>
                </c:pt>
                <c:pt idx="562">
                  <c:v>4.4421150000000062E-2</c:v>
                </c:pt>
                <c:pt idx="563">
                  <c:v>4.8621150000000071E-2</c:v>
                </c:pt>
                <c:pt idx="564">
                  <c:v>4.8921150000000066E-2</c:v>
                </c:pt>
                <c:pt idx="565">
                  <c:v>5.0508350000000049E-2</c:v>
                </c:pt>
                <c:pt idx="566">
                  <c:v>5.706465000000005E-2</c:v>
                </c:pt>
                <c:pt idx="567">
                  <c:v>4.1286050000000046E-2</c:v>
                </c:pt>
                <c:pt idx="568">
                  <c:v>3.5826950000000038E-2</c:v>
                </c:pt>
                <c:pt idx="569">
                  <c:v>4.6038400000000035E-2</c:v>
                </c:pt>
                <c:pt idx="570">
                  <c:v>3.4104450000000036E-2</c:v>
                </c:pt>
                <c:pt idx="571">
                  <c:v>4.019395000000002E-2</c:v>
                </c:pt>
                <c:pt idx="572">
                  <c:v>4.3068599999999999E-2</c:v>
                </c:pt>
                <c:pt idx="573">
                  <c:v>3.8303199999999996E-2</c:v>
                </c:pt>
                <c:pt idx="574">
                  <c:v>3.8303199999999996E-2</c:v>
                </c:pt>
                <c:pt idx="575">
                  <c:v>4.33032E-2</c:v>
                </c:pt>
                <c:pt idx="576">
                  <c:v>4.9939500000000081E-2</c:v>
                </c:pt>
                <c:pt idx="577">
                  <c:v>4.6489350000000124E-2</c:v>
                </c:pt>
                <c:pt idx="578">
                  <c:v>4.67988500000001E-2</c:v>
                </c:pt>
                <c:pt idx="579">
                  <c:v>5.4298850000000107E-2</c:v>
                </c:pt>
                <c:pt idx="580">
                  <c:v>3.0095100000000111E-2</c:v>
                </c:pt>
                <c:pt idx="581">
                  <c:v>2.220245000000011E-2</c:v>
                </c:pt>
                <c:pt idx="582">
                  <c:v>4.1557850000000118E-2</c:v>
                </c:pt>
                <c:pt idx="583">
                  <c:v>5.7689050000000089E-2</c:v>
                </c:pt>
                <c:pt idx="584">
                  <c:v>4.320850000000008E-2</c:v>
                </c:pt>
                <c:pt idx="585">
                  <c:v>3.8481600000000102E-2</c:v>
                </c:pt>
                <c:pt idx="586">
                  <c:v>4.8237950000000085E-2</c:v>
                </c:pt>
                <c:pt idx="587">
                  <c:v>4.4815650000000082E-2</c:v>
                </c:pt>
                <c:pt idx="588">
                  <c:v>3.4961050000000077E-2</c:v>
                </c:pt>
                <c:pt idx="589">
                  <c:v>4.2444050000000011E-2</c:v>
                </c:pt>
                <c:pt idx="590">
                  <c:v>3.6598200000000025E-2</c:v>
                </c:pt>
                <c:pt idx="591">
                  <c:v>4.1747050000000049E-2</c:v>
                </c:pt>
                <c:pt idx="592">
                  <c:v>5.6900950000000006E-2</c:v>
                </c:pt>
                <c:pt idx="593">
                  <c:v>5.2189800000000036E-2</c:v>
                </c:pt>
                <c:pt idx="594">
                  <c:v>3.710520000000006E-2</c:v>
                </c:pt>
                <c:pt idx="595">
                  <c:v>5.425330000000006E-2</c:v>
                </c:pt>
                <c:pt idx="596">
                  <c:v>5.1785150000000058E-2</c:v>
                </c:pt>
                <c:pt idx="597">
                  <c:v>5.1785150000000058E-2</c:v>
                </c:pt>
                <c:pt idx="598">
                  <c:v>4.7051000000000079E-2</c:v>
                </c:pt>
                <c:pt idx="599">
                  <c:v>5.9193550000000053E-2</c:v>
                </c:pt>
                <c:pt idx="600">
                  <c:v>3.6429850000000055E-2</c:v>
                </c:pt>
                <c:pt idx="601">
                  <c:v>4.929895000000005E-2</c:v>
                </c:pt>
                <c:pt idx="602">
                  <c:v>7.6924200000000012E-2</c:v>
                </c:pt>
                <c:pt idx="603">
                  <c:v>3.0948299999999998E-2</c:v>
                </c:pt>
                <c:pt idx="604">
                  <c:v>5.8448299999999995E-2</c:v>
                </c:pt>
                <c:pt idx="605">
                  <c:v>4.1292799999999977E-2</c:v>
                </c:pt>
                <c:pt idx="606">
                  <c:v>5.5907449999999997E-2</c:v>
                </c:pt>
                <c:pt idx="607">
                  <c:v>4.0177149999999995E-2</c:v>
                </c:pt>
                <c:pt idx="608">
                  <c:v>3.8851549999999999E-2</c:v>
                </c:pt>
                <c:pt idx="609">
                  <c:v>3.7357149999999964E-2</c:v>
                </c:pt>
                <c:pt idx="610">
                  <c:v>5.6839099999999976E-2</c:v>
                </c:pt>
                <c:pt idx="611">
                  <c:v>5.0571750000000054E-2</c:v>
                </c:pt>
                <c:pt idx="612">
                  <c:v>5.1485250000000024E-2</c:v>
                </c:pt>
                <c:pt idx="613">
                  <c:v>4.6853350000000002E-2</c:v>
                </c:pt>
                <c:pt idx="614">
                  <c:v>5.217709999999999E-2</c:v>
                </c:pt>
                <c:pt idx="615">
                  <c:v>6.0508500000000034E-2</c:v>
                </c:pt>
                <c:pt idx="616">
                  <c:v>5.4699400000000037E-2</c:v>
                </c:pt>
                <c:pt idx="617">
                  <c:v>5.7260749999999985E-2</c:v>
                </c:pt>
                <c:pt idx="618">
                  <c:v>5.2533199999999988E-2</c:v>
                </c:pt>
                <c:pt idx="619">
                  <c:v>5.3163699999999994E-2</c:v>
                </c:pt>
                <c:pt idx="620">
                  <c:v>6.8647649999999977E-2</c:v>
                </c:pt>
                <c:pt idx="621">
                  <c:v>6.0772149999999969E-2</c:v>
                </c:pt>
                <c:pt idx="622">
                  <c:v>6.2932599999999964E-2</c:v>
                </c:pt>
                <c:pt idx="623">
                  <c:v>5.5097349999999948E-2</c:v>
                </c:pt>
                <c:pt idx="624">
                  <c:v>5.5146499999999946E-2</c:v>
                </c:pt>
                <c:pt idx="625">
                  <c:v>4.9339749999999932E-2</c:v>
                </c:pt>
                <c:pt idx="626">
                  <c:v>5.2522749999999979E-2</c:v>
                </c:pt>
                <c:pt idx="627">
                  <c:v>4.9971399999999958E-2</c:v>
                </c:pt>
                <c:pt idx="628">
                  <c:v>6.1269049999999978E-2</c:v>
                </c:pt>
                <c:pt idx="629">
                  <c:v>4.9067699999999964E-2</c:v>
                </c:pt>
                <c:pt idx="630">
                  <c:v>6.0284799999999972E-2</c:v>
                </c:pt>
                <c:pt idx="631">
                  <c:v>5.5289799999999986E-2</c:v>
                </c:pt>
                <c:pt idx="632">
                  <c:v>5.5351150000000002E-2</c:v>
                </c:pt>
                <c:pt idx="633">
                  <c:v>5.529089999999999E-2</c:v>
                </c:pt>
                <c:pt idx="634">
                  <c:v>5.0080899999999998E-2</c:v>
                </c:pt>
                <c:pt idx="635">
                  <c:v>6.9991749999999978E-2</c:v>
                </c:pt>
                <c:pt idx="636">
                  <c:v>4.4604099999999994E-2</c:v>
                </c:pt>
                <c:pt idx="637">
                  <c:v>5.2673899999999996E-2</c:v>
                </c:pt>
                <c:pt idx="638">
                  <c:v>5.0298799999999977E-2</c:v>
                </c:pt>
                <c:pt idx="639">
                  <c:v>5.8030349999999981E-2</c:v>
                </c:pt>
                <c:pt idx="640">
                  <c:v>5.4203950000000001E-2</c:v>
                </c:pt>
                <c:pt idx="641">
                  <c:v>7.1662049999999991E-2</c:v>
                </c:pt>
                <c:pt idx="642">
                  <c:v>4.6614699999999995E-2</c:v>
                </c:pt>
                <c:pt idx="643">
                  <c:v>4.1423399999999999E-2</c:v>
                </c:pt>
                <c:pt idx="644">
                  <c:v>5.0352600000000011E-2</c:v>
                </c:pt>
                <c:pt idx="645">
                  <c:v>5.6226550000000028E-2</c:v>
                </c:pt>
                <c:pt idx="646">
                  <c:v>5.618030000000003E-2</c:v>
                </c:pt>
                <c:pt idx="647">
                  <c:v>7.1180300000000016E-2</c:v>
                </c:pt>
                <c:pt idx="648">
                  <c:v>5.0785200000000003E-2</c:v>
                </c:pt>
                <c:pt idx="649">
                  <c:v>5.4785200000000006E-2</c:v>
                </c:pt>
                <c:pt idx="650">
                  <c:v>5.5785200000000007E-2</c:v>
                </c:pt>
                <c:pt idx="651">
                  <c:v>5.0336250000000013E-2</c:v>
                </c:pt>
                <c:pt idx="652">
                  <c:v>4.5744350000000031E-2</c:v>
                </c:pt>
                <c:pt idx="653">
                  <c:v>4.6944350000000037E-2</c:v>
                </c:pt>
                <c:pt idx="654">
                  <c:v>5.1871400000000054E-2</c:v>
                </c:pt>
                <c:pt idx="655">
                  <c:v>4.8621950000000025E-2</c:v>
                </c:pt>
                <c:pt idx="656">
                  <c:v>4.4434200000000049E-2</c:v>
                </c:pt>
                <c:pt idx="657">
                  <c:v>4.6934200000000051E-2</c:v>
                </c:pt>
                <c:pt idx="658">
                  <c:v>3.1700150000000052E-2</c:v>
                </c:pt>
                <c:pt idx="659">
                  <c:v>4.5674350000000016E-2</c:v>
                </c:pt>
                <c:pt idx="660">
                  <c:v>4.4525700000000057E-2</c:v>
                </c:pt>
                <c:pt idx="661">
                  <c:v>4.3641950000000027E-2</c:v>
                </c:pt>
                <c:pt idx="662">
                  <c:v>3.3194299999999996E-2</c:v>
                </c:pt>
                <c:pt idx="663">
                  <c:v>5.4965600000000003E-2</c:v>
                </c:pt>
                <c:pt idx="664">
                  <c:v>4.4764550000000056E-2</c:v>
                </c:pt>
                <c:pt idx="665">
                  <c:v>4.7180600000000059E-2</c:v>
                </c:pt>
                <c:pt idx="666">
                  <c:v>4.9380600000000066E-2</c:v>
                </c:pt>
                <c:pt idx="667">
                  <c:v>2.9597600000000043E-2</c:v>
                </c:pt>
                <c:pt idx="668">
                  <c:v>4.7023000000000051E-2</c:v>
                </c:pt>
                <c:pt idx="669">
                  <c:v>3.2044750000000038E-2</c:v>
                </c:pt>
                <c:pt idx="670">
                  <c:v>3.1868200000000027E-2</c:v>
                </c:pt>
                <c:pt idx="671">
                  <c:v>3.1868200000000027E-2</c:v>
                </c:pt>
                <c:pt idx="672">
                  <c:v>3.9368200000000034E-2</c:v>
                </c:pt>
                <c:pt idx="673">
                  <c:v>4.1868200000000036E-2</c:v>
                </c:pt>
                <c:pt idx="674">
                  <c:v>4.864855000000004E-2</c:v>
                </c:pt>
                <c:pt idx="675">
                  <c:v>4.949285000000006E-2</c:v>
                </c:pt>
                <c:pt idx="676">
                  <c:v>4.2427450000000047E-2</c:v>
                </c:pt>
                <c:pt idx="677">
                  <c:v>3.6409750000000018E-2</c:v>
                </c:pt>
                <c:pt idx="678">
                  <c:v>2.6186000000000043E-2</c:v>
                </c:pt>
                <c:pt idx="679">
                  <c:v>3.9504849999999994E-2</c:v>
                </c:pt>
                <c:pt idx="680">
                  <c:v>2.3200750000000006E-2</c:v>
                </c:pt>
                <c:pt idx="681">
                  <c:v>3.7991250000000018E-2</c:v>
                </c:pt>
                <c:pt idx="682">
                  <c:v>3.5777800000000012E-2</c:v>
                </c:pt>
                <c:pt idx="683">
                  <c:v>4.3203400000000003E-2</c:v>
                </c:pt>
                <c:pt idx="684">
                  <c:v>2.0027899999999946E-2</c:v>
                </c:pt>
                <c:pt idx="685">
                  <c:v>3.9359899999999962E-2</c:v>
                </c:pt>
                <c:pt idx="686">
                  <c:v>4.5116949999999975E-2</c:v>
                </c:pt>
                <c:pt idx="687">
                  <c:v>4.0070649999999972E-2</c:v>
                </c:pt>
                <c:pt idx="688">
                  <c:v>3.7531799999999976E-2</c:v>
                </c:pt>
                <c:pt idx="689">
                  <c:v>3.756495E-2</c:v>
                </c:pt>
                <c:pt idx="690">
                  <c:v>4.4374200000000016E-2</c:v>
                </c:pt>
                <c:pt idx="691">
                  <c:v>3.8316750000000066E-2</c:v>
                </c:pt>
                <c:pt idx="692">
                  <c:v>2.7710950000000026E-2</c:v>
                </c:pt>
                <c:pt idx="693">
                  <c:v>3.8099750000000016E-2</c:v>
                </c:pt>
                <c:pt idx="694">
                  <c:v>4.5577250000000027E-2</c:v>
                </c:pt>
                <c:pt idx="695">
                  <c:v>3.65124E-2</c:v>
                </c:pt>
                <c:pt idx="696">
                  <c:v>4.1650750000000014E-2</c:v>
                </c:pt>
                <c:pt idx="697">
                  <c:v>3.9838449999999997E-2</c:v>
                </c:pt>
                <c:pt idx="698">
                  <c:v>3.2306649999999992E-2</c:v>
                </c:pt>
                <c:pt idx="699">
                  <c:v>3.9806649999999999E-2</c:v>
                </c:pt>
                <c:pt idx="700">
                  <c:v>3.878315000000003E-2</c:v>
                </c:pt>
                <c:pt idx="701">
                  <c:v>3.9720700000000025E-2</c:v>
                </c:pt>
                <c:pt idx="702">
                  <c:v>4.0698700000000032E-2</c:v>
                </c:pt>
                <c:pt idx="703">
                  <c:v>4.3649450000000034E-2</c:v>
                </c:pt>
                <c:pt idx="704">
                  <c:v>3.9457149999999983E-2</c:v>
                </c:pt>
                <c:pt idx="705">
                  <c:v>3.945174999999998E-2</c:v>
                </c:pt>
                <c:pt idx="706">
                  <c:v>3.9478850000000051E-2</c:v>
                </c:pt>
                <c:pt idx="707">
                  <c:v>3.3478850000000046E-2</c:v>
                </c:pt>
                <c:pt idx="708">
                  <c:v>3.7076550000000041E-2</c:v>
                </c:pt>
                <c:pt idx="709">
                  <c:v>3.9497100000000035E-2</c:v>
                </c:pt>
                <c:pt idx="710">
                  <c:v>4.952135000000002E-2</c:v>
                </c:pt>
                <c:pt idx="711">
                  <c:v>5.1506800000000019E-2</c:v>
                </c:pt>
                <c:pt idx="712">
                  <c:v>3.9460850000000006E-2</c:v>
                </c:pt>
                <c:pt idx="713">
                  <c:v>3.3504799999999946E-2</c:v>
                </c:pt>
                <c:pt idx="714">
                  <c:v>4.1966049999999935E-2</c:v>
                </c:pt>
                <c:pt idx="715">
                  <c:v>4.517384999999996E-2</c:v>
                </c:pt>
                <c:pt idx="716">
                  <c:v>4.3352450000000015E-2</c:v>
                </c:pt>
                <c:pt idx="717">
                  <c:v>4.0989200000000003E-2</c:v>
                </c:pt>
                <c:pt idx="718">
                  <c:v>3.7333450000000018E-2</c:v>
                </c:pt>
                <c:pt idx="719">
                  <c:v>3.6204950000000069E-2</c:v>
                </c:pt>
                <c:pt idx="720">
                  <c:v>3.9584300000000058E-2</c:v>
                </c:pt>
                <c:pt idx="721">
                  <c:v>4.5149150000000013E-2</c:v>
                </c:pt>
                <c:pt idx="722">
                  <c:v>4.661895000000002E-2</c:v>
                </c:pt>
                <c:pt idx="723">
                  <c:v>4.5811350000000001E-2</c:v>
                </c:pt>
                <c:pt idx="724">
                  <c:v>4.5874449999999983E-2</c:v>
                </c:pt>
                <c:pt idx="725">
                  <c:v>4.2058399999999982E-2</c:v>
                </c:pt>
                <c:pt idx="726">
                  <c:v>4.7058399999999986E-2</c:v>
                </c:pt>
                <c:pt idx="727">
                  <c:v>4.5583750000000006E-2</c:v>
                </c:pt>
                <c:pt idx="728">
                  <c:v>4.663150000000002E-2</c:v>
                </c:pt>
                <c:pt idx="729">
                  <c:v>4.5797600000000022E-2</c:v>
                </c:pt>
                <c:pt idx="730">
                  <c:v>3.8036600000000004E-2</c:v>
                </c:pt>
                <c:pt idx="731">
                  <c:v>3.9267250000000017E-2</c:v>
                </c:pt>
                <c:pt idx="732">
                  <c:v>4.7097250000000035E-2</c:v>
                </c:pt>
                <c:pt idx="733">
                  <c:v>4.7389400000000012E-2</c:v>
                </c:pt>
                <c:pt idx="734">
                  <c:v>7.5944750000000005E-2</c:v>
                </c:pt>
                <c:pt idx="735">
                  <c:v>4.3405950000000026E-2</c:v>
                </c:pt>
                <c:pt idx="736">
                  <c:v>4.5539150000000014E-2</c:v>
                </c:pt>
                <c:pt idx="737">
                  <c:v>3.8166600000000037E-2</c:v>
                </c:pt>
                <c:pt idx="738">
                  <c:v>4.102535000000003E-2</c:v>
                </c:pt>
                <c:pt idx="739">
                  <c:v>3.6988150000000025E-2</c:v>
                </c:pt>
                <c:pt idx="740">
                  <c:v>4.5962200000000064E-2</c:v>
                </c:pt>
                <c:pt idx="741">
                  <c:v>3.9438700000000076E-2</c:v>
                </c:pt>
                <c:pt idx="742">
                  <c:v>4.8846700000000035E-2</c:v>
                </c:pt>
                <c:pt idx="743">
                  <c:v>4.5987200000000047E-2</c:v>
                </c:pt>
                <c:pt idx="744">
                  <c:v>4.5686400000000016E-2</c:v>
                </c:pt>
                <c:pt idx="745">
                  <c:v>4.165710000000003E-2</c:v>
                </c:pt>
                <c:pt idx="746">
                  <c:v>3.7612900000000019E-2</c:v>
                </c:pt>
                <c:pt idx="747">
                  <c:v>4.0112900000000021E-2</c:v>
                </c:pt>
                <c:pt idx="748">
                  <c:v>4.1425800000000054E-2</c:v>
                </c:pt>
                <c:pt idx="749">
                  <c:v>4.7844550000000013E-2</c:v>
                </c:pt>
                <c:pt idx="750">
                  <c:v>4.6529499999999974E-2</c:v>
                </c:pt>
                <c:pt idx="751">
                  <c:v>4.5402449999999969E-2</c:v>
                </c:pt>
                <c:pt idx="752">
                  <c:v>2.8605750000000027E-2</c:v>
                </c:pt>
                <c:pt idx="753">
                  <c:v>4.3893800000000011E-2</c:v>
                </c:pt>
                <c:pt idx="754">
                  <c:v>4.2167949999999982E-2</c:v>
                </c:pt>
                <c:pt idx="755">
                  <c:v>4.3342449999999977E-2</c:v>
                </c:pt>
                <c:pt idx="756">
                  <c:v>3.62397E-2</c:v>
                </c:pt>
                <c:pt idx="757">
                  <c:v>4.0078599999999978E-2</c:v>
                </c:pt>
                <c:pt idx="758">
                  <c:v>3.6267899999999978E-2</c:v>
                </c:pt>
                <c:pt idx="759">
                  <c:v>4.2011249999999931E-2</c:v>
                </c:pt>
                <c:pt idx="760">
                  <c:v>4.4342599999999954E-2</c:v>
                </c:pt>
                <c:pt idx="761">
                  <c:v>3.3363799999999944E-2</c:v>
                </c:pt>
                <c:pt idx="762">
                  <c:v>4.088294999999996E-2</c:v>
                </c:pt>
                <c:pt idx="763">
                  <c:v>3.8395899999999941E-2</c:v>
                </c:pt>
                <c:pt idx="764">
                  <c:v>4.1331749999999917E-2</c:v>
                </c:pt>
                <c:pt idx="765">
                  <c:v>4.4451449999999962E-2</c:v>
                </c:pt>
                <c:pt idx="766">
                  <c:v>3.8482249999999954E-2</c:v>
                </c:pt>
                <c:pt idx="767">
                  <c:v>4.105304999999998E-2</c:v>
                </c:pt>
                <c:pt idx="768">
                  <c:v>3.0716749999999973E-2</c:v>
                </c:pt>
                <c:pt idx="769">
                  <c:v>3.8954999999999962E-2</c:v>
                </c:pt>
                <c:pt idx="770">
                  <c:v>3.9102699999999976E-2</c:v>
                </c:pt>
                <c:pt idx="771">
                  <c:v>4.4249999999999956E-2</c:v>
                </c:pt>
                <c:pt idx="772">
                  <c:v>4.1536099999999951E-2</c:v>
                </c:pt>
                <c:pt idx="773">
                  <c:v>4.2542499999999983E-2</c:v>
                </c:pt>
                <c:pt idx="774">
                  <c:v>4.5720499999999983E-2</c:v>
                </c:pt>
                <c:pt idx="775">
                  <c:v>3.7754499999999983E-2</c:v>
                </c:pt>
                <c:pt idx="776">
                  <c:v>4.4754499999999975E-2</c:v>
                </c:pt>
                <c:pt idx="777">
                  <c:v>4.5098799999999994E-2</c:v>
                </c:pt>
                <c:pt idx="778">
                  <c:v>5.0267450000000005E-2</c:v>
                </c:pt>
                <c:pt idx="779">
                  <c:v>4.7798200000000027E-2</c:v>
                </c:pt>
                <c:pt idx="780">
                  <c:v>4.3140299999999993E-2</c:v>
                </c:pt>
                <c:pt idx="781">
                  <c:v>3.5919200000000026E-2</c:v>
                </c:pt>
                <c:pt idx="782">
                  <c:v>3.3126950000000002E-2</c:v>
                </c:pt>
                <c:pt idx="783">
                  <c:v>4.1213349999999996E-2</c:v>
                </c:pt>
                <c:pt idx="784">
                  <c:v>3.624345000000001E-2</c:v>
                </c:pt>
                <c:pt idx="785">
                  <c:v>4.1315649999999982E-2</c:v>
                </c:pt>
                <c:pt idx="786">
                  <c:v>3.7589099999999986E-2</c:v>
                </c:pt>
                <c:pt idx="787">
                  <c:v>4.5802150000000041E-2</c:v>
                </c:pt>
                <c:pt idx="788">
                  <c:v>4.9109800000000065E-2</c:v>
                </c:pt>
                <c:pt idx="789">
                  <c:v>4.2663200000000026E-2</c:v>
                </c:pt>
                <c:pt idx="790">
                  <c:v>4.0184350000000021E-2</c:v>
                </c:pt>
                <c:pt idx="791">
                  <c:v>4.7965750000000043E-2</c:v>
                </c:pt>
                <c:pt idx="792">
                  <c:v>4.3031700000000034E-2</c:v>
                </c:pt>
                <c:pt idx="793">
                  <c:v>4.3531700000000034E-2</c:v>
                </c:pt>
                <c:pt idx="794">
                  <c:v>3.6099750000000042E-2</c:v>
                </c:pt>
                <c:pt idx="795">
                  <c:v>3.811460000000004E-2</c:v>
                </c:pt>
                <c:pt idx="796">
                  <c:v>4.0636600000000037E-2</c:v>
                </c:pt>
                <c:pt idx="797">
                  <c:v>4.3193549999999997E-2</c:v>
                </c:pt>
                <c:pt idx="798">
                  <c:v>5.0693550000000004E-2</c:v>
                </c:pt>
                <c:pt idx="799">
                  <c:v>4.2228600000000019E-2</c:v>
                </c:pt>
                <c:pt idx="800">
                  <c:v>3.4230700000000003E-2</c:v>
                </c:pt>
                <c:pt idx="801">
                  <c:v>4.3230700000000011E-2</c:v>
                </c:pt>
                <c:pt idx="802">
                  <c:v>3.9234399999999989E-2</c:v>
                </c:pt>
                <c:pt idx="803">
                  <c:v>4.1011949999999991E-2</c:v>
                </c:pt>
                <c:pt idx="804">
                  <c:v>4.4539249999999989E-2</c:v>
                </c:pt>
                <c:pt idx="805">
                  <c:v>4.653924999999999E-2</c:v>
                </c:pt>
                <c:pt idx="806">
                  <c:v>4.5074199999999995E-2</c:v>
                </c:pt>
                <c:pt idx="807">
                  <c:v>4.711319999999998E-2</c:v>
                </c:pt>
                <c:pt idx="808">
                  <c:v>4.6773299999999962E-2</c:v>
                </c:pt>
                <c:pt idx="809">
                  <c:v>3.936125E-2</c:v>
                </c:pt>
                <c:pt idx="810">
                  <c:v>4.9385750000000006E-2</c:v>
                </c:pt>
                <c:pt idx="811">
                  <c:v>4.5954849999999992E-2</c:v>
                </c:pt>
                <c:pt idx="812">
                  <c:v>3.9557599999999998E-2</c:v>
                </c:pt>
                <c:pt idx="813">
                  <c:v>4.3705699999999986E-2</c:v>
                </c:pt>
                <c:pt idx="814">
                  <c:v>4.488325E-2</c:v>
                </c:pt>
                <c:pt idx="815">
                  <c:v>3.4454099999999988E-2</c:v>
                </c:pt>
                <c:pt idx="816">
                  <c:v>4.3000899999999995E-2</c:v>
                </c:pt>
                <c:pt idx="817">
                  <c:v>4.1500449999999994E-2</c:v>
                </c:pt>
                <c:pt idx="818">
                  <c:v>3.5137449999999987E-2</c:v>
                </c:pt>
                <c:pt idx="819">
                  <c:v>3.5664399999999985E-2</c:v>
                </c:pt>
                <c:pt idx="820">
                  <c:v>3.5727750000000003E-2</c:v>
                </c:pt>
                <c:pt idx="821">
                  <c:v>3.605934999999999E-2</c:v>
                </c:pt>
                <c:pt idx="822">
                  <c:v>3.9857699999999996E-2</c:v>
                </c:pt>
                <c:pt idx="823">
                  <c:v>4.5757700000000012E-2</c:v>
                </c:pt>
                <c:pt idx="824">
                  <c:v>4.4345000000000009E-2</c:v>
                </c:pt>
                <c:pt idx="825">
                  <c:v>3.0439999999999995E-2</c:v>
                </c:pt>
                <c:pt idx="826">
                  <c:v>4.501765000000002E-2</c:v>
                </c:pt>
                <c:pt idx="827">
                  <c:v>3.1525000000000011E-2</c:v>
                </c:pt>
                <c:pt idx="828">
                  <c:v>5.1530600000000024E-2</c:v>
                </c:pt>
                <c:pt idx="829">
                  <c:v>4.0625600000000012E-2</c:v>
                </c:pt>
                <c:pt idx="830">
                  <c:v>5.6625600000000012E-2</c:v>
                </c:pt>
                <c:pt idx="831">
                  <c:v>3.3699649999999984E-2</c:v>
                </c:pt>
                <c:pt idx="832">
                  <c:v>4.1906899999999983E-2</c:v>
                </c:pt>
                <c:pt idx="833">
                  <c:v>4.6989749999999997E-2</c:v>
                </c:pt>
                <c:pt idx="834">
                  <c:v>4.2858350000000031E-2</c:v>
                </c:pt>
                <c:pt idx="835">
                  <c:v>3.6929900000000029E-2</c:v>
                </c:pt>
                <c:pt idx="836">
                  <c:v>4.0454900000000002E-2</c:v>
                </c:pt>
                <c:pt idx="837">
                  <c:v>5.2974599999999997E-2</c:v>
                </c:pt>
                <c:pt idx="838">
                  <c:v>4.4980749999999986E-2</c:v>
                </c:pt>
                <c:pt idx="839">
                  <c:v>5.4562099999999975E-2</c:v>
                </c:pt>
                <c:pt idx="840">
                  <c:v>4.0432449999999995E-2</c:v>
                </c:pt>
                <c:pt idx="841">
                  <c:v>4.2938450000000003E-2</c:v>
                </c:pt>
                <c:pt idx="842">
                  <c:v>4.1702799999999957E-2</c:v>
                </c:pt>
                <c:pt idx="843">
                  <c:v>3.3378749999999957E-2</c:v>
                </c:pt>
                <c:pt idx="844">
                  <c:v>4.2400749999999973E-2</c:v>
                </c:pt>
                <c:pt idx="845">
                  <c:v>4.7400749999999964E-2</c:v>
                </c:pt>
                <c:pt idx="846">
                  <c:v>4.3424749999999956E-2</c:v>
                </c:pt>
                <c:pt idx="847">
                  <c:v>4.6520099999999953E-2</c:v>
                </c:pt>
                <c:pt idx="848">
                  <c:v>4.752009999999994E-2</c:v>
                </c:pt>
                <c:pt idx="849">
                  <c:v>4.6183349999999956E-2</c:v>
                </c:pt>
                <c:pt idx="850">
                  <c:v>4.3715849999999973E-2</c:v>
                </c:pt>
                <c:pt idx="851">
                  <c:v>4.2743299999999984E-2</c:v>
                </c:pt>
                <c:pt idx="852">
                  <c:v>4.3931049999999944E-2</c:v>
                </c:pt>
                <c:pt idx="853">
                  <c:v>3.6617699999999961E-2</c:v>
                </c:pt>
                <c:pt idx="854">
                  <c:v>3.8412999999999961E-2</c:v>
                </c:pt>
                <c:pt idx="855">
                  <c:v>4.7795999999999964E-2</c:v>
                </c:pt>
                <c:pt idx="856">
                  <c:v>4.410639999999999E-2</c:v>
                </c:pt>
                <c:pt idx="857">
                  <c:v>4.3195999999999998E-2</c:v>
                </c:pt>
                <c:pt idx="858">
                  <c:v>4.7195999999999988E-2</c:v>
                </c:pt>
                <c:pt idx="859">
                  <c:v>4.4617500000000018E-2</c:v>
                </c:pt>
                <c:pt idx="860">
                  <c:v>4.5040749999999991E-2</c:v>
                </c:pt>
                <c:pt idx="861">
                  <c:v>4.2618250000000024E-2</c:v>
                </c:pt>
                <c:pt idx="862">
                  <c:v>4.2749300000000032E-2</c:v>
                </c:pt>
                <c:pt idx="863">
                  <c:v>3.7808000000000022E-2</c:v>
                </c:pt>
                <c:pt idx="864">
                  <c:v>4.7907650000000024E-2</c:v>
                </c:pt>
                <c:pt idx="865">
                  <c:v>4.3135700000000041E-2</c:v>
                </c:pt>
                <c:pt idx="866">
                  <c:v>4.9180100000000018E-2</c:v>
                </c:pt>
                <c:pt idx="867">
                  <c:v>4.5019700000000024E-2</c:v>
                </c:pt>
                <c:pt idx="868">
                  <c:v>4.2826250000000024E-2</c:v>
                </c:pt>
                <c:pt idx="869">
                  <c:v>3.3708700000000036E-2</c:v>
                </c:pt>
                <c:pt idx="870">
                  <c:v>4.5423300000000014E-2</c:v>
                </c:pt>
                <c:pt idx="871">
                  <c:v>3.6919850000000004E-2</c:v>
                </c:pt>
                <c:pt idx="872">
                  <c:v>4.7038250000000004E-2</c:v>
                </c:pt>
                <c:pt idx="873">
                  <c:v>4.8404749999999983E-2</c:v>
                </c:pt>
                <c:pt idx="874">
                  <c:v>4.1964300000000024E-2</c:v>
                </c:pt>
                <c:pt idx="875">
                  <c:v>5.4332549999999993E-2</c:v>
                </c:pt>
                <c:pt idx="876">
                  <c:v>4.4783699999999996E-2</c:v>
                </c:pt>
                <c:pt idx="877">
                  <c:v>4.0668200000000002E-2</c:v>
                </c:pt>
                <c:pt idx="878">
                  <c:v>4.1211600000000001E-2</c:v>
                </c:pt>
                <c:pt idx="879">
                  <c:v>4.8285500000000009E-2</c:v>
                </c:pt>
                <c:pt idx="880">
                  <c:v>3.6263750000000011E-2</c:v>
                </c:pt>
                <c:pt idx="881">
                  <c:v>4.5806250000000007E-2</c:v>
                </c:pt>
                <c:pt idx="882">
                  <c:v>4.5969499999999996E-2</c:v>
                </c:pt>
                <c:pt idx="883">
                  <c:v>4.9582749999999967E-2</c:v>
                </c:pt>
                <c:pt idx="884">
                  <c:v>5.0189149999999988E-2</c:v>
                </c:pt>
                <c:pt idx="885">
                  <c:v>4.2393399999999998E-2</c:v>
                </c:pt>
                <c:pt idx="886">
                  <c:v>4.8979500000000023E-2</c:v>
                </c:pt>
                <c:pt idx="887">
                  <c:v>5.6479500000000016E-2</c:v>
                </c:pt>
                <c:pt idx="888">
                  <c:v>4.6508700000000014E-2</c:v>
                </c:pt>
                <c:pt idx="889">
                  <c:v>4.6532800000000013E-2</c:v>
                </c:pt>
                <c:pt idx="890">
                  <c:v>4.5949600000000007E-2</c:v>
                </c:pt>
                <c:pt idx="891">
                  <c:v>5.304724999999999E-2</c:v>
                </c:pt>
                <c:pt idx="892">
                  <c:v>4.039559999999999E-2</c:v>
                </c:pt>
                <c:pt idx="893">
                  <c:v>4.463449999999998E-2</c:v>
                </c:pt>
                <c:pt idx="894">
                  <c:v>4.7534049999999967E-2</c:v>
                </c:pt>
                <c:pt idx="895">
                  <c:v>5.8746899999999963E-2</c:v>
                </c:pt>
                <c:pt idx="896">
                  <c:v>2.6740000000000055E-2</c:v>
                </c:pt>
                <c:pt idx="897">
                  <c:v>3.4597350000000041E-2</c:v>
                </c:pt>
                <c:pt idx="898">
                  <c:v>3.4597350000000041E-2</c:v>
                </c:pt>
                <c:pt idx="899">
                  <c:v>3.7496900000000027E-2</c:v>
                </c:pt>
                <c:pt idx="900">
                  <c:v>4.1332950000000049E-2</c:v>
                </c:pt>
                <c:pt idx="901">
                  <c:v>3.5656350000000045E-2</c:v>
                </c:pt>
                <c:pt idx="902">
                  <c:v>3.9569250000000028E-2</c:v>
                </c:pt>
                <c:pt idx="903">
                  <c:v>4.1569250000000016E-2</c:v>
                </c:pt>
                <c:pt idx="904">
                  <c:v>3.3861050000000031E-2</c:v>
                </c:pt>
                <c:pt idx="905">
                  <c:v>3.931545000000003E-2</c:v>
                </c:pt>
                <c:pt idx="906">
                  <c:v>3.9223100000000038E-2</c:v>
                </c:pt>
                <c:pt idx="907">
                  <c:v>4.53905E-2</c:v>
                </c:pt>
                <c:pt idx="908">
                  <c:v>4.6384299999999989E-2</c:v>
                </c:pt>
                <c:pt idx="909">
                  <c:v>3.31288E-2</c:v>
                </c:pt>
                <c:pt idx="910">
                  <c:v>4.8987649999999994E-2</c:v>
                </c:pt>
                <c:pt idx="911">
                  <c:v>4.1977750000000008E-2</c:v>
                </c:pt>
                <c:pt idx="912">
                  <c:v>3.7854499999999972E-2</c:v>
                </c:pt>
                <c:pt idx="913">
                  <c:v>4.28148E-2</c:v>
                </c:pt>
                <c:pt idx="914">
                  <c:v>5.0901149999999992E-2</c:v>
                </c:pt>
                <c:pt idx="915">
                  <c:v>3.8818599999999981E-2</c:v>
                </c:pt>
                <c:pt idx="916">
                  <c:v>3.3852849999999976E-2</c:v>
                </c:pt>
                <c:pt idx="917">
                  <c:v>3.2864049999999992E-2</c:v>
                </c:pt>
                <c:pt idx="918">
                  <c:v>3.2977799999999988E-2</c:v>
                </c:pt>
                <c:pt idx="919">
                  <c:v>3.9534E-2</c:v>
                </c:pt>
                <c:pt idx="920">
                  <c:v>3.5526499999999975E-2</c:v>
                </c:pt>
                <c:pt idx="921">
                  <c:v>3.6503749999999974E-2</c:v>
                </c:pt>
                <c:pt idx="922">
                  <c:v>4.6913099999999958E-2</c:v>
                </c:pt>
                <c:pt idx="923">
                  <c:v>3.5837349999999948E-2</c:v>
                </c:pt>
                <c:pt idx="924">
                  <c:v>4.0951499999999974E-2</c:v>
                </c:pt>
                <c:pt idx="925">
                  <c:v>4.1753049999999958E-2</c:v>
                </c:pt>
                <c:pt idx="926">
                  <c:v>4.375304999999996E-2</c:v>
                </c:pt>
                <c:pt idx="927">
                  <c:v>4.6253049999999948E-2</c:v>
                </c:pt>
                <c:pt idx="928">
                  <c:v>3.8882699999999951E-2</c:v>
                </c:pt>
                <c:pt idx="929">
                  <c:v>4.482530000000004E-2</c:v>
                </c:pt>
                <c:pt idx="930">
                  <c:v>5.4625300000000016E-2</c:v>
                </c:pt>
                <c:pt idx="931">
                  <c:v>4.1438100000000019E-2</c:v>
                </c:pt>
                <c:pt idx="932">
                  <c:v>4.5691250000000003E-2</c:v>
                </c:pt>
                <c:pt idx="933">
                  <c:v>4.6553650000000016E-2</c:v>
                </c:pt>
                <c:pt idx="934">
                  <c:v>4.9031600000000009E-2</c:v>
                </c:pt>
                <c:pt idx="935">
                  <c:v>5.3369650000000032E-2</c:v>
                </c:pt>
                <c:pt idx="936">
                  <c:v>5.7699550000000016E-2</c:v>
                </c:pt>
                <c:pt idx="937">
                  <c:v>4.2529100000000028E-2</c:v>
                </c:pt>
                <c:pt idx="938">
                  <c:v>4.579320000000002E-2</c:v>
                </c:pt>
                <c:pt idx="939">
                  <c:v>6.1644700000000011E-2</c:v>
                </c:pt>
                <c:pt idx="940">
                  <c:v>6.1644700000000011E-2</c:v>
                </c:pt>
                <c:pt idx="941">
                  <c:v>4.8167949999999987E-2</c:v>
                </c:pt>
                <c:pt idx="942">
                  <c:v>4.5677949999999995E-2</c:v>
                </c:pt>
                <c:pt idx="943">
                  <c:v>4.5624549999999986E-2</c:v>
                </c:pt>
                <c:pt idx="944">
                  <c:v>4.8153749999999995E-2</c:v>
                </c:pt>
                <c:pt idx="945">
                  <c:v>4.7725249999999969E-2</c:v>
                </c:pt>
                <c:pt idx="946">
                  <c:v>4.7174849999999949E-2</c:v>
                </c:pt>
                <c:pt idx="947">
                  <c:v>3.8288199999999967E-2</c:v>
                </c:pt>
                <c:pt idx="948">
                  <c:v>4.2925699999999928E-2</c:v>
                </c:pt>
                <c:pt idx="949">
                  <c:v>5.489714999999995E-2</c:v>
                </c:pt>
                <c:pt idx="950">
                  <c:v>4.1917250000000003E-2</c:v>
                </c:pt>
                <c:pt idx="951">
                  <c:v>4.4676150000000026E-2</c:v>
                </c:pt>
                <c:pt idx="952">
                  <c:v>4.9154000000000003E-2</c:v>
                </c:pt>
                <c:pt idx="953">
                  <c:v>4.6686550000000021E-2</c:v>
                </c:pt>
                <c:pt idx="954">
                  <c:v>3.8684400000000022E-2</c:v>
                </c:pt>
                <c:pt idx="955">
                  <c:v>4.9759700000000018E-2</c:v>
                </c:pt>
                <c:pt idx="956">
                  <c:v>4.9839150000000013E-2</c:v>
                </c:pt>
                <c:pt idx="957">
                  <c:v>3.2174399999999992E-2</c:v>
                </c:pt>
                <c:pt idx="958">
                  <c:v>4.8471100000000003E-2</c:v>
                </c:pt>
                <c:pt idx="959">
                  <c:v>4.6893950000000004E-2</c:v>
                </c:pt>
                <c:pt idx="960">
                  <c:v>4.8893449999999991E-2</c:v>
                </c:pt>
                <c:pt idx="961">
                  <c:v>5.2274499999999974E-2</c:v>
                </c:pt>
                <c:pt idx="962">
                  <c:v>4.3957100000000027E-2</c:v>
                </c:pt>
                <c:pt idx="963">
                  <c:v>4.5498049999999998E-2</c:v>
                </c:pt>
                <c:pt idx="964">
                  <c:v>6.3584049999999975E-2</c:v>
                </c:pt>
                <c:pt idx="965">
                  <c:v>4.9614549999999993E-2</c:v>
                </c:pt>
                <c:pt idx="966">
                  <c:v>4.4802549999999983E-2</c:v>
                </c:pt>
                <c:pt idx="967">
                  <c:v>4.276449999999999E-2</c:v>
                </c:pt>
                <c:pt idx="968">
                  <c:v>6.0769400000000015E-2</c:v>
                </c:pt>
                <c:pt idx="969">
                  <c:v>5.4627000000000009E-2</c:v>
                </c:pt>
                <c:pt idx="970">
                  <c:v>6.1185650000000008E-2</c:v>
                </c:pt>
                <c:pt idx="971">
                  <c:v>7.0182150000000026E-2</c:v>
                </c:pt>
                <c:pt idx="972">
                  <c:v>6.6574949999999994E-2</c:v>
                </c:pt>
                <c:pt idx="973">
                  <c:v>6.5810000000000021E-2</c:v>
                </c:pt>
                <c:pt idx="974">
                  <c:v>4.9176000000000004E-2</c:v>
                </c:pt>
                <c:pt idx="975">
                  <c:v>5.1617549999999984E-2</c:v>
                </c:pt>
                <c:pt idx="976">
                  <c:v>5.6180649999999978E-2</c:v>
                </c:pt>
                <c:pt idx="977">
                  <c:v>5.2338850000000041E-2</c:v>
                </c:pt>
                <c:pt idx="978">
                  <c:v>5.050244999999999E-2</c:v>
                </c:pt>
                <c:pt idx="979">
                  <c:v>5.2045549999999954E-2</c:v>
                </c:pt>
                <c:pt idx="980">
                  <c:v>5.4530449999999966E-2</c:v>
                </c:pt>
                <c:pt idx="981">
                  <c:v>5.4530449999999966E-2</c:v>
                </c:pt>
                <c:pt idx="982">
                  <c:v>4.426489999999994E-2</c:v>
                </c:pt>
                <c:pt idx="983">
                  <c:v>5.054989999999996E-2</c:v>
                </c:pt>
                <c:pt idx="984">
                  <c:v>4.8180899999999999E-2</c:v>
                </c:pt>
                <c:pt idx="985">
                  <c:v>6.0433350000000038E-2</c:v>
                </c:pt>
                <c:pt idx="986">
                  <c:v>5.1286149999999982E-2</c:v>
                </c:pt>
                <c:pt idx="987">
                  <c:v>7.0118799999999967E-2</c:v>
                </c:pt>
                <c:pt idx="988">
                  <c:v>6.216694999999995E-2</c:v>
                </c:pt>
                <c:pt idx="989">
                  <c:v>5.4571600000000005E-2</c:v>
                </c:pt>
                <c:pt idx="990">
                  <c:v>5.72883E-2</c:v>
                </c:pt>
                <c:pt idx="991">
                  <c:v>5.129725000000001E-2</c:v>
                </c:pt>
                <c:pt idx="992">
                  <c:v>5.3778849999999989E-2</c:v>
                </c:pt>
                <c:pt idx="993">
                  <c:v>5.4223599999999983E-2</c:v>
                </c:pt>
                <c:pt idx="994">
                  <c:v>5.4223599999999983E-2</c:v>
                </c:pt>
                <c:pt idx="995">
                  <c:v>5.4062550000000001E-2</c:v>
                </c:pt>
                <c:pt idx="996">
                  <c:v>4.9413400000000024E-2</c:v>
                </c:pt>
                <c:pt idx="997">
                  <c:v>5.1972100000000035E-2</c:v>
                </c:pt>
                <c:pt idx="998">
                  <c:v>5.4482000000000044E-2</c:v>
                </c:pt>
                <c:pt idx="999">
                  <c:v>4.4511650000000048E-2</c:v>
                </c:pt>
                <c:pt idx="1000">
                  <c:v>4.7587350000000028E-2</c:v>
                </c:pt>
                <c:pt idx="1001">
                  <c:v>5.1094599999999997E-2</c:v>
                </c:pt>
                <c:pt idx="1002">
                  <c:v>7.3930949999999981E-2</c:v>
                </c:pt>
                <c:pt idx="1003">
                  <c:v>7.0036850000000012E-2</c:v>
                </c:pt>
                <c:pt idx="1004">
                  <c:v>4.5029550000000008E-2</c:v>
                </c:pt>
                <c:pt idx="1005">
                  <c:v>4.6527300000000008E-2</c:v>
                </c:pt>
                <c:pt idx="1006">
                  <c:v>6.3493295000000005E-2</c:v>
                </c:pt>
                <c:pt idx="1007">
                  <c:v>4.7056354999999994E-2</c:v>
                </c:pt>
                <c:pt idx="1008">
                  <c:v>6.5262894999999974E-2</c:v>
                </c:pt>
                <c:pt idx="1009">
                  <c:v>5.6844705000000009E-2</c:v>
                </c:pt>
                <c:pt idx="1010">
                  <c:v>5.5244469999999997E-2</c:v>
                </c:pt>
                <c:pt idx="1011">
                  <c:v>6.8244470000000002E-2</c:v>
                </c:pt>
                <c:pt idx="1012">
                  <c:v>5.5248909999999977E-2</c:v>
                </c:pt>
                <c:pt idx="1013">
                  <c:v>6.8481485000000036E-2</c:v>
                </c:pt>
                <c:pt idx="1014">
                  <c:v>5.0381419999999996E-2</c:v>
                </c:pt>
                <c:pt idx="1015">
                  <c:v>6.2591599999999983E-2</c:v>
                </c:pt>
                <c:pt idx="1016">
                  <c:v>6.4806449999999974E-2</c:v>
                </c:pt>
                <c:pt idx="1017">
                  <c:v>6.1506439999999982E-2</c:v>
                </c:pt>
                <c:pt idx="1018">
                  <c:v>5.909434500000002E-2</c:v>
                </c:pt>
                <c:pt idx="1019">
                  <c:v>7.3222475000000065E-2</c:v>
                </c:pt>
                <c:pt idx="1020">
                  <c:v>7.2548420000000044E-2</c:v>
                </c:pt>
                <c:pt idx="1021">
                  <c:v>5.7240840000000008E-2</c:v>
                </c:pt>
                <c:pt idx="1022">
                  <c:v>4.9387380000000015E-2</c:v>
                </c:pt>
                <c:pt idx="1023">
                  <c:v>7.0160075000000002E-2</c:v>
                </c:pt>
                <c:pt idx="1024">
                  <c:v>7.0422399999999996E-2</c:v>
                </c:pt>
                <c:pt idx="1025">
                  <c:v>6.2130225000000018E-2</c:v>
                </c:pt>
                <c:pt idx="1026">
                  <c:v>5.9576390000000014E-2</c:v>
                </c:pt>
                <c:pt idx="1027">
                  <c:v>5.9583380000000012E-2</c:v>
                </c:pt>
                <c:pt idx="1028">
                  <c:v>4.9606910000000018E-2</c:v>
                </c:pt>
                <c:pt idx="1029">
                  <c:v>4.9581905000000016E-2</c:v>
                </c:pt>
                <c:pt idx="1030">
                  <c:v>4.7045405000000005E-2</c:v>
                </c:pt>
                <c:pt idx="1031">
                  <c:v>5.6695875000000027E-2</c:v>
                </c:pt>
                <c:pt idx="1032">
                  <c:v>4.9146244999999998E-2</c:v>
                </c:pt>
                <c:pt idx="1033">
                  <c:v>5.7646245000000006E-2</c:v>
                </c:pt>
                <c:pt idx="1034">
                  <c:v>6.5636330000000007E-2</c:v>
                </c:pt>
                <c:pt idx="1035">
                  <c:v>7.0623414999999995E-2</c:v>
                </c:pt>
                <c:pt idx="1036">
                  <c:v>7.0623414999999995E-2</c:v>
                </c:pt>
                <c:pt idx="1037">
                  <c:v>5.5605700000000008E-2</c:v>
                </c:pt>
                <c:pt idx="1038">
                  <c:v>7.0515285000000011E-2</c:v>
                </c:pt>
                <c:pt idx="1039">
                  <c:v>5.7625544999999993E-2</c:v>
                </c:pt>
                <c:pt idx="1040">
                  <c:v>5.2288664999999963E-2</c:v>
                </c:pt>
                <c:pt idx="1041">
                  <c:v>6.2172704999999974E-2</c:v>
                </c:pt>
                <c:pt idx="1042">
                  <c:v>5.4264604999999987E-2</c:v>
                </c:pt>
                <c:pt idx="1043">
                  <c:v>5.1745469999999981E-2</c:v>
                </c:pt>
                <c:pt idx="1044">
                  <c:v>5.1739514999999986E-2</c:v>
                </c:pt>
                <c:pt idx="1045">
                  <c:v>6.1421140000000006E-2</c:v>
                </c:pt>
                <c:pt idx="1046">
                  <c:v>5.4000219999999974E-2</c:v>
                </c:pt>
                <c:pt idx="1047">
                  <c:v>5.4000219999999974E-2</c:v>
                </c:pt>
                <c:pt idx="1048">
                  <c:v>6.4899514999999991E-2</c:v>
                </c:pt>
                <c:pt idx="1049">
                  <c:v>5.1471294999999952E-2</c:v>
                </c:pt>
                <c:pt idx="1050">
                  <c:v>5.3026419999999984E-2</c:v>
                </c:pt>
                <c:pt idx="1051">
                  <c:v>5.4349369999999994E-2</c:v>
                </c:pt>
                <c:pt idx="1052">
                  <c:v>5.937162E-2</c:v>
                </c:pt>
                <c:pt idx="1053">
                  <c:v>5.9047850000000006E-2</c:v>
                </c:pt>
                <c:pt idx="1054">
                  <c:v>6.1819339999999987E-2</c:v>
                </c:pt>
                <c:pt idx="1055">
                  <c:v>6.4319339999999989E-2</c:v>
                </c:pt>
                <c:pt idx="1056">
                  <c:v>5.6311179999999988E-2</c:v>
                </c:pt>
                <c:pt idx="1057">
                  <c:v>6.4311179999999996E-2</c:v>
                </c:pt>
                <c:pt idx="1058">
                  <c:v>4.7756869999999993E-2</c:v>
                </c:pt>
                <c:pt idx="1059">
                  <c:v>5.623483E-2</c:v>
                </c:pt>
                <c:pt idx="1060">
                  <c:v>5.3222755000000017E-2</c:v>
                </c:pt>
                <c:pt idx="1061">
                  <c:v>5.541973E-2</c:v>
                </c:pt>
                <c:pt idx="1062">
                  <c:v>6.0718100000000004E-2</c:v>
                </c:pt>
                <c:pt idx="1063">
                  <c:v>5.4028375000000003E-2</c:v>
                </c:pt>
                <c:pt idx="1064">
                  <c:v>5.122982999999999E-2</c:v>
                </c:pt>
                <c:pt idx="1065">
                  <c:v>5.3812774999999979E-2</c:v>
                </c:pt>
                <c:pt idx="1066">
                  <c:v>5.4695244999999983E-2</c:v>
                </c:pt>
                <c:pt idx="1067">
                  <c:v>5.9850454999999983E-2</c:v>
                </c:pt>
                <c:pt idx="1068">
                  <c:v>4.9880374999999991E-2</c:v>
                </c:pt>
                <c:pt idx="1069">
                  <c:v>5.002003499999999E-2</c:v>
                </c:pt>
                <c:pt idx="1070">
                  <c:v>6.855215000000002E-2</c:v>
                </c:pt>
                <c:pt idx="1071">
                  <c:v>7.1263544999999998E-2</c:v>
                </c:pt>
                <c:pt idx="1072">
                  <c:v>5.5159825000000003E-2</c:v>
                </c:pt>
                <c:pt idx="1073">
                  <c:v>5.4573189999999959E-2</c:v>
                </c:pt>
                <c:pt idx="1074">
                  <c:v>6.2132574999999947E-2</c:v>
                </c:pt>
                <c:pt idx="1075">
                  <c:v>6.4519945000000009E-2</c:v>
                </c:pt>
                <c:pt idx="1076">
                  <c:v>6.2019100000000008E-2</c:v>
                </c:pt>
                <c:pt idx="1077">
                  <c:v>5.7462024999999979E-2</c:v>
                </c:pt>
                <c:pt idx="1078">
                  <c:v>5.8562024999999997E-2</c:v>
                </c:pt>
                <c:pt idx="1079">
                  <c:v>6.457003E-2</c:v>
                </c:pt>
                <c:pt idx="1080">
                  <c:v>6.6070030000000002E-2</c:v>
                </c:pt>
                <c:pt idx="1081">
                  <c:v>5.4618540000000014E-2</c:v>
                </c:pt>
                <c:pt idx="1082">
                  <c:v>5.4618540000000014E-2</c:v>
                </c:pt>
                <c:pt idx="1083">
                  <c:v>6.4711279999999996E-2</c:v>
                </c:pt>
                <c:pt idx="1084">
                  <c:v>5.2297610000000001E-2</c:v>
                </c:pt>
                <c:pt idx="1085">
                  <c:v>5.8591895000000005E-2</c:v>
                </c:pt>
                <c:pt idx="1086">
                  <c:v>5.5852165000000023E-2</c:v>
                </c:pt>
                <c:pt idx="1087">
                  <c:v>5.9601930000000004E-2</c:v>
                </c:pt>
                <c:pt idx="1088">
                  <c:v>6.9058220000000017E-2</c:v>
                </c:pt>
                <c:pt idx="1089">
                  <c:v>5.2559165000000012E-2</c:v>
                </c:pt>
                <c:pt idx="1090">
                  <c:v>5.9501749999999978E-2</c:v>
                </c:pt>
                <c:pt idx="1091">
                  <c:v>5.3749764999999998E-2</c:v>
                </c:pt>
                <c:pt idx="1092">
                  <c:v>4.7439715000000014E-2</c:v>
                </c:pt>
                <c:pt idx="1093">
                  <c:v>5.6399279999999996E-2</c:v>
                </c:pt>
                <c:pt idx="1094">
                  <c:v>5.1858095E-2</c:v>
                </c:pt>
                <c:pt idx="1095">
                  <c:v>4.6625775000000008E-2</c:v>
                </c:pt>
                <c:pt idx="1096">
                  <c:v>5.6442880000000008E-2</c:v>
                </c:pt>
                <c:pt idx="1097">
                  <c:v>5.094217000000003E-2</c:v>
                </c:pt>
                <c:pt idx="1098">
                  <c:v>4.7518450000000025E-2</c:v>
                </c:pt>
                <c:pt idx="1099">
                  <c:v>5.129228999999997E-2</c:v>
                </c:pt>
                <c:pt idx="1100">
                  <c:v>5.129228999999997E-2</c:v>
                </c:pt>
                <c:pt idx="1101">
                  <c:v>5.1692289999999967E-2</c:v>
                </c:pt>
                <c:pt idx="1102">
                  <c:v>5.2959194999999945E-2</c:v>
                </c:pt>
                <c:pt idx="1103">
                  <c:v>5.5459194999999947E-2</c:v>
                </c:pt>
                <c:pt idx="1104">
                  <c:v>5.7954794999999962E-2</c:v>
                </c:pt>
                <c:pt idx="1105">
                  <c:v>5.9471659999999961E-2</c:v>
                </c:pt>
                <c:pt idx="1106">
                  <c:v>6.2971659999999957E-2</c:v>
                </c:pt>
                <c:pt idx="1107">
                  <c:v>5.2969634999999959E-2</c:v>
                </c:pt>
                <c:pt idx="1108">
                  <c:v>5.0473274999999984E-2</c:v>
                </c:pt>
                <c:pt idx="1109">
                  <c:v>5.1504024999999974E-2</c:v>
                </c:pt>
                <c:pt idx="1110">
                  <c:v>5.1504024999999974E-2</c:v>
                </c:pt>
                <c:pt idx="1111">
                  <c:v>5.9504024999999981E-2</c:v>
                </c:pt>
                <c:pt idx="1112">
                  <c:v>5.1513789999999976E-2</c:v>
                </c:pt>
                <c:pt idx="1113">
                  <c:v>5.4513789999999993E-2</c:v>
                </c:pt>
                <c:pt idx="1114">
                  <c:v>5.8565294999999996E-2</c:v>
                </c:pt>
                <c:pt idx="1115">
                  <c:v>6.4838024999999994E-2</c:v>
                </c:pt>
                <c:pt idx="1116">
                  <c:v>4.8856110000000008E-2</c:v>
                </c:pt>
                <c:pt idx="1117">
                  <c:v>5.1919539999999986E-2</c:v>
                </c:pt>
                <c:pt idx="1118">
                  <c:v>5.4436024999999985E-2</c:v>
                </c:pt>
                <c:pt idx="1119">
                  <c:v>5.4436024999999985E-2</c:v>
                </c:pt>
                <c:pt idx="1120">
                  <c:v>5.3954999999999975E-2</c:v>
                </c:pt>
                <c:pt idx="1121">
                  <c:v>5.6954999999999978E-2</c:v>
                </c:pt>
                <c:pt idx="1122">
                  <c:v>5.8954404999999981E-2</c:v>
                </c:pt>
                <c:pt idx="1123">
                  <c:v>4.8653624999999978E-2</c:v>
                </c:pt>
                <c:pt idx="1124">
                  <c:v>5.0783839999999997E-2</c:v>
                </c:pt>
                <c:pt idx="1125">
                  <c:v>5.3716830000000007E-2</c:v>
                </c:pt>
                <c:pt idx="1126">
                  <c:v>5.6699905000000016E-2</c:v>
                </c:pt>
                <c:pt idx="1127">
                  <c:v>5.9130075000000004E-2</c:v>
                </c:pt>
                <c:pt idx="1128">
                  <c:v>4.8110769999999997E-2</c:v>
                </c:pt>
                <c:pt idx="1129">
                  <c:v>5.1344844999999986E-2</c:v>
                </c:pt>
                <c:pt idx="1130">
                  <c:v>5.1344844999999986E-2</c:v>
                </c:pt>
                <c:pt idx="1131">
                  <c:v>5.520831000000001E-2</c:v>
                </c:pt>
                <c:pt idx="1132">
                  <c:v>5.0913880000000009E-2</c:v>
                </c:pt>
                <c:pt idx="1133">
                  <c:v>4.1873005000000019E-2</c:v>
                </c:pt>
                <c:pt idx="1134">
                  <c:v>5.055649000000003E-2</c:v>
                </c:pt>
                <c:pt idx="1135">
                  <c:v>6.0322650000000026E-2</c:v>
                </c:pt>
                <c:pt idx="1136">
                  <c:v>5.8898530000000011E-2</c:v>
                </c:pt>
                <c:pt idx="1137">
                  <c:v>5.1018900000000006E-2</c:v>
                </c:pt>
                <c:pt idx="1138">
                  <c:v>5.8422055000000007E-2</c:v>
                </c:pt>
                <c:pt idx="1139">
                  <c:v>5.9422055000000022E-2</c:v>
                </c:pt>
                <c:pt idx="1140">
                  <c:v>5.3446599999999997E-2</c:v>
                </c:pt>
                <c:pt idx="1141">
                  <c:v>5.3457409999999997E-2</c:v>
                </c:pt>
                <c:pt idx="1142">
                  <c:v>6.1457410000000004E-2</c:v>
                </c:pt>
                <c:pt idx="1143">
                  <c:v>5.3998735000000006E-2</c:v>
                </c:pt>
                <c:pt idx="1144">
                  <c:v>6.4016135000000002E-2</c:v>
                </c:pt>
                <c:pt idx="1145">
                  <c:v>5.9156495000000003E-2</c:v>
                </c:pt>
                <c:pt idx="1146">
                  <c:v>5.9350509999999988E-2</c:v>
                </c:pt>
                <c:pt idx="1147">
                  <c:v>4.6049204999999982E-2</c:v>
                </c:pt>
                <c:pt idx="1148">
                  <c:v>5.2094194999999989E-2</c:v>
                </c:pt>
                <c:pt idx="1149">
                  <c:v>5.9222099999999986E-2</c:v>
                </c:pt>
                <c:pt idx="1150">
                  <c:v>5.5007394999999987E-2</c:v>
                </c:pt>
                <c:pt idx="1151">
                  <c:v>5.5220354999999985E-2</c:v>
                </c:pt>
                <c:pt idx="1152">
                  <c:v>4.4157315000000016E-2</c:v>
                </c:pt>
                <c:pt idx="1153">
                  <c:v>5.6460964999999988E-2</c:v>
                </c:pt>
                <c:pt idx="1154">
                  <c:v>5.5020724999999986E-2</c:v>
                </c:pt>
                <c:pt idx="1155">
                  <c:v>6.114342499999998E-2</c:v>
                </c:pt>
                <c:pt idx="1156">
                  <c:v>6.4364630000000006E-2</c:v>
                </c:pt>
                <c:pt idx="1157">
                  <c:v>5.4484710000000026E-2</c:v>
                </c:pt>
                <c:pt idx="1158">
                  <c:v>6.1576225000000033E-2</c:v>
                </c:pt>
                <c:pt idx="1159">
                  <c:v>5.9612725000000026E-2</c:v>
                </c:pt>
                <c:pt idx="1160">
                  <c:v>6.5012725000000021E-2</c:v>
                </c:pt>
                <c:pt idx="1161">
                  <c:v>5.9064935000000041E-2</c:v>
                </c:pt>
                <c:pt idx="1162">
                  <c:v>4.8836455000000042E-2</c:v>
                </c:pt>
                <c:pt idx="1163">
                  <c:v>6.2912465000000056E-2</c:v>
                </c:pt>
                <c:pt idx="1164">
                  <c:v>6.191797000000003E-2</c:v>
                </c:pt>
                <c:pt idx="1165">
                  <c:v>5.7442310000000024E-2</c:v>
                </c:pt>
                <c:pt idx="1166">
                  <c:v>5.6807785000000027E-2</c:v>
                </c:pt>
                <c:pt idx="1167">
                  <c:v>5.8045815000000001E-2</c:v>
                </c:pt>
                <c:pt idx="1168">
                  <c:v>6.1695514999999999E-2</c:v>
                </c:pt>
                <c:pt idx="1169">
                  <c:v>6.1695514999999999E-2</c:v>
                </c:pt>
                <c:pt idx="1170">
                  <c:v>6.1695514999999999E-2</c:v>
                </c:pt>
                <c:pt idx="1171">
                  <c:v>5.7249889999999991E-2</c:v>
                </c:pt>
                <c:pt idx="1172">
                  <c:v>5.6876370000000009E-2</c:v>
                </c:pt>
                <c:pt idx="1173">
                  <c:v>6.1047765000000018E-2</c:v>
                </c:pt>
                <c:pt idx="1174">
                  <c:v>5.7567535000000003E-2</c:v>
                </c:pt>
                <c:pt idx="1175">
                  <c:v>5.8544265000000019E-2</c:v>
                </c:pt>
                <c:pt idx="1176">
                  <c:v>6.7301385000000033E-2</c:v>
                </c:pt>
                <c:pt idx="1177">
                  <c:v>5.7621070000000038E-2</c:v>
                </c:pt>
                <c:pt idx="1178">
                  <c:v>5.9621070000000026E-2</c:v>
                </c:pt>
                <c:pt idx="1179">
                  <c:v>6.529000500000004E-2</c:v>
                </c:pt>
                <c:pt idx="1180">
                  <c:v>6.3490880000000027E-2</c:v>
                </c:pt>
                <c:pt idx="1181">
                  <c:v>6.3849690000000014E-2</c:v>
                </c:pt>
                <c:pt idx="1182">
                  <c:v>6.3849690000000014E-2</c:v>
                </c:pt>
                <c:pt idx="1183">
                  <c:v>6.3849690000000014E-2</c:v>
                </c:pt>
                <c:pt idx="1184">
                  <c:v>6.6687470000000026E-2</c:v>
                </c:pt>
                <c:pt idx="1185">
                  <c:v>6.423727500000001E-2</c:v>
                </c:pt>
                <c:pt idx="1186">
                  <c:v>4.6874540000000013E-2</c:v>
                </c:pt>
                <c:pt idx="1187">
                  <c:v>6.5362284999999978E-2</c:v>
                </c:pt>
                <c:pt idx="1188">
                  <c:v>7.5691384999999986E-2</c:v>
                </c:pt>
                <c:pt idx="1189">
                  <c:v>7.2485624999999984E-2</c:v>
                </c:pt>
                <c:pt idx="1190">
                  <c:v>6.8090964999999976E-2</c:v>
                </c:pt>
                <c:pt idx="1191">
                  <c:v>6.2109134999999975E-2</c:v>
                </c:pt>
                <c:pt idx="1192">
                  <c:v>7.4744754999999982E-2</c:v>
                </c:pt>
                <c:pt idx="1193">
                  <c:v>6.9703174999999978E-2</c:v>
                </c:pt>
                <c:pt idx="1194">
                  <c:v>6.5065600000000001E-2</c:v>
                </c:pt>
                <c:pt idx="1195">
                  <c:v>6.7570269999999988E-2</c:v>
                </c:pt>
                <c:pt idx="1196">
                  <c:v>6.2362209999999994E-2</c:v>
                </c:pt>
                <c:pt idx="1197">
                  <c:v>7.0331245000000001E-2</c:v>
                </c:pt>
                <c:pt idx="1198">
                  <c:v>6.8635689999999999E-2</c:v>
                </c:pt>
                <c:pt idx="1199">
                  <c:v>6.7233229999999977E-2</c:v>
                </c:pt>
                <c:pt idx="1200">
                  <c:v>6.4326014999999986E-2</c:v>
                </c:pt>
                <c:pt idx="1201">
                  <c:v>6.6872500000000001E-2</c:v>
                </c:pt>
                <c:pt idx="1202">
                  <c:v>6.8226425000000007E-2</c:v>
                </c:pt>
                <c:pt idx="1203">
                  <c:v>6.6088839999999996E-2</c:v>
                </c:pt>
                <c:pt idx="1204">
                  <c:v>6.6034574999999984E-2</c:v>
                </c:pt>
                <c:pt idx="1205">
                  <c:v>6.0966769999999983E-2</c:v>
                </c:pt>
                <c:pt idx="1206">
                  <c:v>6.5932439999999981E-2</c:v>
                </c:pt>
                <c:pt idx="1207">
                  <c:v>6.1838309999999987E-2</c:v>
                </c:pt>
                <c:pt idx="1208">
                  <c:v>6.3233179999999986E-2</c:v>
                </c:pt>
                <c:pt idx="1209">
                  <c:v>6.5160175000000001E-2</c:v>
                </c:pt>
                <c:pt idx="1210">
                  <c:v>6.6856989999999977E-2</c:v>
                </c:pt>
                <c:pt idx="1211">
                  <c:v>6.7856989999999978E-2</c:v>
                </c:pt>
                <c:pt idx="1212">
                  <c:v>6.177746999999998E-2</c:v>
                </c:pt>
                <c:pt idx="1213">
                  <c:v>6.177746999999998E-2</c:v>
                </c:pt>
                <c:pt idx="1214">
                  <c:v>5.9698179999999976E-2</c:v>
                </c:pt>
                <c:pt idx="1215">
                  <c:v>6.1698179999999991E-2</c:v>
                </c:pt>
                <c:pt idx="1216">
                  <c:v>6.1698179999999991E-2</c:v>
                </c:pt>
                <c:pt idx="1217">
                  <c:v>5.7397350000000014E-2</c:v>
                </c:pt>
                <c:pt idx="1218">
                  <c:v>6.5244869999999996E-2</c:v>
                </c:pt>
                <c:pt idx="1219">
                  <c:v>6.6975784999999982E-2</c:v>
                </c:pt>
                <c:pt idx="1220">
                  <c:v>5.7800149999999988E-2</c:v>
                </c:pt>
                <c:pt idx="1221">
                  <c:v>6.0462194999999996E-2</c:v>
                </c:pt>
                <c:pt idx="1222">
                  <c:v>6.0462194999999996E-2</c:v>
                </c:pt>
                <c:pt idx="1223">
                  <c:v>6.3462194999999985E-2</c:v>
                </c:pt>
                <c:pt idx="1224">
                  <c:v>5.4199924999999982E-2</c:v>
                </c:pt>
                <c:pt idx="1225">
                  <c:v>6.2025074999999978E-2</c:v>
                </c:pt>
                <c:pt idx="1226">
                  <c:v>5.7722029999999987E-2</c:v>
                </c:pt>
                <c:pt idx="1227">
                  <c:v>5.2187770000000015E-2</c:v>
                </c:pt>
                <c:pt idx="1228">
                  <c:v>6.088668500000001E-2</c:v>
                </c:pt>
                <c:pt idx="1229">
                  <c:v>6.0871375000000019E-2</c:v>
                </c:pt>
                <c:pt idx="1230">
                  <c:v>7.4837385000000034E-2</c:v>
                </c:pt>
                <c:pt idx="1231">
                  <c:v>5.5850220000000034E-2</c:v>
                </c:pt>
                <c:pt idx="1232">
                  <c:v>5.7332955000000026E-2</c:v>
                </c:pt>
                <c:pt idx="1233">
                  <c:v>5.6727449999999985E-2</c:v>
                </c:pt>
                <c:pt idx="1234">
                  <c:v>5.5427955000000001E-2</c:v>
                </c:pt>
                <c:pt idx="1235">
                  <c:v>5.4417014999999999E-2</c:v>
                </c:pt>
                <c:pt idx="1236">
                  <c:v>5.6017015000000003E-2</c:v>
                </c:pt>
                <c:pt idx="1237">
                  <c:v>5.8017014999999991E-2</c:v>
                </c:pt>
                <c:pt idx="1238">
                  <c:v>5.8453025000000006E-2</c:v>
                </c:pt>
                <c:pt idx="1239">
                  <c:v>5.8453025000000006E-2</c:v>
                </c:pt>
                <c:pt idx="1240">
                  <c:v>5.6582900000000005E-2</c:v>
                </c:pt>
                <c:pt idx="1241">
                  <c:v>5.7582900000000006E-2</c:v>
                </c:pt>
                <c:pt idx="1242">
                  <c:v>5.8592045000000009E-2</c:v>
                </c:pt>
                <c:pt idx="1243">
                  <c:v>5.5615670000000006E-2</c:v>
                </c:pt>
                <c:pt idx="1244">
                  <c:v>5.2365224999999981E-2</c:v>
                </c:pt>
                <c:pt idx="1245">
                  <c:v>6.0665224999999982E-2</c:v>
                </c:pt>
                <c:pt idx="1246">
                  <c:v>4.9693904999999983E-2</c:v>
                </c:pt>
                <c:pt idx="1247">
                  <c:v>5.8207804999999974E-2</c:v>
                </c:pt>
                <c:pt idx="1248">
                  <c:v>6.1025689999999973E-2</c:v>
                </c:pt>
                <c:pt idx="1249">
                  <c:v>6.2725689999999973E-2</c:v>
                </c:pt>
                <c:pt idx="1250">
                  <c:v>6.2855099999999983E-2</c:v>
                </c:pt>
                <c:pt idx="1251">
                  <c:v>6.089056499999998E-2</c:v>
                </c:pt>
                <c:pt idx="1252">
                  <c:v>5.4216369999999986E-2</c:v>
                </c:pt>
                <c:pt idx="1253">
                  <c:v>5.529261000000002E-2</c:v>
                </c:pt>
                <c:pt idx="1254">
                  <c:v>6.2508850000000005E-2</c:v>
                </c:pt>
                <c:pt idx="1255">
                  <c:v>6.3692435000000019E-2</c:v>
                </c:pt>
                <c:pt idx="1256">
                  <c:v>5.6748840000000002E-2</c:v>
                </c:pt>
                <c:pt idx="1257">
                  <c:v>5.6748840000000002E-2</c:v>
                </c:pt>
                <c:pt idx="1258">
                  <c:v>5.4637764999999984E-2</c:v>
                </c:pt>
                <c:pt idx="1259">
                  <c:v>6.1083264999999991E-2</c:v>
                </c:pt>
                <c:pt idx="1260">
                  <c:v>6.4910495000000012E-2</c:v>
                </c:pt>
                <c:pt idx="1261">
                  <c:v>6.1796425000000016E-2</c:v>
                </c:pt>
                <c:pt idx="1262">
                  <c:v>6.5046450000000006E-2</c:v>
                </c:pt>
                <c:pt idx="1263">
                  <c:v>6.0226889999999998E-2</c:v>
                </c:pt>
                <c:pt idx="1264">
                  <c:v>5.8249115000000011E-2</c:v>
                </c:pt>
                <c:pt idx="1265">
                  <c:v>5.9714665000000014E-2</c:v>
                </c:pt>
                <c:pt idx="1266">
                  <c:v>5.7058689999999995E-2</c:v>
                </c:pt>
                <c:pt idx="1267">
                  <c:v>6.0983015000000002E-2</c:v>
                </c:pt>
                <c:pt idx="1268">
                  <c:v>6.5507619999999989E-2</c:v>
                </c:pt>
                <c:pt idx="1269">
                  <c:v>5.9814955000000003E-2</c:v>
                </c:pt>
                <c:pt idx="1270">
                  <c:v>6.2919780000000008E-2</c:v>
                </c:pt>
                <c:pt idx="1271">
                  <c:v>5.8535830000000004E-2</c:v>
                </c:pt>
                <c:pt idx="1272">
                  <c:v>6.4545089999999999E-2</c:v>
                </c:pt>
                <c:pt idx="1273">
                  <c:v>6.1553530000000002E-2</c:v>
                </c:pt>
                <c:pt idx="1274">
                  <c:v>5.7579350000000001E-2</c:v>
                </c:pt>
                <c:pt idx="1275">
                  <c:v>7.0098069999999998E-2</c:v>
                </c:pt>
                <c:pt idx="1276">
                  <c:v>6.0179115000000026E-2</c:v>
                </c:pt>
                <c:pt idx="1277">
                  <c:v>6.1752510000000004E-2</c:v>
                </c:pt>
                <c:pt idx="1278">
                  <c:v>6.1765225E-2</c:v>
                </c:pt>
                <c:pt idx="1279">
                  <c:v>5.8790020000000005E-2</c:v>
                </c:pt>
                <c:pt idx="1280">
                  <c:v>5.1805435000000025E-2</c:v>
                </c:pt>
                <c:pt idx="1281">
                  <c:v>6.0105435000000013E-2</c:v>
                </c:pt>
                <c:pt idx="1282">
                  <c:v>5.4842854999999989E-2</c:v>
                </c:pt>
                <c:pt idx="1283">
                  <c:v>5.8837404999999995E-2</c:v>
                </c:pt>
                <c:pt idx="1284">
                  <c:v>5.8576639999999985E-2</c:v>
                </c:pt>
                <c:pt idx="1285">
                  <c:v>5.6228330000000014E-2</c:v>
                </c:pt>
                <c:pt idx="1286">
                  <c:v>5.8167445000000012E-2</c:v>
                </c:pt>
                <c:pt idx="1287">
                  <c:v>5.7897565000000005E-2</c:v>
                </c:pt>
                <c:pt idx="1288">
                  <c:v>6.5087025000000021E-2</c:v>
                </c:pt>
                <c:pt idx="1289">
                  <c:v>5.4366445000000013E-2</c:v>
                </c:pt>
                <c:pt idx="1290">
                  <c:v>6.1638260000000028E-2</c:v>
                </c:pt>
                <c:pt idx="1291">
                  <c:v>5.7551445000000014E-2</c:v>
                </c:pt>
                <c:pt idx="1292">
                  <c:v>5.7551445000000014E-2</c:v>
                </c:pt>
                <c:pt idx="1293">
                  <c:v>6.2323795000000001E-2</c:v>
                </c:pt>
                <c:pt idx="1294">
                  <c:v>6.4486790000000016E-2</c:v>
                </c:pt>
                <c:pt idx="1295">
                  <c:v>4.8848800000000005E-2</c:v>
                </c:pt>
                <c:pt idx="1296">
                  <c:v>5.6331985000000008E-2</c:v>
                </c:pt>
                <c:pt idx="1297">
                  <c:v>5.8372269999999997E-2</c:v>
                </c:pt>
                <c:pt idx="1298">
                  <c:v>4.8129040000000019E-2</c:v>
                </c:pt>
                <c:pt idx="1299">
                  <c:v>5.6184310000000036E-2</c:v>
                </c:pt>
                <c:pt idx="1300">
                  <c:v>5.6241110000000032E-2</c:v>
                </c:pt>
                <c:pt idx="1301">
                  <c:v>5.9760785000000025E-2</c:v>
                </c:pt>
                <c:pt idx="1302">
                  <c:v>5.8926490000000005E-2</c:v>
                </c:pt>
                <c:pt idx="1303">
                  <c:v>8.5598360000000012E-2</c:v>
                </c:pt>
                <c:pt idx="1304">
                  <c:v>5.7587949999999999E-2</c:v>
                </c:pt>
                <c:pt idx="1305">
                  <c:v>6.1612810000000011E-2</c:v>
                </c:pt>
                <c:pt idx="1306">
                  <c:v>6.4007699999999987E-2</c:v>
                </c:pt>
                <c:pt idx="1307">
                  <c:v>7.0257059999999996E-2</c:v>
                </c:pt>
                <c:pt idx="1308">
                  <c:v>7.0257059999999996E-2</c:v>
                </c:pt>
                <c:pt idx="1309">
                  <c:v>6.2023050000000003E-2</c:v>
                </c:pt>
                <c:pt idx="1310">
                  <c:v>6.5023049999999999E-2</c:v>
                </c:pt>
                <c:pt idx="1311">
                  <c:v>6.4350789999999991E-2</c:v>
                </c:pt>
                <c:pt idx="1312">
                  <c:v>6.4418514999999996E-2</c:v>
                </c:pt>
                <c:pt idx="1313">
                  <c:v>6.1491279999999995E-2</c:v>
                </c:pt>
                <c:pt idx="1314">
                  <c:v>6.649128E-2</c:v>
                </c:pt>
                <c:pt idx="1315">
                  <c:v>6.4459269999999985E-2</c:v>
                </c:pt>
                <c:pt idx="1316">
                  <c:v>6.9300004999999998E-2</c:v>
                </c:pt>
                <c:pt idx="1317">
                  <c:v>6.9439550000000003E-2</c:v>
                </c:pt>
                <c:pt idx="1318">
                  <c:v>6.7269749999999989E-2</c:v>
                </c:pt>
                <c:pt idx="1319">
                  <c:v>6.4610880000000009E-2</c:v>
                </c:pt>
                <c:pt idx="1320">
                  <c:v>6.8231739999999999E-2</c:v>
                </c:pt>
                <c:pt idx="1321">
                  <c:v>6.9850440000000014E-2</c:v>
                </c:pt>
                <c:pt idx="1322">
                  <c:v>7.0536094999999965E-2</c:v>
                </c:pt>
                <c:pt idx="1323">
                  <c:v>6.7021990000000004E-2</c:v>
                </c:pt>
                <c:pt idx="1324">
                  <c:v>6.7928280000000008E-2</c:v>
                </c:pt>
                <c:pt idx="1325">
                  <c:v>6.8160725000000005E-2</c:v>
                </c:pt>
                <c:pt idx="1326">
                  <c:v>6.632094500000002E-2</c:v>
                </c:pt>
                <c:pt idx="1327">
                  <c:v>6.8553555000000016E-2</c:v>
                </c:pt>
                <c:pt idx="1328">
                  <c:v>6.9421135000000023E-2</c:v>
                </c:pt>
                <c:pt idx="1329">
                  <c:v>7.2243040000000022E-2</c:v>
                </c:pt>
                <c:pt idx="1330">
                  <c:v>6.3386500000000012E-2</c:v>
                </c:pt>
                <c:pt idx="1331">
                  <c:v>7.3414615000000016E-2</c:v>
                </c:pt>
                <c:pt idx="1332">
                  <c:v>6.5444130000000017E-2</c:v>
                </c:pt>
                <c:pt idx="1333">
                  <c:v>6.1973830000000008E-2</c:v>
                </c:pt>
                <c:pt idx="1334">
                  <c:v>7.0613869999999995E-2</c:v>
                </c:pt>
                <c:pt idx="1335">
                  <c:v>6.9642435000000016E-2</c:v>
                </c:pt>
                <c:pt idx="1336">
                  <c:v>7.1724595000000016E-2</c:v>
                </c:pt>
                <c:pt idx="1337">
                  <c:v>6.7811185000000024E-2</c:v>
                </c:pt>
                <c:pt idx="1338">
                  <c:v>6.3027210000000028E-2</c:v>
                </c:pt>
                <c:pt idx="1339">
                  <c:v>6.8027210000000032E-2</c:v>
                </c:pt>
                <c:pt idx="1340">
                  <c:v>6.8603990000000031E-2</c:v>
                </c:pt>
                <c:pt idx="1341">
                  <c:v>6.860307000000003E-2</c:v>
                </c:pt>
                <c:pt idx="1342">
                  <c:v>7.1103070000000032E-2</c:v>
                </c:pt>
                <c:pt idx="1343">
                  <c:v>6.5606810000000015E-2</c:v>
                </c:pt>
                <c:pt idx="1344">
                  <c:v>6.6676159999999998E-2</c:v>
                </c:pt>
                <c:pt idx="1345">
                  <c:v>6.8181864999999994E-2</c:v>
                </c:pt>
                <c:pt idx="1346">
                  <c:v>7.3682205000000001E-2</c:v>
                </c:pt>
                <c:pt idx="1347">
                  <c:v>7.3799139999999985E-2</c:v>
                </c:pt>
                <c:pt idx="1348">
                  <c:v>7.503451999999998E-2</c:v>
                </c:pt>
                <c:pt idx="1349">
                  <c:v>6.8551674999999965E-2</c:v>
                </c:pt>
                <c:pt idx="1350">
                  <c:v>6.9851674999999974E-2</c:v>
                </c:pt>
                <c:pt idx="1351">
                  <c:v>6.8208814999999964E-2</c:v>
                </c:pt>
                <c:pt idx="1352">
                  <c:v>7.5108814999999968E-2</c:v>
                </c:pt>
                <c:pt idx="1353">
                  <c:v>6.9183029999999979E-2</c:v>
                </c:pt>
                <c:pt idx="1354">
                  <c:v>6.6196484999999972E-2</c:v>
                </c:pt>
                <c:pt idx="1355">
                  <c:v>7.6196484999999967E-2</c:v>
                </c:pt>
                <c:pt idx="1356">
                  <c:v>7.5212174999999978E-2</c:v>
                </c:pt>
                <c:pt idx="1357">
                  <c:v>6.8357589999999982E-2</c:v>
                </c:pt>
                <c:pt idx="1358">
                  <c:v>7.375758999999997E-2</c:v>
                </c:pt>
                <c:pt idx="1359">
                  <c:v>6.6279294999999974E-2</c:v>
                </c:pt>
                <c:pt idx="1360">
                  <c:v>6.9279294999999977E-2</c:v>
                </c:pt>
                <c:pt idx="1361">
                  <c:v>7.3779294999999967E-2</c:v>
                </c:pt>
                <c:pt idx="1362">
                  <c:v>7.3779294999999967E-2</c:v>
                </c:pt>
                <c:pt idx="1363">
                  <c:v>7.4279294999999981E-2</c:v>
                </c:pt>
                <c:pt idx="1364">
                  <c:v>7.5279294999999982E-2</c:v>
                </c:pt>
                <c:pt idx="1365">
                  <c:v>7.5779294999999969E-2</c:v>
                </c:pt>
                <c:pt idx="1366">
                  <c:v>7.3303039999999972E-2</c:v>
                </c:pt>
                <c:pt idx="1367">
                  <c:v>6.9378419999999982E-2</c:v>
                </c:pt>
                <c:pt idx="1368">
                  <c:v>6.8537244999999983E-2</c:v>
                </c:pt>
                <c:pt idx="1369">
                  <c:v>6.8537244999999983E-2</c:v>
                </c:pt>
                <c:pt idx="1370">
                  <c:v>6.8537244999999983E-2</c:v>
                </c:pt>
                <c:pt idx="1371">
                  <c:v>6.7580479999999984E-2</c:v>
                </c:pt>
                <c:pt idx="1372">
                  <c:v>6.7580479999999984E-2</c:v>
                </c:pt>
                <c:pt idx="1373">
                  <c:v>7.3557929999999994E-2</c:v>
                </c:pt>
                <c:pt idx="1374">
                  <c:v>6.8964145000000004E-2</c:v>
                </c:pt>
                <c:pt idx="1375">
                  <c:v>7.1426750000000011E-2</c:v>
                </c:pt>
                <c:pt idx="1376">
                  <c:v>6.4181995000000019E-2</c:v>
                </c:pt>
                <c:pt idx="1377">
                  <c:v>6.898723000000001E-2</c:v>
                </c:pt>
                <c:pt idx="1378">
                  <c:v>6.9003260000000011E-2</c:v>
                </c:pt>
                <c:pt idx="1379">
                  <c:v>7.3397290000000004E-2</c:v>
                </c:pt>
                <c:pt idx="1380">
                  <c:v>7.2203609999999988E-2</c:v>
                </c:pt>
                <c:pt idx="1381">
                  <c:v>6.0179709999999997E-2</c:v>
                </c:pt>
                <c:pt idx="1382">
                  <c:v>6.9977524999999999E-2</c:v>
                </c:pt>
                <c:pt idx="1383">
                  <c:v>6.7264499999999991E-2</c:v>
                </c:pt>
                <c:pt idx="1384">
                  <c:v>6.7708074999999993E-2</c:v>
                </c:pt>
                <c:pt idx="1385">
                  <c:v>6.2852879999999972E-2</c:v>
                </c:pt>
                <c:pt idx="1386">
                  <c:v>6.6862054999999976E-2</c:v>
                </c:pt>
                <c:pt idx="1387">
                  <c:v>5.9897104999999971E-2</c:v>
                </c:pt>
                <c:pt idx="1388">
                  <c:v>6.936217499999997E-2</c:v>
                </c:pt>
                <c:pt idx="1389">
                  <c:v>6.9862174999999971E-2</c:v>
                </c:pt>
                <c:pt idx="1390">
                  <c:v>6.8948879999999976E-2</c:v>
                </c:pt>
                <c:pt idx="1391">
                  <c:v>6.3186154999999994E-2</c:v>
                </c:pt>
                <c:pt idx="1392">
                  <c:v>6.7931809999999995E-2</c:v>
                </c:pt>
                <c:pt idx="1393">
                  <c:v>6.5582794999999999E-2</c:v>
                </c:pt>
                <c:pt idx="1394">
                  <c:v>6.5488515000000025E-2</c:v>
                </c:pt>
                <c:pt idx="1395">
                  <c:v>6.7814404999999994E-2</c:v>
                </c:pt>
                <c:pt idx="1396">
                  <c:v>6.0274310000000011E-2</c:v>
                </c:pt>
                <c:pt idx="1397">
                  <c:v>6.7232899999999998E-2</c:v>
                </c:pt>
                <c:pt idx="1398">
                  <c:v>5.2351720000000011E-2</c:v>
                </c:pt>
                <c:pt idx="1399">
                  <c:v>6.2651720000000022E-2</c:v>
                </c:pt>
                <c:pt idx="1400">
                  <c:v>6.251244000000003E-2</c:v>
                </c:pt>
                <c:pt idx="1401">
                  <c:v>6.4480730000000014E-2</c:v>
                </c:pt>
                <c:pt idx="1402">
                  <c:v>6.4480730000000014E-2</c:v>
                </c:pt>
                <c:pt idx="1403">
                  <c:v>6.6180730000000021E-2</c:v>
                </c:pt>
                <c:pt idx="1404">
                  <c:v>5.9948090000000016E-2</c:v>
                </c:pt>
                <c:pt idx="1405">
                  <c:v>7.4448089999999995E-2</c:v>
                </c:pt>
                <c:pt idx="1406">
                  <c:v>5.2113670000000015E-2</c:v>
                </c:pt>
                <c:pt idx="1407">
                  <c:v>6.2913670000000019E-2</c:v>
                </c:pt>
                <c:pt idx="1408">
                  <c:v>6.6380145000000029E-2</c:v>
                </c:pt>
                <c:pt idx="1409">
                  <c:v>5.9626680000000022E-2</c:v>
                </c:pt>
                <c:pt idx="1410">
                  <c:v>5.5172580000000027E-2</c:v>
                </c:pt>
                <c:pt idx="1411">
                  <c:v>6.0573480000000027E-2</c:v>
                </c:pt>
                <c:pt idx="1412">
                  <c:v>5.8327980000000029E-2</c:v>
                </c:pt>
                <c:pt idx="1413">
                  <c:v>5.6736695000000018E-2</c:v>
                </c:pt>
                <c:pt idx="1414">
                  <c:v>6.2336695000000025E-2</c:v>
                </c:pt>
                <c:pt idx="1415">
                  <c:v>5.9734574999999991E-2</c:v>
                </c:pt>
                <c:pt idx="1416">
                  <c:v>6.0970559999999979E-2</c:v>
                </c:pt>
                <c:pt idx="1417">
                  <c:v>6.0194919999999957E-2</c:v>
                </c:pt>
                <c:pt idx="1418">
                  <c:v>6.7269474999999981E-2</c:v>
                </c:pt>
                <c:pt idx="1419">
                  <c:v>5.9089574999999971E-2</c:v>
                </c:pt>
                <c:pt idx="1420">
                  <c:v>5.9813594999999962E-2</c:v>
                </c:pt>
                <c:pt idx="1421">
                  <c:v>6.3198639999999959E-2</c:v>
                </c:pt>
                <c:pt idx="1422">
                  <c:v>6.1390649999999977E-2</c:v>
                </c:pt>
                <c:pt idx="1423">
                  <c:v>5.8468879999999959E-2</c:v>
                </c:pt>
                <c:pt idx="1424">
                  <c:v>6.299769999999999E-2</c:v>
                </c:pt>
                <c:pt idx="1425">
                  <c:v>6.1838919999999985E-2</c:v>
                </c:pt>
                <c:pt idx="1426">
                  <c:v>6.0431929999999981E-2</c:v>
                </c:pt>
                <c:pt idx="1427">
                  <c:v>6.2582399999999982E-2</c:v>
                </c:pt>
                <c:pt idx="1428">
                  <c:v>6.0869054999999991E-2</c:v>
                </c:pt>
                <c:pt idx="1429">
                  <c:v>6.742271499999998E-2</c:v>
                </c:pt>
                <c:pt idx="1430">
                  <c:v>6.3549734999999996E-2</c:v>
                </c:pt>
                <c:pt idx="1431">
                  <c:v>6.1899120000000023E-2</c:v>
                </c:pt>
                <c:pt idx="1432">
                  <c:v>6.8299120000000019E-2</c:v>
                </c:pt>
                <c:pt idx="1433">
                  <c:v>6.8463190000000007E-2</c:v>
                </c:pt>
                <c:pt idx="1434">
                  <c:v>6.373026499999998E-2</c:v>
                </c:pt>
                <c:pt idx="1435">
                  <c:v>6.8730264999999985E-2</c:v>
                </c:pt>
                <c:pt idx="1436">
                  <c:v>6.3742804999999986E-2</c:v>
                </c:pt>
                <c:pt idx="1437">
                  <c:v>5.9585699999999991E-2</c:v>
                </c:pt>
                <c:pt idx="1438">
                  <c:v>5.9585699999999991E-2</c:v>
                </c:pt>
                <c:pt idx="1439">
                  <c:v>6.7829849999999983E-2</c:v>
                </c:pt>
                <c:pt idx="1440">
                  <c:v>6.917901999999998E-2</c:v>
                </c:pt>
                <c:pt idx="1441">
                  <c:v>5.9025975000000001E-2</c:v>
                </c:pt>
                <c:pt idx="1442">
                  <c:v>6.5664594999999992E-2</c:v>
                </c:pt>
                <c:pt idx="1443">
                  <c:v>6.3612950000000001E-2</c:v>
                </c:pt>
                <c:pt idx="1444">
                  <c:v>6.7921369999999995E-2</c:v>
                </c:pt>
                <c:pt idx="1445">
                  <c:v>6.7700895000000011E-2</c:v>
                </c:pt>
                <c:pt idx="1446">
                  <c:v>6.5427965000000005E-2</c:v>
                </c:pt>
                <c:pt idx="1447">
                  <c:v>6.7672275000000018E-2</c:v>
                </c:pt>
                <c:pt idx="1448">
                  <c:v>7.3306684999999983E-2</c:v>
                </c:pt>
                <c:pt idx="1449">
                  <c:v>6.6725709999999994E-2</c:v>
                </c:pt>
                <c:pt idx="1450">
                  <c:v>6.7474019999999996E-2</c:v>
                </c:pt>
                <c:pt idx="1451">
                  <c:v>6.9197244999999991E-2</c:v>
                </c:pt>
                <c:pt idx="1452">
                  <c:v>6.1793374999999991E-2</c:v>
                </c:pt>
                <c:pt idx="1453">
                  <c:v>6.1793374999999991E-2</c:v>
                </c:pt>
                <c:pt idx="1454">
                  <c:v>6.7088680000000012E-2</c:v>
                </c:pt>
                <c:pt idx="1455">
                  <c:v>6.5095465000000019E-2</c:v>
                </c:pt>
                <c:pt idx="1456">
                  <c:v>6.188687000000001E-2</c:v>
                </c:pt>
                <c:pt idx="1457">
                  <c:v>7.1202905000000011E-2</c:v>
                </c:pt>
                <c:pt idx="1458">
                  <c:v>7.4202905000000013E-2</c:v>
                </c:pt>
                <c:pt idx="1459">
                  <c:v>7.1042525000000009E-2</c:v>
                </c:pt>
                <c:pt idx="1460">
                  <c:v>6.2382845000000006E-2</c:v>
                </c:pt>
                <c:pt idx="1461">
                  <c:v>6.2382845000000006E-2</c:v>
                </c:pt>
                <c:pt idx="1462">
                  <c:v>7.3969395000000007E-2</c:v>
                </c:pt>
                <c:pt idx="1463">
                  <c:v>6.6948585000000005E-2</c:v>
                </c:pt>
                <c:pt idx="1464">
                  <c:v>6.7921254999999986E-2</c:v>
                </c:pt>
                <c:pt idx="1465">
                  <c:v>6.5910090000000005E-2</c:v>
                </c:pt>
                <c:pt idx="1466">
                  <c:v>6.573467999999999E-2</c:v>
                </c:pt>
                <c:pt idx="1467">
                  <c:v>6.5620564999999992E-2</c:v>
                </c:pt>
                <c:pt idx="1468">
                  <c:v>6.8138284999999993E-2</c:v>
                </c:pt>
                <c:pt idx="1469">
                  <c:v>6.9409709999999986E-2</c:v>
                </c:pt>
                <c:pt idx="1470">
                  <c:v>6.9670514999999988E-2</c:v>
                </c:pt>
                <c:pt idx="1471">
                  <c:v>6.9475629999999997E-2</c:v>
                </c:pt>
                <c:pt idx="1472">
                  <c:v>6.6836815000000008E-2</c:v>
                </c:pt>
                <c:pt idx="1473">
                  <c:v>6.2158024999999999E-2</c:v>
                </c:pt>
                <c:pt idx="1474">
                  <c:v>6.2158024999999999E-2</c:v>
                </c:pt>
                <c:pt idx="1475">
                  <c:v>7.2693325000000017E-2</c:v>
                </c:pt>
                <c:pt idx="1476">
                  <c:v>7.1891444999999998E-2</c:v>
                </c:pt>
                <c:pt idx="1477">
                  <c:v>6.8675100000000003E-2</c:v>
                </c:pt>
                <c:pt idx="1478">
                  <c:v>7.1335590000000004E-2</c:v>
                </c:pt>
                <c:pt idx="1479">
                  <c:v>6.90635E-2</c:v>
                </c:pt>
                <c:pt idx="1480">
                  <c:v>7.4239220000000022E-2</c:v>
                </c:pt>
                <c:pt idx="1481">
                  <c:v>7.0436410000000019E-2</c:v>
                </c:pt>
                <c:pt idx="1482">
                  <c:v>7.3702835000000022E-2</c:v>
                </c:pt>
                <c:pt idx="1483">
                  <c:v>7.3176205000000008E-2</c:v>
                </c:pt>
                <c:pt idx="1484">
                  <c:v>7.0162245000000012E-2</c:v>
                </c:pt>
                <c:pt idx="1485">
                  <c:v>7.0606835000000007E-2</c:v>
                </c:pt>
                <c:pt idx="1486">
                  <c:v>7.5038110000000005E-2</c:v>
                </c:pt>
                <c:pt idx="1487">
                  <c:v>8.040650000000002E-2</c:v>
                </c:pt>
                <c:pt idx="1488">
                  <c:v>7.4859375000000006E-2</c:v>
                </c:pt>
                <c:pt idx="1489">
                  <c:v>6.1196645000000008E-2</c:v>
                </c:pt>
                <c:pt idx="1490">
                  <c:v>6.1196645000000008E-2</c:v>
                </c:pt>
                <c:pt idx="1491">
                  <c:v>7.5779749999999993E-2</c:v>
                </c:pt>
                <c:pt idx="1492">
                  <c:v>7.0712070000000002E-2</c:v>
                </c:pt>
                <c:pt idx="1493">
                  <c:v>6.5661355000000005E-2</c:v>
                </c:pt>
                <c:pt idx="1494">
                  <c:v>6.4597505E-2</c:v>
                </c:pt>
                <c:pt idx="1495">
                  <c:v>6.8297504999999994E-2</c:v>
                </c:pt>
                <c:pt idx="1496">
                  <c:v>7.0535120000000007E-2</c:v>
                </c:pt>
                <c:pt idx="1497">
                  <c:v>7.3535120000000009E-2</c:v>
                </c:pt>
                <c:pt idx="1498">
                  <c:v>6.9451075000000001E-2</c:v>
                </c:pt>
                <c:pt idx="1499">
                  <c:v>6.8650664999999972E-2</c:v>
                </c:pt>
                <c:pt idx="1500">
                  <c:v>6.4060819999999977E-2</c:v>
                </c:pt>
                <c:pt idx="1501">
                  <c:v>7.4968409999999985E-2</c:v>
                </c:pt>
                <c:pt idx="1502">
                  <c:v>6.9751414999999983E-2</c:v>
                </c:pt>
                <c:pt idx="1503">
                  <c:v>6.9643070000000001E-2</c:v>
                </c:pt>
                <c:pt idx="1504">
                  <c:v>7.1108400000000016E-2</c:v>
                </c:pt>
                <c:pt idx="1505">
                  <c:v>7.4572835000000004E-2</c:v>
                </c:pt>
                <c:pt idx="1506">
                  <c:v>6.7631364999999999E-2</c:v>
                </c:pt>
                <c:pt idx="1507">
                  <c:v>6.8180790000000005E-2</c:v>
                </c:pt>
                <c:pt idx="1508">
                  <c:v>7.5359325000000005E-2</c:v>
                </c:pt>
                <c:pt idx="1509">
                  <c:v>6.6637370000000001E-2</c:v>
                </c:pt>
                <c:pt idx="1510">
                  <c:v>6.7424175000000017E-2</c:v>
                </c:pt>
                <c:pt idx="1511">
                  <c:v>6.711652500000001E-2</c:v>
                </c:pt>
                <c:pt idx="1512">
                  <c:v>6.3888735000000002E-2</c:v>
                </c:pt>
                <c:pt idx="1513">
                  <c:v>6.671775499999999E-2</c:v>
                </c:pt>
                <c:pt idx="1514">
                  <c:v>6.8620629999999988E-2</c:v>
                </c:pt>
                <c:pt idx="1515">
                  <c:v>6.758808999999999E-2</c:v>
                </c:pt>
                <c:pt idx="1516">
                  <c:v>6.8028069999999968E-2</c:v>
                </c:pt>
                <c:pt idx="1517">
                  <c:v>6.8028069999999968E-2</c:v>
                </c:pt>
                <c:pt idx="1518">
                  <c:v>6.5543554999999976E-2</c:v>
                </c:pt>
                <c:pt idx="1519">
                  <c:v>7.0308670000000004E-2</c:v>
                </c:pt>
                <c:pt idx="1520">
                  <c:v>6.6698615000000003E-2</c:v>
                </c:pt>
                <c:pt idx="1521">
                  <c:v>6.8759910000000007E-2</c:v>
                </c:pt>
                <c:pt idx="1522">
                  <c:v>6.5897270000000008E-2</c:v>
                </c:pt>
                <c:pt idx="1523">
                  <c:v>7.2909835000000006E-2</c:v>
                </c:pt>
                <c:pt idx="1524">
                  <c:v>7.3409835000000007E-2</c:v>
                </c:pt>
                <c:pt idx="1525">
                  <c:v>7.3909835000000007E-2</c:v>
                </c:pt>
                <c:pt idx="1526">
                  <c:v>7.3481589999999999E-2</c:v>
                </c:pt>
                <c:pt idx="1527">
                  <c:v>9.0561485000000011E-2</c:v>
                </c:pt>
                <c:pt idx="1528">
                  <c:v>7.120135000000001E-2</c:v>
                </c:pt>
                <c:pt idx="1529">
                  <c:v>7.120135000000001E-2</c:v>
                </c:pt>
                <c:pt idx="1530">
                  <c:v>6.623498500000001E-2</c:v>
                </c:pt>
                <c:pt idx="1531">
                  <c:v>5.525152500000001E-2</c:v>
                </c:pt>
                <c:pt idx="1532">
                  <c:v>5.525152500000001E-2</c:v>
                </c:pt>
                <c:pt idx="1533">
                  <c:v>6.9267135000000007E-2</c:v>
                </c:pt>
                <c:pt idx="1534">
                  <c:v>6.7361160000000003E-2</c:v>
                </c:pt>
                <c:pt idx="1535">
                  <c:v>6.7861160000000004E-2</c:v>
                </c:pt>
                <c:pt idx="1536">
                  <c:v>6.6408605000000009E-2</c:v>
                </c:pt>
                <c:pt idx="1537">
                  <c:v>6.7237870000000005E-2</c:v>
                </c:pt>
                <c:pt idx="1538">
                  <c:v>6.2453305000000008E-2</c:v>
                </c:pt>
                <c:pt idx="1539">
                  <c:v>6.6517260000000022E-2</c:v>
                </c:pt>
                <c:pt idx="1540">
                  <c:v>6.6630935000000016E-2</c:v>
                </c:pt>
                <c:pt idx="1541">
                  <c:v>6.8629805000000002E-2</c:v>
                </c:pt>
                <c:pt idx="1542">
                  <c:v>6.4622900000000025E-2</c:v>
                </c:pt>
                <c:pt idx="1543">
                  <c:v>7.1413105000000004E-2</c:v>
                </c:pt>
                <c:pt idx="1544">
                  <c:v>7.049726000000002E-2</c:v>
                </c:pt>
                <c:pt idx="1545">
                  <c:v>6.3859835000000004E-2</c:v>
                </c:pt>
                <c:pt idx="1546">
                  <c:v>6.1324125E-2</c:v>
                </c:pt>
                <c:pt idx="1547">
                  <c:v>7.1186329999999992E-2</c:v>
                </c:pt>
                <c:pt idx="1548">
                  <c:v>7.0082869999999978E-2</c:v>
                </c:pt>
                <c:pt idx="1549">
                  <c:v>6.8377964999999971E-2</c:v>
                </c:pt>
                <c:pt idx="1550">
                  <c:v>6.3559424999999975E-2</c:v>
                </c:pt>
                <c:pt idx="1551">
                  <c:v>7.1059424999999982E-2</c:v>
                </c:pt>
                <c:pt idx="1552">
                  <c:v>6.5975539999999971E-2</c:v>
                </c:pt>
                <c:pt idx="1553">
                  <c:v>7.0106794999999972E-2</c:v>
                </c:pt>
                <c:pt idx="1554">
                  <c:v>6.5593989999999991E-2</c:v>
                </c:pt>
                <c:pt idx="1555">
                  <c:v>5.8418600000000001E-2</c:v>
                </c:pt>
                <c:pt idx="1556">
                  <c:v>6.5329509999999993E-2</c:v>
                </c:pt>
                <c:pt idx="1557">
                  <c:v>6.9329509999999997E-2</c:v>
                </c:pt>
                <c:pt idx="1558">
                  <c:v>6.3791810000000004E-2</c:v>
                </c:pt>
                <c:pt idx="1559">
                  <c:v>6.5281365000000008E-2</c:v>
                </c:pt>
                <c:pt idx="1560">
                  <c:v>6.5360754999999993E-2</c:v>
                </c:pt>
                <c:pt idx="1561">
                  <c:v>6.6967094999999977E-2</c:v>
                </c:pt>
                <c:pt idx="1562">
                  <c:v>6.2739394999999976E-2</c:v>
                </c:pt>
                <c:pt idx="1563">
                  <c:v>6.5434749999999986E-2</c:v>
                </c:pt>
                <c:pt idx="1564">
                  <c:v>6.9717124999999991E-2</c:v>
                </c:pt>
                <c:pt idx="1565">
                  <c:v>6.7629644999999988E-2</c:v>
                </c:pt>
                <c:pt idx="1566">
                  <c:v>6.724422999999996E-2</c:v>
                </c:pt>
                <c:pt idx="1567">
                  <c:v>6.9544229999999985E-2</c:v>
                </c:pt>
                <c:pt idx="1568">
                  <c:v>6.2527169999999993E-2</c:v>
                </c:pt>
                <c:pt idx="1569">
                  <c:v>6.7909584999999967E-2</c:v>
                </c:pt>
                <c:pt idx="1570">
                  <c:v>6.4971854999999995E-2</c:v>
                </c:pt>
                <c:pt idx="1571">
                  <c:v>6.8825264999999997E-2</c:v>
                </c:pt>
                <c:pt idx="1572">
                  <c:v>5.5800509999999984E-2</c:v>
                </c:pt>
                <c:pt idx="1573">
                  <c:v>5.5514414999999991E-2</c:v>
                </c:pt>
                <c:pt idx="1574">
                  <c:v>6.1608180000000012E-2</c:v>
                </c:pt>
                <c:pt idx="1575">
                  <c:v>6.3608914999999988E-2</c:v>
                </c:pt>
                <c:pt idx="1576">
                  <c:v>6.7015059999999987E-2</c:v>
                </c:pt>
                <c:pt idx="1577">
                  <c:v>6.5115559999999989E-2</c:v>
                </c:pt>
                <c:pt idx="1578">
                  <c:v>6.1617870000000005E-2</c:v>
                </c:pt>
                <c:pt idx="1579">
                  <c:v>6.8645800000000007E-2</c:v>
                </c:pt>
                <c:pt idx="1580">
                  <c:v>6.6294709999999993E-2</c:v>
                </c:pt>
                <c:pt idx="1581">
                  <c:v>6.4802769999999996E-2</c:v>
                </c:pt>
                <c:pt idx="1582">
                  <c:v>5.8803894999999981E-2</c:v>
                </c:pt>
                <c:pt idx="1583">
                  <c:v>6.2803894999999985E-2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35-4B70-9BF0-38D17B854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86240"/>
        <c:axId val="190188160"/>
      </c:scatterChart>
      <c:valAx>
        <c:axId val="19018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Treasury Yield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90188160"/>
        <c:crosses val="autoZero"/>
        <c:crossBetween val="midCat"/>
      </c:valAx>
      <c:valAx>
        <c:axId val="190188160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Equity Risk Premium</a:t>
                </a:r>
              </a:p>
            </c:rich>
          </c:tx>
          <c:layout>
            <c:manualLayout>
              <c:xMode val="edge"/>
              <c:yMode val="edge"/>
              <c:x val="9.0350685331000297E-3"/>
              <c:y val="0.36384951881014882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9018624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800"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>
      <c:oddHeader>&amp;R&amp;"Arial,Regular"&amp;10PNM Exhibit RBH-9
Page &amp;P of 20</c:oddHeader>
    </c:headerFooter>
    <c:pageMargins b="0.75000000000000022" l="0.70000000000000018" r="0.70000000000000018" t="0.75000000000000022" header="0.3000000000000001" footer="0.3000000000000001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 w="12700">
              <a:solidFill>
                <a:schemeClr val="tx1"/>
              </a:solidFill>
            </a:ln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453-4F0A-922B-C619F5D7B2F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453-4F0A-922B-C619F5D7B2FC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453-4F0A-922B-C619F5D7B2F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453-4F0A-922B-C619F5D7B2FC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453-4F0A-922B-C619F5D7B2FC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453-4F0A-922B-C619F5D7B2FC}"/>
              </c:ext>
            </c:extLst>
          </c:dPt>
          <c:dPt>
            <c:idx val="21"/>
            <c:invertIfNegative val="0"/>
            <c:bubble3D val="0"/>
            <c:spPr>
              <a:solidFill>
                <a:sysClr val="window" lastClr="FFFFFF"/>
              </a:solidFill>
              <a:ln w="12700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88FB-4055-A164-436E00D3DBF6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453-4F0A-922B-C619F5D7B2FC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AF9-4E1A-B9ED-D100AF2A48EB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'RBH-9 Capital Expenditures'!$H$30:$H$53</c:f>
              <c:strCache>
                <c:ptCount val="24"/>
                <c:pt idx="0">
                  <c:v>POR</c:v>
                </c:pt>
                <c:pt idx="1">
                  <c:v>EVRG</c:v>
                </c:pt>
                <c:pt idx="2">
                  <c:v>OGE</c:v>
                </c:pt>
                <c:pt idx="3">
                  <c:v>NWE</c:v>
                </c:pt>
                <c:pt idx="4">
                  <c:v>SO</c:v>
                </c:pt>
                <c:pt idx="5">
                  <c:v>ED</c:v>
                </c:pt>
                <c:pt idx="6">
                  <c:v>PNW</c:v>
                </c:pt>
                <c:pt idx="7">
                  <c:v>PNM</c:v>
                </c:pt>
                <c:pt idx="8">
                  <c:v>EE</c:v>
                </c:pt>
                <c:pt idx="9">
                  <c:v>HE</c:v>
                </c:pt>
                <c:pt idx="10">
                  <c:v>AGR</c:v>
                </c:pt>
                <c:pt idx="11">
                  <c:v>ALE</c:v>
                </c:pt>
                <c:pt idx="12">
                  <c:v>DUK</c:v>
                </c:pt>
                <c:pt idx="13">
                  <c:v>XEL</c:v>
                </c:pt>
                <c:pt idx="14">
                  <c:v>BKH</c:v>
                </c:pt>
                <c:pt idx="15">
                  <c:v>ES</c:v>
                </c:pt>
                <c:pt idx="16">
                  <c:v>AEE</c:v>
                </c:pt>
                <c:pt idx="17">
                  <c:v>CMS</c:v>
                </c:pt>
                <c:pt idx="18">
                  <c:v>LNT</c:v>
                </c:pt>
                <c:pt idx="19">
                  <c:v>WEC</c:v>
                </c:pt>
                <c:pt idx="20">
                  <c:v>DTE</c:v>
                </c:pt>
                <c:pt idx="21">
                  <c:v>AEP Texas</c:v>
                </c:pt>
                <c:pt idx="22">
                  <c:v>NEE</c:v>
                </c:pt>
                <c:pt idx="23">
                  <c:v>OTTR</c:v>
                </c:pt>
              </c:strCache>
            </c:strRef>
          </c:cat>
          <c:val>
            <c:numRef>
              <c:f>'RBH-9 Capital Expenditures'!$I$30:$I$53</c:f>
              <c:numCache>
                <c:formatCode>0.00%</c:formatCode>
                <c:ptCount val="24"/>
                <c:pt idx="0">
                  <c:v>0.19351493598862021</c:v>
                </c:pt>
                <c:pt idx="1">
                  <c:v>0.20246411988180665</c:v>
                </c:pt>
                <c:pt idx="2">
                  <c:v>0.2090845461486846</c:v>
                </c:pt>
                <c:pt idx="3">
                  <c:v>0.21855543113101905</c:v>
                </c:pt>
                <c:pt idx="4">
                  <c:v>0.24893034825870647</c:v>
                </c:pt>
                <c:pt idx="5">
                  <c:v>0.25622754491017963</c:v>
                </c:pt>
                <c:pt idx="6">
                  <c:v>0.26509413854351688</c:v>
                </c:pt>
                <c:pt idx="7">
                  <c:v>0.27496934865900385</c:v>
                </c:pt>
                <c:pt idx="8">
                  <c:v>0.28399837398373984</c:v>
                </c:pt>
                <c:pt idx="9">
                  <c:v>0.28477206595538312</c:v>
                </c:pt>
                <c:pt idx="10">
                  <c:v>0.29717683557394003</c:v>
                </c:pt>
                <c:pt idx="11">
                  <c:v>0.30403519106648907</c:v>
                </c:pt>
                <c:pt idx="12">
                  <c:v>0.3111712975451848</c:v>
                </c:pt>
                <c:pt idx="13">
                  <c:v>0.31468660774982998</c:v>
                </c:pt>
                <c:pt idx="14">
                  <c:v>0.31903209109730846</c:v>
                </c:pt>
                <c:pt idx="15">
                  <c:v>0.33350365048543684</c:v>
                </c:pt>
                <c:pt idx="16">
                  <c:v>0.35036716352476982</c:v>
                </c:pt>
                <c:pt idx="17">
                  <c:v>0.37663025488248919</c:v>
                </c:pt>
                <c:pt idx="18">
                  <c:v>0.379593965655593</c:v>
                </c:pt>
                <c:pt idx="19">
                  <c:v>0.39148902322621698</c:v>
                </c:pt>
                <c:pt idx="20">
                  <c:v>0.40180138568129331</c:v>
                </c:pt>
                <c:pt idx="21">
                  <c:v>0.42185701964837202</c:v>
                </c:pt>
                <c:pt idx="22">
                  <c:v>0.42710851081980267</c:v>
                </c:pt>
                <c:pt idx="23">
                  <c:v>0.46049427613686678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53-4F0A-922B-C619F5D7B2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28250736"/>
        <c:axId val="728249952"/>
      </c:barChart>
      <c:catAx>
        <c:axId val="728250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728249952"/>
        <c:crosses val="autoZero"/>
        <c:auto val="1"/>
        <c:lblAlgn val="ctr"/>
        <c:lblOffset val="100"/>
        <c:noMultiLvlLbl val="0"/>
      </c:catAx>
      <c:valAx>
        <c:axId val="72824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ash"/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  <a:prstDash val="sysDot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28250736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800" b="0" i="0" u="none" strike="noStrike" baseline="0">
          <a:solidFill>
            <a:schemeClr val="tx1">
              <a:lumMod val="65000"/>
              <a:lumOff val="35000"/>
            </a:schemeClr>
          </a:solidFill>
          <a:latin typeface="+mn-lt"/>
          <a:ea typeface="Arial"/>
          <a:cs typeface="Arial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156882</xdr:rowOff>
    </xdr:from>
    <xdr:to>
      <xdr:col>6</xdr:col>
      <xdr:colOff>470647</xdr:colOff>
      <xdr:row>27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CA196-AE8F-4DDB-918F-17AF0B9CF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285749</xdr:colOff>
      <xdr:row>4</xdr:row>
      <xdr:rowOff>3607</xdr:rowOff>
    </xdr:from>
    <xdr:to>
      <xdr:col>3</xdr:col>
      <xdr:colOff>698499</xdr:colOff>
      <xdr:row>21</xdr:row>
      <xdr:rowOff>48057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CEDC0-15DF-4EDD-A6F1-2FE5A5AFB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isk_Prem2" displayName="Risk_Prem2" ref="D45:G1631" totalsRowShown="0" headerRowDxfId="6" dataDxfId="4" headerRowBorderDxfId="5" headerRowCellStyle="Normal 2 2 9 4 4">
  <autoFilter ref="D45:G1631">
    <filterColumn colId="0" hiddenButton="1"/>
    <filterColumn colId="1" hiddenButton="1"/>
    <filterColumn colId="2" hiddenButton="1"/>
    <filterColumn colId="3" hiddenButton="1"/>
  </autoFilter>
  <tableColumns count="4">
    <tableColumn id="1" name="Date of Electric Rate Case" dataDxfId="3" dataCellStyle="Percent 10"/>
    <tableColumn id="2" name="Return on Equity" dataDxfId="2" dataCellStyle="Percent"/>
    <tableColumn id="3" name="30-Year Treasury Yield" dataDxfId="1" dataCellStyle="Percent"/>
    <tableColumn id="4" name="Risk Premium" dataDxfId="0" dataCellStyle="Percent 2 2 10">
      <calculatedColumnFormula>E46-F46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C140"/>
  <sheetViews>
    <sheetView view="pageLayout" topLeftCell="G13" zoomScaleNormal="100" zoomScaleSheetLayoutView="85" workbookViewId="0">
      <selection activeCell="P3" sqref="P3"/>
    </sheetView>
  </sheetViews>
  <sheetFormatPr defaultColWidth="10.42578125" defaultRowHeight="12.75" x14ac:dyDescent="0.2"/>
  <cols>
    <col min="1" max="1" width="7.5703125" style="1" customWidth="1"/>
    <col min="2" max="2" width="39.7109375" style="2" customWidth="1"/>
    <col min="3" max="3" width="10.42578125" style="2"/>
    <col min="4" max="4" width="1.42578125" style="2" customWidth="1"/>
    <col min="5" max="5" width="12.140625" style="2" customWidth="1"/>
    <col min="6" max="8" width="10.42578125" style="2"/>
    <col min="9" max="10" width="11.5703125" style="2" customWidth="1"/>
    <col min="11" max="11" width="11.7109375" style="2" customWidth="1"/>
    <col min="12" max="12" width="10.42578125" style="2"/>
    <col min="13" max="13" width="1.42578125" style="2" customWidth="1"/>
    <col min="14" max="14" width="8.28515625" style="2" customWidth="1"/>
    <col min="15" max="15" width="10.42578125" style="2"/>
    <col min="16" max="16" width="7.42578125" style="2" bestFit="1" customWidth="1"/>
    <col min="17" max="17" width="2.7109375" style="2" customWidth="1"/>
    <col min="18" max="16384" width="10.42578125" style="2"/>
  </cols>
  <sheetData>
    <row r="2" spans="1:29" x14ac:dyDescent="0.2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9" x14ac:dyDescent="0.2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spans="1:29" x14ac:dyDescent="0.2">
      <c r="B5" s="4"/>
      <c r="C5" s="4"/>
      <c r="D5" s="1"/>
      <c r="E5" s="5" t="s">
        <v>2</v>
      </c>
      <c r="F5" s="5" t="s">
        <v>3</v>
      </c>
      <c r="G5" s="5" t="s">
        <v>4</v>
      </c>
      <c r="H5" s="5" t="s">
        <v>5</v>
      </c>
      <c r="I5" s="5" t="s">
        <v>6</v>
      </c>
      <c r="J5" s="5" t="s">
        <v>7</v>
      </c>
      <c r="K5" s="5" t="s">
        <v>8</v>
      </c>
      <c r="L5" s="5" t="s">
        <v>9</v>
      </c>
      <c r="M5" s="6"/>
      <c r="N5" s="5" t="s">
        <v>10</v>
      </c>
      <c r="O5" s="5" t="s">
        <v>11</v>
      </c>
      <c r="P5" s="5" t="s">
        <v>12</v>
      </c>
    </row>
    <row r="6" spans="1:29" ht="38.25" x14ac:dyDescent="0.2">
      <c r="A6" s="7"/>
      <c r="B6" s="8" t="s">
        <v>13</v>
      </c>
      <c r="C6" s="8" t="s">
        <v>14</v>
      </c>
      <c r="D6" s="9"/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 t="s">
        <v>22</v>
      </c>
      <c r="M6" s="11"/>
      <c r="N6" s="10" t="s">
        <v>23</v>
      </c>
      <c r="O6" s="10" t="s">
        <v>24</v>
      </c>
      <c r="P6" s="10" t="s">
        <v>25</v>
      </c>
    </row>
    <row r="7" spans="1:29" x14ac:dyDescent="0.2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  <c r="O7" s="12"/>
      <c r="P7" s="12"/>
    </row>
    <row r="8" spans="1:29" x14ac:dyDescent="0.2">
      <c r="B8" s="14" t="s">
        <v>26</v>
      </c>
      <c r="C8" s="1" t="s">
        <v>27</v>
      </c>
      <c r="D8" s="12"/>
      <c r="E8" s="15">
        <v>2.35</v>
      </c>
      <c r="F8" s="15">
        <v>80.266666666666666</v>
      </c>
      <c r="G8" s="16">
        <f t="shared" ref="G8:G30" si="0">E8/F8</f>
        <v>2.9277408637873755E-2</v>
      </c>
      <c r="H8" s="16">
        <f t="shared" ref="H8:H30" si="1">G8*(1+0.5*L8)</f>
        <v>3.0082537375415285E-2</v>
      </c>
      <c r="I8" s="17" t="s">
        <v>28</v>
      </c>
      <c r="J8" s="17">
        <v>0.06</v>
      </c>
      <c r="K8" s="17">
        <v>0.05</v>
      </c>
      <c r="L8" s="16">
        <f t="shared" ref="L8:L30" si="2">AVERAGE(I8:K8)</f>
        <v>5.5E-2</v>
      </c>
      <c r="M8" s="13"/>
      <c r="N8" s="18">
        <f t="shared" ref="N8:N30" si="3">G8*(1+0.5*MIN(I8:K8))+MIN(I8:K8)</f>
        <v>8.0009343853820594E-2</v>
      </c>
      <c r="O8" s="16">
        <f t="shared" ref="O8:O30" si="4">H8+L8</f>
        <v>8.5082537375415282E-2</v>
      </c>
      <c r="P8" s="16">
        <f t="shared" ref="P8:P30" si="5">G8*(1+0.5*MAX(I8:K8))+MAX(I8:K8)</f>
        <v>9.015573089700997E-2</v>
      </c>
      <c r="S8" s="312"/>
      <c r="T8" s="303"/>
      <c r="U8" s="303"/>
      <c r="V8" s="303"/>
      <c r="W8" s="303"/>
      <c r="X8" s="313"/>
      <c r="Y8" s="313"/>
      <c r="Z8" s="314"/>
      <c r="AA8" s="314"/>
      <c r="AB8" s="314"/>
      <c r="AC8" s="314"/>
    </row>
    <row r="9" spans="1:29" x14ac:dyDescent="0.2">
      <c r="B9" s="14" t="s">
        <v>29</v>
      </c>
      <c r="C9" s="1" t="s">
        <v>30</v>
      </c>
      <c r="D9" s="12"/>
      <c r="E9" s="15">
        <v>1.42</v>
      </c>
      <c r="F9" s="15">
        <v>45.564666666666668</v>
      </c>
      <c r="G9" s="16">
        <f t="shared" si="0"/>
        <v>3.1164498807555559E-2</v>
      </c>
      <c r="H9" s="16">
        <f t="shared" si="1"/>
        <v>3.2190330226637601E-2</v>
      </c>
      <c r="I9" s="17">
        <v>0.06</v>
      </c>
      <c r="J9" s="17">
        <v>7.2499999999999995E-2</v>
      </c>
      <c r="K9" s="17">
        <v>6.5000000000000002E-2</v>
      </c>
      <c r="L9" s="16">
        <f t="shared" si="2"/>
        <v>6.5833333333333341E-2</v>
      </c>
      <c r="M9" s="13"/>
      <c r="N9" s="18">
        <f t="shared" si="3"/>
        <v>9.209943377178223E-2</v>
      </c>
      <c r="O9" s="16">
        <f t="shared" si="4"/>
        <v>9.8023663559970942E-2</v>
      </c>
      <c r="P9" s="16">
        <f t="shared" si="5"/>
        <v>0.10479421188932944</v>
      </c>
      <c r="S9" s="312"/>
      <c r="T9" s="303"/>
      <c r="U9" s="303"/>
      <c r="V9" s="303"/>
      <c r="W9" s="303"/>
      <c r="X9" s="313"/>
      <c r="Y9" s="313"/>
      <c r="Z9" s="314"/>
      <c r="AA9" s="314"/>
      <c r="AB9" s="314"/>
      <c r="AC9" s="314"/>
    </row>
    <row r="10" spans="1:29" x14ac:dyDescent="0.2">
      <c r="B10" s="14" t="s">
        <v>31</v>
      </c>
      <c r="C10" s="1" t="s">
        <v>32</v>
      </c>
      <c r="D10" s="12"/>
      <c r="E10" s="15">
        <v>1.9</v>
      </c>
      <c r="F10" s="15">
        <v>70.764333333333326</v>
      </c>
      <c r="G10" s="16">
        <f t="shared" si="0"/>
        <v>2.6849684162925769E-2</v>
      </c>
      <c r="H10" s="16">
        <f t="shared" si="1"/>
        <v>2.778942310862817E-2</v>
      </c>
      <c r="I10" s="17">
        <v>6.8000000000000005E-2</v>
      </c>
      <c r="J10" s="17">
        <v>7.6999999999999999E-2</v>
      </c>
      <c r="K10" s="17">
        <v>6.5000000000000002E-2</v>
      </c>
      <c r="L10" s="16">
        <f t="shared" si="2"/>
        <v>7.0000000000000007E-2</v>
      </c>
      <c r="M10" s="13"/>
      <c r="N10" s="18">
        <f t="shared" si="3"/>
        <v>9.2722298898220853E-2</v>
      </c>
      <c r="O10" s="16">
        <f t="shared" si="4"/>
        <v>9.7789423108628176E-2</v>
      </c>
      <c r="P10" s="16">
        <f t="shared" si="5"/>
        <v>0.1048833970031984</v>
      </c>
      <c r="S10" s="312"/>
      <c r="T10" s="303"/>
      <c r="U10" s="303"/>
      <c r="V10" s="303"/>
      <c r="W10" s="303"/>
      <c r="X10" s="313"/>
      <c r="Y10" s="313"/>
      <c r="Z10" s="314"/>
      <c r="AA10" s="314"/>
      <c r="AB10" s="314"/>
      <c r="AC10" s="314"/>
    </row>
    <row r="11" spans="1:29" x14ac:dyDescent="0.2">
      <c r="B11" s="14" t="s">
        <v>34</v>
      </c>
      <c r="C11" s="1" t="s">
        <v>35</v>
      </c>
      <c r="D11" s="12"/>
      <c r="E11" s="15">
        <v>1.76</v>
      </c>
      <c r="F11" s="15">
        <v>49.390999999999991</v>
      </c>
      <c r="G11" s="16">
        <f t="shared" si="0"/>
        <v>3.5634022392743624E-2</v>
      </c>
      <c r="H11" s="16">
        <f t="shared" si="1"/>
        <v>3.7350394471327444E-2</v>
      </c>
      <c r="I11" s="17">
        <v>7.6999999999999999E-2</v>
      </c>
      <c r="J11" s="17">
        <v>9.1999999999999998E-2</v>
      </c>
      <c r="K11" s="17">
        <v>0.12</v>
      </c>
      <c r="L11" s="16">
        <f t="shared" si="2"/>
        <v>9.6333333333333326E-2</v>
      </c>
      <c r="M11" s="13"/>
      <c r="N11" s="18">
        <f t="shared" si="3"/>
        <v>0.11400593225486425</v>
      </c>
      <c r="O11" s="16">
        <f t="shared" si="4"/>
        <v>0.13368372780466076</v>
      </c>
      <c r="P11" s="16">
        <f t="shared" si="5"/>
        <v>0.15777206373630825</v>
      </c>
      <c r="S11" s="312"/>
      <c r="T11" s="303"/>
      <c r="U11" s="303"/>
      <c r="V11" s="303"/>
      <c r="W11" s="303"/>
      <c r="X11" s="313"/>
      <c r="Y11" s="313"/>
      <c r="Z11" s="314"/>
      <c r="AA11" s="314"/>
      <c r="AB11" s="314"/>
      <c r="AC11" s="314"/>
    </row>
    <row r="12" spans="1:29" x14ac:dyDescent="0.2">
      <c r="B12" s="14" t="s">
        <v>36</v>
      </c>
      <c r="C12" s="1" t="s">
        <v>37</v>
      </c>
      <c r="D12" s="12"/>
      <c r="E12" s="15">
        <v>2.02</v>
      </c>
      <c r="F12" s="15">
        <v>70.591333333333338</v>
      </c>
      <c r="G12" s="16">
        <f t="shared" si="0"/>
        <v>2.8615410768082956E-2</v>
      </c>
      <c r="H12" s="16">
        <f t="shared" si="1"/>
        <v>2.9322688337567408E-2</v>
      </c>
      <c r="I12" s="17">
        <v>4.7E-2</v>
      </c>
      <c r="J12" s="17">
        <v>3.6299999999999999E-2</v>
      </c>
      <c r="K12" s="17">
        <v>6.5000000000000002E-2</v>
      </c>
      <c r="L12" s="16">
        <f t="shared" si="2"/>
        <v>4.9433333333333329E-2</v>
      </c>
      <c r="M12" s="13"/>
      <c r="N12" s="18">
        <f t="shared" si="3"/>
        <v>6.5434780473523663E-2</v>
      </c>
      <c r="O12" s="16">
        <f t="shared" si="4"/>
        <v>7.8756021670900733E-2</v>
      </c>
      <c r="P12" s="16">
        <f t="shared" si="5"/>
        <v>9.4545411618045652E-2</v>
      </c>
      <c r="S12" s="312"/>
      <c r="T12" s="303"/>
      <c r="U12" s="303"/>
      <c r="V12" s="303"/>
      <c r="W12" s="303"/>
      <c r="X12" s="313"/>
      <c r="Y12" s="313"/>
      <c r="Z12" s="314"/>
      <c r="AA12" s="314"/>
      <c r="AB12" s="314"/>
      <c r="AC12" s="314"/>
    </row>
    <row r="13" spans="1:29" x14ac:dyDescent="0.2">
      <c r="B13" s="14" t="s">
        <v>38</v>
      </c>
      <c r="C13" s="1" t="s">
        <v>39</v>
      </c>
      <c r="D13" s="16"/>
      <c r="E13" s="15">
        <v>1.53</v>
      </c>
      <c r="F13" s="15">
        <v>53.586333333333322</v>
      </c>
      <c r="G13" s="16">
        <f t="shared" si="0"/>
        <v>2.8552056183479627E-2</v>
      </c>
      <c r="H13" s="16">
        <f t="shared" si="1"/>
        <v>2.9498556845961976E-2</v>
      </c>
      <c r="I13" s="17">
        <v>0.06</v>
      </c>
      <c r="J13" s="17">
        <v>6.8900000000000003E-2</v>
      </c>
      <c r="K13" s="17">
        <v>7.0000000000000007E-2</v>
      </c>
      <c r="L13" s="16">
        <f t="shared" si="2"/>
        <v>6.6300000000000012E-2</v>
      </c>
      <c r="M13" s="13"/>
      <c r="N13" s="18">
        <f t="shared" si="3"/>
        <v>8.9408617868984019E-2</v>
      </c>
      <c r="O13" s="16">
        <f t="shared" si="4"/>
        <v>9.5798556845961988E-2</v>
      </c>
      <c r="P13" s="16">
        <f t="shared" si="5"/>
        <v>9.9551378149901421E-2</v>
      </c>
      <c r="S13" s="312"/>
      <c r="T13" s="303"/>
      <c r="U13" s="303"/>
      <c r="V13" s="303"/>
      <c r="W13" s="303"/>
      <c r="X13" s="313"/>
      <c r="Y13" s="313"/>
      <c r="Z13" s="314"/>
      <c r="AA13" s="314"/>
      <c r="AB13" s="314"/>
      <c r="AC13" s="314"/>
    </row>
    <row r="14" spans="1:29" x14ac:dyDescent="0.2">
      <c r="B14" s="14" t="s">
        <v>40</v>
      </c>
      <c r="C14" s="1" t="s">
        <v>41</v>
      </c>
      <c r="D14" s="16"/>
      <c r="E14" s="15">
        <v>2.96</v>
      </c>
      <c r="F14" s="15">
        <v>80.953666666666692</v>
      </c>
      <c r="G14" s="16">
        <f t="shared" si="0"/>
        <v>3.6564125158012183E-2</v>
      </c>
      <c r="H14" s="16">
        <f t="shared" si="1"/>
        <v>3.7051037424699708E-2</v>
      </c>
      <c r="I14" s="17">
        <v>0.02</v>
      </c>
      <c r="J14" s="17">
        <v>2.9899999999999999E-2</v>
      </c>
      <c r="K14" s="17">
        <v>0.03</v>
      </c>
      <c r="L14" s="16">
        <f t="shared" si="2"/>
        <v>2.6633333333333332E-2</v>
      </c>
      <c r="M14" s="13"/>
      <c r="N14" s="18">
        <f t="shared" si="3"/>
        <v>5.6929766409592311E-2</v>
      </c>
      <c r="O14" s="16">
        <f t="shared" si="4"/>
        <v>6.3684370758033043E-2</v>
      </c>
      <c r="P14" s="16">
        <f t="shared" si="5"/>
        <v>6.7112587035382365E-2</v>
      </c>
      <c r="S14" s="312"/>
      <c r="T14" s="303"/>
      <c r="U14" s="303"/>
      <c r="V14" s="303"/>
      <c r="W14" s="303"/>
      <c r="X14" s="313"/>
      <c r="Y14" s="313"/>
      <c r="Z14" s="314"/>
      <c r="AA14" s="314"/>
      <c r="AB14" s="314"/>
      <c r="AC14" s="314"/>
    </row>
    <row r="15" spans="1:29" x14ac:dyDescent="0.2">
      <c r="B15" s="14" t="s">
        <v>42</v>
      </c>
      <c r="C15" s="1" t="s">
        <v>43</v>
      </c>
      <c r="D15" s="16"/>
      <c r="E15" s="15">
        <v>3.78</v>
      </c>
      <c r="F15" s="15">
        <v>121.32633333333334</v>
      </c>
      <c r="G15" s="16">
        <f t="shared" si="0"/>
        <v>3.1155643594822775E-2</v>
      </c>
      <c r="H15" s="16">
        <f t="shared" si="1"/>
        <v>3.1942842856318633E-2</v>
      </c>
      <c r="I15" s="17">
        <v>0.06</v>
      </c>
      <c r="J15" s="17">
        <v>4.1599999999999998E-2</v>
      </c>
      <c r="K15" s="17">
        <v>0.05</v>
      </c>
      <c r="L15" s="16">
        <f t="shared" si="2"/>
        <v>5.053333333333334E-2</v>
      </c>
      <c r="M15" s="13"/>
      <c r="N15" s="18">
        <f t="shared" si="3"/>
        <v>7.3403680981595082E-2</v>
      </c>
      <c r="O15" s="16">
        <f t="shared" si="4"/>
        <v>8.2476176189651973E-2</v>
      </c>
      <c r="P15" s="16">
        <f t="shared" si="5"/>
        <v>9.2090312902667448E-2</v>
      </c>
      <c r="S15" s="312"/>
      <c r="T15" s="303"/>
      <c r="U15" s="303"/>
      <c r="V15" s="303"/>
      <c r="W15" s="303"/>
      <c r="X15" s="313"/>
      <c r="Y15" s="313"/>
      <c r="Z15" s="314"/>
      <c r="AA15" s="314"/>
      <c r="AB15" s="314"/>
      <c r="AC15" s="314"/>
    </row>
    <row r="16" spans="1:29" x14ac:dyDescent="0.2">
      <c r="B16" s="14" t="s">
        <v>44</v>
      </c>
      <c r="C16" s="1" t="s">
        <v>45</v>
      </c>
      <c r="D16" s="16"/>
      <c r="E16" s="15">
        <v>3.71</v>
      </c>
      <c r="F16" s="15">
        <v>89.399333333333331</v>
      </c>
      <c r="G16" s="16">
        <f t="shared" si="0"/>
        <v>4.1499190896278126E-2</v>
      </c>
      <c r="H16" s="16">
        <f t="shared" si="1"/>
        <v>4.2536670668685078E-2</v>
      </c>
      <c r="I16" s="17">
        <v>0.05</v>
      </c>
      <c r="J16" s="17">
        <v>4.4999999999999998E-2</v>
      </c>
      <c r="K16" s="17">
        <v>5.5E-2</v>
      </c>
      <c r="L16" s="16">
        <f t="shared" si="2"/>
        <v>4.9999999999999996E-2</v>
      </c>
      <c r="M16" s="13"/>
      <c r="N16" s="18">
        <f t="shared" si="3"/>
        <v>8.7432922691444384E-2</v>
      </c>
      <c r="O16" s="16">
        <f t="shared" si="4"/>
        <v>9.2536670668685067E-2</v>
      </c>
      <c r="P16" s="16">
        <f t="shared" si="5"/>
        <v>9.7640418645925778E-2</v>
      </c>
      <c r="S16" s="312"/>
      <c r="T16" s="303"/>
      <c r="U16" s="303"/>
      <c r="V16" s="303"/>
      <c r="W16" s="303"/>
      <c r="X16" s="313"/>
      <c r="Y16" s="313"/>
      <c r="Z16" s="314"/>
      <c r="AA16" s="314"/>
      <c r="AB16" s="314"/>
      <c r="AC16" s="314"/>
    </row>
    <row r="17" spans="2:29" x14ac:dyDescent="0.2">
      <c r="B17" s="14" t="s">
        <v>46</v>
      </c>
      <c r="C17" s="1" t="s">
        <v>47</v>
      </c>
      <c r="D17" s="16"/>
      <c r="E17" s="15">
        <v>1.44</v>
      </c>
      <c r="F17" s="15">
        <v>55.155333333333346</v>
      </c>
      <c r="G17" s="16">
        <f t="shared" si="0"/>
        <v>2.6108082627246679E-2</v>
      </c>
      <c r="H17" s="16">
        <f t="shared" si="1"/>
        <v>2.6578028114537119E-2</v>
      </c>
      <c r="I17" s="17">
        <v>2.7000000000000003E-2</v>
      </c>
      <c r="J17" s="17">
        <v>5.0999999999999997E-2</v>
      </c>
      <c r="K17" s="17">
        <v>0.03</v>
      </c>
      <c r="L17" s="16">
        <f t="shared" si="2"/>
        <v>3.5999999999999997E-2</v>
      </c>
      <c r="M17" s="13"/>
      <c r="N17" s="18">
        <f t="shared" si="3"/>
        <v>5.3460541742714515E-2</v>
      </c>
      <c r="O17" s="16">
        <f t="shared" si="4"/>
        <v>6.257802811453711E-2</v>
      </c>
      <c r="P17" s="16">
        <f t="shared" si="5"/>
        <v>7.7773838734241471E-2</v>
      </c>
      <c r="S17" s="312"/>
      <c r="T17" s="303"/>
      <c r="U17" s="303"/>
      <c r="V17" s="303"/>
      <c r="W17" s="303"/>
      <c r="X17" s="313"/>
      <c r="Y17" s="313"/>
      <c r="Z17" s="314"/>
      <c r="AA17" s="314"/>
      <c r="AB17" s="314"/>
      <c r="AC17" s="314"/>
    </row>
    <row r="18" spans="2:29" x14ac:dyDescent="0.2">
      <c r="B18" s="14" t="s">
        <v>48</v>
      </c>
      <c r="C18" s="1" t="s">
        <v>49</v>
      </c>
      <c r="D18" s="16"/>
      <c r="E18" s="15">
        <v>1.9</v>
      </c>
      <c r="F18" s="15">
        <v>57.00266666666667</v>
      </c>
      <c r="G18" s="16">
        <f t="shared" si="0"/>
        <v>3.3331773952095807E-2</v>
      </c>
      <c r="H18" s="16">
        <f t="shared" si="1"/>
        <v>3.4410890133794912E-2</v>
      </c>
      <c r="I18" s="17">
        <v>6.7000000000000004E-2</v>
      </c>
      <c r="J18" s="17">
        <v>6.25E-2</v>
      </c>
      <c r="K18" s="17" t="s">
        <v>50</v>
      </c>
      <c r="L18" s="16">
        <f t="shared" si="2"/>
        <v>6.4750000000000002E-2</v>
      </c>
      <c r="M18" s="13"/>
      <c r="N18" s="18">
        <f t="shared" si="3"/>
        <v>9.6873391888098792E-2</v>
      </c>
      <c r="O18" s="16">
        <f t="shared" si="4"/>
        <v>9.9160890133794921E-2</v>
      </c>
      <c r="P18" s="16">
        <f t="shared" si="5"/>
        <v>0.10144838837949102</v>
      </c>
      <c r="S18" s="312"/>
      <c r="T18" s="303"/>
      <c r="U18" s="303"/>
      <c r="V18" s="303"/>
      <c r="W18" s="303"/>
      <c r="X18" s="313"/>
      <c r="Y18" s="313"/>
      <c r="Z18" s="314"/>
      <c r="AA18" s="314"/>
      <c r="AB18" s="314"/>
      <c r="AC18" s="314"/>
    </row>
    <row r="19" spans="2:29" x14ac:dyDescent="0.2">
      <c r="B19" s="14" t="s">
        <v>51</v>
      </c>
      <c r="C19" s="1" t="s">
        <v>52</v>
      </c>
      <c r="D19" s="16"/>
      <c r="E19" s="15">
        <v>2.14</v>
      </c>
      <c r="F19" s="15">
        <v>69.894333333333336</v>
      </c>
      <c r="G19" s="16">
        <f t="shared" si="0"/>
        <v>3.061764663802025E-2</v>
      </c>
      <c r="H19" s="16">
        <f t="shared" si="1"/>
        <v>3.1489228978982556E-2</v>
      </c>
      <c r="I19" s="17">
        <v>5.7000000000000002E-2</v>
      </c>
      <c r="J19" s="17">
        <v>5.8799999999999998E-2</v>
      </c>
      <c r="K19" s="17">
        <v>5.5E-2</v>
      </c>
      <c r="L19" s="16">
        <f t="shared" si="2"/>
        <v>5.6933333333333336E-2</v>
      </c>
      <c r="M19" s="13"/>
      <c r="N19" s="18">
        <f t="shared" si="3"/>
        <v>8.6459631920565799E-2</v>
      </c>
      <c r="O19" s="16">
        <f t="shared" si="4"/>
        <v>8.8422562312315892E-2</v>
      </c>
      <c r="P19" s="16">
        <f t="shared" si="5"/>
        <v>9.0317805449178043E-2</v>
      </c>
      <c r="S19" s="312"/>
      <c r="T19" s="303"/>
      <c r="U19" s="303"/>
      <c r="V19" s="303"/>
      <c r="W19" s="303"/>
      <c r="X19" s="313"/>
      <c r="Y19" s="313"/>
      <c r="Z19" s="314"/>
      <c r="AA19" s="314"/>
      <c r="AB19" s="314"/>
      <c r="AC19" s="314"/>
    </row>
    <row r="20" spans="2:29" x14ac:dyDescent="0.2">
      <c r="B20" s="14" t="s">
        <v>53</v>
      </c>
      <c r="C20" s="1" t="s">
        <v>54</v>
      </c>
      <c r="D20" s="16"/>
      <c r="E20" s="15">
        <v>1.28</v>
      </c>
      <c r="F20" s="15">
        <v>38.426666666666662</v>
      </c>
      <c r="G20" s="16">
        <f t="shared" si="0"/>
        <v>3.3310201249132552E-2</v>
      </c>
      <c r="H20" s="16">
        <f t="shared" si="1"/>
        <v>3.4281748785565579E-2</v>
      </c>
      <c r="I20" s="17">
        <v>6.2E-2</v>
      </c>
      <c r="J20" s="17">
        <v>7.8E-2</v>
      </c>
      <c r="K20" s="17">
        <v>3.5000000000000003E-2</v>
      </c>
      <c r="L20" s="16">
        <f t="shared" si="2"/>
        <v>5.8333333333333341E-2</v>
      </c>
      <c r="M20" s="13"/>
      <c r="N20" s="18">
        <f t="shared" si="3"/>
        <v>6.8893129770992378E-2</v>
      </c>
      <c r="O20" s="16">
        <f t="shared" si="4"/>
        <v>9.261508211889892E-2</v>
      </c>
      <c r="P20" s="16">
        <f t="shared" si="5"/>
        <v>0.11260929909784873</v>
      </c>
      <c r="S20" s="312"/>
      <c r="T20" s="303"/>
      <c r="U20" s="303"/>
      <c r="V20" s="303"/>
      <c r="W20" s="303"/>
      <c r="X20" s="313"/>
      <c r="Y20" s="313"/>
      <c r="Z20" s="314"/>
      <c r="AA20" s="314"/>
      <c r="AB20" s="314"/>
      <c r="AC20" s="314"/>
    </row>
    <row r="21" spans="2:29" x14ac:dyDescent="0.2">
      <c r="B21" s="14" t="s">
        <v>55</v>
      </c>
      <c r="C21" s="1" t="s">
        <v>56</v>
      </c>
      <c r="D21" s="16"/>
      <c r="E21" s="15">
        <v>5</v>
      </c>
      <c r="F21" s="15">
        <v>185.68566666666672</v>
      </c>
      <c r="G21" s="16">
        <f t="shared" si="0"/>
        <v>2.6927226477721302E-2</v>
      </c>
      <c r="H21" s="16">
        <f t="shared" si="1"/>
        <v>2.8011496130557548E-2</v>
      </c>
      <c r="I21" s="17">
        <v>7.6999999999999999E-2</v>
      </c>
      <c r="J21" s="17">
        <v>7.46E-2</v>
      </c>
      <c r="K21" s="17">
        <v>0.09</v>
      </c>
      <c r="L21" s="16">
        <f t="shared" si="2"/>
        <v>8.0533333333333332E-2</v>
      </c>
      <c r="M21" s="13"/>
      <c r="N21" s="18">
        <f t="shared" si="3"/>
        <v>0.10253161202534031</v>
      </c>
      <c r="O21" s="16">
        <f t="shared" si="4"/>
        <v>0.10854482946389088</v>
      </c>
      <c r="P21" s="16">
        <f t="shared" si="5"/>
        <v>0.11813895166921876</v>
      </c>
      <c r="S21" s="312"/>
      <c r="T21" s="303"/>
      <c r="U21" s="303"/>
      <c r="V21" s="303"/>
      <c r="W21" s="303"/>
      <c r="X21" s="313"/>
      <c r="Y21" s="313"/>
      <c r="Z21" s="314"/>
      <c r="AA21" s="314"/>
      <c r="AB21" s="314"/>
      <c r="AC21" s="314"/>
    </row>
    <row r="22" spans="2:29" x14ac:dyDescent="0.2">
      <c r="B22" s="14" t="s">
        <v>57</v>
      </c>
      <c r="C22" s="1" t="s">
        <v>58</v>
      </c>
      <c r="D22" s="16"/>
      <c r="E22" s="15">
        <v>2.2999999999999998</v>
      </c>
      <c r="F22" s="15">
        <v>67.207333333333338</v>
      </c>
      <c r="G22" s="16">
        <f t="shared" si="0"/>
        <v>3.4222455882790562E-2</v>
      </c>
      <c r="H22" s="16">
        <f t="shared" si="1"/>
        <v>3.4698148019561351E-2</v>
      </c>
      <c r="I22" s="17">
        <v>3.1E-2</v>
      </c>
      <c r="J22" s="17">
        <v>2.7400000000000001E-2</v>
      </c>
      <c r="K22" s="17">
        <v>2.5000000000000001E-2</v>
      </c>
      <c r="L22" s="16">
        <f t="shared" si="2"/>
        <v>2.7800000000000002E-2</v>
      </c>
      <c r="M22" s="13"/>
      <c r="N22" s="18">
        <f t="shared" si="3"/>
        <v>5.9650236581325441E-2</v>
      </c>
      <c r="O22" s="16">
        <f t="shared" si="4"/>
        <v>6.2498148019561356E-2</v>
      </c>
      <c r="P22" s="16">
        <f t="shared" si="5"/>
        <v>6.5752903948973818E-2</v>
      </c>
      <c r="S22" s="312"/>
      <c r="T22" s="303"/>
      <c r="U22" s="303"/>
      <c r="V22" s="303"/>
      <c r="W22" s="303"/>
      <c r="X22" s="313"/>
      <c r="Y22" s="313"/>
      <c r="Z22" s="314"/>
      <c r="AA22" s="314"/>
      <c r="AB22" s="314"/>
      <c r="AC22" s="314"/>
    </row>
    <row r="23" spans="2:29" x14ac:dyDescent="0.2">
      <c r="B23" s="14" t="s">
        <v>59</v>
      </c>
      <c r="C23" s="1" t="s">
        <v>60</v>
      </c>
      <c r="D23" s="16"/>
      <c r="E23" s="15">
        <v>1.46</v>
      </c>
      <c r="F23" s="15">
        <v>41.971000000000004</v>
      </c>
      <c r="G23" s="16">
        <f t="shared" si="0"/>
        <v>3.4785923613923894E-2</v>
      </c>
      <c r="H23" s="16">
        <f t="shared" si="1"/>
        <v>3.576862595601725E-2</v>
      </c>
      <c r="I23" s="17">
        <v>4.8000000000000001E-2</v>
      </c>
      <c r="J23" s="17" t="s">
        <v>28</v>
      </c>
      <c r="K23" s="17">
        <v>6.5000000000000002E-2</v>
      </c>
      <c r="L23" s="16">
        <f t="shared" si="2"/>
        <v>5.6500000000000002E-2</v>
      </c>
      <c r="M23" s="13"/>
      <c r="N23" s="18">
        <f t="shared" si="3"/>
        <v>8.3620785780658069E-2</v>
      </c>
      <c r="O23" s="16">
        <f t="shared" si="4"/>
        <v>9.2268625956017258E-2</v>
      </c>
      <c r="P23" s="16">
        <f t="shared" si="5"/>
        <v>0.10091646613137642</v>
      </c>
      <c r="S23" s="312"/>
      <c r="T23" s="303"/>
      <c r="U23" s="303"/>
      <c r="V23" s="303"/>
      <c r="W23" s="303"/>
      <c r="X23" s="313"/>
      <c r="Y23" s="313"/>
      <c r="Z23" s="314"/>
      <c r="AA23" s="314"/>
      <c r="AB23" s="314"/>
      <c r="AC23" s="314"/>
    </row>
    <row r="24" spans="2:29" x14ac:dyDescent="0.2">
      <c r="B24" s="14" t="s">
        <v>61</v>
      </c>
      <c r="C24" s="1" t="s">
        <v>62</v>
      </c>
      <c r="D24" s="16"/>
      <c r="E24" s="15">
        <v>1.4</v>
      </c>
      <c r="F24" s="15">
        <v>49.899000000000001</v>
      </c>
      <c r="G24" s="16">
        <f t="shared" si="0"/>
        <v>2.8056674482454556E-2</v>
      </c>
      <c r="H24" s="16">
        <f t="shared" si="1"/>
        <v>2.9038658089340464E-2</v>
      </c>
      <c r="I24" s="17" t="s">
        <v>28</v>
      </c>
      <c r="J24" s="17">
        <v>0.09</v>
      </c>
      <c r="K24" s="17">
        <v>0.05</v>
      </c>
      <c r="L24" s="16">
        <f t="shared" si="2"/>
        <v>7.0000000000000007E-2</v>
      </c>
      <c r="M24" s="13"/>
      <c r="N24" s="18">
        <f t="shared" si="3"/>
        <v>7.8758091344515918E-2</v>
      </c>
      <c r="O24" s="16">
        <f t="shared" si="4"/>
        <v>9.9038658089340467E-2</v>
      </c>
      <c r="P24" s="16">
        <f t="shared" si="5"/>
        <v>0.119319224834165</v>
      </c>
      <c r="S24" s="312"/>
      <c r="T24" s="303"/>
      <c r="U24" s="303"/>
      <c r="V24" s="303"/>
      <c r="W24" s="303"/>
      <c r="X24" s="313"/>
      <c r="Y24" s="313"/>
      <c r="Z24" s="314"/>
      <c r="AA24" s="314"/>
      <c r="AB24" s="314"/>
      <c r="AC24" s="314"/>
    </row>
    <row r="25" spans="2:29" x14ac:dyDescent="0.2">
      <c r="B25" s="14" t="s">
        <v>63</v>
      </c>
      <c r="C25" s="1" t="s">
        <v>64</v>
      </c>
      <c r="D25" s="16"/>
      <c r="E25" s="15">
        <v>2.95</v>
      </c>
      <c r="F25" s="15">
        <v>91.666333333333355</v>
      </c>
      <c r="G25" s="16">
        <f t="shared" si="0"/>
        <v>3.2181935207037111E-2</v>
      </c>
      <c r="H25" s="16">
        <f t="shared" si="1"/>
        <v>3.3005792748337266E-2</v>
      </c>
      <c r="I25" s="17">
        <v>4.8000000000000001E-2</v>
      </c>
      <c r="J25" s="17">
        <v>4.5600000000000002E-2</v>
      </c>
      <c r="K25" s="17">
        <v>0.06</v>
      </c>
      <c r="L25" s="16">
        <f t="shared" si="2"/>
        <v>5.1200000000000002E-2</v>
      </c>
      <c r="M25" s="13"/>
      <c r="N25" s="18">
        <f t="shared" si="3"/>
        <v>7.8515683329757557E-2</v>
      </c>
      <c r="O25" s="16">
        <f t="shared" si="4"/>
        <v>8.4205792748337269E-2</v>
      </c>
      <c r="P25" s="16">
        <f t="shared" si="5"/>
        <v>9.3147393263248224E-2</v>
      </c>
      <c r="S25" s="312"/>
      <c r="T25" s="303"/>
      <c r="U25" s="303"/>
      <c r="V25" s="303"/>
      <c r="W25" s="303"/>
      <c r="X25" s="313"/>
      <c r="Y25" s="313"/>
      <c r="Z25" s="314"/>
      <c r="AA25" s="314"/>
      <c r="AB25" s="314"/>
      <c r="AC25" s="314"/>
    </row>
    <row r="26" spans="2:29" x14ac:dyDescent="0.2">
      <c r="B26" s="14" t="s">
        <v>65</v>
      </c>
      <c r="C26" s="1" t="s">
        <v>66</v>
      </c>
      <c r="D26" s="16"/>
      <c r="E26" s="15">
        <v>1.1599999999999999</v>
      </c>
      <c r="F26" s="15">
        <v>44.137000000000022</v>
      </c>
      <c r="G26" s="16">
        <f t="shared" si="0"/>
        <v>2.6281804381811165E-2</v>
      </c>
      <c r="H26" s="16">
        <f t="shared" si="1"/>
        <v>2.6991413100120064E-2</v>
      </c>
      <c r="I26" s="17">
        <v>4.5999999999999999E-2</v>
      </c>
      <c r="J26" s="17">
        <v>4.1000000000000002E-2</v>
      </c>
      <c r="K26" s="17">
        <v>7.4999999999999997E-2</v>
      </c>
      <c r="L26" s="16">
        <f t="shared" si="2"/>
        <v>5.3999999999999992E-2</v>
      </c>
      <c r="M26" s="13"/>
      <c r="N26" s="18">
        <f t="shared" si="3"/>
        <v>6.7820581371638294E-2</v>
      </c>
      <c r="O26" s="16">
        <f t="shared" si="4"/>
        <v>8.0991413100120063E-2</v>
      </c>
      <c r="P26" s="16">
        <f t="shared" si="5"/>
        <v>0.10226737204612908</v>
      </c>
      <c r="S26" s="312"/>
      <c r="T26" s="303"/>
      <c r="U26" s="303"/>
      <c r="V26" s="303"/>
      <c r="W26" s="303"/>
      <c r="X26" s="313"/>
      <c r="Y26" s="313"/>
      <c r="Z26" s="314"/>
      <c r="AA26" s="314"/>
      <c r="AB26" s="314"/>
      <c r="AC26" s="314"/>
    </row>
    <row r="27" spans="2:29" x14ac:dyDescent="0.2">
      <c r="B27" s="14" t="s">
        <v>67</v>
      </c>
      <c r="C27" s="1" t="s">
        <v>68</v>
      </c>
      <c r="D27" s="16"/>
      <c r="E27" s="15">
        <v>1.45</v>
      </c>
      <c r="F27" s="15">
        <v>49.88666666666667</v>
      </c>
      <c r="G27" s="16">
        <f t="shared" si="0"/>
        <v>2.9065882667379389E-2</v>
      </c>
      <c r="H27" s="16">
        <f t="shared" si="1"/>
        <v>2.9690799144728049E-2</v>
      </c>
      <c r="I27" s="17">
        <v>0.04</v>
      </c>
      <c r="J27" s="17">
        <v>4.9000000000000002E-2</v>
      </c>
      <c r="K27" s="17">
        <v>0.04</v>
      </c>
      <c r="L27" s="16">
        <f t="shared" si="2"/>
        <v>4.3000000000000003E-2</v>
      </c>
      <c r="M27" s="13"/>
      <c r="N27" s="18">
        <f t="shared" si="3"/>
        <v>6.9647200320726979E-2</v>
      </c>
      <c r="O27" s="16">
        <f t="shared" si="4"/>
        <v>7.2690799144728049E-2</v>
      </c>
      <c r="P27" s="16">
        <f t="shared" si="5"/>
        <v>7.877799679273019E-2</v>
      </c>
      <c r="S27" s="312"/>
      <c r="T27" s="303"/>
      <c r="U27" s="303"/>
      <c r="V27" s="303"/>
      <c r="W27" s="303"/>
      <c r="X27" s="313"/>
      <c r="Y27" s="313"/>
      <c r="Z27" s="314"/>
      <c r="AA27" s="314"/>
      <c r="AB27" s="314"/>
      <c r="AC27" s="314"/>
    </row>
    <row r="28" spans="2:29" x14ac:dyDescent="0.2">
      <c r="B28" s="14" t="s">
        <v>69</v>
      </c>
      <c r="C28" s="1" t="s">
        <v>70</v>
      </c>
      <c r="D28" s="16"/>
      <c r="E28" s="15">
        <v>2.4</v>
      </c>
      <c r="F28" s="15">
        <v>49.840333333333326</v>
      </c>
      <c r="G28" s="16">
        <f t="shared" si="0"/>
        <v>4.8153771042194746E-2</v>
      </c>
      <c r="H28" s="16">
        <f t="shared" si="1"/>
        <v>4.8969174898509236E-2</v>
      </c>
      <c r="I28" s="322">
        <v>4.4999999999999998E-2</v>
      </c>
      <c r="J28" s="322">
        <v>2.1600000000000001E-2</v>
      </c>
      <c r="K28" s="17">
        <v>3.5000000000000003E-2</v>
      </c>
      <c r="L28" s="16">
        <f t="shared" si="2"/>
        <v>3.3866666666666663E-2</v>
      </c>
      <c r="M28" s="13"/>
      <c r="N28" s="18">
        <f t="shared" si="3"/>
        <v>7.0273831769450457E-2</v>
      </c>
      <c r="O28" s="16">
        <f t="shared" si="4"/>
        <v>8.2835841565175899E-2</v>
      </c>
      <c r="P28" s="16">
        <f t="shared" si="5"/>
        <v>9.4237230890644119E-2</v>
      </c>
      <c r="S28" s="312"/>
      <c r="T28" s="303"/>
      <c r="U28" s="303"/>
      <c r="V28" s="303"/>
      <c r="W28" s="303"/>
      <c r="X28" s="313"/>
      <c r="Y28" s="313"/>
      <c r="Z28" s="314"/>
      <c r="AA28" s="314"/>
      <c r="AB28" s="314"/>
      <c r="AC28" s="314"/>
    </row>
    <row r="29" spans="2:29" x14ac:dyDescent="0.2">
      <c r="B29" s="14" t="s">
        <v>71</v>
      </c>
      <c r="C29" s="1" t="s">
        <v>72</v>
      </c>
      <c r="D29" s="16"/>
      <c r="E29" s="15">
        <v>2.36</v>
      </c>
      <c r="F29" s="15">
        <v>75.560333333333347</v>
      </c>
      <c r="G29" s="16">
        <f t="shared" si="0"/>
        <v>3.1233319069529419E-2</v>
      </c>
      <c r="H29" s="16">
        <f t="shared" si="1"/>
        <v>3.201363149094983E-2</v>
      </c>
      <c r="I29" s="322">
        <v>4.3999999999999997E-2</v>
      </c>
      <c r="J29" s="322">
        <v>4.5900000000000003E-2</v>
      </c>
      <c r="K29" s="17">
        <v>0.06</v>
      </c>
      <c r="L29" s="16">
        <f t="shared" si="2"/>
        <v>4.9966666666666666E-2</v>
      </c>
      <c r="M29" s="13"/>
      <c r="N29" s="18">
        <f t="shared" si="3"/>
        <v>7.5920452089059065E-2</v>
      </c>
      <c r="O29" s="16">
        <f t="shared" si="4"/>
        <v>8.1980298157616496E-2</v>
      </c>
      <c r="P29" s="16">
        <f t="shared" si="5"/>
        <v>9.2170318641615304E-2</v>
      </c>
      <c r="S29" s="312"/>
      <c r="T29" s="303"/>
      <c r="U29" s="303"/>
      <c r="V29" s="303"/>
      <c r="W29" s="303"/>
      <c r="X29" s="313"/>
      <c r="Y29" s="313"/>
      <c r="Z29" s="314"/>
      <c r="AA29" s="314"/>
      <c r="AB29" s="314"/>
      <c r="AC29" s="314"/>
    </row>
    <row r="30" spans="2:29" x14ac:dyDescent="0.2">
      <c r="B30" s="14" t="s">
        <v>73</v>
      </c>
      <c r="C30" s="1" t="s">
        <v>74</v>
      </c>
      <c r="E30" s="15">
        <v>1.62</v>
      </c>
      <c r="F30" s="15">
        <v>54.412666666666688</v>
      </c>
      <c r="G30" s="16">
        <f t="shared" si="0"/>
        <v>2.9772479447187531E-2</v>
      </c>
      <c r="H30" s="16">
        <f t="shared" si="1"/>
        <v>3.0665653830603157E-2</v>
      </c>
      <c r="I30" s="322">
        <v>5.8999999999999997E-2</v>
      </c>
      <c r="J30" s="322">
        <v>6.6000000000000003E-2</v>
      </c>
      <c r="K30" s="17">
        <v>5.5E-2</v>
      </c>
      <c r="L30" s="16">
        <f t="shared" si="2"/>
        <v>0.06</v>
      </c>
      <c r="M30" s="13"/>
      <c r="N30" s="18">
        <f t="shared" si="3"/>
        <v>8.5591222631985195E-2</v>
      </c>
      <c r="O30" s="16">
        <f t="shared" si="4"/>
        <v>9.0665653830603155E-2</v>
      </c>
      <c r="P30" s="16">
        <f t="shared" si="5"/>
        <v>9.6754971268944723E-2</v>
      </c>
      <c r="S30" s="312"/>
      <c r="T30" s="303"/>
      <c r="U30" s="303"/>
      <c r="V30" s="303"/>
      <c r="W30" s="303"/>
      <c r="X30" s="313"/>
      <c r="Y30" s="313"/>
      <c r="Z30" s="314"/>
      <c r="AA30" s="314"/>
      <c r="AB30" s="314"/>
      <c r="AC30" s="314"/>
    </row>
    <row r="31" spans="2:29" x14ac:dyDescent="0.2">
      <c r="B31" s="14"/>
      <c r="C31" s="1"/>
      <c r="E31" s="15"/>
      <c r="F31" s="15"/>
      <c r="G31" s="16"/>
      <c r="H31" s="16"/>
      <c r="I31" s="17"/>
      <c r="J31" s="17"/>
      <c r="K31" s="17"/>
      <c r="L31" s="16"/>
      <c r="M31" s="19"/>
      <c r="N31" s="18"/>
      <c r="O31" s="16"/>
      <c r="P31" s="16"/>
    </row>
    <row r="32" spans="2:29" x14ac:dyDescent="0.2">
      <c r="B32" s="20" t="s">
        <v>75</v>
      </c>
      <c r="C32" s="20"/>
      <c r="D32" s="16"/>
      <c r="E32" s="20"/>
      <c r="F32" s="20"/>
      <c r="G32" s="21">
        <f t="shared" ref="G32" si="6">AVERAGE(G8:G30)</f>
        <v>3.1885270319143448E-2</v>
      </c>
      <c r="H32" s="21">
        <f t="shared" ref="H32:L32" si="7">AVERAGE(H8:H30)</f>
        <v>3.2755555249428074E-2</v>
      </c>
      <c r="I32" s="21">
        <f t="shared" si="7"/>
        <v>5.2047619047619058E-2</v>
      </c>
      <c r="J32" s="21">
        <f t="shared" si="7"/>
        <v>5.6118181818181817E-2</v>
      </c>
      <c r="K32" s="21">
        <f t="shared" si="7"/>
        <v>5.6590909090909094E-2</v>
      </c>
      <c r="L32" s="21">
        <f t="shared" si="7"/>
        <v>5.5345652173913053E-2</v>
      </c>
      <c r="M32" s="22"/>
      <c r="N32" s="21">
        <f t="shared" ref="N32:P32" si="8">AVERAGE(N8:N30)</f>
        <v>7.954187694655028E-2</v>
      </c>
      <c r="O32" s="21">
        <f>AVERAGE(O8:O30)</f>
        <v>8.8101207423341141E-2</v>
      </c>
      <c r="P32" s="21">
        <f t="shared" si="8"/>
        <v>9.7920768392416244E-2</v>
      </c>
    </row>
    <row r="33" spans="2:18" x14ac:dyDescent="0.2">
      <c r="B33" s="23" t="s">
        <v>76</v>
      </c>
      <c r="C33" s="23"/>
      <c r="E33" s="23"/>
      <c r="F33" s="23"/>
      <c r="G33" s="24">
        <f t="shared" ref="G33" si="9">MEDIAN(G8:G30)</f>
        <v>3.1155643594822775E-2</v>
      </c>
      <c r="H33" s="24">
        <f t="shared" ref="H33:L33" si="10">MEDIAN(H8:H30)</f>
        <v>3.1942842856318633E-2</v>
      </c>
      <c r="I33" s="24">
        <f t="shared" si="10"/>
        <v>0.05</v>
      </c>
      <c r="J33" s="24">
        <f t="shared" si="10"/>
        <v>5.4899999999999997E-2</v>
      </c>
      <c r="K33" s="24">
        <f t="shared" si="10"/>
        <v>5.5E-2</v>
      </c>
      <c r="L33" s="24">
        <f t="shared" si="10"/>
        <v>5.5E-2</v>
      </c>
      <c r="M33" s="22"/>
      <c r="N33" s="24">
        <f t="shared" ref="N33:P33" si="11">MEDIAN(N8:N30)</f>
        <v>7.8758091344515918E-2</v>
      </c>
      <c r="O33" s="24">
        <f t="shared" si="11"/>
        <v>8.8422562312315892E-2</v>
      </c>
      <c r="P33" s="24">
        <f t="shared" si="11"/>
        <v>9.6754971268944723E-2</v>
      </c>
    </row>
    <row r="34" spans="2:18" x14ac:dyDescent="0.2">
      <c r="G34" s="16"/>
      <c r="H34" s="16"/>
      <c r="I34" s="16"/>
      <c r="J34" s="16"/>
      <c r="K34" s="16"/>
      <c r="L34" s="25"/>
      <c r="M34" s="16"/>
      <c r="N34" s="16"/>
      <c r="O34" s="16"/>
      <c r="P34" s="16"/>
    </row>
    <row r="35" spans="2:18" x14ac:dyDescent="0.2">
      <c r="B35" s="2" t="s">
        <v>77</v>
      </c>
      <c r="R35" s="26"/>
    </row>
    <row r="36" spans="2:18" x14ac:dyDescent="0.2">
      <c r="B36" s="2" t="s">
        <v>78</v>
      </c>
      <c r="K36" s="16"/>
      <c r="R36" s="26"/>
    </row>
    <row r="37" spans="2:18" x14ac:dyDescent="0.2">
      <c r="B37" s="2" t="s">
        <v>79</v>
      </c>
      <c r="K37" s="16"/>
      <c r="R37" s="26"/>
    </row>
    <row r="38" spans="2:18" x14ac:dyDescent="0.2">
      <c r="B38" s="27" t="s">
        <v>80</v>
      </c>
      <c r="K38" s="16"/>
      <c r="R38" s="26"/>
    </row>
    <row r="39" spans="2:18" x14ac:dyDescent="0.2">
      <c r="B39" s="27" t="s">
        <v>81</v>
      </c>
      <c r="K39" s="16"/>
      <c r="R39" s="26"/>
    </row>
    <row r="40" spans="2:18" x14ac:dyDescent="0.2">
      <c r="B40" s="27" t="s">
        <v>82</v>
      </c>
      <c r="K40" s="16"/>
      <c r="R40" s="26"/>
    </row>
    <row r="41" spans="2:18" x14ac:dyDescent="0.2">
      <c r="B41" s="27" t="s">
        <v>83</v>
      </c>
      <c r="K41" s="16"/>
      <c r="R41" s="26"/>
    </row>
    <row r="42" spans="2:18" x14ac:dyDescent="0.2">
      <c r="B42" s="27" t="s">
        <v>84</v>
      </c>
      <c r="K42" s="16"/>
      <c r="R42" s="26"/>
    </row>
    <row r="43" spans="2:18" x14ac:dyDescent="0.2">
      <c r="B43" s="27" t="s">
        <v>85</v>
      </c>
      <c r="K43" s="16"/>
      <c r="R43" s="26"/>
    </row>
    <row r="44" spans="2:18" x14ac:dyDescent="0.2">
      <c r="B44" s="27" t="s">
        <v>86</v>
      </c>
      <c r="K44" s="16"/>
      <c r="R44" s="26"/>
    </row>
    <row r="45" spans="2:18" x14ac:dyDescent="0.2">
      <c r="B45" s="27" t="s">
        <v>87</v>
      </c>
      <c r="R45" s="26"/>
    </row>
    <row r="46" spans="2:18" x14ac:dyDescent="0.2">
      <c r="B46" s="27" t="s">
        <v>88</v>
      </c>
      <c r="R46" s="26"/>
    </row>
    <row r="47" spans="2:18" x14ac:dyDescent="0.2">
      <c r="B47" s="27"/>
      <c r="R47" s="26"/>
    </row>
    <row r="48" spans="2:18" x14ac:dyDescent="0.2">
      <c r="R48" s="26"/>
    </row>
    <row r="49" spans="1:29" x14ac:dyDescent="0.2">
      <c r="B49" s="3" t="str">
        <f>B2</f>
        <v>Constant Growth Discounted Cash Flow Model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R49" s="26"/>
    </row>
    <row r="50" spans="1:29" x14ac:dyDescent="0.2">
      <c r="B50" s="3" t="s">
        <v>89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R50" s="26"/>
    </row>
    <row r="51" spans="1:29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29" x14ac:dyDescent="0.2">
      <c r="B52" s="4"/>
      <c r="C52" s="4"/>
      <c r="D52" s="1"/>
      <c r="E52" s="5" t="s">
        <v>2</v>
      </c>
      <c r="F52" s="5" t="s">
        <v>3</v>
      </c>
      <c r="G52" s="5" t="s">
        <v>4</v>
      </c>
      <c r="H52" s="5" t="s">
        <v>5</v>
      </c>
      <c r="I52" s="5" t="s">
        <v>6</v>
      </c>
      <c r="J52" s="5" t="s">
        <v>7</v>
      </c>
      <c r="K52" s="5" t="s">
        <v>8</v>
      </c>
      <c r="L52" s="5" t="s">
        <v>9</v>
      </c>
      <c r="M52" s="6"/>
      <c r="N52" s="5" t="s">
        <v>10</v>
      </c>
      <c r="O52" s="5" t="s">
        <v>11</v>
      </c>
      <c r="P52" s="5" t="s">
        <v>12</v>
      </c>
    </row>
    <row r="53" spans="1:29" ht="38.25" x14ac:dyDescent="0.2">
      <c r="A53" s="7"/>
      <c r="B53" s="8" t="s">
        <v>13</v>
      </c>
      <c r="C53" s="8" t="s">
        <v>14</v>
      </c>
      <c r="D53" s="9"/>
      <c r="E53" s="10" t="s">
        <v>15</v>
      </c>
      <c r="F53" s="10" t="s">
        <v>16</v>
      </c>
      <c r="G53" s="10" t="s">
        <v>17</v>
      </c>
      <c r="H53" s="10" t="s">
        <v>18</v>
      </c>
      <c r="I53" s="10" t="s">
        <v>19</v>
      </c>
      <c r="J53" s="10" t="s">
        <v>20</v>
      </c>
      <c r="K53" s="10" t="s">
        <v>21</v>
      </c>
      <c r="L53" s="10" t="s">
        <v>22</v>
      </c>
      <c r="M53" s="11"/>
      <c r="N53" s="10" t="s">
        <v>23</v>
      </c>
      <c r="O53" s="10" t="s">
        <v>24</v>
      </c>
      <c r="P53" s="10" t="s">
        <v>25</v>
      </c>
    </row>
    <row r="54" spans="1:29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3"/>
      <c r="O54" s="12"/>
      <c r="P54" s="12"/>
    </row>
    <row r="55" spans="1:29" x14ac:dyDescent="0.2">
      <c r="B55" s="2" t="str">
        <f t="shared" ref="B55:C77" si="12">B8</f>
        <v>ALLETE, Inc.</v>
      </c>
      <c r="C55" s="1" t="str">
        <f t="shared" si="12"/>
        <v>ALE</v>
      </c>
      <c r="D55" s="16"/>
      <c r="E55" s="28">
        <f t="shared" ref="E55:E77" si="13">E8</f>
        <v>2.35</v>
      </c>
      <c r="F55" s="15">
        <v>78.181444444444438</v>
      </c>
      <c r="G55" s="16">
        <f t="shared" ref="G55:G77" si="14">E55/F55</f>
        <v>3.0058283224351334E-2</v>
      </c>
      <c r="H55" s="16">
        <f t="shared" ref="H55:H77" si="15">G55*(1+0.5*L55)</f>
        <v>3.0884886013020998E-2</v>
      </c>
      <c r="I55" s="16" t="str">
        <f t="shared" ref="I55:K77" si="16">I8</f>
        <v>NA</v>
      </c>
      <c r="J55" s="16">
        <f t="shared" si="16"/>
        <v>0.06</v>
      </c>
      <c r="K55" s="16">
        <f t="shared" si="16"/>
        <v>0.05</v>
      </c>
      <c r="L55" s="16">
        <f t="shared" ref="L55:L77" si="17">AVERAGE(I55:K55)</f>
        <v>5.5E-2</v>
      </c>
      <c r="M55" s="22"/>
      <c r="N55" s="18">
        <f t="shared" ref="N55:N77" si="18">G55*(1+0.5*MIN(I55:K55))+MIN(I55:K55)</f>
        <v>8.0809740304960118E-2</v>
      </c>
      <c r="O55" s="16">
        <f t="shared" ref="O55:O77" si="19">H55+L55</f>
        <v>8.5884886013020995E-2</v>
      </c>
      <c r="P55" s="18">
        <f t="shared" ref="P55:P77" si="20">G55*(1+0.5*MAX(I55:K55))+MAX(I55:K55)</f>
        <v>9.0960031721081872E-2</v>
      </c>
      <c r="X55" s="313"/>
      <c r="Y55" s="313"/>
      <c r="Z55" s="314"/>
      <c r="AA55" s="314"/>
      <c r="AB55" s="314"/>
      <c r="AC55" s="314"/>
    </row>
    <row r="56" spans="1:29" x14ac:dyDescent="0.2">
      <c r="B56" s="2" t="str">
        <f t="shared" si="12"/>
        <v>Alliant Energy Corporation</v>
      </c>
      <c r="C56" s="1" t="str">
        <f t="shared" si="12"/>
        <v>LNT</v>
      </c>
      <c r="D56" s="16"/>
      <c r="E56" s="28">
        <f t="shared" si="13"/>
        <v>1.42</v>
      </c>
      <c r="F56" s="15">
        <v>44.331444444444443</v>
      </c>
      <c r="G56" s="16">
        <f t="shared" si="14"/>
        <v>3.2031439936037374E-2</v>
      </c>
      <c r="H56" s="16">
        <f t="shared" si="15"/>
        <v>3.3085808167265272E-2</v>
      </c>
      <c r="I56" s="16">
        <f t="shared" si="16"/>
        <v>0.06</v>
      </c>
      <c r="J56" s="16">
        <f t="shared" si="16"/>
        <v>7.2499999999999995E-2</v>
      </c>
      <c r="K56" s="16">
        <f t="shared" si="16"/>
        <v>6.5000000000000002E-2</v>
      </c>
      <c r="L56" s="16">
        <f t="shared" si="17"/>
        <v>6.5833333333333341E-2</v>
      </c>
      <c r="M56" s="22"/>
      <c r="N56" s="18">
        <f t="shared" si="18"/>
        <v>9.2992383134118492E-2</v>
      </c>
      <c r="O56" s="16">
        <f t="shared" si="19"/>
        <v>9.8919141500598606E-2</v>
      </c>
      <c r="P56" s="18">
        <f t="shared" si="20"/>
        <v>0.10569257963371873</v>
      </c>
      <c r="X56" s="313"/>
      <c r="Y56" s="313"/>
      <c r="Z56" s="314"/>
      <c r="AA56" s="314"/>
      <c r="AB56" s="314"/>
      <c r="AC56" s="314"/>
    </row>
    <row r="57" spans="1:29" x14ac:dyDescent="0.2">
      <c r="B57" s="2" t="str">
        <f t="shared" si="12"/>
        <v>Ameren Corporation</v>
      </c>
      <c r="C57" s="1" t="str">
        <f t="shared" si="12"/>
        <v>AEE</v>
      </c>
      <c r="D57" s="16"/>
      <c r="E57" s="28">
        <f t="shared" si="13"/>
        <v>1.9</v>
      </c>
      <c r="F57" s="15">
        <v>68.434222222222218</v>
      </c>
      <c r="G57" s="16">
        <f t="shared" si="14"/>
        <v>2.776388681426447E-2</v>
      </c>
      <c r="H57" s="16">
        <f t="shared" si="15"/>
        <v>2.8735622852763723E-2</v>
      </c>
      <c r="I57" s="16">
        <f t="shared" si="16"/>
        <v>6.8000000000000005E-2</v>
      </c>
      <c r="J57" s="16">
        <f t="shared" si="16"/>
        <v>7.6999999999999999E-2</v>
      </c>
      <c r="K57" s="16">
        <f t="shared" si="16"/>
        <v>6.5000000000000002E-2</v>
      </c>
      <c r="L57" s="16">
        <f t="shared" si="17"/>
        <v>7.0000000000000007E-2</v>
      </c>
      <c r="M57" s="22"/>
      <c r="N57" s="18">
        <f t="shared" si="18"/>
        <v>9.3666213135728066E-2</v>
      </c>
      <c r="O57" s="16">
        <f t="shared" si="19"/>
        <v>9.873562285276373E-2</v>
      </c>
      <c r="P57" s="18">
        <f t="shared" si="20"/>
        <v>0.10583279645661364</v>
      </c>
      <c r="X57" s="313"/>
      <c r="Y57" s="313"/>
      <c r="Z57" s="314"/>
      <c r="AA57" s="314"/>
      <c r="AB57" s="314"/>
      <c r="AC57" s="314"/>
    </row>
    <row r="58" spans="1:29" x14ac:dyDescent="0.2">
      <c r="B58" s="2" t="str">
        <f t="shared" si="12"/>
        <v>Avangrid, Inc.</v>
      </c>
      <c r="C58" s="1" t="str">
        <f t="shared" si="12"/>
        <v>AGR</v>
      </c>
      <c r="D58" s="16"/>
      <c r="E58" s="28">
        <f t="shared" si="13"/>
        <v>1.76</v>
      </c>
      <c r="F58" s="15">
        <v>49.630888888888904</v>
      </c>
      <c r="G58" s="16">
        <f t="shared" si="14"/>
        <v>3.5461786790484409E-2</v>
      </c>
      <c r="H58" s="16">
        <f t="shared" si="15"/>
        <v>3.7169862854226077E-2</v>
      </c>
      <c r="I58" s="16">
        <f t="shared" si="16"/>
        <v>7.6999999999999999E-2</v>
      </c>
      <c r="J58" s="16">
        <f t="shared" si="16"/>
        <v>9.1999999999999998E-2</v>
      </c>
      <c r="K58" s="16">
        <f t="shared" si="16"/>
        <v>0.12</v>
      </c>
      <c r="L58" s="16">
        <f t="shared" si="17"/>
        <v>9.6333333333333326E-2</v>
      </c>
      <c r="M58" s="22"/>
      <c r="N58" s="18">
        <f t="shared" si="18"/>
        <v>0.11382706558191806</v>
      </c>
      <c r="O58" s="16">
        <f t="shared" si="19"/>
        <v>0.1335031961875594</v>
      </c>
      <c r="P58" s="18">
        <f t="shared" si="20"/>
        <v>0.15758949399791347</v>
      </c>
      <c r="X58" s="313"/>
      <c r="Y58" s="313"/>
      <c r="Z58" s="314"/>
      <c r="AA58" s="314"/>
      <c r="AB58" s="314"/>
      <c r="AC58" s="314"/>
    </row>
    <row r="59" spans="1:29" x14ac:dyDescent="0.2">
      <c r="B59" s="2" t="str">
        <f t="shared" si="12"/>
        <v>Black Hills Corporation</v>
      </c>
      <c r="C59" s="1" t="str">
        <f t="shared" si="12"/>
        <v>BKH</v>
      </c>
      <c r="D59" s="16"/>
      <c r="E59" s="28">
        <f t="shared" si="13"/>
        <v>2.02</v>
      </c>
      <c r="F59" s="15">
        <v>66.381555555555579</v>
      </c>
      <c r="G59" s="16">
        <f t="shared" si="14"/>
        <v>3.0430139563533368E-2</v>
      </c>
      <c r="H59" s="16">
        <f t="shared" si="15"/>
        <v>3.1182271179745369E-2</v>
      </c>
      <c r="I59" s="16">
        <f t="shared" si="16"/>
        <v>4.7E-2</v>
      </c>
      <c r="J59" s="16">
        <f t="shared" si="16"/>
        <v>3.6299999999999999E-2</v>
      </c>
      <c r="K59" s="16">
        <f t="shared" si="16"/>
        <v>6.5000000000000002E-2</v>
      </c>
      <c r="L59" s="16">
        <f t="shared" si="17"/>
        <v>4.9433333333333329E-2</v>
      </c>
      <c r="M59" s="22"/>
      <c r="N59" s="18">
        <f t="shared" si="18"/>
        <v>6.7282446596611492E-2</v>
      </c>
      <c r="O59" s="16">
        <f t="shared" si="19"/>
        <v>8.0615604513078698E-2</v>
      </c>
      <c r="P59" s="18">
        <f t="shared" si="20"/>
        <v>9.6419119099348194E-2</v>
      </c>
      <c r="X59" s="313"/>
      <c r="Y59" s="313"/>
      <c r="Z59" s="314"/>
      <c r="AA59" s="314"/>
      <c r="AB59" s="314"/>
      <c r="AC59" s="314"/>
    </row>
    <row r="60" spans="1:29" x14ac:dyDescent="0.2">
      <c r="B60" s="2" t="str">
        <f t="shared" si="12"/>
        <v>CMS Energy Corporation</v>
      </c>
      <c r="C60" s="1" t="str">
        <f t="shared" si="12"/>
        <v>CMS</v>
      </c>
      <c r="D60" s="16"/>
      <c r="E60" s="28">
        <f t="shared" si="13"/>
        <v>1.53</v>
      </c>
      <c r="F60" s="15">
        <v>51.666111111111107</v>
      </c>
      <c r="G60" s="16">
        <f t="shared" si="14"/>
        <v>2.96132216475446E-2</v>
      </c>
      <c r="H60" s="16">
        <f t="shared" si="15"/>
        <v>3.0594899945160705E-2</v>
      </c>
      <c r="I60" s="16">
        <f t="shared" si="16"/>
        <v>0.06</v>
      </c>
      <c r="J60" s="16">
        <f t="shared" si="16"/>
        <v>6.8900000000000003E-2</v>
      </c>
      <c r="K60" s="16">
        <f t="shared" si="16"/>
        <v>7.0000000000000007E-2</v>
      </c>
      <c r="L60" s="16">
        <f t="shared" si="17"/>
        <v>6.6300000000000012E-2</v>
      </c>
      <c r="M60" s="22"/>
      <c r="N60" s="18">
        <f t="shared" si="18"/>
        <v>9.050161829697094E-2</v>
      </c>
      <c r="O60" s="16">
        <f t="shared" si="19"/>
        <v>9.689489994516072E-2</v>
      </c>
      <c r="P60" s="18">
        <f t="shared" si="20"/>
        <v>0.10064968440520866</v>
      </c>
      <c r="X60" s="313"/>
      <c r="Y60" s="313"/>
      <c r="Z60" s="314"/>
      <c r="AA60" s="314"/>
      <c r="AB60" s="314"/>
      <c r="AC60" s="314"/>
    </row>
    <row r="61" spans="1:29" x14ac:dyDescent="0.2">
      <c r="B61" s="2" t="str">
        <f t="shared" si="12"/>
        <v>Consolidated Edison, Inc.</v>
      </c>
      <c r="C61" s="1" t="str">
        <f t="shared" si="12"/>
        <v>ED</v>
      </c>
      <c r="D61" s="16"/>
      <c r="E61" s="28">
        <f t="shared" si="13"/>
        <v>2.96</v>
      </c>
      <c r="F61" s="15">
        <v>79.049444444444433</v>
      </c>
      <c r="G61" s="16">
        <f t="shared" si="14"/>
        <v>3.7444918440638422E-2</v>
      </c>
      <c r="H61" s="16">
        <f t="shared" si="15"/>
        <v>3.794355993787292E-2</v>
      </c>
      <c r="I61" s="16">
        <f t="shared" si="16"/>
        <v>0.02</v>
      </c>
      <c r="J61" s="16">
        <f t="shared" si="16"/>
        <v>2.9899999999999999E-2</v>
      </c>
      <c r="K61" s="16">
        <f t="shared" si="16"/>
        <v>0.03</v>
      </c>
      <c r="L61" s="16">
        <f t="shared" si="17"/>
        <v>2.6633333333333332E-2</v>
      </c>
      <c r="M61" s="22"/>
      <c r="N61" s="18">
        <f t="shared" si="18"/>
        <v>5.7819367625044804E-2</v>
      </c>
      <c r="O61" s="16">
        <f t="shared" si="19"/>
        <v>6.4576893271206248E-2</v>
      </c>
      <c r="P61" s="18">
        <f t="shared" si="20"/>
        <v>6.8006592217248002E-2</v>
      </c>
      <c r="X61" s="313"/>
      <c r="Y61" s="313"/>
      <c r="Z61" s="314"/>
      <c r="AA61" s="314"/>
      <c r="AB61" s="314"/>
      <c r="AC61" s="314"/>
    </row>
    <row r="62" spans="1:29" x14ac:dyDescent="0.2">
      <c r="B62" s="2" t="str">
        <f t="shared" si="12"/>
        <v>DTE Energy Company</v>
      </c>
      <c r="C62" s="1" t="str">
        <f t="shared" si="12"/>
        <v>DTE</v>
      </c>
      <c r="D62" s="16"/>
      <c r="E62" s="28">
        <f t="shared" si="13"/>
        <v>3.78</v>
      </c>
      <c r="F62" s="15">
        <v>117.08344444444442</v>
      </c>
      <c r="G62" s="16">
        <f t="shared" si="14"/>
        <v>3.228466687101602E-2</v>
      </c>
      <c r="H62" s="16">
        <f t="shared" si="15"/>
        <v>3.3100392787290364E-2</v>
      </c>
      <c r="I62" s="16">
        <f t="shared" si="16"/>
        <v>0.06</v>
      </c>
      <c r="J62" s="16">
        <f t="shared" si="16"/>
        <v>4.1599999999999998E-2</v>
      </c>
      <c r="K62" s="16">
        <f t="shared" si="16"/>
        <v>0.05</v>
      </c>
      <c r="L62" s="16">
        <f t="shared" si="17"/>
        <v>5.053333333333334E-2</v>
      </c>
      <c r="M62" s="22"/>
      <c r="N62" s="18">
        <f t="shared" si="18"/>
        <v>7.4556187941933139E-2</v>
      </c>
      <c r="O62" s="16">
        <f t="shared" si="19"/>
        <v>8.3633726120623697E-2</v>
      </c>
      <c r="P62" s="18">
        <f t="shared" si="20"/>
        <v>9.3253206877146499E-2</v>
      </c>
      <c r="X62" s="313"/>
      <c r="Y62" s="313"/>
      <c r="Z62" s="314"/>
      <c r="AA62" s="314"/>
      <c r="AB62" s="314"/>
      <c r="AC62" s="314"/>
    </row>
    <row r="63" spans="1:29" x14ac:dyDescent="0.2">
      <c r="B63" s="2" t="str">
        <f t="shared" si="12"/>
        <v>Duke Energy Corporation</v>
      </c>
      <c r="C63" s="1" t="str">
        <f t="shared" si="12"/>
        <v>DUK</v>
      </c>
      <c r="D63" s="16"/>
      <c r="E63" s="28">
        <f t="shared" si="13"/>
        <v>3.71</v>
      </c>
      <c r="F63" s="15">
        <v>87.557111111111126</v>
      </c>
      <c r="G63" s="16">
        <f t="shared" si="14"/>
        <v>4.2372343638564791E-2</v>
      </c>
      <c r="H63" s="16">
        <f t="shared" si="15"/>
        <v>4.3431652229528904E-2</v>
      </c>
      <c r="I63" s="16">
        <f t="shared" si="16"/>
        <v>0.05</v>
      </c>
      <c r="J63" s="16">
        <f t="shared" si="16"/>
        <v>4.4999999999999998E-2</v>
      </c>
      <c r="K63" s="16">
        <f t="shared" si="16"/>
        <v>5.5E-2</v>
      </c>
      <c r="L63" s="16">
        <f t="shared" si="17"/>
        <v>4.9999999999999996E-2</v>
      </c>
      <c r="M63" s="22"/>
      <c r="N63" s="18">
        <f t="shared" si="18"/>
        <v>8.8325721370432486E-2</v>
      </c>
      <c r="O63" s="16">
        <f t="shared" si="19"/>
        <v>9.34316522295289E-2</v>
      </c>
      <c r="P63" s="18">
        <f t="shared" si="20"/>
        <v>9.8537583088625327E-2</v>
      </c>
      <c r="X63" s="313"/>
      <c r="Y63" s="313"/>
      <c r="Z63" s="314"/>
      <c r="AA63" s="314"/>
      <c r="AB63" s="314"/>
      <c r="AC63" s="314"/>
    </row>
    <row r="64" spans="1:29" x14ac:dyDescent="0.2">
      <c r="B64" s="2" t="str">
        <f t="shared" si="12"/>
        <v>El Paso Electric Company</v>
      </c>
      <c r="C64" s="1" t="str">
        <f t="shared" si="12"/>
        <v>EE</v>
      </c>
      <c r="D64" s="16"/>
      <c r="E64" s="28">
        <f t="shared" si="13"/>
        <v>1.44</v>
      </c>
      <c r="F64" s="15">
        <v>53.941333333333333</v>
      </c>
      <c r="G64" s="16">
        <f t="shared" si="14"/>
        <v>2.6695669369191221E-2</v>
      </c>
      <c r="H64" s="16">
        <f t="shared" si="15"/>
        <v>2.7176191417836663E-2</v>
      </c>
      <c r="I64" s="16">
        <f t="shared" si="16"/>
        <v>2.7000000000000003E-2</v>
      </c>
      <c r="J64" s="16">
        <f t="shared" si="16"/>
        <v>5.0999999999999997E-2</v>
      </c>
      <c r="K64" s="16">
        <f t="shared" si="16"/>
        <v>0.03</v>
      </c>
      <c r="L64" s="16">
        <f t="shared" si="17"/>
        <v>3.5999999999999997E-2</v>
      </c>
      <c r="M64" s="22"/>
      <c r="N64" s="18">
        <f t="shared" si="18"/>
        <v>5.4056060905675309E-2</v>
      </c>
      <c r="O64" s="16">
        <f t="shared" si="19"/>
        <v>6.3176191417836661E-2</v>
      </c>
      <c r="P64" s="18">
        <f t="shared" si="20"/>
        <v>7.8376408938105602E-2</v>
      </c>
      <c r="X64" s="313"/>
      <c r="Y64" s="313"/>
      <c r="Z64" s="314"/>
      <c r="AA64" s="314"/>
      <c r="AB64" s="314"/>
      <c r="AC64" s="314"/>
    </row>
    <row r="65" spans="2:29" x14ac:dyDescent="0.2">
      <c r="B65" s="2" t="str">
        <f t="shared" si="12"/>
        <v>Evergy, Inc</v>
      </c>
      <c r="C65" s="1" t="str">
        <f t="shared" si="12"/>
        <v>EVRG</v>
      </c>
      <c r="D65" s="16"/>
      <c r="E65" s="28">
        <f t="shared" si="13"/>
        <v>1.9</v>
      </c>
      <c r="F65" s="15">
        <v>57.635333333333328</v>
      </c>
      <c r="G65" s="16">
        <f t="shared" si="14"/>
        <v>3.2965888980139496E-2</v>
      </c>
      <c r="H65" s="16">
        <f t="shared" si="15"/>
        <v>3.4033159635871515E-2</v>
      </c>
      <c r="I65" s="16">
        <f t="shared" si="16"/>
        <v>6.7000000000000004E-2</v>
      </c>
      <c r="J65" s="16">
        <f t="shared" si="16"/>
        <v>6.25E-2</v>
      </c>
      <c r="K65" s="16" t="str">
        <f t="shared" si="16"/>
        <v>NMF</v>
      </c>
      <c r="L65" s="16">
        <f t="shared" si="17"/>
        <v>6.4750000000000002E-2</v>
      </c>
      <c r="M65" s="22"/>
      <c r="N65" s="18">
        <f t="shared" si="18"/>
        <v>9.6496073010768846E-2</v>
      </c>
      <c r="O65" s="16">
        <f t="shared" si="19"/>
        <v>9.8783159635871517E-2</v>
      </c>
      <c r="P65" s="18">
        <f t="shared" si="20"/>
        <v>0.10107024626097418</v>
      </c>
      <c r="X65" s="313"/>
      <c r="Y65" s="313"/>
      <c r="Z65" s="314"/>
      <c r="AA65" s="314"/>
      <c r="AB65" s="314"/>
      <c r="AC65" s="314"/>
    </row>
    <row r="66" spans="2:29" x14ac:dyDescent="0.2">
      <c r="B66" s="2" t="str">
        <f t="shared" si="12"/>
        <v>Eversource Energy</v>
      </c>
      <c r="C66" s="1" t="str">
        <f t="shared" si="12"/>
        <v>ES</v>
      </c>
      <c r="D66" s="16"/>
      <c r="E66" s="28">
        <f t="shared" si="13"/>
        <v>2.14</v>
      </c>
      <c r="F66" s="15">
        <v>67.678555555555548</v>
      </c>
      <c r="G66" s="16">
        <f t="shared" si="14"/>
        <v>3.1620060186469706E-2</v>
      </c>
      <c r="H66" s="16">
        <f t="shared" si="15"/>
        <v>3.2520177899777875E-2</v>
      </c>
      <c r="I66" s="16">
        <f t="shared" si="16"/>
        <v>5.7000000000000002E-2</v>
      </c>
      <c r="J66" s="16">
        <f t="shared" si="16"/>
        <v>5.8799999999999998E-2</v>
      </c>
      <c r="K66" s="16">
        <f t="shared" si="16"/>
        <v>5.5E-2</v>
      </c>
      <c r="L66" s="16">
        <f t="shared" si="17"/>
        <v>5.6933333333333336E-2</v>
      </c>
      <c r="M66" s="22"/>
      <c r="N66" s="18">
        <f t="shared" si="18"/>
        <v>8.748961184159762E-2</v>
      </c>
      <c r="O66" s="16">
        <f t="shared" si="19"/>
        <v>8.945351123311121E-2</v>
      </c>
      <c r="P66" s="18">
        <f t="shared" si="20"/>
        <v>9.1349689955951913E-2</v>
      </c>
      <c r="X66" s="313"/>
      <c r="Y66" s="313"/>
      <c r="Z66" s="314"/>
      <c r="AA66" s="314"/>
      <c r="AB66" s="314"/>
      <c r="AC66" s="314"/>
    </row>
    <row r="67" spans="2:29" x14ac:dyDescent="0.2">
      <c r="B67" s="2" t="str">
        <f t="shared" si="12"/>
        <v>Hawaiian Electric Industries, Inc.</v>
      </c>
      <c r="C67" s="1" t="str">
        <f t="shared" si="12"/>
        <v>HE</v>
      </c>
      <c r="D67" s="16"/>
      <c r="E67" s="28">
        <f t="shared" si="13"/>
        <v>1.28</v>
      </c>
      <c r="F67" s="15">
        <v>37.583555555555549</v>
      </c>
      <c r="G67" s="16">
        <f t="shared" si="14"/>
        <v>3.4057448292988665E-2</v>
      </c>
      <c r="H67" s="16">
        <f t="shared" si="15"/>
        <v>3.5050790534867496E-2</v>
      </c>
      <c r="I67" s="16">
        <f t="shared" si="16"/>
        <v>6.2E-2</v>
      </c>
      <c r="J67" s="16">
        <f t="shared" si="16"/>
        <v>7.8E-2</v>
      </c>
      <c r="K67" s="16">
        <f t="shared" si="16"/>
        <v>3.5000000000000003E-2</v>
      </c>
      <c r="L67" s="16">
        <f t="shared" si="17"/>
        <v>5.8333333333333341E-2</v>
      </c>
      <c r="M67" s="22"/>
      <c r="N67" s="18">
        <f t="shared" si="18"/>
        <v>6.9653453638115981E-2</v>
      </c>
      <c r="O67" s="16">
        <f t="shared" si="19"/>
        <v>9.338412386820083E-2</v>
      </c>
      <c r="P67" s="18">
        <f t="shared" si="20"/>
        <v>0.11338568877641522</v>
      </c>
      <c r="X67" s="313"/>
      <c r="Y67" s="313"/>
      <c r="Z67" s="314"/>
      <c r="AA67" s="314"/>
      <c r="AB67" s="314"/>
      <c r="AC67" s="314"/>
    </row>
    <row r="68" spans="2:29" x14ac:dyDescent="0.2">
      <c r="B68" s="2" t="str">
        <f t="shared" si="12"/>
        <v>NextEra Energy, Inc.</v>
      </c>
      <c r="C68" s="1" t="str">
        <f t="shared" si="12"/>
        <v>NEE</v>
      </c>
      <c r="D68" s="16"/>
      <c r="E68" s="28">
        <f t="shared" si="13"/>
        <v>5</v>
      </c>
      <c r="F68" s="15">
        <v>179.33722222222224</v>
      </c>
      <c r="G68" s="16">
        <f t="shared" si="14"/>
        <v>2.7880436297849795E-2</v>
      </c>
      <c r="H68" s="16">
        <f t="shared" si="15"/>
        <v>2.9003088532776548E-2</v>
      </c>
      <c r="I68" s="16">
        <f t="shared" si="16"/>
        <v>7.6999999999999999E-2</v>
      </c>
      <c r="J68" s="16">
        <f t="shared" si="16"/>
        <v>7.46E-2</v>
      </c>
      <c r="K68" s="16">
        <f t="shared" si="16"/>
        <v>0.09</v>
      </c>
      <c r="L68" s="16">
        <f t="shared" si="17"/>
        <v>8.0533333333333332E-2</v>
      </c>
      <c r="M68" s="22"/>
      <c r="N68" s="18">
        <f t="shared" si="18"/>
        <v>0.1035203765717596</v>
      </c>
      <c r="O68" s="16">
        <f t="shared" si="19"/>
        <v>0.10953642186610987</v>
      </c>
      <c r="P68" s="18">
        <f t="shared" si="20"/>
        <v>0.11913505593125304</v>
      </c>
      <c r="X68" s="313"/>
      <c r="Y68" s="313"/>
      <c r="Z68" s="314"/>
      <c r="AA68" s="314"/>
      <c r="AB68" s="314"/>
      <c r="AC68" s="314"/>
    </row>
    <row r="69" spans="2:29" x14ac:dyDescent="0.2">
      <c r="B69" s="2" t="str">
        <f t="shared" si="12"/>
        <v>NorthWestern Corporation</v>
      </c>
      <c r="C69" s="1" t="str">
        <f t="shared" si="12"/>
        <v>NWE</v>
      </c>
      <c r="D69" s="16"/>
      <c r="E69" s="28">
        <f t="shared" si="13"/>
        <v>2.2999999999999998</v>
      </c>
      <c r="F69" s="15">
        <v>63.692777777777771</v>
      </c>
      <c r="G69" s="16">
        <f t="shared" si="14"/>
        <v>3.611084459253186E-2</v>
      </c>
      <c r="H69" s="16">
        <f t="shared" si="15"/>
        <v>3.6612785332368052E-2</v>
      </c>
      <c r="I69" s="16">
        <f t="shared" si="16"/>
        <v>3.1E-2</v>
      </c>
      <c r="J69" s="16">
        <f t="shared" si="16"/>
        <v>2.7400000000000001E-2</v>
      </c>
      <c r="K69" s="16">
        <f t="shared" si="16"/>
        <v>2.5000000000000001E-2</v>
      </c>
      <c r="L69" s="16">
        <f t="shared" si="17"/>
        <v>2.7800000000000002E-2</v>
      </c>
      <c r="M69" s="22"/>
      <c r="N69" s="18">
        <f t="shared" si="18"/>
        <v>6.1562230149938509E-2</v>
      </c>
      <c r="O69" s="16">
        <f t="shared" si="19"/>
        <v>6.441278533236805E-2</v>
      </c>
      <c r="P69" s="18">
        <f t="shared" si="20"/>
        <v>6.7670562683716101E-2</v>
      </c>
      <c r="X69" s="313"/>
      <c r="Y69" s="313"/>
      <c r="Z69" s="314"/>
      <c r="AA69" s="314"/>
      <c r="AB69" s="314"/>
      <c r="AC69" s="314"/>
    </row>
    <row r="70" spans="2:29" x14ac:dyDescent="0.2">
      <c r="B70" s="2" t="str">
        <f t="shared" si="12"/>
        <v>OGE Energy Corp.</v>
      </c>
      <c r="C70" s="1" t="str">
        <f t="shared" si="12"/>
        <v>OGE</v>
      </c>
      <c r="D70" s="16"/>
      <c r="E70" s="28">
        <f t="shared" si="13"/>
        <v>1.46</v>
      </c>
      <c r="F70" s="15">
        <v>40.32800000000001</v>
      </c>
      <c r="G70" s="16">
        <f t="shared" si="14"/>
        <v>3.6203134298750238E-2</v>
      </c>
      <c r="H70" s="16">
        <f t="shared" si="15"/>
        <v>3.7225872842689939E-2</v>
      </c>
      <c r="I70" s="16">
        <f t="shared" si="16"/>
        <v>4.8000000000000001E-2</v>
      </c>
      <c r="J70" s="16" t="str">
        <f t="shared" si="16"/>
        <v>NA</v>
      </c>
      <c r="K70" s="16">
        <f t="shared" si="16"/>
        <v>6.5000000000000002E-2</v>
      </c>
      <c r="L70" s="16">
        <f t="shared" si="17"/>
        <v>5.6500000000000002E-2</v>
      </c>
      <c r="M70" s="22"/>
      <c r="N70" s="18">
        <f t="shared" si="18"/>
        <v>8.5072009521920247E-2</v>
      </c>
      <c r="O70" s="16">
        <f t="shared" si="19"/>
        <v>9.3725872842689933E-2</v>
      </c>
      <c r="P70" s="18">
        <f t="shared" si="20"/>
        <v>0.10237973616345962</v>
      </c>
      <c r="X70" s="313"/>
      <c r="Y70" s="313"/>
      <c r="Z70" s="314"/>
      <c r="AA70" s="314"/>
      <c r="AB70" s="314"/>
      <c r="AC70" s="314"/>
    </row>
    <row r="71" spans="2:29" x14ac:dyDescent="0.2">
      <c r="B71" s="2" t="str">
        <f t="shared" si="12"/>
        <v>Otter Tail Corporation</v>
      </c>
      <c r="C71" s="1" t="str">
        <f t="shared" si="12"/>
        <v>OTTR</v>
      </c>
      <c r="D71" s="16"/>
      <c r="E71" s="28">
        <f t="shared" si="13"/>
        <v>1.4</v>
      </c>
      <c r="F71" s="15">
        <v>48.822888888888905</v>
      </c>
      <c r="G71" s="16">
        <f t="shared" si="14"/>
        <v>2.8675074987596881E-2</v>
      </c>
      <c r="H71" s="16">
        <f t="shared" si="15"/>
        <v>2.967870261216277E-2</v>
      </c>
      <c r="I71" s="16" t="str">
        <f t="shared" si="16"/>
        <v>NA</v>
      </c>
      <c r="J71" s="16">
        <f t="shared" si="16"/>
        <v>0.09</v>
      </c>
      <c r="K71" s="16">
        <f t="shared" si="16"/>
        <v>0.05</v>
      </c>
      <c r="L71" s="16">
        <f t="shared" si="17"/>
        <v>7.0000000000000007E-2</v>
      </c>
      <c r="M71" s="22"/>
      <c r="N71" s="18">
        <f t="shared" si="18"/>
        <v>7.93919518622868E-2</v>
      </c>
      <c r="O71" s="16">
        <f t="shared" si="19"/>
        <v>9.9678702612162773E-2</v>
      </c>
      <c r="P71" s="18">
        <f t="shared" si="20"/>
        <v>0.11996545336203873</v>
      </c>
      <c r="X71" s="313"/>
      <c r="Y71" s="313"/>
      <c r="Z71" s="314"/>
      <c r="AA71" s="314"/>
      <c r="AB71" s="314"/>
      <c r="AC71" s="314"/>
    </row>
    <row r="72" spans="2:29" x14ac:dyDescent="0.2">
      <c r="B72" s="2" t="str">
        <f t="shared" si="12"/>
        <v>Pinnacle West Capital Corporation</v>
      </c>
      <c r="C72" s="1" t="str">
        <f t="shared" si="12"/>
        <v>PNW</v>
      </c>
      <c r="D72" s="16"/>
      <c r="E72" s="28">
        <f t="shared" si="13"/>
        <v>2.95</v>
      </c>
      <c r="F72" s="15">
        <v>88.794333333333327</v>
      </c>
      <c r="G72" s="16">
        <f t="shared" si="14"/>
        <v>3.3222840796897704E-2</v>
      </c>
      <c r="H72" s="16">
        <f t="shared" si="15"/>
        <v>3.4073345521298287E-2</v>
      </c>
      <c r="I72" s="16">
        <f t="shared" si="16"/>
        <v>4.8000000000000001E-2</v>
      </c>
      <c r="J72" s="16">
        <f t="shared" si="16"/>
        <v>4.5600000000000002E-2</v>
      </c>
      <c r="K72" s="16">
        <f t="shared" si="16"/>
        <v>0.06</v>
      </c>
      <c r="L72" s="16">
        <f t="shared" si="17"/>
        <v>5.1200000000000002E-2</v>
      </c>
      <c r="M72" s="22"/>
      <c r="N72" s="18">
        <f t="shared" si="18"/>
        <v>7.9580321567066972E-2</v>
      </c>
      <c r="O72" s="16">
        <f t="shared" si="19"/>
        <v>8.5273345521298283E-2</v>
      </c>
      <c r="P72" s="18">
        <f t="shared" si="20"/>
        <v>9.4219526020804634E-2</v>
      </c>
      <c r="X72" s="313"/>
      <c r="Y72" s="313"/>
      <c r="Z72" s="314"/>
      <c r="AA72" s="314"/>
      <c r="AB72" s="314"/>
      <c r="AC72" s="314"/>
    </row>
    <row r="73" spans="2:29" x14ac:dyDescent="0.2">
      <c r="B73" s="2" t="str">
        <f t="shared" si="12"/>
        <v>PNM Resources, Inc.</v>
      </c>
      <c r="C73" s="1" t="str">
        <f t="shared" si="12"/>
        <v>PNM</v>
      </c>
      <c r="D73" s="16"/>
      <c r="E73" s="28">
        <f t="shared" si="13"/>
        <v>1.1599999999999999</v>
      </c>
      <c r="F73" s="15">
        <v>42.638555555555548</v>
      </c>
      <c r="G73" s="16">
        <f t="shared" si="14"/>
        <v>2.720542440722664E-2</v>
      </c>
      <c r="H73" s="16">
        <f t="shared" si="15"/>
        <v>2.7939970866221756E-2</v>
      </c>
      <c r="I73" s="16">
        <f t="shared" si="16"/>
        <v>4.5999999999999999E-2</v>
      </c>
      <c r="J73" s="16">
        <f t="shared" si="16"/>
        <v>4.1000000000000002E-2</v>
      </c>
      <c r="K73" s="16">
        <f t="shared" si="16"/>
        <v>7.4999999999999997E-2</v>
      </c>
      <c r="L73" s="16">
        <f t="shared" si="17"/>
        <v>5.3999999999999992E-2</v>
      </c>
      <c r="M73" s="22"/>
      <c r="N73" s="18">
        <f t="shared" si="18"/>
        <v>6.8763135607574785E-2</v>
      </c>
      <c r="O73" s="16">
        <f t="shared" si="19"/>
        <v>8.1939970866221748E-2</v>
      </c>
      <c r="P73" s="18">
        <f t="shared" si="20"/>
        <v>0.10322562782249764</v>
      </c>
      <c r="X73" s="313"/>
      <c r="Y73" s="313"/>
      <c r="Z73" s="314"/>
      <c r="AA73" s="314"/>
      <c r="AB73" s="314"/>
      <c r="AC73" s="314"/>
    </row>
    <row r="74" spans="2:29" x14ac:dyDescent="0.2">
      <c r="B74" s="2" t="str">
        <f t="shared" si="12"/>
        <v>Portland General Electric Company</v>
      </c>
      <c r="C74" s="1" t="str">
        <f t="shared" si="12"/>
        <v>POR</v>
      </c>
      <c r="D74" s="16"/>
      <c r="E74" s="28">
        <f t="shared" si="13"/>
        <v>1.45</v>
      </c>
      <c r="F74" s="15">
        <v>47.889888888888891</v>
      </c>
      <c r="G74" s="16">
        <f t="shared" si="14"/>
        <v>3.0277790022946154E-2</v>
      </c>
      <c r="H74" s="16">
        <f t="shared" si="15"/>
        <v>3.0928762508439497E-2</v>
      </c>
      <c r="I74" s="16">
        <f t="shared" si="16"/>
        <v>0.04</v>
      </c>
      <c r="J74" s="16">
        <f t="shared" si="16"/>
        <v>4.9000000000000002E-2</v>
      </c>
      <c r="K74" s="16">
        <f t="shared" si="16"/>
        <v>0.04</v>
      </c>
      <c r="L74" s="16">
        <f t="shared" si="17"/>
        <v>4.3000000000000003E-2</v>
      </c>
      <c r="M74" s="22"/>
      <c r="N74" s="18">
        <f t="shared" si="18"/>
        <v>7.0883345823405081E-2</v>
      </c>
      <c r="O74" s="16">
        <f t="shared" si="19"/>
        <v>7.3928762508439494E-2</v>
      </c>
      <c r="P74" s="18">
        <f t="shared" si="20"/>
        <v>8.0019595878508334E-2</v>
      </c>
      <c r="X74" s="313"/>
      <c r="Y74" s="313"/>
      <c r="Z74" s="314"/>
      <c r="AA74" s="314"/>
      <c r="AB74" s="314"/>
      <c r="AC74" s="314"/>
    </row>
    <row r="75" spans="2:29" x14ac:dyDescent="0.2">
      <c r="B75" s="2" t="str">
        <f t="shared" si="12"/>
        <v>Southern Company</v>
      </c>
      <c r="C75" s="1" t="str">
        <f t="shared" si="12"/>
        <v>SO</v>
      </c>
      <c r="D75" s="16"/>
      <c r="E75" s="28">
        <f t="shared" si="13"/>
        <v>2.4</v>
      </c>
      <c r="F75" s="15">
        <v>47.460555555555544</v>
      </c>
      <c r="G75" s="16">
        <f t="shared" si="14"/>
        <v>5.0568308185744898E-2</v>
      </c>
      <c r="H75" s="16">
        <f t="shared" si="15"/>
        <v>5.1424598204356839E-2</v>
      </c>
      <c r="I75" s="16">
        <f t="shared" si="16"/>
        <v>4.4999999999999998E-2</v>
      </c>
      <c r="J75" s="16">
        <f t="shared" si="16"/>
        <v>2.1600000000000001E-2</v>
      </c>
      <c r="K75" s="16">
        <f t="shared" si="16"/>
        <v>3.5000000000000003E-2</v>
      </c>
      <c r="L75" s="16">
        <f t="shared" si="17"/>
        <v>3.3866666666666663E-2</v>
      </c>
      <c r="M75" s="22"/>
      <c r="N75" s="18">
        <f t="shared" si="18"/>
        <v>7.2714445914150938E-2</v>
      </c>
      <c r="O75" s="16">
        <f t="shared" si="19"/>
        <v>8.5291264871023509E-2</v>
      </c>
      <c r="P75" s="18">
        <f t="shared" si="20"/>
        <v>9.6706095119924146E-2</v>
      </c>
      <c r="X75" s="313"/>
      <c r="Y75" s="313"/>
      <c r="Z75" s="314"/>
      <c r="AA75" s="314"/>
      <c r="AB75" s="314"/>
      <c r="AC75" s="314"/>
    </row>
    <row r="76" spans="2:29" x14ac:dyDescent="0.2">
      <c r="B76" s="2" t="str">
        <f t="shared" si="12"/>
        <v>WEC Energy Group, Inc.</v>
      </c>
      <c r="C76" s="1" t="str">
        <f t="shared" si="12"/>
        <v>WEC</v>
      </c>
      <c r="D76" s="16"/>
      <c r="E76" s="28">
        <f t="shared" si="13"/>
        <v>2.36</v>
      </c>
      <c r="F76" s="15">
        <v>72.330666666666673</v>
      </c>
      <c r="G76" s="16">
        <f t="shared" si="14"/>
        <v>3.2627930983630732E-2</v>
      </c>
      <c r="H76" s="16">
        <f t="shared" si="15"/>
        <v>3.3443085459371774E-2</v>
      </c>
      <c r="I76" s="16">
        <f t="shared" si="16"/>
        <v>4.3999999999999997E-2</v>
      </c>
      <c r="J76" s="16">
        <f t="shared" si="16"/>
        <v>4.5900000000000003E-2</v>
      </c>
      <c r="K76" s="16">
        <f t="shared" si="16"/>
        <v>0.06</v>
      </c>
      <c r="L76" s="16">
        <f t="shared" si="17"/>
        <v>4.9966666666666666E-2</v>
      </c>
      <c r="M76" s="22"/>
      <c r="N76" s="18">
        <f t="shared" si="18"/>
        <v>7.7345745465270607E-2</v>
      </c>
      <c r="O76" s="16">
        <f t="shared" si="19"/>
        <v>8.3409752126038433E-2</v>
      </c>
      <c r="P76" s="18">
        <f t="shared" si="20"/>
        <v>9.3606768913139654E-2</v>
      </c>
      <c r="X76" s="313"/>
      <c r="Y76" s="313"/>
      <c r="Z76" s="314"/>
      <c r="AA76" s="314"/>
      <c r="AB76" s="314"/>
      <c r="AC76" s="314"/>
    </row>
    <row r="77" spans="2:29" x14ac:dyDescent="0.2">
      <c r="B77" s="2" t="str">
        <f t="shared" si="12"/>
        <v>Xcel Energy Inc.</v>
      </c>
      <c r="C77" s="1" t="str">
        <f t="shared" si="12"/>
        <v>XEL</v>
      </c>
      <c r="D77" s="16"/>
      <c r="E77" s="28">
        <f t="shared" si="13"/>
        <v>1.62</v>
      </c>
      <c r="F77" s="15">
        <v>51.948444444444441</v>
      </c>
      <c r="G77" s="16">
        <f t="shared" si="14"/>
        <v>3.1184764381780229E-2</v>
      </c>
      <c r="H77" s="16">
        <f t="shared" si="15"/>
        <v>3.2120307313233634E-2</v>
      </c>
      <c r="I77" s="16">
        <f t="shared" si="16"/>
        <v>5.8999999999999997E-2</v>
      </c>
      <c r="J77" s="16">
        <f t="shared" si="16"/>
        <v>6.6000000000000003E-2</v>
      </c>
      <c r="K77" s="16">
        <f t="shared" si="16"/>
        <v>5.5E-2</v>
      </c>
      <c r="L77" s="16">
        <f t="shared" si="17"/>
        <v>0.06</v>
      </c>
      <c r="M77" s="22"/>
      <c r="N77" s="18">
        <f t="shared" si="18"/>
        <v>8.7042345402279189E-2</v>
      </c>
      <c r="O77" s="16">
        <f t="shared" si="19"/>
        <v>9.2120307313233632E-2</v>
      </c>
      <c r="P77" s="18">
        <f t="shared" si="20"/>
        <v>9.8213861606378974E-2</v>
      </c>
      <c r="X77" s="313"/>
      <c r="Y77" s="313"/>
      <c r="Z77" s="314"/>
      <c r="AA77" s="314"/>
      <c r="AB77" s="314"/>
      <c r="AC77" s="314"/>
    </row>
    <row r="78" spans="2:29" x14ac:dyDescent="0.2">
      <c r="C78" s="1"/>
      <c r="D78" s="16"/>
      <c r="E78" s="28"/>
      <c r="F78" s="15"/>
      <c r="G78" s="16"/>
      <c r="H78" s="16"/>
      <c r="I78" s="16"/>
      <c r="J78" s="16"/>
      <c r="K78" s="16"/>
      <c r="L78" s="16"/>
      <c r="M78" s="22"/>
      <c r="N78" s="18"/>
      <c r="O78" s="16"/>
      <c r="P78" s="18"/>
    </row>
    <row r="79" spans="2:29" x14ac:dyDescent="0.2">
      <c r="B79" s="20" t="s">
        <v>75</v>
      </c>
      <c r="C79" s="20"/>
      <c r="D79" s="16"/>
      <c r="E79" s="20"/>
      <c r="F79" s="20"/>
      <c r="G79" s="21">
        <f t="shared" ref="G79:L79" si="21">AVERAGE(G55:G77)</f>
        <v>3.2902447943920825E-2</v>
      </c>
      <c r="H79" s="21">
        <f t="shared" si="21"/>
        <v>3.3798251941223781E-2</v>
      </c>
      <c r="I79" s="21">
        <f t="shared" si="21"/>
        <v>5.2047619047619058E-2</v>
      </c>
      <c r="J79" s="21">
        <f t="shared" si="21"/>
        <v>5.6118181818181817E-2</v>
      </c>
      <c r="K79" s="21">
        <f t="shared" si="21"/>
        <v>5.6590909090909094E-2</v>
      </c>
      <c r="L79" s="21">
        <f t="shared" si="21"/>
        <v>5.5345652173913053E-2</v>
      </c>
      <c r="M79" s="22"/>
      <c r="N79" s="21">
        <f t="shared" ref="N79:P79" si="22">AVERAGE(N55:N77)</f>
        <v>8.058051527258818E-2</v>
      </c>
      <c r="O79" s="21">
        <f>AVERAGE(O55:O77)</f>
        <v>8.9143904115136813E-2</v>
      </c>
      <c r="P79" s="21">
        <f t="shared" si="22"/>
        <v>9.8968061083916176E-2</v>
      </c>
    </row>
    <row r="80" spans="2:29" x14ac:dyDescent="0.2">
      <c r="B80" s="23" t="s">
        <v>76</v>
      </c>
      <c r="C80" s="23"/>
      <c r="E80" s="23"/>
      <c r="F80" s="23"/>
      <c r="G80" s="24">
        <f t="shared" ref="G80:L80" si="23">MEDIAN(G55:G77)</f>
        <v>3.2031439936037374E-2</v>
      </c>
      <c r="H80" s="24">
        <f t="shared" si="23"/>
        <v>3.3085808167265272E-2</v>
      </c>
      <c r="I80" s="24">
        <f t="shared" si="23"/>
        <v>0.05</v>
      </c>
      <c r="J80" s="24">
        <f t="shared" si="23"/>
        <v>5.4899999999999997E-2</v>
      </c>
      <c r="K80" s="24">
        <f t="shared" si="23"/>
        <v>5.5E-2</v>
      </c>
      <c r="L80" s="24">
        <f t="shared" si="23"/>
        <v>5.5E-2</v>
      </c>
      <c r="M80" s="22"/>
      <c r="N80" s="24">
        <f t="shared" ref="N80:P80" si="24">MEDIAN(N55:N77)</f>
        <v>7.9580321567066972E-2</v>
      </c>
      <c r="O80" s="24">
        <f t="shared" si="24"/>
        <v>8.945351123311121E-2</v>
      </c>
      <c r="P80" s="24">
        <f t="shared" si="24"/>
        <v>9.8213861606378974E-2</v>
      </c>
    </row>
    <row r="81" spans="2:16" x14ac:dyDescent="0.2">
      <c r="G81" s="16"/>
      <c r="H81" s="16"/>
      <c r="I81" s="16"/>
      <c r="J81" s="16"/>
      <c r="K81" s="16"/>
      <c r="L81" s="25"/>
      <c r="M81" s="16"/>
      <c r="N81" s="16"/>
      <c r="O81" s="16"/>
      <c r="P81" s="16"/>
    </row>
    <row r="82" spans="2:16" x14ac:dyDescent="0.2">
      <c r="B82" s="23" t="s">
        <v>77</v>
      </c>
    </row>
    <row r="83" spans="2:16" x14ac:dyDescent="0.2">
      <c r="B83" s="2" t="str">
        <f t="shared" ref="B83:B93" si="25">B36</f>
        <v>[1] Source: Bloomberg Professional</v>
      </c>
    </row>
    <row r="84" spans="2:16" x14ac:dyDescent="0.2">
      <c r="B84" s="2" t="str">
        <f t="shared" si="25"/>
        <v>[2] Source: Bloomberg Professional, equals indicated number of trading day average as of March 15, 2019</v>
      </c>
    </row>
    <row r="85" spans="2:16" x14ac:dyDescent="0.2">
      <c r="B85" s="2" t="str">
        <f t="shared" si="25"/>
        <v>[3] Equals [1] / [2]</v>
      </c>
    </row>
    <row r="86" spans="2:16" x14ac:dyDescent="0.2">
      <c r="B86" s="2" t="str">
        <f t="shared" si="25"/>
        <v>[4] Equals [3] x (1 + 0.5 x [8])</v>
      </c>
    </row>
    <row r="87" spans="2:16" x14ac:dyDescent="0.2">
      <c r="B87" s="2" t="str">
        <f t="shared" si="25"/>
        <v>[5] Source: Zacks</v>
      </c>
    </row>
    <row r="88" spans="2:16" x14ac:dyDescent="0.2">
      <c r="B88" s="2" t="str">
        <f t="shared" si="25"/>
        <v>[6] Source: Yahoo! Finance</v>
      </c>
    </row>
    <row r="89" spans="2:16" x14ac:dyDescent="0.2">
      <c r="B89" s="2" t="str">
        <f t="shared" si="25"/>
        <v>[7] Source: Value Line</v>
      </c>
    </row>
    <row r="90" spans="2:16" x14ac:dyDescent="0.2">
      <c r="B90" s="2" t="str">
        <f t="shared" si="25"/>
        <v>[8] Equals Average([5], [6], [7])</v>
      </c>
    </row>
    <row r="91" spans="2:16" x14ac:dyDescent="0.2">
      <c r="B91" s="2" t="str">
        <f t="shared" si="25"/>
        <v>[9] Equals [3] x (1 + 0.5 x Minimum([5], [6], [7])) +  Minimum([5], [6], [7])</v>
      </c>
    </row>
    <row r="92" spans="2:16" x14ac:dyDescent="0.2">
      <c r="B92" s="2" t="str">
        <f t="shared" si="25"/>
        <v>[10] Equals [4] + [8]</v>
      </c>
    </row>
    <row r="93" spans="2:16" x14ac:dyDescent="0.2">
      <c r="B93" s="2" t="str">
        <f t="shared" si="25"/>
        <v>[11] Equals [3] x (1 + 0.5 x Maximum([5], [6], [7])) +  Maximum([5], [6], [7])</v>
      </c>
    </row>
    <row r="96" spans="2:16" x14ac:dyDescent="0.2">
      <c r="B96" s="3" t="str">
        <f>B49</f>
        <v>Constant Growth Discounted Cash Flow Model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29" x14ac:dyDescent="0.2">
      <c r="B97" s="3" t="s">
        <v>90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9" spans="1:29" x14ac:dyDescent="0.2">
      <c r="B99" s="4"/>
      <c r="C99" s="4"/>
      <c r="D99" s="1"/>
      <c r="E99" s="5" t="s">
        <v>2</v>
      </c>
      <c r="F99" s="5" t="s">
        <v>3</v>
      </c>
      <c r="G99" s="5" t="s">
        <v>4</v>
      </c>
      <c r="H99" s="5" t="s">
        <v>5</v>
      </c>
      <c r="I99" s="5" t="s">
        <v>6</v>
      </c>
      <c r="J99" s="5" t="s">
        <v>7</v>
      </c>
      <c r="K99" s="5" t="s">
        <v>8</v>
      </c>
      <c r="L99" s="5" t="s">
        <v>9</v>
      </c>
      <c r="M99" s="6"/>
      <c r="N99" s="5" t="s">
        <v>10</v>
      </c>
      <c r="O99" s="5" t="s">
        <v>11</v>
      </c>
      <c r="P99" s="5" t="s">
        <v>12</v>
      </c>
    </row>
    <row r="100" spans="1:29" ht="38.25" x14ac:dyDescent="0.2">
      <c r="A100" s="7"/>
      <c r="B100" s="8" t="s">
        <v>13</v>
      </c>
      <c r="C100" s="8" t="s">
        <v>14</v>
      </c>
      <c r="D100" s="9"/>
      <c r="E100" s="10" t="s">
        <v>15</v>
      </c>
      <c r="F100" s="10" t="s">
        <v>16</v>
      </c>
      <c r="G100" s="10" t="s">
        <v>17</v>
      </c>
      <c r="H100" s="10" t="s">
        <v>18</v>
      </c>
      <c r="I100" s="10" t="s">
        <v>19</v>
      </c>
      <c r="J100" s="10" t="s">
        <v>20</v>
      </c>
      <c r="K100" s="10" t="s">
        <v>21</v>
      </c>
      <c r="L100" s="10" t="s">
        <v>22</v>
      </c>
      <c r="M100" s="11"/>
      <c r="N100" s="10" t="s">
        <v>23</v>
      </c>
      <c r="O100" s="10" t="s">
        <v>24</v>
      </c>
      <c r="P100" s="10" t="s">
        <v>25</v>
      </c>
    </row>
    <row r="101" spans="1:29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3"/>
      <c r="O101" s="12"/>
      <c r="P101" s="12"/>
    </row>
    <row r="102" spans="1:29" x14ac:dyDescent="0.2">
      <c r="B102" s="2" t="str">
        <f t="shared" ref="B102:C124" si="26">B55</f>
        <v>ALLETE, Inc.</v>
      </c>
      <c r="C102" s="1" t="str">
        <f t="shared" si="26"/>
        <v>ALE</v>
      </c>
      <c r="D102" s="16"/>
      <c r="E102" s="28">
        <f t="shared" ref="E102:E124" si="27">E55</f>
        <v>2.35</v>
      </c>
      <c r="F102" s="15">
        <v>77.342444444444425</v>
      </c>
      <c r="G102" s="16">
        <f t="shared" ref="G102:G124" si="28">E102/F102</f>
        <v>3.0384351268959699E-2</v>
      </c>
      <c r="H102" s="16">
        <f t="shared" ref="H102:H124" si="29">G102*(1+0.5*L102)</f>
        <v>3.1219920928856094E-2</v>
      </c>
      <c r="I102" s="16" t="str">
        <f t="shared" ref="I102:K124" si="30">I55</f>
        <v>NA</v>
      </c>
      <c r="J102" s="16">
        <f t="shared" si="30"/>
        <v>0.06</v>
      </c>
      <c r="K102" s="16">
        <f t="shared" si="30"/>
        <v>0.05</v>
      </c>
      <c r="L102" s="16">
        <f t="shared" ref="L102:L124" si="31">AVERAGE(I102:K102)</f>
        <v>5.5E-2</v>
      </c>
      <c r="M102" s="22"/>
      <c r="N102" s="16">
        <f t="shared" ref="N102:N124" si="32">G102*(1+0.5*MIN(I102:K102))+MIN(I102:K102)</f>
        <v>8.1143960050683694E-2</v>
      </c>
      <c r="O102" s="16">
        <f t="shared" ref="O102:O124" si="33">H102+L102</f>
        <v>8.6219920928856095E-2</v>
      </c>
      <c r="P102" s="16">
        <f t="shared" ref="P102:P124" si="34">G102*(1+0.5*MAX(I102:K102))+MAX(I102:K102)</f>
        <v>9.1295881807028495E-2</v>
      </c>
      <c r="X102" s="313"/>
      <c r="Y102" s="313"/>
      <c r="Z102" s="314"/>
      <c r="AA102" s="314"/>
      <c r="AB102" s="314"/>
      <c r="AC102" s="314"/>
    </row>
    <row r="103" spans="1:29" x14ac:dyDescent="0.2">
      <c r="B103" s="2" t="str">
        <f t="shared" si="26"/>
        <v>Alliant Energy Corporation</v>
      </c>
      <c r="C103" s="1" t="str">
        <f t="shared" si="26"/>
        <v>LNT</v>
      </c>
      <c r="D103" s="16"/>
      <c r="E103" s="28">
        <f t="shared" si="27"/>
        <v>1.42</v>
      </c>
      <c r="F103" s="15">
        <v>43.677611111111119</v>
      </c>
      <c r="G103" s="16">
        <f t="shared" si="28"/>
        <v>3.2510935554320344E-2</v>
      </c>
      <c r="H103" s="16">
        <f t="shared" si="29"/>
        <v>3.3581087182983388E-2</v>
      </c>
      <c r="I103" s="16">
        <f t="shared" si="30"/>
        <v>0.06</v>
      </c>
      <c r="J103" s="16">
        <f t="shared" si="30"/>
        <v>7.2499999999999995E-2</v>
      </c>
      <c r="K103" s="16">
        <f t="shared" si="30"/>
        <v>6.5000000000000002E-2</v>
      </c>
      <c r="L103" s="16">
        <f t="shared" si="31"/>
        <v>6.5833333333333341E-2</v>
      </c>
      <c r="M103" s="22"/>
      <c r="N103" s="16">
        <f t="shared" si="32"/>
        <v>9.3486263620949944E-2</v>
      </c>
      <c r="O103" s="16">
        <f t="shared" si="33"/>
        <v>9.9414420516316729E-2</v>
      </c>
      <c r="P103" s="16">
        <f t="shared" si="34"/>
        <v>0.10618945696816445</v>
      </c>
      <c r="X103" s="313"/>
      <c r="Y103" s="313"/>
      <c r="Z103" s="314"/>
      <c r="AA103" s="314"/>
      <c r="AB103" s="314"/>
      <c r="AC103" s="314"/>
    </row>
    <row r="104" spans="1:29" x14ac:dyDescent="0.2">
      <c r="B104" s="2" t="str">
        <f t="shared" si="26"/>
        <v>Ameren Corporation</v>
      </c>
      <c r="C104" s="1" t="str">
        <f t="shared" si="26"/>
        <v>AEE</v>
      </c>
      <c r="D104" s="16"/>
      <c r="E104" s="28">
        <f t="shared" si="27"/>
        <v>1.9</v>
      </c>
      <c r="F104" s="15">
        <v>65.925666666666658</v>
      </c>
      <c r="G104" s="16">
        <f t="shared" si="28"/>
        <v>2.8820338057509217E-2</v>
      </c>
      <c r="H104" s="16">
        <f t="shared" si="29"/>
        <v>2.9829049889522036E-2</v>
      </c>
      <c r="I104" s="16">
        <f t="shared" si="30"/>
        <v>6.8000000000000005E-2</v>
      </c>
      <c r="J104" s="16">
        <f t="shared" si="30"/>
        <v>7.6999999999999999E-2</v>
      </c>
      <c r="K104" s="16">
        <f t="shared" si="30"/>
        <v>6.5000000000000002E-2</v>
      </c>
      <c r="L104" s="16">
        <f t="shared" si="31"/>
        <v>7.0000000000000007E-2</v>
      </c>
      <c r="M104" s="22"/>
      <c r="N104" s="16">
        <f t="shared" si="32"/>
        <v>9.4756999044378259E-2</v>
      </c>
      <c r="O104" s="16">
        <f t="shared" si="33"/>
        <v>9.9829049889522042E-2</v>
      </c>
      <c r="P104" s="16">
        <f t="shared" si="34"/>
        <v>0.10692992107272332</v>
      </c>
      <c r="X104" s="313"/>
      <c r="Y104" s="313"/>
      <c r="Z104" s="314"/>
      <c r="AA104" s="314"/>
      <c r="AB104" s="314"/>
      <c r="AC104" s="314"/>
    </row>
    <row r="105" spans="1:29" x14ac:dyDescent="0.2">
      <c r="B105" s="2" t="str">
        <f t="shared" si="26"/>
        <v>Avangrid, Inc.</v>
      </c>
      <c r="C105" s="1" t="str">
        <f t="shared" si="26"/>
        <v>AGR</v>
      </c>
      <c r="D105" s="16"/>
      <c r="E105" s="28">
        <f t="shared" si="27"/>
        <v>1.76</v>
      </c>
      <c r="F105" s="15">
        <v>49.673000000000009</v>
      </c>
      <c r="G105" s="16">
        <f t="shared" si="28"/>
        <v>3.5431723471503626E-2</v>
      </c>
      <c r="H105" s="16">
        <f t="shared" si="29"/>
        <v>3.7138351485381055E-2</v>
      </c>
      <c r="I105" s="16">
        <f t="shared" si="30"/>
        <v>7.6999999999999999E-2</v>
      </c>
      <c r="J105" s="16">
        <f t="shared" si="30"/>
        <v>9.1999999999999998E-2</v>
      </c>
      <c r="K105" s="16">
        <f t="shared" si="30"/>
        <v>0.12</v>
      </c>
      <c r="L105" s="16">
        <f t="shared" si="31"/>
        <v>9.6333333333333326E-2</v>
      </c>
      <c r="M105" s="22"/>
      <c r="N105" s="16">
        <f t="shared" si="32"/>
        <v>0.11379584482515651</v>
      </c>
      <c r="O105" s="16">
        <f t="shared" si="33"/>
        <v>0.13347168481871438</v>
      </c>
      <c r="P105" s="16">
        <f t="shared" si="34"/>
        <v>0.15755762687979386</v>
      </c>
      <c r="X105" s="313"/>
      <c r="Y105" s="313"/>
      <c r="Z105" s="314"/>
      <c r="AA105" s="314"/>
      <c r="AB105" s="314"/>
      <c r="AC105" s="314"/>
    </row>
    <row r="106" spans="1:29" x14ac:dyDescent="0.2">
      <c r="B106" s="2" t="str">
        <f t="shared" si="26"/>
        <v>Black Hills Corporation</v>
      </c>
      <c r="C106" s="1" t="str">
        <f t="shared" si="26"/>
        <v>BKH</v>
      </c>
      <c r="D106" s="16"/>
      <c r="E106" s="28">
        <f t="shared" si="27"/>
        <v>2.02</v>
      </c>
      <c r="F106" s="15">
        <v>63.29244444444447</v>
      </c>
      <c r="G106" s="16">
        <f t="shared" si="28"/>
        <v>3.1915341834728377E-2</v>
      </c>
      <c r="H106" s="16">
        <f t="shared" si="29"/>
        <v>3.2704182700410082E-2</v>
      </c>
      <c r="I106" s="16">
        <f t="shared" si="30"/>
        <v>4.7E-2</v>
      </c>
      <c r="J106" s="16">
        <f t="shared" si="30"/>
        <v>3.6299999999999999E-2</v>
      </c>
      <c r="K106" s="16">
        <f t="shared" si="30"/>
        <v>6.5000000000000002E-2</v>
      </c>
      <c r="L106" s="16">
        <f t="shared" si="31"/>
        <v>4.9433333333333329E-2</v>
      </c>
      <c r="M106" s="22"/>
      <c r="N106" s="16">
        <f t="shared" si="32"/>
        <v>6.8794605289028699E-2</v>
      </c>
      <c r="O106" s="16">
        <f t="shared" si="33"/>
        <v>8.2137516033743418E-2</v>
      </c>
      <c r="P106" s="16">
        <f t="shared" si="34"/>
        <v>9.7952590444357057E-2</v>
      </c>
      <c r="X106" s="313"/>
      <c r="Y106" s="313"/>
      <c r="Z106" s="314"/>
      <c r="AA106" s="314"/>
      <c r="AB106" s="314"/>
      <c r="AC106" s="314"/>
    </row>
    <row r="107" spans="1:29" x14ac:dyDescent="0.2">
      <c r="B107" s="2" t="str">
        <f t="shared" si="26"/>
        <v>CMS Energy Corporation</v>
      </c>
      <c r="C107" s="1" t="str">
        <f t="shared" si="26"/>
        <v>CMS</v>
      </c>
      <c r="D107" s="16"/>
      <c r="E107" s="28">
        <f t="shared" si="27"/>
        <v>1.53</v>
      </c>
      <c r="F107" s="15">
        <v>50.313166666666682</v>
      </c>
      <c r="G107" s="16">
        <f t="shared" si="28"/>
        <v>3.0409534946120788E-2</v>
      </c>
      <c r="H107" s="16">
        <f t="shared" si="29"/>
        <v>3.1417611029584694E-2</v>
      </c>
      <c r="I107" s="16">
        <f t="shared" si="30"/>
        <v>0.06</v>
      </c>
      <c r="J107" s="16">
        <f t="shared" si="30"/>
        <v>6.8900000000000003E-2</v>
      </c>
      <c r="K107" s="16">
        <f t="shared" si="30"/>
        <v>7.0000000000000007E-2</v>
      </c>
      <c r="L107" s="16">
        <f t="shared" si="31"/>
        <v>6.6300000000000012E-2</v>
      </c>
      <c r="M107" s="22"/>
      <c r="N107" s="16">
        <f t="shared" si="32"/>
        <v>9.1321820994504407E-2</v>
      </c>
      <c r="O107" s="16">
        <f t="shared" si="33"/>
        <v>9.7717611029584706E-2</v>
      </c>
      <c r="P107" s="16">
        <f t="shared" si="34"/>
        <v>0.10147386866923502</v>
      </c>
      <c r="X107" s="313"/>
      <c r="Y107" s="313"/>
      <c r="Z107" s="314"/>
      <c r="AA107" s="314"/>
      <c r="AB107" s="314"/>
      <c r="AC107" s="314"/>
    </row>
    <row r="108" spans="1:29" x14ac:dyDescent="0.2">
      <c r="B108" s="2" t="str">
        <f t="shared" si="26"/>
        <v>Consolidated Edison, Inc.</v>
      </c>
      <c r="C108" s="1" t="str">
        <f t="shared" si="26"/>
        <v>ED</v>
      </c>
      <c r="D108" s="16"/>
      <c r="E108" s="28">
        <f t="shared" si="27"/>
        <v>2.96</v>
      </c>
      <c r="F108" s="15">
        <v>78.629222222222253</v>
      </c>
      <c r="G108" s="16">
        <f t="shared" si="28"/>
        <v>3.7645037256434193E-2</v>
      </c>
      <c r="H108" s="16">
        <f t="shared" si="29"/>
        <v>3.8146343669232377E-2</v>
      </c>
      <c r="I108" s="16">
        <f t="shared" si="30"/>
        <v>0.02</v>
      </c>
      <c r="J108" s="16">
        <f t="shared" si="30"/>
        <v>2.9899999999999999E-2</v>
      </c>
      <c r="K108" s="16">
        <f t="shared" si="30"/>
        <v>0.03</v>
      </c>
      <c r="L108" s="16">
        <f t="shared" si="31"/>
        <v>2.6633333333333332E-2</v>
      </c>
      <c r="M108" s="22"/>
      <c r="N108" s="16">
        <f t="shared" si="32"/>
        <v>5.802148762899853E-2</v>
      </c>
      <c r="O108" s="16">
        <f t="shared" si="33"/>
        <v>6.4779677002565705E-2</v>
      </c>
      <c r="P108" s="16">
        <f t="shared" si="34"/>
        <v>6.820971281528071E-2</v>
      </c>
      <c r="X108" s="313"/>
      <c r="Y108" s="313"/>
      <c r="Z108" s="314"/>
      <c r="AA108" s="314"/>
      <c r="AB108" s="314"/>
      <c r="AC108" s="314"/>
    </row>
    <row r="109" spans="1:29" x14ac:dyDescent="0.2">
      <c r="B109" s="2" t="str">
        <f t="shared" si="26"/>
        <v>DTE Energy Company</v>
      </c>
      <c r="C109" s="1" t="str">
        <f t="shared" si="26"/>
        <v>DTE</v>
      </c>
      <c r="D109" s="16"/>
      <c r="E109" s="28">
        <f t="shared" si="27"/>
        <v>3.78</v>
      </c>
      <c r="F109" s="15">
        <v>113.54772222222221</v>
      </c>
      <c r="G109" s="16">
        <f t="shared" si="28"/>
        <v>3.3289967654324494E-2</v>
      </c>
      <c r="H109" s="16">
        <f t="shared" si="29"/>
        <v>3.4131094170390432E-2</v>
      </c>
      <c r="I109" s="16">
        <f t="shared" si="30"/>
        <v>0.06</v>
      </c>
      <c r="J109" s="16">
        <f t="shared" si="30"/>
        <v>4.1599999999999998E-2</v>
      </c>
      <c r="K109" s="16">
        <f t="shared" si="30"/>
        <v>0.05</v>
      </c>
      <c r="L109" s="16">
        <f t="shared" si="31"/>
        <v>5.053333333333334E-2</v>
      </c>
      <c r="M109" s="22"/>
      <c r="N109" s="16">
        <f t="shared" si="32"/>
        <v>7.5582398981534432E-2</v>
      </c>
      <c r="O109" s="16">
        <f t="shared" si="33"/>
        <v>8.4664427503723771E-2</v>
      </c>
      <c r="P109" s="16">
        <f t="shared" si="34"/>
        <v>9.428866668395422E-2</v>
      </c>
      <c r="X109" s="313"/>
      <c r="Y109" s="313"/>
      <c r="Z109" s="314"/>
      <c r="AA109" s="314"/>
      <c r="AB109" s="314"/>
      <c r="AC109" s="314"/>
    </row>
    <row r="110" spans="1:29" x14ac:dyDescent="0.2">
      <c r="B110" s="2" t="str">
        <f t="shared" si="26"/>
        <v>Duke Energy Corporation</v>
      </c>
      <c r="C110" s="1" t="str">
        <f t="shared" si="26"/>
        <v>DUK</v>
      </c>
      <c r="D110" s="16"/>
      <c r="E110" s="28">
        <f t="shared" si="27"/>
        <v>3.71</v>
      </c>
      <c r="F110" s="15">
        <v>84.288277777777765</v>
      </c>
      <c r="G110" s="16">
        <f t="shared" si="28"/>
        <v>4.4015610448006157E-2</v>
      </c>
      <c r="H110" s="16">
        <f t="shared" si="29"/>
        <v>4.5116000709206308E-2</v>
      </c>
      <c r="I110" s="16">
        <f t="shared" si="30"/>
        <v>0.05</v>
      </c>
      <c r="J110" s="16">
        <f t="shared" si="30"/>
        <v>4.4999999999999998E-2</v>
      </c>
      <c r="K110" s="16">
        <f t="shared" si="30"/>
        <v>5.5E-2</v>
      </c>
      <c r="L110" s="16">
        <f t="shared" si="31"/>
        <v>4.9999999999999996E-2</v>
      </c>
      <c r="M110" s="22"/>
      <c r="N110" s="16">
        <f t="shared" si="32"/>
        <v>9.0005961683086291E-2</v>
      </c>
      <c r="O110" s="16">
        <f t="shared" si="33"/>
        <v>9.5116000709206311E-2</v>
      </c>
      <c r="P110" s="16">
        <f t="shared" si="34"/>
        <v>0.10022603973532633</v>
      </c>
      <c r="X110" s="313"/>
      <c r="Y110" s="313"/>
      <c r="Z110" s="314"/>
      <c r="AA110" s="314"/>
      <c r="AB110" s="314"/>
      <c r="AC110" s="314"/>
    </row>
    <row r="111" spans="1:29" x14ac:dyDescent="0.2">
      <c r="B111" s="2" t="str">
        <f t="shared" si="26"/>
        <v>El Paso Electric Company</v>
      </c>
      <c r="C111" s="1" t="str">
        <f t="shared" si="26"/>
        <v>EE</v>
      </c>
      <c r="D111" s="16"/>
      <c r="E111" s="28">
        <f t="shared" si="27"/>
        <v>1.44</v>
      </c>
      <c r="F111" s="15">
        <v>57.172055555555573</v>
      </c>
      <c r="G111" s="16">
        <f t="shared" si="28"/>
        <v>2.5187130076173569E-2</v>
      </c>
      <c r="H111" s="16">
        <f t="shared" si="29"/>
        <v>2.5640498417544694E-2</v>
      </c>
      <c r="I111" s="16">
        <f t="shared" si="30"/>
        <v>2.7000000000000003E-2</v>
      </c>
      <c r="J111" s="16">
        <f t="shared" si="30"/>
        <v>5.0999999999999997E-2</v>
      </c>
      <c r="K111" s="16">
        <f t="shared" si="30"/>
        <v>0.03</v>
      </c>
      <c r="L111" s="16">
        <f t="shared" si="31"/>
        <v>3.5999999999999997E-2</v>
      </c>
      <c r="M111" s="22"/>
      <c r="N111" s="16">
        <f t="shared" si="32"/>
        <v>5.2527156332201917E-2</v>
      </c>
      <c r="O111" s="16">
        <f t="shared" si="33"/>
        <v>6.1640498417544695E-2</v>
      </c>
      <c r="P111" s="16">
        <f t="shared" si="34"/>
        <v>7.6829401893115989E-2</v>
      </c>
      <c r="X111" s="313"/>
      <c r="Y111" s="313"/>
      <c r="Z111" s="314"/>
      <c r="AA111" s="314"/>
      <c r="AB111" s="314"/>
      <c r="AC111" s="314"/>
    </row>
    <row r="112" spans="1:29" x14ac:dyDescent="0.2">
      <c r="B112" s="2" t="str">
        <f t="shared" si="26"/>
        <v>Evergy, Inc</v>
      </c>
      <c r="C112" s="1" t="str">
        <f t="shared" si="26"/>
        <v>EVRG</v>
      </c>
      <c r="D112" s="16"/>
      <c r="E112" s="28">
        <f t="shared" si="27"/>
        <v>1.9</v>
      </c>
      <c r="F112" s="15">
        <v>57.021777777777771</v>
      </c>
      <c r="G112" s="16">
        <f t="shared" si="28"/>
        <v>3.3320602654736207E-2</v>
      </c>
      <c r="H112" s="16">
        <f t="shared" si="29"/>
        <v>3.4399357165683292E-2</v>
      </c>
      <c r="I112" s="16">
        <f t="shared" si="30"/>
        <v>6.7000000000000004E-2</v>
      </c>
      <c r="J112" s="16">
        <f t="shared" si="30"/>
        <v>6.25E-2</v>
      </c>
      <c r="K112" s="16" t="str">
        <f t="shared" si="30"/>
        <v>NMF</v>
      </c>
      <c r="L112" s="16">
        <f t="shared" si="31"/>
        <v>6.4750000000000002E-2</v>
      </c>
      <c r="M112" s="22"/>
      <c r="N112" s="16">
        <f t="shared" si="32"/>
        <v>9.6861871487696705E-2</v>
      </c>
      <c r="O112" s="16">
        <f t="shared" si="33"/>
        <v>9.9149357165683294E-2</v>
      </c>
      <c r="P112" s="16">
        <f t="shared" si="34"/>
        <v>0.10143684284366988</v>
      </c>
      <c r="X112" s="313"/>
      <c r="Y112" s="313"/>
      <c r="Z112" s="314"/>
      <c r="AA112" s="314"/>
      <c r="AB112" s="314"/>
      <c r="AC112" s="314"/>
    </row>
    <row r="113" spans="2:29" x14ac:dyDescent="0.2">
      <c r="B113" s="2" t="str">
        <f t="shared" si="26"/>
        <v>Eversource Energy</v>
      </c>
      <c r="C113" s="1" t="str">
        <f t="shared" si="26"/>
        <v>ES</v>
      </c>
      <c r="D113" s="16"/>
      <c r="E113" s="28">
        <f t="shared" si="27"/>
        <v>2.14</v>
      </c>
      <c r="F113" s="15">
        <v>64.584222222222209</v>
      </c>
      <c r="G113" s="16">
        <f t="shared" si="28"/>
        <v>3.3135027818971964E-2</v>
      </c>
      <c r="H113" s="16">
        <f t="shared" si="29"/>
        <v>3.4078271610885363E-2</v>
      </c>
      <c r="I113" s="16">
        <f t="shared" si="30"/>
        <v>5.7000000000000002E-2</v>
      </c>
      <c r="J113" s="16">
        <f t="shared" si="30"/>
        <v>5.8799999999999998E-2</v>
      </c>
      <c r="K113" s="16">
        <f t="shared" si="30"/>
        <v>5.5E-2</v>
      </c>
      <c r="L113" s="16">
        <f t="shared" si="31"/>
        <v>5.6933333333333336E-2</v>
      </c>
      <c r="M113" s="22"/>
      <c r="N113" s="16">
        <f t="shared" si="32"/>
        <v>8.9046241083993699E-2</v>
      </c>
      <c r="O113" s="16">
        <f t="shared" si="33"/>
        <v>9.1011604944218699E-2</v>
      </c>
      <c r="P113" s="16">
        <f t="shared" si="34"/>
        <v>9.2909197636849739E-2</v>
      </c>
      <c r="X113" s="313"/>
      <c r="Y113" s="313"/>
      <c r="Z113" s="314"/>
      <c r="AA113" s="314"/>
      <c r="AB113" s="314"/>
      <c r="AC113" s="314"/>
    </row>
    <row r="114" spans="2:29" x14ac:dyDescent="0.2">
      <c r="B114" s="2" t="str">
        <f t="shared" si="26"/>
        <v>Hawaiian Electric Industries, Inc.</v>
      </c>
      <c r="C114" s="1" t="str">
        <f t="shared" si="26"/>
        <v>HE</v>
      </c>
      <c r="D114" s="16"/>
      <c r="E114" s="28">
        <f t="shared" si="27"/>
        <v>1.28</v>
      </c>
      <c r="F114" s="15">
        <v>36.487000000000002</v>
      </c>
      <c r="G114" s="16">
        <f t="shared" si="28"/>
        <v>3.5080987749061307E-2</v>
      </c>
      <c r="H114" s="16">
        <f t="shared" si="29"/>
        <v>3.6104183225075588E-2</v>
      </c>
      <c r="I114" s="16">
        <f t="shared" si="30"/>
        <v>6.2E-2</v>
      </c>
      <c r="J114" s="16">
        <f t="shared" si="30"/>
        <v>7.8E-2</v>
      </c>
      <c r="K114" s="16">
        <f t="shared" si="30"/>
        <v>3.5000000000000003E-2</v>
      </c>
      <c r="L114" s="16">
        <f t="shared" si="31"/>
        <v>5.8333333333333341E-2</v>
      </c>
      <c r="M114" s="22"/>
      <c r="N114" s="16">
        <f t="shared" si="32"/>
        <v>7.069490503466988E-2</v>
      </c>
      <c r="O114" s="16">
        <f t="shared" si="33"/>
        <v>9.4437516558408929E-2</v>
      </c>
      <c r="P114" s="16">
        <f t="shared" si="34"/>
        <v>0.1144491462712747</v>
      </c>
      <c r="X114" s="313"/>
      <c r="Y114" s="313"/>
      <c r="Z114" s="314"/>
      <c r="AA114" s="314"/>
      <c r="AB114" s="314"/>
      <c r="AC114" s="314"/>
    </row>
    <row r="115" spans="2:29" x14ac:dyDescent="0.2">
      <c r="B115" s="2" t="str">
        <f t="shared" si="26"/>
        <v>NextEra Energy, Inc.</v>
      </c>
      <c r="C115" s="1" t="str">
        <f t="shared" si="26"/>
        <v>NEE</v>
      </c>
      <c r="D115" s="16"/>
      <c r="E115" s="28">
        <f t="shared" si="27"/>
        <v>5</v>
      </c>
      <c r="F115" s="15">
        <v>174.90077777777776</v>
      </c>
      <c r="G115" s="16">
        <f t="shared" si="28"/>
        <v>2.8587637308010196E-2</v>
      </c>
      <c r="H115" s="16">
        <f t="shared" si="29"/>
        <v>2.9738766170279408E-2</v>
      </c>
      <c r="I115" s="16">
        <f t="shared" si="30"/>
        <v>7.6999999999999999E-2</v>
      </c>
      <c r="J115" s="16">
        <f t="shared" si="30"/>
        <v>7.46E-2</v>
      </c>
      <c r="K115" s="16">
        <f t="shared" si="30"/>
        <v>0.09</v>
      </c>
      <c r="L115" s="16">
        <f t="shared" si="31"/>
        <v>8.0533333333333332E-2</v>
      </c>
      <c r="M115" s="22"/>
      <c r="N115" s="16">
        <f t="shared" si="32"/>
        <v>0.10425395617959898</v>
      </c>
      <c r="O115" s="16">
        <f t="shared" si="33"/>
        <v>0.11027209950361275</v>
      </c>
      <c r="P115" s="16">
        <f t="shared" si="34"/>
        <v>0.11987408098687065</v>
      </c>
      <c r="X115" s="313"/>
      <c r="Y115" s="313"/>
      <c r="Z115" s="314"/>
      <c r="AA115" s="314"/>
      <c r="AB115" s="314"/>
      <c r="AC115" s="314"/>
    </row>
    <row r="116" spans="2:29" x14ac:dyDescent="0.2">
      <c r="B116" s="2" t="str">
        <f t="shared" si="26"/>
        <v>NorthWestern Corporation</v>
      </c>
      <c r="C116" s="1" t="str">
        <f t="shared" si="26"/>
        <v>NWE</v>
      </c>
      <c r="D116" s="16"/>
      <c r="E116" s="28">
        <f t="shared" si="27"/>
        <v>2.2999999999999998</v>
      </c>
      <c r="F116" s="15">
        <v>61.510833333333309</v>
      </c>
      <c r="G116" s="16">
        <f t="shared" si="28"/>
        <v>3.7391787354531053E-2</v>
      </c>
      <c r="H116" s="16">
        <f t="shared" si="29"/>
        <v>3.7911533198759034E-2</v>
      </c>
      <c r="I116" s="16">
        <f t="shared" si="30"/>
        <v>3.1E-2</v>
      </c>
      <c r="J116" s="16">
        <f t="shared" si="30"/>
        <v>2.7400000000000001E-2</v>
      </c>
      <c r="K116" s="16">
        <f t="shared" si="30"/>
        <v>2.5000000000000001E-2</v>
      </c>
      <c r="L116" s="16">
        <f t="shared" si="31"/>
        <v>2.7800000000000002E-2</v>
      </c>
      <c r="M116" s="22"/>
      <c r="N116" s="16">
        <f t="shared" si="32"/>
        <v>6.2859184696462692E-2</v>
      </c>
      <c r="O116" s="16">
        <f t="shared" si="33"/>
        <v>6.571153319875904E-2</v>
      </c>
      <c r="P116" s="16">
        <f t="shared" si="34"/>
        <v>6.8971360058526276E-2</v>
      </c>
      <c r="X116" s="313"/>
      <c r="Y116" s="313"/>
      <c r="Z116" s="314"/>
      <c r="AA116" s="314"/>
      <c r="AB116" s="314"/>
      <c r="AC116" s="314"/>
    </row>
    <row r="117" spans="2:29" x14ac:dyDescent="0.2">
      <c r="B117" s="2" t="str">
        <f t="shared" si="26"/>
        <v>OGE Energy Corp.</v>
      </c>
      <c r="C117" s="1" t="str">
        <f t="shared" si="26"/>
        <v>OGE</v>
      </c>
      <c r="D117" s="16"/>
      <c r="E117" s="28">
        <f t="shared" si="27"/>
        <v>1.46</v>
      </c>
      <c r="F117" s="15">
        <v>38.403888888888901</v>
      </c>
      <c r="G117" s="16">
        <f t="shared" si="28"/>
        <v>3.8016983233758142E-2</v>
      </c>
      <c r="H117" s="16">
        <f t="shared" si="29"/>
        <v>3.9090963010111814E-2</v>
      </c>
      <c r="I117" s="16">
        <f t="shared" si="30"/>
        <v>4.8000000000000001E-2</v>
      </c>
      <c r="J117" s="16" t="str">
        <f t="shared" si="30"/>
        <v>NA</v>
      </c>
      <c r="K117" s="16">
        <f t="shared" si="30"/>
        <v>6.5000000000000002E-2</v>
      </c>
      <c r="L117" s="16">
        <f t="shared" si="31"/>
        <v>5.6500000000000002E-2</v>
      </c>
      <c r="M117" s="22"/>
      <c r="N117" s="16">
        <f t="shared" si="32"/>
        <v>8.6929390831368331E-2</v>
      </c>
      <c r="O117" s="16">
        <f t="shared" si="33"/>
        <v>9.5590963010111815E-2</v>
      </c>
      <c r="P117" s="16">
        <f t="shared" si="34"/>
        <v>0.10425253518885529</v>
      </c>
      <c r="X117" s="313"/>
      <c r="Y117" s="313"/>
      <c r="Z117" s="314"/>
      <c r="AA117" s="314"/>
      <c r="AB117" s="314"/>
      <c r="AC117" s="314"/>
    </row>
    <row r="118" spans="2:29" x14ac:dyDescent="0.2">
      <c r="B118" s="2" t="str">
        <f t="shared" si="26"/>
        <v>Otter Tail Corporation</v>
      </c>
      <c r="C118" s="1" t="str">
        <f t="shared" si="26"/>
        <v>OTTR</v>
      </c>
      <c r="D118" s="16"/>
      <c r="E118" s="28">
        <f t="shared" si="27"/>
        <v>1.4</v>
      </c>
      <c r="F118" s="15">
        <v>48.315555555555548</v>
      </c>
      <c r="G118" s="16">
        <f t="shared" si="28"/>
        <v>2.8976175144880878E-2</v>
      </c>
      <c r="H118" s="16">
        <f t="shared" si="29"/>
        <v>2.9990341274951707E-2</v>
      </c>
      <c r="I118" s="16" t="str">
        <f t="shared" si="30"/>
        <v>NA</v>
      </c>
      <c r="J118" s="16">
        <f t="shared" si="30"/>
        <v>0.09</v>
      </c>
      <c r="K118" s="16">
        <f t="shared" si="30"/>
        <v>0.05</v>
      </c>
      <c r="L118" s="16">
        <f t="shared" si="31"/>
        <v>7.0000000000000007E-2</v>
      </c>
      <c r="M118" s="22"/>
      <c r="N118" s="16">
        <f t="shared" si="32"/>
        <v>7.9700579523502901E-2</v>
      </c>
      <c r="O118" s="16">
        <f t="shared" si="33"/>
        <v>9.9990341274951711E-2</v>
      </c>
      <c r="P118" s="16">
        <f t="shared" si="34"/>
        <v>0.12028010302640052</v>
      </c>
      <c r="X118" s="313"/>
      <c r="Y118" s="313"/>
      <c r="Z118" s="314"/>
      <c r="AA118" s="314"/>
      <c r="AB118" s="314"/>
      <c r="AC118" s="314"/>
    </row>
    <row r="119" spans="2:29" x14ac:dyDescent="0.2">
      <c r="B119" s="2" t="str">
        <f t="shared" si="26"/>
        <v>Pinnacle West Capital Corporation</v>
      </c>
      <c r="C119" s="1" t="str">
        <f t="shared" si="26"/>
        <v>PNW</v>
      </c>
      <c r="D119" s="16"/>
      <c r="E119" s="28">
        <f t="shared" si="27"/>
        <v>2.95</v>
      </c>
      <c r="F119" s="15">
        <v>84.866333333333301</v>
      </c>
      <c r="G119" s="16">
        <f t="shared" si="28"/>
        <v>3.4760545013923873E-2</v>
      </c>
      <c r="H119" s="16">
        <f t="shared" si="29"/>
        <v>3.5650414966280325E-2</v>
      </c>
      <c r="I119" s="16">
        <f t="shared" si="30"/>
        <v>4.8000000000000001E-2</v>
      </c>
      <c r="J119" s="16">
        <f t="shared" si="30"/>
        <v>4.5600000000000002E-2</v>
      </c>
      <c r="K119" s="16">
        <f t="shared" si="30"/>
        <v>0.06</v>
      </c>
      <c r="L119" s="16">
        <f t="shared" si="31"/>
        <v>5.1200000000000002E-2</v>
      </c>
      <c r="M119" s="22"/>
      <c r="N119" s="16">
        <f t="shared" si="32"/>
        <v>8.1153085440241329E-2</v>
      </c>
      <c r="O119" s="16">
        <f t="shared" si="33"/>
        <v>8.685041496628032E-2</v>
      </c>
      <c r="P119" s="16">
        <f t="shared" si="34"/>
        <v>9.5803361364341588E-2</v>
      </c>
      <c r="X119" s="313"/>
      <c r="Y119" s="313"/>
      <c r="Z119" s="314"/>
      <c r="AA119" s="314"/>
      <c r="AB119" s="314"/>
      <c r="AC119" s="314"/>
    </row>
    <row r="120" spans="2:29" x14ac:dyDescent="0.2">
      <c r="B120" s="2" t="str">
        <f t="shared" si="26"/>
        <v>PNM Resources, Inc.</v>
      </c>
      <c r="C120" s="1" t="str">
        <f t="shared" si="26"/>
        <v>PNM</v>
      </c>
      <c r="D120" s="16"/>
      <c r="E120" s="28">
        <f t="shared" si="27"/>
        <v>1.1599999999999999</v>
      </c>
      <c r="F120" s="15">
        <v>40.905555555555551</v>
      </c>
      <c r="G120" s="16">
        <f t="shared" si="28"/>
        <v>2.8358006247453483E-2</v>
      </c>
      <c r="H120" s="16">
        <f t="shared" si="29"/>
        <v>2.9123672416134724E-2</v>
      </c>
      <c r="I120" s="16">
        <f t="shared" si="30"/>
        <v>4.5999999999999999E-2</v>
      </c>
      <c r="J120" s="16">
        <f t="shared" si="30"/>
        <v>4.1000000000000002E-2</v>
      </c>
      <c r="K120" s="16">
        <f t="shared" si="30"/>
        <v>7.4999999999999997E-2</v>
      </c>
      <c r="L120" s="16">
        <f t="shared" si="31"/>
        <v>5.3999999999999992E-2</v>
      </c>
      <c r="M120" s="22"/>
      <c r="N120" s="16">
        <f t="shared" si="32"/>
        <v>6.9939345375526277E-2</v>
      </c>
      <c r="O120" s="16">
        <f t="shared" si="33"/>
        <v>8.312367241613472E-2</v>
      </c>
      <c r="P120" s="16">
        <f t="shared" si="34"/>
        <v>0.104421431481733</v>
      </c>
      <c r="X120" s="313"/>
      <c r="Y120" s="313"/>
      <c r="Z120" s="314"/>
      <c r="AA120" s="314"/>
      <c r="AB120" s="314"/>
      <c r="AC120" s="314"/>
    </row>
    <row r="121" spans="2:29" x14ac:dyDescent="0.2">
      <c r="B121" s="2" t="str">
        <f t="shared" si="26"/>
        <v>Portland General Electric Company</v>
      </c>
      <c r="C121" s="1" t="str">
        <f t="shared" si="26"/>
        <v>POR</v>
      </c>
      <c r="D121" s="16"/>
      <c r="E121" s="28">
        <f t="shared" si="27"/>
        <v>1.45</v>
      </c>
      <c r="F121" s="15">
        <v>46.697500000000019</v>
      </c>
      <c r="G121" s="16">
        <f t="shared" si="28"/>
        <v>3.1050912789763893E-2</v>
      </c>
      <c r="H121" s="16">
        <f t="shared" si="29"/>
        <v>3.1718507414743823E-2</v>
      </c>
      <c r="I121" s="16">
        <f t="shared" si="30"/>
        <v>0.04</v>
      </c>
      <c r="J121" s="16">
        <f t="shared" si="30"/>
        <v>4.9000000000000002E-2</v>
      </c>
      <c r="K121" s="16">
        <f t="shared" si="30"/>
        <v>0.04</v>
      </c>
      <c r="L121" s="16">
        <f t="shared" si="31"/>
        <v>4.3000000000000003E-2</v>
      </c>
      <c r="M121" s="22"/>
      <c r="N121" s="16">
        <f t="shared" si="32"/>
        <v>7.1671931045559176E-2</v>
      </c>
      <c r="O121" s="16">
        <f t="shared" si="33"/>
        <v>7.4718507414743826E-2</v>
      </c>
      <c r="P121" s="16">
        <f t="shared" si="34"/>
        <v>8.0811660153113113E-2</v>
      </c>
      <c r="X121" s="313"/>
      <c r="Y121" s="313"/>
      <c r="Z121" s="314"/>
      <c r="AA121" s="314"/>
      <c r="AB121" s="314"/>
      <c r="AC121" s="314"/>
    </row>
    <row r="122" spans="2:29" x14ac:dyDescent="0.2">
      <c r="B122" s="2" t="str">
        <f t="shared" si="26"/>
        <v>Southern Company</v>
      </c>
      <c r="C122" s="1" t="str">
        <f t="shared" si="26"/>
        <v>SO</v>
      </c>
      <c r="D122" s="16"/>
      <c r="E122" s="28">
        <f t="shared" si="27"/>
        <v>2.4</v>
      </c>
      <c r="F122" s="15">
        <v>46.549222222222213</v>
      </c>
      <c r="G122" s="16">
        <f t="shared" si="28"/>
        <v>5.1558326550389916E-2</v>
      </c>
      <c r="H122" s="16">
        <f t="shared" si="29"/>
        <v>5.2431380879976515E-2</v>
      </c>
      <c r="I122" s="16">
        <f t="shared" si="30"/>
        <v>4.4999999999999998E-2</v>
      </c>
      <c r="J122" s="16">
        <f t="shared" si="30"/>
        <v>2.1600000000000001E-2</v>
      </c>
      <c r="K122" s="16">
        <f t="shared" si="30"/>
        <v>3.5000000000000003E-2</v>
      </c>
      <c r="L122" s="16">
        <f t="shared" si="31"/>
        <v>3.3866666666666663E-2</v>
      </c>
      <c r="M122" s="22"/>
      <c r="N122" s="16">
        <f t="shared" si="32"/>
        <v>7.3715156477134114E-2</v>
      </c>
      <c r="O122" s="16">
        <f t="shared" si="33"/>
        <v>8.6298047546643178E-2</v>
      </c>
      <c r="P122" s="16">
        <f t="shared" si="34"/>
        <v>9.7718388897773678E-2</v>
      </c>
      <c r="X122" s="313"/>
      <c r="Y122" s="313"/>
      <c r="Z122" s="314"/>
      <c r="AA122" s="314"/>
      <c r="AB122" s="314"/>
      <c r="AC122" s="314"/>
    </row>
    <row r="123" spans="2:29" x14ac:dyDescent="0.2">
      <c r="B123" s="2" t="str">
        <f t="shared" si="26"/>
        <v>WEC Energy Group, Inc.</v>
      </c>
      <c r="C123" s="1" t="str">
        <f t="shared" si="26"/>
        <v>WEC</v>
      </c>
      <c r="D123" s="16"/>
      <c r="E123" s="28">
        <f t="shared" si="27"/>
        <v>2.36</v>
      </c>
      <c r="F123" s="15">
        <v>69.741666666666674</v>
      </c>
      <c r="G123" s="16">
        <f t="shared" si="28"/>
        <v>3.3839168359421669E-2</v>
      </c>
      <c r="H123" s="16">
        <f t="shared" si="29"/>
        <v>3.4684583582267885E-2</v>
      </c>
      <c r="I123" s="16">
        <f t="shared" si="30"/>
        <v>4.3999999999999997E-2</v>
      </c>
      <c r="J123" s="16">
        <f t="shared" si="30"/>
        <v>4.5900000000000003E-2</v>
      </c>
      <c r="K123" s="16">
        <f t="shared" si="30"/>
        <v>0.06</v>
      </c>
      <c r="L123" s="16">
        <f t="shared" si="31"/>
        <v>4.9966666666666666E-2</v>
      </c>
      <c r="M123" s="22"/>
      <c r="N123" s="16">
        <f t="shared" si="32"/>
        <v>7.8583630063328941E-2</v>
      </c>
      <c r="O123" s="16">
        <f t="shared" si="33"/>
        <v>8.4651250248934551E-2</v>
      </c>
      <c r="P123" s="16">
        <f t="shared" si="34"/>
        <v>9.4854343410204323E-2</v>
      </c>
      <c r="X123" s="313"/>
      <c r="Y123" s="313"/>
      <c r="Z123" s="314"/>
      <c r="AA123" s="314"/>
      <c r="AB123" s="314"/>
      <c r="AC123" s="314"/>
    </row>
    <row r="124" spans="2:29" x14ac:dyDescent="0.2">
      <c r="B124" s="2" t="str">
        <f t="shared" si="26"/>
        <v>Xcel Energy Inc.</v>
      </c>
      <c r="C124" s="1" t="str">
        <f t="shared" si="26"/>
        <v>XEL</v>
      </c>
      <c r="D124" s="16"/>
      <c r="E124" s="28">
        <f t="shared" si="27"/>
        <v>1.62</v>
      </c>
      <c r="F124" s="15">
        <v>49.725333333333332</v>
      </c>
      <c r="G124" s="16">
        <f t="shared" si="28"/>
        <v>3.2578967126079265E-2</v>
      </c>
      <c r="H124" s="16">
        <f t="shared" si="29"/>
        <v>3.3556336139861642E-2</v>
      </c>
      <c r="I124" s="16">
        <f t="shared" si="30"/>
        <v>5.8999999999999997E-2</v>
      </c>
      <c r="J124" s="16">
        <f t="shared" si="30"/>
        <v>6.6000000000000003E-2</v>
      </c>
      <c r="K124" s="16">
        <f t="shared" si="30"/>
        <v>5.5E-2</v>
      </c>
      <c r="L124" s="16">
        <f t="shared" si="31"/>
        <v>0.06</v>
      </c>
      <c r="M124" s="22"/>
      <c r="N124" s="16">
        <f t="shared" si="32"/>
        <v>8.8474888722046452E-2</v>
      </c>
      <c r="O124" s="16">
        <f t="shared" si="33"/>
        <v>9.355633613986164E-2</v>
      </c>
      <c r="P124" s="16">
        <f t="shared" si="34"/>
        <v>9.9654073041239882E-2</v>
      </c>
      <c r="X124" s="313"/>
      <c r="Y124" s="313"/>
      <c r="Z124" s="314"/>
      <c r="AA124" s="314"/>
      <c r="AB124" s="314"/>
      <c r="AC124" s="314"/>
    </row>
    <row r="125" spans="2:29" x14ac:dyDescent="0.2">
      <c r="C125" s="1"/>
      <c r="D125" s="16"/>
      <c r="E125" s="28"/>
      <c r="F125" s="15"/>
      <c r="G125" s="16"/>
      <c r="H125" s="16"/>
      <c r="I125" s="16"/>
      <c r="J125" s="16"/>
      <c r="K125" s="16"/>
      <c r="L125" s="16"/>
      <c r="M125" s="22"/>
      <c r="N125" s="16"/>
      <c r="O125" s="16"/>
      <c r="P125" s="16"/>
    </row>
    <row r="126" spans="2:29" x14ac:dyDescent="0.2">
      <c r="B126" s="20" t="s">
        <v>75</v>
      </c>
      <c r="C126" s="20"/>
      <c r="D126" s="16"/>
      <c r="E126" s="20"/>
      <c r="F126" s="20"/>
      <c r="G126" s="21">
        <f t="shared" ref="G126:L126" si="35">AVERAGE(G102:G124)</f>
        <v>3.3750656431263577E-2</v>
      </c>
      <c r="H126" s="21">
        <f t="shared" si="35"/>
        <v>3.4669671792961834E-2</v>
      </c>
      <c r="I126" s="21">
        <f t="shared" si="35"/>
        <v>5.2047619047619058E-2</v>
      </c>
      <c r="J126" s="21">
        <f t="shared" si="35"/>
        <v>5.6118181818181817E-2</v>
      </c>
      <c r="K126" s="21">
        <f t="shared" si="35"/>
        <v>5.6590909090909094E-2</v>
      </c>
      <c r="L126" s="21">
        <f t="shared" si="35"/>
        <v>5.5345652173913053E-2</v>
      </c>
      <c r="M126" s="22"/>
      <c r="N126" s="21">
        <f t="shared" ref="N126" si="36">AVERAGE(N102:N124)</f>
        <v>8.1448724539637044E-2</v>
      </c>
      <c r="O126" s="21">
        <f>AVERAGE(O102:O124)</f>
        <v>9.0015323966874894E-2</v>
      </c>
      <c r="P126" s="21">
        <f>AVERAGE(P102:P124)</f>
        <v>9.9843030057818763E-2</v>
      </c>
    </row>
    <row r="127" spans="2:29" x14ac:dyDescent="0.2">
      <c r="B127" s="23" t="s">
        <v>76</v>
      </c>
      <c r="C127" s="23"/>
      <c r="E127" s="23"/>
      <c r="F127" s="23"/>
      <c r="G127" s="24">
        <f t="shared" ref="G127:L127" si="37">MEDIAN(G102:G124)</f>
        <v>3.3135027818971964E-2</v>
      </c>
      <c r="H127" s="24">
        <f t="shared" si="37"/>
        <v>3.4078271610885363E-2</v>
      </c>
      <c r="I127" s="24">
        <f t="shared" si="37"/>
        <v>0.05</v>
      </c>
      <c r="J127" s="24">
        <f t="shared" si="37"/>
        <v>5.4899999999999997E-2</v>
      </c>
      <c r="K127" s="24">
        <f t="shared" si="37"/>
        <v>5.5E-2</v>
      </c>
      <c r="L127" s="24">
        <f t="shared" si="37"/>
        <v>5.5E-2</v>
      </c>
      <c r="M127" s="22"/>
      <c r="N127" s="24">
        <f t="shared" ref="N127:P127" si="38">MEDIAN(N102:N124)</f>
        <v>8.1143960050683694E-2</v>
      </c>
      <c r="O127" s="24">
        <f t="shared" si="38"/>
        <v>9.1011604944218699E-2</v>
      </c>
      <c r="P127" s="24">
        <f t="shared" si="38"/>
        <v>9.9654073041239882E-2</v>
      </c>
    </row>
    <row r="128" spans="2:29" x14ac:dyDescent="0.2">
      <c r="G128" s="16"/>
      <c r="H128" s="16"/>
      <c r="I128" s="16"/>
      <c r="J128" s="16"/>
      <c r="K128" s="16"/>
      <c r="L128" s="25"/>
      <c r="M128" s="16"/>
      <c r="N128" s="16"/>
      <c r="O128" s="16"/>
      <c r="P128" s="16"/>
    </row>
    <row r="129" spans="2:2" x14ac:dyDescent="0.2">
      <c r="B129" s="23" t="s">
        <v>77</v>
      </c>
    </row>
    <row r="130" spans="2:2" x14ac:dyDescent="0.2">
      <c r="B130" s="2" t="str">
        <f t="shared" ref="B130:B140" si="39">B83</f>
        <v>[1] Source: Bloomberg Professional</v>
      </c>
    </row>
    <row r="131" spans="2:2" x14ac:dyDescent="0.2">
      <c r="B131" s="2" t="str">
        <f t="shared" si="39"/>
        <v>[2] Source: Bloomberg Professional, equals indicated number of trading day average as of March 15, 2019</v>
      </c>
    </row>
    <row r="132" spans="2:2" x14ac:dyDescent="0.2">
      <c r="B132" s="2" t="str">
        <f t="shared" si="39"/>
        <v>[3] Equals [1] / [2]</v>
      </c>
    </row>
    <row r="133" spans="2:2" x14ac:dyDescent="0.2">
      <c r="B133" s="2" t="str">
        <f t="shared" si="39"/>
        <v>[4] Equals [3] x (1 + 0.5 x [8])</v>
      </c>
    </row>
    <row r="134" spans="2:2" x14ac:dyDescent="0.2">
      <c r="B134" s="2" t="str">
        <f t="shared" si="39"/>
        <v>[5] Source: Zacks</v>
      </c>
    </row>
    <row r="135" spans="2:2" x14ac:dyDescent="0.2">
      <c r="B135" s="2" t="str">
        <f t="shared" si="39"/>
        <v>[6] Source: Yahoo! Finance</v>
      </c>
    </row>
    <row r="136" spans="2:2" x14ac:dyDescent="0.2">
      <c r="B136" s="2" t="str">
        <f t="shared" si="39"/>
        <v>[7] Source: Value Line</v>
      </c>
    </row>
    <row r="137" spans="2:2" x14ac:dyDescent="0.2">
      <c r="B137" s="2" t="str">
        <f t="shared" si="39"/>
        <v>[8] Equals Average([5], [6], [7])</v>
      </c>
    </row>
    <row r="138" spans="2:2" x14ac:dyDescent="0.2">
      <c r="B138" s="2" t="str">
        <f t="shared" si="39"/>
        <v>[9] Equals [3] x (1 + 0.5 x Minimum([5], [6], [7])) +  Minimum([5], [6], [7])</v>
      </c>
    </row>
    <row r="139" spans="2:2" x14ac:dyDescent="0.2">
      <c r="B139" s="2" t="str">
        <f t="shared" si="39"/>
        <v>[10] Equals [4] + [8]</v>
      </c>
    </row>
    <row r="140" spans="2:2" x14ac:dyDescent="0.2">
      <c r="B140" s="2" t="str">
        <f t="shared" si="39"/>
        <v>[11] Equals [3] x (1 + 0.5 x Maximum([5], [6], [7])) +  Maximum([5], [6], [7])</v>
      </c>
    </row>
  </sheetData>
  <conditionalFormatting sqref="O8:O31">
    <cfRule type="cellIs" dxfId="7" priority="1" operator="lessThan">
      <formula>#REF!</formula>
    </cfRule>
  </conditionalFormatting>
  <printOptions horizontalCentered="1"/>
  <pageMargins left="0.7" right="0.7" top="0.75" bottom="0.75" header="0.3" footer="0.3"/>
  <pageSetup scale="66" fitToHeight="3" orientation="landscape" useFirstPageNumber="1" r:id="rId1"/>
  <headerFooter scaleWithDoc="0">
    <oddHeader>&amp;R&amp;"Arial,Regular"&amp;10EXHIBIT RBH-1
Page &amp;P of 3</oddHeader>
  </headerFooter>
  <rowBreaks count="2" manualBreakCount="2">
    <brk id="47" max="16" man="1"/>
    <brk id="94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2:T1003"/>
  <sheetViews>
    <sheetView view="pageLayout" zoomScaleNormal="85" zoomScaleSheetLayoutView="85" workbookViewId="0">
      <selection activeCell="P3" sqref="P3"/>
    </sheetView>
  </sheetViews>
  <sheetFormatPr defaultColWidth="10.42578125" defaultRowHeight="12.75" x14ac:dyDescent="0.2"/>
  <cols>
    <col min="1" max="1" width="4.7109375" style="29" customWidth="1"/>
    <col min="2" max="2" width="39.85546875" style="33" customWidth="1"/>
    <col min="3" max="3" width="13.42578125" style="33" customWidth="1"/>
    <col min="4" max="4" width="16.140625" style="33" customWidth="1"/>
    <col min="5" max="5" width="15.5703125" style="33" bestFit="1" customWidth="1"/>
    <col min="6" max="6" width="13.28515625" style="33" bestFit="1" customWidth="1"/>
    <col min="7" max="7" width="10.85546875" style="33" bestFit="1" customWidth="1"/>
    <col min="8" max="8" width="10.5703125" style="33" bestFit="1" customWidth="1"/>
    <col min="9" max="10" width="14.42578125" style="33" customWidth="1"/>
    <col min="11" max="11" width="13.5703125" style="33" customWidth="1"/>
    <col min="12" max="12" width="19.42578125" style="33" customWidth="1"/>
    <col min="13" max="16" width="15.7109375" style="33" customWidth="1"/>
    <col min="17" max="17" width="33.140625" style="33" customWidth="1"/>
    <col min="18" max="18" width="15.7109375" style="33" customWidth="1"/>
    <col min="19" max="19" width="24.7109375" style="33" customWidth="1"/>
    <col min="20" max="21" width="13.42578125" style="33" customWidth="1"/>
    <col min="22" max="22" width="34.85546875" style="33" customWidth="1"/>
    <col min="23" max="23" width="23.85546875" style="33" customWidth="1"/>
    <col min="24" max="25" width="15.7109375" style="33" customWidth="1"/>
    <col min="26" max="26" width="21.85546875" style="33" customWidth="1"/>
    <col min="27" max="27" width="20.42578125" style="33" customWidth="1"/>
    <col min="28" max="28" width="33.140625" style="33" customWidth="1"/>
    <col min="29" max="29" width="15.7109375" style="33" customWidth="1"/>
    <col min="30" max="30" width="13.42578125" style="33" customWidth="1"/>
    <col min="31" max="32" width="14.140625" style="33" customWidth="1"/>
    <col min="33" max="33" width="15.7109375" style="33" customWidth="1"/>
    <col min="34" max="34" width="14.7109375" style="33" customWidth="1"/>
    <col min="35" max="35" width="16.28515625" style="33" customWidth="1"/>
    <col min="36" max="36" width="15" style="33" customWidth="1"/>
    <col min="37" max="40" width="13.42578125" style="33" customWidth="1"/>
    <col min="41" max="41" width="39.28515625" style="33" customWidth="1"/>
    <col min="42" max="42" width="26.28515625" style="33" customWidth="1"/>
    <col min="43" max="43" width="22" style="33" customWidth="1"/>
    <col min="44" max="44" width="15.28515625" style="33" customWidth="1"/>
    <col min="45" max="45" width="24.5703125" style="33" customWidth="1"/>
    <col min="46" max="46" width="23.140625" style="33" customWidth="1"/>
    <col min="47" max="47" width="36.85546875" style="33" customWidth="1"/>
    <col min="48" max="48" width="22.7109375" style="33" customWidth="1"/>
    <col min="49" max="16384" width="10.42578125" style="33"/>
  </cols>
  <sheetData>
    <row r="2" spans="1:20" x14ac:dyDescent="0.2">
      <c r="B2" s="30" t="s">
        <v>91</v>
      </c>
      <c r="C2" s="30"/>
      <c r="D2" s="30"/>
      <c r="E2" s="30"/>
      <c r="F2" s="30"/>
      <c r="G2" s="30"/>
      <c r="H2" s="30"/>
      <c r="I2" s="31"/>
      <c r="J2" s="32"/>
    </row>
    <row r="3" spans="1:20" x14ac:dyDescent="0.2">
      <c r="B3" s="30" t="s">
        <v>92</v>
      </c>
      <c r="C3" s="30"/>
      <c r="D3" s="30"/>
      <c r="E3" s="30"/>
      <c r="F3" s="30"/>
      <c r="G3" s="30"/>
      <c r="H3" s="30"/>
      <c r="I3" s="31"/>
      <c r="J3" s="32"/>
    </row>
    <row r="4" spans="1:20" x14ac:dyDescent="0.2">
      <c r="L4" s="34"/>
    </row>
    <row r="5" spans="1:20" ht="12.6" customHeight="1" x14ac:dyDescent="0.25">
      <c r="B5" s="35"/>
      <c r="D5" s="36" t="s">
        <v>2</v>
      </c>
      <c r="E5" s="36" t="s">
        <v>3</v>
      </c>
      <c r="F5" s="36" t="s">
        <v>4</v>
      </c>
      <c r="L5" s="37"/>
    </row>
    <row r="6" spans="1:20" s="32" customFormat="1" ht="39" customHeight="1" x14ac:dyDescent="0.2">
      <c r="A6" s="29"/>
      <c r="B6" s="35"/>
      <c r="C6" s="33"/>
      <c r="D6" s="38" t="s">
        <v>93</v>
      </c>
      <c r="E6" s="38" t="s">
        <v>94</v>
      </c>
      <c r="F6" s="38" t="s">
        <v>95</v>
      </c>
      <c r="G6" s="33"/>
      <c r="H6" s="33"/>
      <c r="I6" s="33"/>
    </row>
    <row r="7" spans="1:20" x14ac:dyDescent="0.2">
      <c r="B7" s="35"/>
      <c r="D7" s="39">
        <f>I512</f>
        <v>0.13639001883424154</v>
      </c>
      <c r="E7" s="323">
        <f>'RBH-4 CAPM'!C10</f>
        <v>3.0316666666666669E-2</v>
      </c>
      <c r="F7" s="39">
        <f>D7-E7</f>
        <v>0.10607335216757487</v>
      </c>
    </row>
    <row r="8" spans="1:20" x14ac:dyDescent="0.2">
      <c r="B8" s="40"/>
      <c r="C8" s="35"/>
      <c r="D8" s="41"/>
      <c r="E8" s="42"/>
      <c r="F8" s="40"/>
      <c r="G8" s="35"/>
    </row>
    <row r="9" spans="1:20" x14ac:dyDescent="0.2">
      <c r="B9" s="35"/>
      <c r="C9" s="35"/>
      <c r="D9" s="35"/>
      <c r="E9" s="35"/>
      <c r="F9" s="35"/>
      <c r="G9" s="35"/>
      <c r="H9" s="35"/>
    </row>
    <row r="10" spans="1:20" x14ac:dyDescent="0.2">
      <c r="B10" s="35"/>
      <c r="C10" s="35"/>
      <c r="D10" s="36" t="s">
        <v>5</v>
      </c>
      <c r="E10" s="36" t="s">
        <v>6</v>
      </c>
      <c r="F10" s="36" t="s">
        <v>7</v>
      </c>
      <c r="G10" s="36" t="s">
        <v>8</v>
      </c>
      <c r="H10" s="36" t="s">
        <v>9</v>
      </c>
      <c r="I10" s="43" t="s">
        <v>10</v>
      </c>
      <c r="J10" s="43"/>
    </row>
    <row r="11" spans="1:20" s="46" customFormat="1" ht="25.5" x14ac:dyDescent="0.2">
      <c r="A11" s="44"/>
      <c r="B11" s="45" t="s">
        <v>13</v>
      </c>
      <c r="C11" s="45" t="s">
        <v>14</v>
      </c>
      <c r="D11" s="45" t="s">
        <v>96</v>
      </c>
      <c r="E11" s="45" t="s">
        <v>97</v>
      </c>
      <c r="F11" s="45" t="s">
        <v>98</v>
      </c>
      <c r="G11" s="45" t="s">
        <v>99</v>
      </c>
      <c r="H11" s="45" t="s">
        <v>100</v>
      </c>
      <c r="I11" s="45" t="s">
        <v>101</v>
      </c>
    </row>
    <row r="12" spans="1:20" ht="12.75" customHeight="1" x14ac:dyDescent="0.25">
      <c r="B12" s="35" t="s">
        <v>102</v>
      </c>
      <c r="C12" s="36" t="s">
        <v>103</v>
      </c>
      <c r="D12" s="47">
        <v>25750.536975899999</v>
      </c>
      <c r="E12" s="48" t="str">
        <f t="shared" ref="E12:E75" si="0">IF(OR(H12="N/A",D12="N/A"),"N/A",D12/$D$512)</f>
        <v>N/A</v>
      </c>
      <c r="F12" s="48">
        <v>8.2737361282367462E-3</v>
      </c>
      <c r="G12" s="48" t="s">
        <v>104</v>
      </c>
      <c r="H12" s="49" t="str">
        <f t="shared" ref="H12:H75" si="1">IFERROR(F12*(1+0.5*G12)+G12,"N/A")</f>
        <v>N/A</v>
      </c>
      <c r="I12" s="50" t="str">
        <f t="shared" ref="I12:I75" si="2">IF(AND(ISNUMBER(D12),ISNUMBER(H12)),E12*H12,"N/A")</f>
        <v>N/A</v>
      </c>
      <c r="J12" s="51"/>
      <c r="K12" s="51"/>
      <c r="L12" s="51"/>
      <c r="M12" s="51"/>
      <c r="N12" s="51"/>
      <c r="O12"/>
      <c r="P12"/>
      <c r="Q12"/>
      <c r="R12"/>
      <c r="S12" s="51"/>
      <c r="T12" s="51"/>
    </row>
    <row r="13" spans="1:20" ht="12.75" customHeight="1" x14ac:dyDescent="0.25">
      <c r="B13" s="35" t="s">
        <v>105</v>
      </c>
      <c r="C13" s="36" t="s">
        <v>106</v>
      </c>
      <c r="D13" s="47">
        <v>14113.81587364</v>
      </c>
      <c r="E13" s="48">
        <f t="shared" si="0"/>
        <v>5.6869666778581985E-4</v>
      </c>
      <c r="F13" s="52">
        <v>1.2917594654788421E-2</v>
      </c>
      <c r="G13" s="52">
        <v>9.5350000000000004E-2</v>
      </c>
      <c r="H13" s="49">
        <f t="shared" si="1"/>
        <v>0.10888344097995546</v>
      </c>
      <c r="I13" s="50">
        <f t="shared" si="2"/>
        <v>6.1921650062354659E-5</v>
      </c>
      <c r="J13" s="51"/>
      <c r="K13" s="51"/>
      <c r="L13" s="51"/>
      <c r="M13" s="51"/>
      <c r="N13"/>
      <c r="O13"/>
      <c r="P13"/>
      <c r="Q13"/>
      <c r="R13"/>
      <c r="S13" s="51"/>
      <c r="T13" s="51"/>
    </row>
    <row r="14" spans="1:20" ht="12.75" customHeight="1" x14ac:dyDescent="0.25">
      <c r="B14" s="35" t="s">
        <v>107</v>
      </c>
      <c r="C14" s="36" t="s">
        <v>108</v>
      </c>
      <c r="D14" s="47">
        <v>11097.403548560002</v>
      </c>
      <c r="E14" s="48">
        <f t="shared" si="0"/>
        <v>4.4715450985353993E-4</v>
      </c>
      <c r="F14" s="52">
        <v>1.5499870834409712E-3</v>
      </c>
      <c r="G14" s="52">
        <v>0.15473000000000001</v>
      </c>
      <c r="H14" s="49">
        <f t="shared" si="1"/>
        <v>0.15639990183415139</v>
      </c>
      <c r="I14" s="50">
        <f t="shared" si="2"/>
        <v>6.9934921445791723E-5</v>
      </c>
      <c r="J14" s="51"/>
      <c r="K14" s="51"/>
      <c r="L14" s="51"/>
      <c r="M14" s="51"/>
      <c r="N14"/>
      <c r="O14"/>
      <c r="P14"/>
      <c r="Q14"/>
      <c r="R14"/>
    </row>
    <row r="15" spans="1:20" ht="12.75" customHeight="1" x14ac:dyDescent="0.25">
      <c r="B15" s="35" t="s">
        <v>109</v>
      </c>
      <c r="C15" s="36" t="s">
        <v>110</v>
      </c>
      <c r="D15" s="47">
        <v>877607.91359999997</v>
      </c>
      <c r="E15" s="48">
        <f t="shared" si="0"/>
        <v>3.5361995689551812E-2</v>
      </c>
      <c r="F15" s="52">
        <v>1.5780141843971633E-2</v>
      </c>
      <c r="G15" s="52">
        <v>9.4E-2</v>
      </c>
      <c r="H15" s="49">
        <f t="shared" si="1"/>
        <v>0.11052180851063829</v>
      </c>
      <c r="I15" s="50">
        <f t="shared" si="2"/>
        <v>3.9082717161546621E-3</v>
      </c>
      <c r="J15" s="51"/>
      <c r="K15" s="51"/>
      <c r="L15" s="51"/>
      <c r="M15" s="51"/>
      <c r="N15"/>
      <c r="O15"/>
      <c r="P15"/>
      <c r="Q15"/>
      <c r="R15"/>
    </row>
    <row r="16" spans="1:20" ht="12.75" customHeight="1" x14ac:dyDescent="0.25">
      <c r="B16" s="35" t="s">
        <v>111</v>
      </c>
      <c r="C16" s="36" t="s">
        <v>112</v>
      </c>
      <c r="D16" s="47">
        <v>119983.29302876</v>
      </c>
      <c r="E16" s="48">
        <f t="shared" si="0"/>
        <v>4.8345606564745127E-3</v>
      </c>
      <c r="F16" s="52">
        <v>5.3122694861076951E-2</v>
      </c>
      <c r="G16" s="52">
        <v>8.813E-2</v>
      </c>
      <c r="H16" s="49">
        <f t="shared" si="1"/>
        <v>0.14359354641013031</v>
      </c>
      <c r="I16" s="50">
        <f t="shared" si="2"/>
        <v>6.9421170999806297E-4</v>
      </c>
      <c r="J16" s="51"/>
      <c r="K16" s="51"/>
      <c r="L16" s="51"/>
      <c r="M16" s="51"/>
      <c r="N16"/>
      <c r="O16"/>
      <c r="P16"/>
      <c r="Q16"/>
      <c r="R16"/>
    </row>
    <row r="17" spans="2:18" ht="12.75" customHeight="1" x14ac:dyDescent="0.25">
      <c r="B17" s="35" t="s">
        <v>113</v>
      </c>
      <c r="C17" s="36" t="s">
        <v>114</v>
      </c>
      <c r="D17" s="47">
        <v>16925.187620740002</v>
      </c>
      <c r="E17" s="48">
        <f t="shared" si="0"/>
        <v>6.8197699953997286E-4</v>
      </c>
      <c r="F17" s="52">
        <v>2.004240458967323E-2</v>
      </c>
      <c r="G17" s="52">
        <v>8.6970000000000006E-2</v>
      </c>
      <c r="H17" s="49">
        <f t="shared" si="1"/>
        <v>0.10788394855325517</v>
      </c>
      <c r="I17" s="50">
        <f t="shared" si="2"/>
        <v>7.3574371532873759E-5</v>
      </c>
      <c r="J17" s="51"/>
      <c r="K17" s="51"/>
      <c r="L17" s="51"/>
      <c r="M17" s="51"/>
      <c r="N17"/>
      <c r="O17"/>
      <c r="P17"/>
      <c r="Q17"/>
      <c r="R17"/>
    </row>
    <row r="18" spans="2:18" ht="12.75" customHeight="1" x14ac:dyDescent="0.25">
      <c r="B18" s="35" t="s">
        <v>115</v>
      </c>
      <c r="C18" s="36" t="s">
        <v>116</v>
      </c>
      <c r="D18" s="47">
        <v>15023.94313338</v>
      </c>
      <c r="E18" s="48">
        <f t="shared" si="0"/>
        <v>6.0536898549983084E-4</v>
      </c>
      <c r="F18" s="52" t="s">
        <v>117</v>
      </c>
      <c r="G18" s="52">
        <v>0.28999999999999998</v>
      </c>
      <c r="H18" s="49">
        <f t="shared" si="1"/>
        <v>0.28999999999999998</v>
      </c>
      <c r="I18" s="50">
        <f t="shared" si="2"/>
        <v>1.7555700579495093E-4</v>
      </c>
      <c r="J18" s="51"/>
      <c r="K18" s="51"/>
      <c r="L18" s="51"/>
      <c r="M18" s="51"/>
      <c r="N18"/>
      <c r="O18"/>
      <c r="P18"/>
      <c r="Q18"/>
      <c r="R18"/>
    </row>
    <row r="19" spans="2:18" ht="12.75" customHeight="1" x14ac:dyDescent="0.25">
      <c r="B19" s="35" t="s">
        <v>118</v>
      </c>
      <c r="C19" s="36" t="s">
        <v>119</v>
      </c>
      <c r="D19" s="47">
        <v>140271.71568234</v>
      </c>
      <c r="E19" s="48">
        <f t="shared" si="0"/>
        <v>5.6520545547242718E-3</v>
      </c>
      <c r="F19" s="52">
        <v>1.5251690458302027E-2</v>
      </c>
      <c r="G19" s="52">
        <v>0.11688000000000001</v>
      </c>
      <c r="H19" s="49">
        <f t="shared" si="1"/>
        <v>0.13302299924868521</v>
      </c>
      <c r="I19" s="50">
        <f t="shared" si="2"/>
        <v>7.5185324878661471E-4</v>
      </c>
      <c r="J19" s="51"/>
      <c r="K19" s="51"/>
      <c r="L19" s="51"/>
      <c r="M19" s="51"/>
      <c r="N19"/>
      <c r="O19"/>
      <c r="P19"/>
      <c r="Q19"/>
      <c r="R19"/>
    </row>
    <row r="20" spans="2:18" ht="12.75" customHeight="1" x14ac:dyDescent="0.25">
      <c r="B20" s="35" t="s">
        <v>120</v>
      </c>
      <c r="C20" s="36" t="s">
        <v>121</v>
      </c>
      <c r="D20" s="47">
        <v>106224.74339301998</v>
      </c>
      <c r="E20" s="48">
        <f t="shared" si="0"/>
        <v>4.2801789498217672E-3</v>
      </c>
      <c r="F20" s="52">
        <v>1.7615241300558929E-2</v>
      </c>
      <c r="G20" s="52">
        <v>0.10267</v>
      </c>
      <c r="H20" s="49">
        <f t="shared" si="1"/>
        <v>0.12118951971272311</v>
      </c>
      <c r="I20" s="50">
        <f t="shared" si="2"/>
        <v>5.1871283121340751E-4</v>
      </c>
      <c r="J20" s="51"/>
      <c r="K20" s="51"/>
      <c r="L20" s="51"/>
      <c r="M20" s="51"/>
      <c r="N20"/>
      <c r="O20"/>
      <c r="P20"/>
      <c r="Q20"/>
      <c r="R20"/>
    </row>
    <row r="21" spans="2:18" ht="12.75" customHeight="1" x14ac:dyDescent="0.25">
      <c r="B21" s="35" t="s">
        <v>122</v>
      </c>
      <c r="C21" s="36" t="s">
        <v>123</v>
      </c>
      <c r="D21" s="47">
        <v>125746.53987158</v>
      </c>
      <c r="E21" s="48">
        <f t="shared" si="0"/>
        <v>5.0667827078660329E-3</v>
      </c>
      <c r="F21" s="52">
        <v>0</v>
      </c>
      <c r="G21" s="52">
        <v>0.1716</v>
      </c>
      <c r="H21" s="49">
        <f t="shared" si="1"/>
        <v>0.1716</v>
      </c>
      <c r="I21" s="50">
        <f t="shared" si="2"/>
        <v>8.694599126698112E-4</v>
      </c>
      <c r="J21" s="51"/>
      <c r="K21" s="51"/>
      <c r="L21" s="51"/>
      <c r="M21" s="51"/>
      <c r="N21"/>
      <c r="O21"/>
      <c r="P21"/>
      <c r="Q21"/>
      <c r="R21"/>
    </row>
    <row r="22" spans="2:18" ht="12.75" customHeight="1" x14ac:dyDescent="0.25">
      <c r="B22" s="35" t="s">
        <v>124</v>
      </c>
      <c r="C22" s="36" t="s">
        <v>125</v>
      </c>
      <c r="D22" s="47">
        <v>40289.90280846</v>
      </c>
      <c r="E22" s="48">
        <f t="shared" si="0"/>
        <v>1.6234258458323273E-3</v>
      </c>
      <c r="F22" s="52">
        <v>1.8959685528841756E-2</v>
      </c>
      <c r="G22" s="52">
        <v>0.11975</v>
      </c>
      <c r="H22" s="49">
        <f t="shared" si="1"/>
        <v>0.13984489669988115</v>
      </c>
      <c r="I22" s="50">
        <f t="shared" si="2"/>
        <v>2.27027819710339E-4</v>
      </c>
      <c r="J22" s="51"/>
      <c r="K22" s="51"/>
      <c r="L22" s="51"/>
      <c r="M22" s="51"/>
      <c r="N22"/>
      <c r="O22"/>
      <c r="P22"/>
      <c r="Q22"/>
      <c r="R22"/>
    </row>
    <row r="23" spans="2:18" ht="12.75" customHeight="1" x14ac:dyDescent="0.25">
      <c r="B23" s="35" t="s">
        <v>126</v>
      </c>
      <c r="C23" s="36" t="s">
        <v>127</v>
      </c>
      <c r="D23" s="47">
        <v>24184.634168100001</v>
      </c>
      <c r="E23" s="48">
        <f t="shared" si="0"/>
        <v>9.7448634629739028E-4</v>
      </c>
      <c r="F23" s="52">
        <v>3.2862436313107923E-2</v>
      </c>
      <c r="G23" s="52">
        <v>1.4000000000000002E-2</v>
      </c>
      <c r="H23" s="49">
        <f t="shared" si="1"/>
        <v>4.7092473367299673E-2</v>
      </c>
      <c r="I23" s="50">
        <f t="shared" si="2"/>
        <v>4.5890972309807018E-5</v>
      </c>
      <c r="J23" s="51"/>
      <c r="K23" s="51"/>
      <c r="L23" s="51"/>
      <c r="M23" s="51"/>
      <c r="N23"/>
      <c r="O23"/>
      <c r="P23"/>
      <c r="Q23"/>
      <c r="R23"/>
    </row>
    <row r="24" spans="2:18" ht="12.75" customHeight="1" x14ac:dyDescent="0.25">
      <c r="B24" s="35" t="s">
        <v>128</v>
      </c>
      <c r="C24" s="36" t="s">
        <v>129</v>
      </c>
      <c r="D24" s="47">
        <v>67657.64187336</v>
      </c>
      <c r="E24" s="48">
        <f t="shared" si="0"/>
        <v>2.7261709964268455E-3</v>
      </c>
      <c r="F24" s="52">
        <v>1.8710965166441312E-2</v>
      </c>
      <c r="G24" s="52">
        <v>0.14000000000000001</v>
      </c>
      <c r="H24" s="49">
        <f t="shared" si="1"/>
        <v>0.16002073272809222</v>
      </c>
      <c r="I24" s="50">
        <f t="shared" si="2"/>
        <v>4.3624388039029713E-4</v>
      </c>
      <c r="J24" s="51"/>
      <c r="K24" s="51"/>
      <c r="L24" s="51"/>
      <c r="M24" s="51"/>
      <c r="N24"/>
      <c r="O24"/>
      <c r="P24"/>
      <c r="Q24"/>
      <c r="R24"/>
    </row>
    <row r="25" spans="2:18" ht="12.75" customHeight="1" x14ac:dyDescent="0.25">
      <c r="B25" s="35" t="s">
        <v>130</v>
      </c>
      <c r="C25" s="36" t="s">
        <v>131</v>
      </c>
      <c r="D25" s="47">
        <v>9137.330870849999</v>
      </c>
      <c r="E25" s="48">
        <f t="shared" si="0"/>
        <v>3.6817609534031258E-4</v>
      </c>
      <c r="F25" s="52">
        <v>1.436111594455078E-2</v>
      </c>
      <c r="G25" s="52">
        <v>-1.325E-2</v>
      </c>
      <c r="H25" s="49">
        <f t="shared" si="1"/>
        <v>1.0159735514181315E-3</v>
      </c>
      <c r="I25" s="50">
        <f t="shared" si="2"/>
        <v>3.7405717513015797E-7</v>
      </c>
      <c r="J25" s="51"/>
      <c r="K25" s="51"/>
      <c r="L25" s="51"/>
      <c r="M25" s="51"/>
      <c r="N25"/>
      <c r="O25"/>
      <c r="P25"/>
      <c r="Q25"/>
      <c r="R25"/>
    </row>
    <row r="26" spans="2:18" ht="12.75" customHeight="1" x14ac:dyDescent="0.25">
      <c r="B26" s="35" t="s">
        <v>132</v>
      </c>
      <c r="C26" s="36" t="s">
        <v>133</v>
      </c>
      <c r="D26" s="47">
        <v>33569.674382080004</v>
      </c>
      <c r="E26" s="48">
        <f t="shared" si="0"/>
        <v>1.3526435466257982E-3</v>
      </c>
      <c r="F26" s="52">
        <v>0</v>
      </c>
      <c r="G26" s="52">
        <v>0.51812000000000002</v>
      </c>
      <c r="H26" s="49">
        <f t="shared" si="1"/>
        <v>0.51812000000000002</v>
      </c>
      <c r="I26" s="50">
        <f t="shared" si="2"/>
        <v>7.0083167437775856E-4</v>
      </c>
      <c r="J26" s="51"/>
      <c r="K26" s="51"/>
      <c r="L26" s="51"/>
      <c r="M26" s="51"/>
      <c r="N26"/>
      <c r="O26"/>
      <c r="P26"/>
      <c r="Q26"/>
      <c r="R26"/>
    </row>
    <row r="27" spans="2:18" ht="12.75" customHeight="1" x14ac:dyDescent="0.25">
      <c r="B27" s="35" t="s">
        <v>134</v>
      </c>
      <c r="C27" s="36" t="s">
        <v>32</v>
      </c>
      <c r="D27" s="47">
        <v>17868.423722160001</v>
      </c>
      <c r="E27" s="48">
        <f t="shared" si="0"/>
        <v>7.1998339218497611E-4</v>
      </c>
      <c r="F27" s="52">
        <v>2.6738773274917853E-2</v>
      </c>
      <c r="G27" s="52">
        <v>6.3530000000000003E-2</v>
      </c>
      <c r="H27" s="49">
        <f t="shared" si="1"/>
        <v>9.1118130407995629E-2</v>
      </c>
      <c r="I27" s="50">
        <f t="shared" si="2"/>
        <v>6.5603540620701718E-5</v>
      </c>
      <c r="J27" s="51"/>
      <c r="K27" s="51"/>
      <c r="L27" s="51"/>
      <c r="M27" s="51"/>
      <c r="N27"/>
      <c r="O27"/>
      <c r="P27"/>
      <c r="Q27"/>
      <c r="R27"/>
    </row>
    <row r="28" spans="2:18" ht="12.75" customHeight="1" x14ac:dyDescent="0.25">
      <c r="B28" s="35" t="s">
        <v>135</v>
      </c>
      <c r="C28" s="36" t="s">
        <v>33</v>
      </c>
      <c r="D28" s="47">
        <v>41342.430235979999</v>
      </c>
      <c r="E28" s="48">
        <f t="shared" si="0"/>
        <v>1.6658359811311545E-3</v>
      </c>
      <c r="F28" s="52">
        <v>3.2096408543133274E-2</v>
      </c>
      <c r="G28" s="52">
        <v>6.1200000000000004E-2</v>
      </c>
      <c r="H28" s="49">
        <f t="shared" si="1"/>
        <v>9.4278558644553145E-2</v>
      </c>
      <c r="I28" s="50">
        <f t="shared" si="2"/>
        <v>1.5705261523928028E-4</v>
      </c>
      <c r="J28" s="51"/>
      <c r="K28" s="51"/>
      <c r="L28" s="51"/>
      <c r="M28" s="51"/>
      <c r="N28"/>
      <c r="O28"/>
      <c r="P28"/>
      <c r="Q28"/>
      <c r="R28"/>
    </row>
    <row r="29" spans="2:18" ht="12.75" customHeight="1" x14ac:dyDescent="0.25">
      <c r="B29" s="35" t="s">
        <v>136</v>
      </c>
      <c r="C29" s="36" t="s">
        <v>137</v>
      </c>
      <c r="D29" s="47">
        <v>12128.619089309999</v>
      </c>
      <c r="E29" s="48">
        <f t="shared" si="0"/>
        <v>4.8870591218469624E-4</v>
      </c>
      <c r="F29" s="52">
        <v>3.0365920262151836E-2</v>
      </c>
      <c r="G29" s="52">
        <v>7.6679999999999998E-2</v>
      </c>
      <c r="H29" s="49">
        <f t="shared" si="1"/>
        <v>0.10821014964500274</v>
      </c>
      <c r="I29" s="50">
        <f t="shared" si="2"/>
        <v>5.288293988990355E-5</v>
      </c>
      <c r="J29" s="51"/>
      <c r="K29" s="51"/>
      <c r="L29" s="51"/>
      <c r="M29" s="51"/>
      <c r="N29"/>
      <c r="O29"/>
      <c r="P29"/>
      <c r="Q29"/>
      <c r="R29"/>
    </row>
    <row r="30" spans="2:18" ht="12.75" customHeight="1" x14ac:dyDescent="0.25">
      <c r="B30" s="35" t="s">
        <v>138</v>
      </c>
      <c r="C30" s="36" t="s">
        <v>139</v>
      </c>
      <c r="D30" s="47">
        <v>37479.102131250002</v>
      </c>
      <c r="E30" s="48">
        <f t="shared" si="0"/>
        <v>1.5101685245486542E-3</v>
      </c>
      <c r="F30" s="52">
        <v>2.1901901901901902E-2</v>
      </c>
      <c r="G30" s="52">
        <v>3.4300000000000004E-2</v>
      </c>
      <c r="H30" s="49">
        <f t="shared" si="1"/>
        <v>5.6577519519519524E-2</v>
      </c>
      <c r="I30" s="50">
        <f t="shared" si="2"/>
        <v>8.5441589175415484E-5</v>
      </c>
      <c r="J30" s="51"/>
      <c r="K30" s="51"/>
      <c r="L30" s="51"/>
      <c r="M30" s="51"/>
      <c r="N30"/>
      <c r="O30"/>
      <c r="P30"/>
      <c r="Q30"/>
      <c r="R30"/>
    </row>
    <row r="31" spans="2:18" ht="12.75" customHeight="1" x14ac:dyDescent="0.25">
      <c r="B31" s="35" t="s">
        <v>140</v>
      </c>
      <c r="C31" s="36" t="s">
        <v>141</v>
      </c>
      <c r="D31" s="47">
        <v>50307.939192499995</v>
      </c>
      <c r="E31" s="48">
        <f t="shared" si="0"/>
        <v>2.027088750348547E-3</v>
      </c>
      <c r="F31" s="52">
        <v>1.9775206611570249E-2</v>
      </c>
      <c r="G31" s="52">
        <v>5.4469999999999998E-2</v>
      </c>
      <c r="H31" s="49">
        <f t="shared" si="1"/>
        <v>7.4783784363636363E-2</v>
      </c>
      <c r="I31" s="50">
        <f t="shared" si="2"/>
        <v>1.5159336799201885E-4</v>
      </c>
      <c r="J31" s="51"/>
      <c r="K31" s="51"/>
      <c r="L31" s="51"/>
      <c r="M31" s="51"/>
      <c r="N31"/>
      <c r="O31"/>
      <c r="P31"/>
      <c r="Q31"/>
      <c r="R31"/>
    </row>
    <row r="32" spans="2:18" ht="12.75" customHeight="1" x14ac:dyDescent="0.25">
      <c r="B32" s="35" t="s">
        <v>142</v>
      </c>
      <c r="C32" s="36" t="s">
        <v>143</v>
      </c>
      <c r="D32" s="47">
        <v>38292.178149359999</v>
      </c>
      <c r="E32" s="48">
        <f t="shared" si="0"/>
        <v>1.5429302968641993E-3</v>
      </c>
      <c r="F32" s="52">
        <v>3.0881017257039053E-2</v>
      </c>
      <c r="G32" s="52">
        <v>0.11</v>
      </c>
      <c r="H32" s="49">
        <f t="shared" si="1"/>
        <v>0.1425794732061762</v>
      </c>
      <c r="I32" s="50">
        <f t="shared" si="2"/>
        <v>2.199901889207466E-4</v>
      </c>
      <c r="J32" s="51"/>
      <c r="K32" s="51"/>
      <c r="L32" s="51"/>
      <c r="M32" s="51"/>
      <c r="N32"/>
      <c r="O32"/>
      <c r="P32"/>
      <c r="Q32"/>
      <c r="R32"/>
    </row>
    <row r="33" spans="2:18" ht="12.75" customHeight="1" x14ac:dyDescent="0.25">
      <c r="B33" s="35" t="s">
        <v>144</v>
      </c>
      <c r="C33" s="36" t="s">
        <v>145</v>
      </c>
      <c r="D33" s="47">
        <v>7325.8168669800007</v>
      </c>
      <c r="E33" s="48">
        <f t="shared" si="0"/>
        <v>2.9518364688614949E-4</v>
      </c>
      <c r="F33" s="52">
        <v>4.0882237101220957E-2</v>
      </c>
      <c r="G33" s="52">
        <v>8.7669999999999998E-2</v>
      </c>
      <c r="H33" s="49">
        <f t="shared" si="1"/>
        <v>0.13034430996455298</v>
      </c>
      <c r="I33" s="50">
        <f t="shared" si="2"/>
        <v>3.8475508766195426E-5</v>
      </c>
      <c r="J33" s="51"/>
      <c r="K33" s="51"/>
      <c r="L33" s="51"/>
      <c r="M33" s="51"/>
      <c r="N33"/>
      <c r="O33"/>
      <c r="P33"/>
      <c r="Q33"/>
      <c r="R33"/>
    </row>
    <row r="34" spans="2:18" ht="12.75" customHeight="1" x14ac:dyDescent="0.25">
      <c r="B34" s="35" t="s">
        <v>146</v>
      </c>
      <c r="C34" s="36" t="s">
        <v>147</v>
      </c>
      <c r="D34" s="47">
        <v>6091.2515101500003</v>
      </c>
      <c r="E34" s="48" t="str">
        <f t="shared" si="0"/>
        <v>N/A</v>
      </c>
      <c r="F34" s="52">
        <v>2.5270940950065834E-2</v>
      </c>
      <c r="G34" s="52" t="s">
        <v>104</v>
      </c>
      <c r="H34" s="49" t="str">
        <f t="shared" si="1"/>
        <v>N/A</v>
      </c>
      <c r="I34" s="50" t="str">
        <f t="shared" si="2"/>
        <v>N/A</v>
      </c>
      <c r="J34" s="51"/>
      <c r="K34" s="51"/>
      <c r="L34" s="51"/>
      <c r="M34" s="51"/>
      <c r="N34"/>
      <c r="O34"/>
      <c r="P34"/>
      <c r="Q34"/>
      <c r="R34"/>
    </row>
    <row r="35" spans="2:18" ht="12.75" customHeight="1" x14ac:dyDescent="0.25">
      <c r="B35" s="35" t="s">
        <v>148</v>
      </c>
      <c r="C35" s="36" t="s">
        <v>149</v>
      </c>
      <c r="D35" s="47">
        <v>14776.336799999999</v>
      </c>
      <c r="E35" s="48">
        <f t="shared" si="0"/>
        <v>5.9539203114697826E-4</v>
      </c>
      <c r="F35" s="52">
        <v>2.1362730443447931E-2</v>
      </c>
      <c r="G35" s="52">
        <v>0.1017</v>
      </c>
      <c r="H35" s="49">
        <f t="shared" si="1"/>
        <v>0.12414902528649727</v>
      </c>
      <c r="I35" s="50">
        <f t="shared" si="2"/>
        <v>7.3917340330245177E-5</v>
      </c>
      <c r="J35" s="51"/>
      <c r="K35" s="51"/>
      <c r="L35" s="51"/>
      <c r="M35" s="51"/>
      <c r="N35"/>
      <c r="O35"/>
      <c r="P35"/>
      <c r="Q35"/>
      <c r="R35"/>
    </row>
    <row r="36" spans="2:18" ht="12.75" customHeight="1" x14ac:dyDescent="0.25">
      <c r="B36" s="35" t="s">
        <v>150</v>
      </c>
      <c r="C36" s="36" t="s">
        <v>151</v>
      </c>
      <c r="D36" s="47">
        <v>11828.009657590001</v>
      </c>
      <c r="E36" s="48">
        <f t="shared" si="0"/>
        <v>4.7659327137552701E-4</v>
      </c>
      <c r="F36" s="52" t="s">
        <v>117</v>
      </c>
      <c r="G36" s="52">
        <v>0.154</v>
      </c>
      <c r="H36" s="49">
        <f t="shared" si="1"/>
        <v>0.154</v>
      </c>
      <c r="I36" s="50">
        <f t="shared" si="2"/>
        <v>7.3395363791831157E-5</v>
      </c>
      <c r="J36" s="51"/>
      <c r="K36" s="51"/>
      <c r="L36" s="51"/>
      <c r="M36" s="51"/>
      <c r="N36"/>
      <c r="O36"/>
      <c r="P36"/>
      <c r="Q36"/>
      <c r="R36"/>
    </row>
    <row r="37" spans="2:18" ht="12.75" customHeight="1" x14ac:dyDescent="0.25">
      <c r="B37" s="35" t="s">
        <v>152</v>
      </c>
      <c r="C37" s="36" t="s">
        <v>153</v>
      </c>
      <c r="D37" s="47">
        <v>9033.4950628799998</v>
      </c>
      <c r="E37" s="48">
        <f t="shared" si="0"/>
        <v>3.6399217523549706E-4</v>
      </c>
      <c r="F37" s="52">
        <v>1.6050105361741979E-2</v>
      </c>
      <c r="G37" s="52">
        <v>0.12188</v>
      </c>
      <c r="H37" s="49">
        <f t="shared" si="1"/>
        <v>0.13890819878248653</v>
      </c>
      <c r="I37" s="50">
        <f t="shared" si="2"/>
        <v>5.0561497432882095E-5</v>
      </c>
      <c r="J37" s="51"/>
      <c r="K37" s="51"/>
      <c r="L37" s="51"/>
      <c r="M37" s="51"/>
      <c r="N37"/>
      <c r="O37"/>
      <c r="P37"/>
      <c r="Q37"/>
      <c r="R37"/>
    </row>
    <row r="38" spans="2:18" ht="12.75" customHeight="1" x14ac:dyDescent="0.25">
      <c r="B38" s="35" t="s">
        <v>154</v>
      </c>
      <c r="C38" s="36" t="s">
        <v>155</v>
      </c>
      <c r="D38" s="47">
        <v>20183.711928509998</v>
      </c>
      <c r="E38" s="48">
        <f t="shared" si="0"/>
        <v>8.1327472457186161E-4</v>
      </c>
      <c r="F38" s="52" t="s">
        <v>117</v>
      </c>
      <c r="G38" s="52">
        <v>0.23193000000000003</v>
      </c>
      <c r="H38" s="49">
        <f t="shared" si="1"/>
        <v>0.23193000000000003</v>
      </c>
      <c r="I38" s="50">
        <f t="shared" si="2"/>
        <v>1.8862280686995187E-4</v>
      </c>
      <c r="J38" s="51"/>
      <c r="K38" s="51"/>
      <c r="L38" s="51"/>
      <c r="M38" s="51"/>
      <c r="N38"/>
      <c r="O38"/>
      <c r="P38"/>
      <c r="Q38"/>
      <c r="R38"/>
    </row>
    <row r="39" spans="2:18" ht="12.75" customHeight="1" x14ac:dyDescent="0.25">
      <c r="B39" s="35" t="s">
        <v>156</v>
      </c>
      <c r="C39" s="36" t="s">
        <v>157</v>
      </c>
      <c r="D39" s="47">
        <v>6889.4825599999995</v>
      </c>
      <c r="E39" s="48">
        <f t="shared" si="0"/>
        <v>2.7760216016124402E-4</v>
      </c>
      <c r="F39" s="52">
        <v>2.4497847919655671E-2</v>
      </c>
      <c r="G39" s="52">
        <v>0.25370000000000004</v>
      </c>
      <c r="H39" s="49">
        <f t="shared" si="1"/>
        <v>0.28130539992826403</v>
      </c>
      <c r="I39" s="50">
        <f t="shared" si="2"/>
        <v>7.8090986685108759E-5</v>
      </c>
      <c r="J39" s="51"/>
      <c r="K39" s="51"/>
      <c r="L39" s="51"/>
      <c r="M39" s="51"/>
      <c r="N39"/>
      <c r="O39"/>
      <c r="P39"/>
      <c r="Q39"/>
      <c r="R39"/>
    </row>
    <row r="40" spans="2:18" ht="12.75" customHeight="1" x14ac:dyDescent="0.25">
      <c r="B40" s="35" t="s">
        <v>158</v>
      </c>
      <c r="C40" s="36" t="s">
        <v>159</v>
      </c>
      <c r="D40" s="47">
        <v>31483.38078336</v>
      </c>
      <c r="E40" s="48">
        <f t="shared" si="0"/>
        <v>1.268579234873589E-3</v>
      </c>
      <c r="F40" s="52">
        <v>2.0392239561366508E-2</v>
      </c>
      <c r="G40" s="52">
        <v>0.09</v>
      </c>
      <c r="H40" s="49">
        <f t="shared" si="1"/>
        <v>0.111309890341628</v>
      </c>
      <c r="I40" s="50">
        <f t="shared" si="2"/>
        <v>1.4120541552344555E-4</v>
      </c>
      <c r="J40" s="51"/>
      <c r="K40" s="51"/>
      <c r="L40" s="51"/>
      <c r="M40" s="51"/>
      <c r="N40"/>
      <c r="O40"/>
      <c r="P40"/>
      <c r="Q40"/>
      <c r="R40"/>
    </row>
    <row r="41" spans="2:18" ht="12.75" customHeight="1" x14ac:dyDescent="0.25">
      <c r="B41" s="35" t="s">
        <v>160</v>
      </c>
      <c r="C41" s="36" t="s">
        <v>161</v>
      </c>
      <c r="D41" s="47">
        <v>8351.0613973500003</v>
      </c>
      <c r="E41" s="48">
        <f t="shared" si="0"/>
        <v>3.364944556218656E-4</v>
      </c>
      <c r="F41" s="52">
        <v>1.2012215812690873E-2</v>
      </c>
      <c r="G41" s="52">
        <v>0.10217000000000001</v>
      </c>
      <c r="H41" s="49">
        <f t="shared" si="1"/>
        <v>0.1147958598574822</v>
      </c>
      <c r="I41" s="50">
        <f t="shared" si="2"/>
        <v>3.8628170370387445E-5</v>
      </c>
      <c r="J41" s="51"/>
      <c r="K41" s="51"/>
      <c r="L41" s="51"/>
      <c r="M41" s="51"/>
      <c r="N41"/>
      <c r="O41"/>
      <c r="P41"/>
      <c r="Q41"/>
      <c r="R41"/>
    </row>
    <row r="42" spans="2:18" ht="12.75" customHeight="1" x14ac:dyDescent="0.25">
      <c r="B42" s="35" t="s">
        <v>162</v>
      </c>
      <c r="C42" s="36" t="s">
        <v>163</v>
      </c>
      <c r="D42" s="47">
        <v>30411.94806029</v>
      </c>
      <c r="E42" s="48">
        <f t="shared" si="0"/>
        <v>1.2254073368679896E-3</v>
      </c>
      <c r="F42" s="52">
        <v>0</v>
      </c>
      <c r="G42" s="52">
        <v>0.15780000000000002</v>
      </c>
      <c r="H42" s="49">
        <f t="shared" si="1"/>
        <v>0.15780000000000002</v>
      </c>
      <c r="I42" s="50">
        <f t="shared" si="2"/>
        <v>1.9336927775776878E-4</v>
      </c>
      <c r="J42" s="51"/>
      <c r="K42" s="51"/>
      <c r="L42" s="51"/>
      <c r="M42" s="51"/>
      <c r="N42"/>
      <c r="O42"/>
      <c r="P42"/>
      <c r="Q42"/>
      <c r="R42"/>
    </row>
    <row r="43" spans="2:18" ht="12.75" customHeight="1" x14ac:dyDescent="0.25">
      <c r="B43" s="35" t="s">
        <v>164</v>
      </c>
      <c r="C43" s="36" t="s">
        <v>165</v>
      </c>
      <c r="D43" s="47">
        <v>38345.967477509999</v>
      </c>
      <c r="E43" s="48">
        <f t="shared" si="0"/>
        <v>1.5450976633620487E-3</v>
      </c>
      <c r="F43" s="52">
        <v>2.0970537261698442E-2</v>
      </c>
      <c r="G43" s="52">
        <v>9.2300000000000007E-2</v>
      </c>
      <c r="H43" s="49">
        <f t="shared" si="1"/>
        <v>0.11423832755632583</v>
      </c>
      <c r="I43" s="50">
        <f t="shared" si="2"/>
        <v>1.7650937297366737E-4</v>
      </c>
      <c r="J43" s="51"/>
      <c r="K43" s="51"/>
      <c r="L43" s="51"/>
      <c r="M43" s="51"/>
      <c r="N43"/>
      <c r="O43"/>
      <c r="P43"/>
      <c r="Q43"/>
      <c r="R43"/>
    </row>
    <row r="44" spans="2:18" ht="12.75" customHeight="1" x14ac:dyDescent="0.25">
      <c r="B44" s="35" t="s">
        <v>166</v>
      </c>
      <c r="C44" s="36" t="s">
        <v>167</v>
      </c>
      <c r="D44" s="47">
        <v>23413.410961779999</v>
      </c>
      <c r="E44" s="48">
        <f t="shared" si="0"/>
        <v>9.4341097508099034E-4</v>
      </c>
      <c r="F44" s="52">
        <v>0</v>
      </c>
      <c r="G44" s="52">
        <v>0.15667</v>
      </c>
      <c r="H44" s="49">
        <f t="shared" si="1"/>
        <v>0.15667</v>
      </c>
      <c r="I44" s="50">
        <f t="shared" si="2"/>
        <v>1.4780419746593875E-4</v>
      </c>
      <c r="J44" s="51"/>
      <c r="K44" s="51"/>
      <c r="L44" s="51"/>
      <c r="M44" s="51"/>
      <c r="N44"/>
      <c r="O44"/>
      <c r="P44"/>
      <c r="Q44"/>
      <c r="R44"/>
    </row>
    <row r="45" spans="2:18" ht="12.75" customHeight="1" x14ac:dyDescent="0.25">
      <c r="B45" s="35" t="s">
        <v>168</v>
      </c>
      <c r="C45" s="36" t="s">
        <v>169</v>
      </c>
      <c r="D45" s="47">
        <v>18385.78905616</v>
      </c>
      <c r="E45" s="48">
        <f t="shared" si="0"/>
        <v>7.4082991194319471E-4</v>
      </c>
      <c r="F45" s="52">
        <v>7.0907065957183527E-3</v>
      </c>
      <c r="G45" s="52">
        <v>8.9779999999999999E-2</v>
      </c>
      <c r="H45" s="49">
        <f t="shared" si="1"/>
        <v>9.7189008414800146E-2</v>
      </c>
      <c r="I45" s="50">
        <f t="shared" si="2"/>
        <v>7.2000524545782802E-5</v>
      </c>
      <c r="J45" s="51"/>
      <c r="K45" s="51"/>
      <c r="L45" s="51"/>
      <c r="M45" s="51"/>
      <c r="N45"/>
      <c r="O45"/>
      <c r="P45"/>
      <c r="Q45"/>
      <c r="R45"/>
    </row>
    <row r="46" spans="2:18" ht="12.75" customHeight="1" x14ac:dyDescent="0.25">
      <c r="B46" s="35" t="s">
        <v>170</v>
      </c>
      <c r="C46" s="36" t="s">
        <v>171</v>
      </c>
      <c r="D46" s="47">
        <v>5691.5258917499996</v>
      </c>
      <c r="E46" s="48">
        <f t="shared" si="0"/>
        <v>2.2933215497731815E-4</v>
      </c>
      <c r="F46" s="52">
        <v>1.2684042066758116E-2</v>
      </c>
      <c r="G46" s="52">
        <v>4.9800000000000004E-2</v>
      </c>
      <c r="H46" s="49">
        <f t="shared" si="1"/>
        <v>6.2799874714220397E-2</v>
      </c>
      <c r="I46" s="50">
        <f t="shared" si="2"/>
        <v>1.4402030600517756E-5</v>
      </c>
      <c r="J46" s="51"/>
      <c r="K46" s="51"/>
      <c r="L46" s="51"/>
      <c r="M46" s="51"/>
      <c r="N46"/>
      <c r="O46"/>
      <c r="P46"/>
      <c r="Q46"/>
      <c r="R46"/>
    </row>
    <row r="47" spans="2:18" ht="12.75" customHeight="1" x14ac:dyDescent="0.25">
      <c r="B47" s="35" t="s">
        <v>172</v>
      </c>
      <c r="C47" s="36" t="s">
        <v>173</v>
      </c>
      <c r="D47" s="47">
        <v>119004.45122216002</v>
      </c>
      <c r="E47" s="48">
        <f t="shared" si="0"/>
        <v>4.7951195812410939E-3</v>
      </c>
      <c r="F47" s="52">
        <v>2.9763647772432546E-2</v>
      </c>
      <c r="G47" s="52">
        <v>5.8299999999999998E-2</v>
      </c>
      <c r="H47" s="49">
        <f t="shared" si="1"/>
        <v>8.8931258104998953E-2</v>
      </c>
      <c r="I47" s="50">
        <f t="shared" si="2"/>
        <v>4.2643601712368624E-4</v>
      </c>
      <c r="J47" s="51"/>
      <c r="K47" s="51"/>
      <c r="L47" s="51"/>
      <c r="M47" s="51"/>
      <c r="N47"/>
      <c r="O47"/>
      <c r="P47"/>
      <c r="Q47"/>
      <c r="R47"/>
    </row>
    <row r="48" spans="2:18" ht="12.75" customHeight="1" x14ac:dyDescent="0.25">
      <c r="B48" s="35" t="s">
        <v>174</v>
      </c>
      <c r="C48" s="36" t="s">
        <v>175</v>
      </c>
      <c r="D48" s="47">
        <v>17473.721145050004</v>
      </c>
      <c r="E48" s="48">
        <f t="shared" si="0"/>
        <v>7.04079398369373E-4</v>
      </c>
      <c r="F48" s="52">
        <v>2.9422704378148E-2</v>
      </c>
      <c r="G48" s="52">
        <v>0.11800000000000001</v>
      </c>
      <c r="H48" s="49">
        <f t="shared" si="1"/>
        <v>0.14915864393645872</v>
      </c>
      <c r="I48" s="50">
        <f t="shared" si="2"/>
        <v>1.0501952828437338E-4</v>
      </c>
      <c r="J48" s="51"/>
      <c r="K48" s="51"/>
      <c r="L48" s="51"/>
      <c r="M48" s="51"/>
      <c r="N48"/>
      <c r="O48"/>
      <c r="P48"/>
      <c r="Q48"/>
      <c r="R48"/>
    </row>
    <row r="49" spans="2:18" ht="12.75" customHeight="1" x14ac:dyDescent="0.25">
      <c r="B49" s="35" t="s">
        <v>176</v>
      </c>
      <c r="C49" s="36" t="s">
        <v>177</v>
      </c>
      <c r="D49" s="47">
        <v>83361.263186819997</v>
      </c>
      <c r="E49" s="48">
        <f t="shared" si="0"/>
        <v>3.3589266730695115E-3</v>
      </c>
      <c r="F49" s="52">
        <v>1.9521617187913426E-2</v>
      </c>
      <c r="G49" s="52">
        <v>0.18212</v>
      </c>
      <c r="H49" s="49">
        <f t="shared" si="1"/>
        <v>0.20341925564904484</v>
      </c>
      <c r="I49" s="50">
        <f t="shared" si="2"/>
        <v>6.832703636155226E-4</v>
      </c>
      <c r="J49" s="51"/>
      <c r="K49" s="51"/>
      <c r="L49" s="51"/>
      <c r="M49" s="51"/>
      <c r="N49"/>
      <c r="O49"/>
      <c r="P49"/>
      <c r="Q49"/>
      <c r="R49"/>
    </row>
    <row r="50" spans="2:18" ht="12.75" customHeight="1" x14ac:dyDescent="0.25">
      <c r="B50" s="35" t="s">
        <v>178</v>
      </c>
      <c r="C50" s="36" t="s">
        <v>179</v>
      </c>
      <c r="D50" s="47">
        <v>841116.18072039995</v>
      </c>
      <c r="E50" s="48">
        <f t="shared" si="0"/>
        <v>3.3891611841827256E-2</v>
      </c>
      <c r="F50" s="52">
        <v>0</v>
      </c>
      <c r="G50" s="52">
        <v>0.37603000000000003</v>
      </c>
      <c r="H50" s="49">
        <f t="shared" si="1"/>
        <v>0.37603000000000003</v>
      </c>
      <c r="I50" s="50">
        <f t="shared" si="2"/>
        <v>1.2744262800882304E-2</v>
      </c>
      <c r="J50" s="51"/>
      <c r="K50" s="51"/>
      <c r="L50" s="51"/>
      <c r="M50" s="51"/>
      <c r="N50"/>
      <c r="O50"/>
      <c r="P50"/>
      <c r="Q50"/>
      <c r="R50"/>
    </row>
    <row r="51" spans="2:18" ht="12.75" customHeight="1" x14ac:dyDescent="0.25">
      <c r="B51" s="35" t="s">
        <v>180</v>
      </c>
      <c r="C51" s="36" t="s">
        <v>181</v>
      </c>
      <c r="D51" s="47">
        <v>22473.893871479999</v>
      </c>
      <c r="E51" s="48">
        <f t="shared" si="0"/>
        <v>9.0555443483949995E-4</v>
      </c>
      <c r="F51" s="52">
        <v>0</v>
      </c>
      <c r="G51" s="52">
        <v>0.21640000000000001</v>
      </c>
      <c r="H51" s="49">
        <f t="shared" si="1"/>
        <v>0.21640000000000001</v>
      </c>
      <c r="I51" s="50">
        <f t="shared" si="2"/>
        <v>1.9596197969926779E-4</v>
      </c>
      <c r="J51" s="51"/>
      <c r="K51" s="51"/>
      <c r="L51" s="51"/>
      <c r="M51" s="51"/>
      <c r="N51"/>
      <c r="O51"/>
      <c r="P51"/>
      <c r="Q51"/>
      <c r="R51"/>
    </row>
    <row r="52" spans="2:18" ht="12.75" customHeight="1" x14ac:dyDescent="0.25">
      <c r="B52" s="35" t="s">
        <v>182</v>
      </c>
      <c r="C52" s="36" t="s">
        <v>183</v>
      </c>
      <c r="D52" s="47">
        <v>15110.76233464</v>
      </c>
      <c r="E52" s="48">
        <f t="shared" si="0"/>
        <v>6.0886724499948904E-4</v>
      </c>
      <c r="F52" s="52">
        <v>0</v>
      </c>
      <c r="G52" s="52">
        <v>0.10367000000000001</v>
      </c>
      <c r="H52" s="49">
        <f t="shared" si="1"/>
        <v>0.10367000000000001</v>
      </c>
      <c r="I52" s="50">
        <f t="shared" si="2"/>
        <v>6.3121267289097032E-5</v>
      </c>
      <c r="J52" s="51"/>
      <c r="K52" s="51"/>
      <c r="L52" s="51"/>
      <c r="M52" s="51"/>
      <c r="N52"/>
      <c r="O52"/>
      <c r="P52"/>
      <c r="Q52"/>
      <c r="R52"/>
    </row>
    <row r="53" spans="2:18" ht="12.75" customHeight="1" x14ac:dyDescent="0.25">
      <c r="B53" s="35" t="s">
        <v>184</v>
      </c>
      <c r="C53" s="36" t="s">
        <v>185</v>
      </c>
      <c r="D53" s="47">
        <v>77947.753232999996</v>
      </c>
      <c r="E53" s="48">
        <f t="shared" si="0"/>
        <v>3.1407967853534116E-3</v>
      </c>
      <c r="F53" s="52">
        <v>1.0181518151815181E-2</v>
      </c>
      <c r="G53" s="52">
        <v>0.12534999999999999</v>
      </c>
      <c r="H53" s="49">
        <f t="shared" si="1"/>
        <v>0.13616964480198018</v>
      </c>
      <c r="I53" s="50">
        <f t="shared" si="2"/>
        <v>4.2768118265677524E-4</v>
      </c>
      <c r="J53" s="51"/>
      <c r="K53" s="51"/>
      <c r="L53" s="51"/>
      <c r="M53" s="51"/>
      <c r="N53"/>
      <c r="O53"/>
      <c r="P53"/>
      <c r="Q53"/>
      <c r="R53"/>
    </row>
    <row r="54" spans="2:18" ht="12.75" customHeight="1" x14ac:dyDescent="0.25">
      <c r="B54" s="35" t="s">
        <v>186</v>
      </c>
      <c r="C54" s="36" t="s">
        <v>187</v>
      </c>
      <c r="D54" s="47">
        <v>40799.905139999995</v>
      </c>
      <c r="E54" s="48">
        <f t="shared" si="0"/>
        <v>1.6439756836016785E-3</v>
      </c>
      <c r="F54" s="52">
        <v>1.0064705882352941E-2</v>
      </c>
      <c r="G54" s="52">
        <v>0.10567</v>
      </c>
      <c r="H54" s="49">
        <f t="shared" si="1"/>
        <v>0.11626647461764705</v>
      </c>
      <c r="I54" s="50">
        <f t="shared" si="2"/>
        <v>1.9113925708950352E-4</v>
      </c>
      <c r="J54" s="51"/>
      <c r="K54" s="51"/>
      <c r="L54" s="51"/>
      <c r="M54" s="51"/>
      <c r="N54"/>
      <c r="O54"/>
      <c r="P54"/>
      <c r="Q54"/>
      <c r="R54"/>
    </row>
    <row r="55" spans="2:18" ht="12.75" customHeight="1" x14ac:dyDescent="0.25">
      <c r="B55" s="35" t="s">
        <v>188</v>
      </c>
      <c r="C55" s="36" t="s">
        <v>189</v>
      </c>
      <c r="D55" s="47">
        <v>8614.7152522800006</v>
      </c>
      <c r="E55" s="48">
        <f t="shared" si="0"/>
        <v>3.4711802263520707E-4</v>
      </c>
      <c r="F55" s="52">
        <v>1.6816056118472329E-2</v>
      </c>
      <c r="G55" s="52">
        <v>9.3329999999999996E-2</v>
      </c>
      <c r="H55" s="49">
        <f t="shared" si="1"/>
        <v>0.11093077737724083</v>
      </c>
      <c r="I55" s="50">
        <f t="shared" si="2"/>
        <v>3.85060720925742E-5</v>
      </c>
      <c r="J55" s="51"/>
      <c r="K55" s="51"/>
      <c r="L55" s="51"/>
      <c r="M55" s="51"/>
      <c r="N55"/>
      <c r="O55"/>
      <c r="P55"/>
      <c r="Q55"/>
      <c r="R55"/>
    </row>
    <row r="56" spans="2:18" ht="12.75" customHeight="1" x14ac:dyDescent="0.25">
      <c r="B56" s="35" t="s">
        <v>190</v>
      </c>
      <c r="C56" s="36" t="s">
        <v>191</v>
      </c>
      <c r="D56" s="47">
        <v>12932.722472150002</v>
      </c>
      <c r="E56" s="48">
        <f t="shared" si="0"/>
        <v>5.2110614458608987E-4</v>
      </c>
      <c r="F56" s="52">
        <v>5.132075471698113E-2</v>
      </c>
      <c r="G56" s="52">
        <v>-5.1900000000000002E-2</v>
      </c>
      <c r="H56" s="49">
        <f t="shared" si="1"/>
        <v>-1.9110188679245313E-3</v>
      </c>
      <c r="I56" s="50">
        <f t="shared" si="2"/>
        <v>-9.9584367449542649E-7</v>
      </c>
      <c r="J56" s="51"/>
      <c r="K56" s="51"/>
      <c r="L56" s="51"/>
      <c r="M56" s="51"/>
      <c r="N56"/>
      <c r="O56"/>
      <c r="P56"/>
      <c r="Q56"/>
      <c r="R56"/>
    </row>
    <row r="57" spans="2:18" ht="12.75" customHeight="1" x14ac:dyDescent="0.25">
      <c r="B57" s="35" t="s">
        <v>192</v>
      </c>
      <c r="C57" s="36" t="s">
        <v>193</v>
      </c>
      <c r="D57" s="47">
        <v>22256.110443599999</v>
      </c>
      <c r="E57" s="48">
        <f t="shared" si="0"/>
        <v>8.9677915316917255E-4</v>
      </c>
      <c r="F57" s="52">
        <v>2.6374859708193043E-2</v>
      </c>
      <c r="G57" s="52">
        <v>0.19977</v>
      </c>
      <c r="H57" s="49">
        <f t="shared" si="1"/>
        <v>0.22877931257014592</v>
      </c>
      <c r="I57" s="50">
        <f t="shared" si="2"/>
        <v>2.0516451818928088E-4</v>
      </c>
      <c r="J57" s="51"/>
      <c r="K57" s="51"/>
      <c r="L57" s="51"/>
      <c r="M57" s="51"/>
      <c r="N57"/>
      <c r="O57"/>
      <c r="P57"/>
      <c r="Q57"/>
      <c r="R57"/>
    </row>
    <row r="58" spans="2:18" ht="12.75" customHeight="1" x14ac:dyDescent="0.25">
      <c r="B58" s="35" t="s">
        <v>194</v>
      </c>
      <c r="C58" s="36" t="s">
        <v>195</v>
      </c>
      <c r="D58" s="47">
        <v>40598.821959349996</v>
      </c>
      <c r="E58" s="48">
        <f t="shared" si="0"/>
        <v>1.6358733152693123E-3</v>
      </c>
      <c r="F58" s="52">
        <v>2.4787665674871517E-2</v>
      </c>
      <c r="G58" s="52">
        <v>0.12297000000000001</v>
      </c>
      <c r="H58" s="49">
        <f t="shared" si="1"/>
        <v>0.14928173529889099</v>
      </c>
      <c r="I58" s="50">
        <f t="shared" si="2"/>
        <v>2.4420600723255273E-4</v>
      </c>
      <c r="J58" s="51"/>
      <c r="K58" s="51"/>
      <c r="L58" s="51"/>
      <c r="M58" s="51"/>
      <c r="N58"/>
      <c r="O58"/>
      <c r="P58"/>
      <c r="Q58"/>
      <c r="R58"/>
    </row>
    <row r="59" spans="2:18" ht="12.75" customHeight="1" x14ac:dyDescent="0.25">
      <c r="B59" s="35" t="s">
        <v>196</v>
      </c>
      <c r="C59" s="36" t="s">
        <v>197</v>
      </c>
      <c r="D59" s="47">
        <v>28443.481578200004</v>
      </c>
      <c r="E59" s="48">
        <f t="shared" si="0"/>
        <v>1.1460907056298393E-3</v>
      </c>
      <c r="F59" s="52">
        <v>9.3376650597359039E-3</v>
      </c>
      <c r="G59" s="52">
        <v>0.1085</v>
      </c>
      <c r="H59" s="49">
        <f t="shared" si="1"/>
        <v>0.11834423338922657</v>
      </c>
      <c r="I59" s="50">
        <f t="shared" si="2"/>
        <v>1.3563322595228108E-4</v>
      </c>
      <c r="J59" s="51"/>
      <c r="K59" s="51"/>
      <c r="L59" s="51"/>
      <c r="M59" s="51"/>
      <c r="N59"/>
      <c r="O59"/>
      <c r="P59"/>
      <c r="Q59"/>
      <c r="R59"/>
    </row>
    <row r="60" spans="2:18" ht="12.75" customHeight="1" x14ac:dyDescent="0.25">
      <c r="B60" s="35" t="s">
        <v>198</v>
      </c>
      <c r="C60" s="36" t="s">
        <v>199</v>
      </c>
      <c r="D60" s="47">
        <v>21137.428431119995</v>
      </c>
      <c r="E60" s="48">
        <f t="shared" si="0"/>
        <v>8.5170341047101892E-4</v>
      </c>
      <c r="F60" s="52">
        <v>1.116398243045388E-2</v>
      </c>
      <c r="G60" s="52">
        <v>0.1066</v>
      </c>
      <c r="H60" s="49">
        <f t="shared" si="1"/>
        <v>0.11835902269399708</v>
      </c>
      <c r="I60" s="50">
        <f t="shared" si="2"/>
        <v>1.0080678328849404E-4</v>
      </c>
      <c r="J60" s="51"/>
      <c r="K60" s="51"/>
      <c r="L60" s="51"/>
      <c r="M60" s="51"/>
      <c r="N60"/>
      <c r="O60"/>
      <c r="P60"/>
      <c r="Q60"/>
      <c r="R60"/>
    </row>
    <row r="61" spans="2:18" ht="12.75" customHeight="1" x14ac:dyDescent="0.25">
      <c r="B61" s="35" t="s">
        <v>200</v>
      </c>
      <c r="C61" s="36" t="s">
        <v>201</v>
      </c>
      <c r="D61" s="47">
        <v>15840.59785944</v>
      </c>
      <c r="E61" s="48">
        <f t="shared" si="0"/>
        <v>6.3827495689692583E-4</v>
      </c>
      <c r="F61" s="52">
        <v>2.825220609165955E-2</v>
      </c>
      <c r="G61" s="52">
        <v>4.795E-2</v>
      </c>
      <c r="H61" s="49">
        <f t="shared" si="1"/>
        <v>7.6879552732707093E-2</v>
      </c>
      <c r="I61" s="50">
        <f t="shared" si="2"/>
        <v>4.9070293206723559E-5</v>
      </c>
      <c r="J61" s="51"/>
      <c r="K61" s="51"/>
      <c r="L61" s="51"/>
      <c r="M61" s="51"/>
      <c r="N61"/>
      <c r="O61"/>
      <c r="P61"/>
      <c r="Q61"/>
      <c r="R61"/>
    </row>
    <row r="62" spans="2:18" ht="12.75" customHeight="1" x14ac:dyDescent="0.25">
      <c r="B62" s="35" t="s">
        <v>202</v>
      </c>
      <c r="C62" s="36" t="s">
        <v>203</v>
      </c>
      <c r="D62" s="47">
        <v>9209.0265895799985</v>
      </c>
      <c r="E62" s="48">
        <f t="shared" si="0"/>
        <v>3.7106497505231243E-4</v>
      </c>
      <c r="F62" s="52">
        <v>5.2659294365455514E-3</v>
      </c>
      <c r="G62" s="52">
        <v>0.14349999999999999</v>
      </c>
      <c r="H62" s="49">
        <f t="shared" si="1"/>
        <v>0.14914375987361769</v>
      </c>
      <c r="I62" s="50">
        <f t="shared" si="2"/>
        <v>5.5342025536712027E-5</v>
      </c>
      <c r="J62" s="51"/>
      <c r="K62" s="51"/>
      <c r="L62" s="51"/>
      <c r="M62" s="51"/>
      <c r="N62"/>
      <c r="O62"/>
      <c r="P62"/>
      <c r="Q62"/>
      <c r="R62"/>
    </row>
    <row r="63" spans="2:18" ht="12.75" customHeight="1" x14ac:dyDescent="0.25">
      <c r="B63" s="35" t="s">
        <v>204</v>
      </c>
      <c r="C63" s="36" t="s">
        <v>205</v>
      </c>
      <c r="D63" s="47">
        <v>11866.252333230001</v>
      </c>
      <c r="E63" s="48">
        <f t="shared" si="0"/>
        <v>4.7813420703732073E-4</v>
      </c>
      <c r="F63" s="52">
        <v>2.0687616983548419E-2</v>
      </c>
      <c r="G63" s="52">
        <v>6.5000000000000002E-2</v>
      </c>
      <c r="H63" s="49">
        <f t="shared" si="1"/>
        <v>8.6359964535513742E-2</v>
      </c>
      <c r="I63" s="50">
        <f t="shared" si="2"/>
        <v>4.1291653162959003E-5</v>
      </c>
      <c r="J63" s="51"/>
      <c r="K63" s="51"/>
      <c r="L63" s="51"/>
      <c r="M63" s="51"/>
      <c r="N63"/>
      <c r="O63"/>
      <c r="P63"/>
      <c r="Q63"/>
      <c r="R63"/>
    </row>
    <row r="64" spans="2:18" ht="12.75" customHeight="1" x14ac:dyDescent="0.25">
      <c r="B64" s="35" t="s">
        <v>206</v>
      </c>
      <c r="C64" s="36" t="s">
        <v>207</v>
      </c>
      <c r="D64" s="47">
        <v>34089.905751990002</v>
      </c>
      <c r="E64" s="48">
        <f t="shared" si="0"/>
        <v>1.3736055493325239E-3</v>
      </c>
      <c r="F64" s="52">
        <v>8.2455747255209492E-3</v>
      </c>
      <c r="G64" s="52">
        <v>6.6480000000000011E-2</v>
      </c>
      <c r="H64" s="49">
        <f t="shared" si="1"/>
        <v>7.4999657629397282E-2</v>
      </c>
      <c r="I64" s="50">
        <f t="shared" si="2"/>
        <v>1.0301994591777947E-4</v>
      </c>
      <c r="J64" s="51"/>
      <c r="K64" s="51"/>
      <c r="L64" s="51"/>
      <c r="M64" s="51"/>
      <c r="N64"/>
      <c r="O64"/>
      <c r="P64"/>
      <c r="Q64"/>
      <c r="R64"/>
    </row>
    <row r="65" spans="2:18" ht="12.75" customHeight="1" x14ac:dyDescent="0.25">
      <c r="B65" s="35" t="s">
        <v>208</v>
      </c>
      <c r="C65" s="36" t="s">
        <v>209</v>
      </c>
      <c r="D65" s="47">
        <v>27559.04957599</v>
      </c>
      <c r="E65" s="48">
        <f t="shared" si="0"/>
        <v>1.110453742738793E-3</v>
      </c>
      <c r="F65" s="52">
        <v>3.0627732824043824E-2</v>
      </c>
      <c r="G65" s="52">
        <v>5.6100000000000004E-2</v>
      </c>
      <c r="H65" s="49">
        <f t="shared" si="1"/>
        <v>8.7586840729758253E-2</v>
      </c>
      <c r="I65" s="50">
        <f t="shared" si="2"/>
        <v>9.7261135103026601E-5</v>
      </c>
      <c r="J65" s="51"/>
      <c r="K65" s="51"/>
      <c r="L65" s="51"/>
      <c r="M65" s="51"/>
      <c r="N65"/>
      <c r="O65"/>
      <c r="P65"/>
      <c r="Q65"/>
      <c r="R65"/>
    </row>
    <row r="66" spans="2:18" ht="12.75" customHeight="1" x14ac:dyDescent="0.25">
      <c r="B66" s="35" t="s">
        <v>210</v>
      </c>
      <c r="C66" s="36" t="s">
        <v>211</v>
      </c>
      <c r="D66" s="47">
        <v>114985.00084071001</v>
      </c>
      <c r="E66" s="48">
        <f t="shared" si="0"/>
        <v>4.6331613936945008E-3</v>
      </c>
      <c r="F66" s="52">
        <v>3.4717007130800226E-2</v>
      </c>
      <c r="G66" s="52">
        <v>0.14107</v>
      </c>
      <c r="H66" s="49">
        <f t="shared" si="1"/>
        <v>0.17823577122877121</v>
      </c>
      <c r="I66" s="50">
        <f t="shared" si="2"/>
        <v>8.257950942325078E-4</v>
      </c>
      <c r="J66" s="51"/>
      <c r="K66" s="51"/>
      <c r="L66" s="51"/>
      <c r="M66" s="51"/>
      <c r="N66"/>
      <c r="O66"/>
      <c r="P66"/>
      <c r="Q66"/>
      <c r="R66"/>
    </row>
    <row r="67" spans="2:18" ht="12.75" customHeight="1" x14ac:dyDescent="0.25">
      <c r="B67" s="35" t="s">
        <v>212</v>
      </c>
      <c r="C67" s="36" t="s">
        <v>213</v>
      </c>
      <c r="D67" s="47">
        <v>9254.6496720699979</v>
      </c>
      <c r="E67" s="48">
        <f t="shared" si="0"/>
        <v>3.7290329398876948E-4</v>
      </c>
      <c r="F67" s="52">
        <v>1.9145268124489613E-2</v>
      </c>
      <c r="G67" s="52">
        <v>5.7500000000000002E-2</v>
      </c>
      <c r="H67" s="49">
        <f t="shared" si="1"/>
        <v>7.7195694583068686E-2</v>
      </c>
      <c r="I67" s="50">
        <f t="shared" si="2"/>
        <v>2.8786528791777322E-5</v>
      </c>
      <c r="J67" s="51"/>
      <c r="K67" s="51"/>
      <c r="L67" s="51"/>
      <c r="M67" s="51"/>
      <c r="N67"/>
      <c r="O67"/>
      <c r="P67"/>
      <c r="Q67"/>
      <c r="R67"/>
    </row>
    <row r="68" spans="2:18" ht="12.75" customHeight="1" x14ac:dyDescent="0.25">
      <c r="B68" s="35" t="s">
        <v>214</v>
      </c>
      <c r="C68" s="36" t="s">
        <v>215</v>
      </c>
      <c r="D68" s="47">
        <v>19125.33705957</v>
      </c>
      <c r="E68" s="48">
        <f t="shared" si="0"/>
        <v>7.7062897471773652E-4</v>
      </c>
      <c r="F68" s="52">
        <v>1.8608827142992154E-2</v>
      </c>
      <c r="G68" s="52">
        <v>8.4529999999999994E-2</v>
      </c>
      <c r="H68" s="49">
        <f t="shared" si="1"/>
        <v>0.10392532922219071</v>
      </c>
      <c r="I68" s="50">
        <f t="shared" si="2"/>
        <v>8.0087869905700053E-5</v>
      </c>
      <c r="J68" s="51"/>
      <c r="K68" s="51"/>
      <c r="L68" s="51"/>
      <c r="M68" s="51"/>
      <c r="N68"/>
      <c r="O68"/>
      <c r="P68"/>
      <c r="Q68"/>
      <c r="R68"/>
    </row>
    <row r="69" spans="2:18" ht="12.75" customHeight="1" x14ac:dyDescent="0.25">
      <c r="B69" s="35" t="s">
        <v>216</v>
      </c>
      <c r="C69" s="36" t="s">
        <v>217</v>
      </c>
      <c r="D69" s="47">
        <v>95214.640039199992</v>
      </c>
      <c r="E69" s="48">
        <f t="shared" si="0"/>
        <v>3.8365420804341503E-3</v>
      </c>
      <c r="F69" s="52">
        <v>1.4191331923890063E-2</v>
      </c>
      <c r="G69" s="52">
        <v>0.12214999999999999</v>
      </c>
      <c r="H69" s="49">
        <f t="shared" si="1"/>
        <v>0.13720806752114165</v>
      </c>
      <c r="I69" s="50">
        <f t="shared" si="2"/>
        <v>5.2640452481991014E-4</v>
      </c>
      <c r="J69" s="51"/>
      <c r="K69" s="51"/>
      <c r="L69" s="51"/>
      <c r="M69" s="51"/>
      <c r="N69"/>
      <c r="O69"/>
      <c r="P69"/>
      <c r="Q69"/>
      <c r="R69"/>
    </row>
    <row r="70" spans="2:18" ht="12.75" customHeight="1" x14ac:dyDescent="0.25">
      <c r="B70" s="35" t="s">
        <v>218</v>
      </c>
      <c r="C70" s="36" t="s">
        <v>219</v>
      </c>
      <c r="D70" s="47">
        <v>23947.564556640002</v>
      </c>
      <c r="E70" s="48">
        <f t="shared" si="0"/>
        <v>9.6493395456452222E-4</v>
      </c>
      <c r="F70" s="52">
        <v>0</v>
      </c>
      <c r="G70" s="52">
        <v>0.1308</v>
      </c>
      <c r="H70" s="49">
        <f t="shared" si="1"/>
        <v>0.1308</v>
      </c>
      <c r="I70" s="50">
        <f t="shared" si="2"/>
        <v>1.2621336125703949E-4</v>
      </c>
      <c r="J70" s="51"/>
      <c r="K70" s="51"/>
      <c r="L70" s="51"/>
      <c r="M70" s="51"/>
      <c r="N70"/>
      <c r="O70"/>
      <c r="P70"/>
      <c r="Q70"/>
      <c r="R70"/>
    </row>
    <row r="71" spans="2:18" ht="12.75" customHeight="1" x14ac:dyDescent="0.25">
      <c r="B71" s="35" t="s">
        <v>220</v>
      </c>
      <c r="C71" s="36" t="s">
        <v>221</v>
      </c>
      <c r="D71" s="47">
        <v>214123.70645991</v>
      </c>
      <c r="E71" s="48">
        <f t="shared" si="0"/>
        <v>8.6278182631763772E-3</v>
      </c>
      <c r="F71" s="52">
        <v>2.1333016702287662E-2</v>
      </c>
      <c r="G71" s="52">
        <v>0.1515</v>
      </c>
      <c r="H71" s="49">
        <f t="shared" si="1"/>
        <v>0.17444899271748596</v>
      </c>
      <c r="I71" s="50">
        <f t="shared" si="2"/>
        <v>1.5051142053606481E-3</v>
      </c>
      <c r="J71" s="51"/>
      <c r="K71" s="51"/>
      <c r="L71" s="51"/>
      <c r="M71" s="51"/>
      <c r="N71"/>
      <c r="O71"/>
      <c r="P71"/>
      <c r="Q71"/>
      <c r="R71"/>
    </row>
    <row r="72" spans="2:18" ht="12.75" customHeight="1" x14ac:dyDescent="0.25">
      <c r="B72" s="35" t="s">
        <v>222</v>
      </c>
      <c r="C72" s="36" t="s">
        <v>223</v>
      </c>
      <c r="D72" s="47">
        <v>282421.13672780001</v>
      </c>
      <c r="E72" s="48">
        <f t="shared" si="0"/>
        <v>1.1379768647071129E-2</v>
      </c>
      <c r="F72" s="52">
        <v>2.3412969283276453E-2</v>
      </c>
      <c r="G72" s="52">
        <v>9.4500000000000015E-2</v>
      </c>
      <c r="H72" s="49">
        <f t="shared" si="1"/>
        <v>0.11901923208191129</v>
      </c>
      <c r="I72" s="50">
        <f t="shared" si="2"/>
        <v>1.3544113256442163E-3</v>
      </c>
      <c r="J72" s="51"/>
      <c r="K72" s="51"/>
      <c r="L72" s="51"/>
      <c r="M72" s="51"/>
      <c r="N72"/>
      <c r="O72"/>
      <c r="P72"/>
      <c r="Q72"/>
      <c r="R72"/>
    </row>
    <row r="73" spans="2:18" ht="12.75" customHeight="1" x14ac:dyDescent="0.25">
      <c r="B73" s="35" t="s">
        <v>224</v>
      </c>
      <c r="C73" s="36" t="s">
        <v>225</v>
      </c>
      <c r="D73" s="47">
        <v>39434.689261879998</v>
      </c>
      <c r="E73" s="48">
        <f t="shared" si="0"/>
        <v>1.5889662001532523E-3</v>
      </c>
      <c r="F73" s="52">
        <v>1.0891603847153626E-2</v>
      </c>
      <c r="G73" s="52">
        <v>0.12200000000000001</v>
      </c>
      <c r="H73" s="49">
        <f t="shared" si="1"/>
        <v>0.13355599168183002</v>
      </c>
      <c r="I73" s="50">
        <f t="shared" si="2"/>
        <v>2.1221595661037682E-4</v>
      </c>
      <c r="J73" s="51"/>
      <c r="K73" s="51"/>
      <c r="L73" s="51"/>
      <c r="M73" s="51"/>
      <c r="N73"/>
      <c r="O73"/>
      <c r="P73"/>
      <c r="Q73"/>
      <c r="R73"/>
    </row>
    <row r="74" spans="2:18" ht="12.75" customHeight="1" x14ac:dyDescent="0.25">
      <c r="B74" s="35" t="s">
        <v>226</v>
      </c>
      <c r="C74" s="36" t="s">
        <v>227</v>
      </c>
      <c r="D74" s="47">
        <v>38167.501590119995</v>
      </c>
      <c r="E74" s="48">
        <f t="shared" si="0"/>
        <v>1.5379066275443226E-3</v>
      </c>
      <c r="F74" s="52">
        <v>3.405362144857943E-2</v>
      </c>
      <c r="G74" s="52">
        <v>9.849999999999999E-2</v>
      </c>
      <c r="H74" s="49">
        <f t="shared" si="1"/>
        <v>0.13423076230492195</v>
      </c>
      <c r="I74" s="50">
        <f t="shared" si="2"/>
        <v>2.0643437896906611E-4</v>
      </c>
      <c r="J74" s="51"/>
      <c r="K74" s="51"/>
      <c r="L74" s="51"/>
      <c r="M74" s="51"/>
      <c r="N74"/>
      <c r="O74"/>
      <c r="P74"/>
      <c r="Q74"/>
      <c r="R74"/>
    </row>
    <row r="75" spans="2:18" ht="12.75" customHeight="1" x14ac:dyDescent="0.25">
      <c r="B75" s="35" t="s">
        <v>228</v>
      </c>
      <c r="C75" s="36" t="s">
        <v>229</v>
      </c>
      <c r="D75" s="47">
        <v>18737.542249469996</v>
      </c>
      <c r="E75" s="48">
        <f t="shared" si="0"/>
        <v>7.5500331980888952E-4</v>
      </c>
      <c r="F75" s="52">
        <v>2.842165733160994E-2</v>
      </c>
      <c r="G75" s="52">
        <v>0.1065</v>
      </c>
      <c r="H75" s="49">
        <f t="shared" si="1"/>
        <v>0.13643511058451818</v>
      </c>
      <c r="I75" s="50">
        <f t="shared" si="2"/>
        <v>1.0300896142980419E-4</v>
      </c>
      <c r="J75" s="51"/>
      <c r="K75" s="51"/>
      <c r="L75" s="51"/>
      <c r="M75" s="51"/>
      <c r="N75"/>
      <c r="O75"/>
      <c r="P75"/>
      <c r="Q75"/>
      <c r="R75"/>
    </row>
    <row r="76" spans="2:18" ht="12.75" customHeight="1" x14ac:dyDescent="0.25">
      <c r="B76" s="35" t="s">
        <v>230</v>
      </c>
      <c r="C76" s="36" t="s">
        <v>231</v>
      </c>
      <c r="D76" s="47">
        <v>68320.573195680001</v>
      </c>
      <c r="E76" s="48">
        <f t="shared" ref="E76:E139" si="3">IF(OR(H76="N/A",D76="N/A"),"N/A",D76/$D$512)</f>
        <v>2.7528828961249528E-3</v>
      </c>
      <c r="F76" s="52">
        <v>1.2468494013862632E-2</v>
      </c>
      <c r="G76" s="52">
        <v>0.12407</v>
      </c>
      <c r="H76" s="49">
        <f t="shared" ref="H76:H139" si="4">IFERROR(F76*(1+0.5*G76)+G76,"N/A")</f>
        <v>0.13731197704001261</v>
      </c>
      <c r="I76" s="50">
        <f t="shared" ref="I76:I139" si="5">IF(AND(ISNUMBER(D76),ISNUMBER(H76)),E76*H76,"N/A")</f>
        <v>3.7800379302655292E-4</v>
      </c>
      <c r="J76" s="51"/>
      <c r="K76" s="51"/>
      <c r="L76" s="51"/>
      <c r="M76" s="51"/>
      <c r="N76"/>
      <c r="O76"/>
      <c r="P76"/>
      <c r="Q76"/>
      <c r="R76"/>
    </row>
    <row r="77" spans="2:18" ht="12.75" customHeight="1" x14ac:dyDescent="0.25">
      <c r="B77" s="35" t="s">
        <v>232</v>
      </c>
      <c r="C77" s="36" t="s">
        <v>233</v>
      </c>
      <c r="D77" s="47">
        <v>16976.888060720001</v>
      </c>
      <c r="E77" s="48">
        <f t="shared" si="3"/>
        <v>6.8406019718141291E-4</v>
      </c>
      <c r="F77" s="52">
        <v>3.0972388955582235E-2</v>
      </c>
      <c r="G77" s="52">
        <v>0.1</v>
      </c>
      <c r="H77" s="49">
        <f t="shared" si="4"/>
        <v>0.13252100840336134</v>
      </c>
      <c r="I77" s="50">
        <f t="shared" si="5"/>
        <v>9.0652347139083035E-5</v>
      </c>
      <c r="J77" s="51"/>
      <c r="K77" s="51"/>
      <c r="L77" s="51"/>
      <c r="M77" s="51"/>
      <c r="N77"/>
      <c r="O77"/>
      <c r="P77"/>
      <c r="Q77"/>
      <c r="R77"/>
    </row>
    <row r="78" spans="2:18" ht="12.75" customHeight="1" x14ac:dyDescent="0.25">
      <c r="B78" s="35" t="s">
        <v>234</v>
      </c>
      <c r="C78" s="36" t="s">
        <v>235</v>
      </c>
      <c r="D78" s="47">
        <v>24125.498397900003</v>
      </c>
      <c r="E78" s="48">
        <f t="shared" si="3"/>
        <v>9.7210355232014295E-4</v>
      </c>
      <c r="F78" s="52">
        <v>1.2938856015779094E-2</v>
      </c>
      <c r="G78" s="52">
        <v>9.9100000000000008E-2</v>
      </c>
      <c r="H78" s="49">
        <f t="shared" si="4"/>
        <v>0.11267997633136095</v>
      </c>
      <c r="I78" s="50">
        <f t="shared" si="5"/>
        <v>1.0953660526706561E-4</v>
      </c>
      <c r="J78" s="51"/>
      <c r="K78" s="51"/>
      <c r="L78" s="51"/>
      <c r="M78" s="51"/>
      <c r="N78"/>
      <c r="O78"/>
      <c r="P78"/>
      <c r="Q78"/>
      <c r="R78"/>
    </row>
    <row r="79" spans="2:18" ht="12.75" customHeight="1" x14ac:dyDescent="0.25">
      <c r="B79" s="35" t="s">
        <v>236</v>
      </c>
      <c r="C79" s="36" t="s">
        <v>237</v>
      </c>
      <c r="D79" s="47">
        <v>4616.65053747</v>
      </c>
      <c r="E79" s="48">
        <f t="shared" si="3"/>
        <v>1.8602154091398705E-4</v>
      </c>
      <c r="F79" s="52" t="s">
        <v>117</v>
      </c>
      <c r="G79" s="52">
        <v>0.11135</v>
      </c>
      <c r="H79" s="49">
        <f t="shared" si="4"/>
        <v>0.11135</v>
      </c>
      <c r="I79" s="50">
        <f t="shared" si="5"/>
        <v>2.0713498580772459E-5</v>
      </c>
      <c r="J79" s="51"/>
      <c r="K79" s="51"/>
      <c r="L79" s="51"/>
      <c r="M79" s="51"/>
      <c r="N79"/>
      <c r="O79"/>
      <c r="P79"/>
      <c r="Q79"/>
      <c r="R79"/>
    </row>
    <row r="80" spans="2:18" ht="12.75" customHeight="1" x14ac:dyDescent="0.25">
      <c r="B80" s="35" t="s">
        <v>238</v>
      </c>
      <c r="C80" s="36" t="s">
        <v>239</v>
      </c>
      <c r="D80" s="47">
        <v>28864.140065250001</v>
      </c>
      <c r="E80" s="48">
        <f t="shared" si="3"/>
        <v>1.163040556896353E-3</v>
      </c>
      <c r="F80" s="52">
        <v>2.2836624775583479E-2</v>
      </c>
      <c r="G80" s="52">
        <v>0.40814999999999996</v>
      </c>
      <c r="H80" s="49">
        <f t="shared" si="4"/>
        <v>0.43564700897666064</v>
      </c>
      <c r="I80" s="50">
        <f t="shared" si="5"/>
        <v>5.0667513993044586E-4</v>
      </c>
      <c r="J80" s="51"/>
      <c r="K80" s="51"/>
      <c r="L80" s="51"/>
      <c r="M80" s="51"/>
      <c r="N80"/>
      <c r="O80"/>
      <c r="P80"/>
      <c r="Q80"/>
      <c r="R80"/>
    </row>
    <row r="81" spans="2:18" ht="12.75" customHeight="1" x14ac:dyDescent="0.25">
      <c r="B81" s="35" t="s">
        <v>240</v>
      </c>
      <c r="C81" s="36" t="s">
        <v>241</v>
      </c>
      <c r="D81" s="47">
        <v>64888.326578080007</v>
      </c>
      <c r="E81" s="48">
        <f t="shared" si="3"/>
        <v>2.6145852711648744E-3</v>
      </c>
      <c r="F81" s="52">
        <v>0</v>
      </c>
      <c r="G81" s="52">
        <v>5.0799999999999998E-2</v>
      </c>
      <c r="H81" s="49">
        <f t="shared" si="4"/>
        <v>5.0799999999999998E-2</v>
      </c>
      <c r="I81" s="50">
        <f t="shared" si="5"/>
        <v>1.3282093177517562E-4</v>
      </c>
      <c r="J81" s="51"/>
      <c r="K81" s="51"/>
      <c r="L81" s="51"/>
      <c r="M81" s="51"/>
      <c r="N81"/>
      <c r="O81"/>
      <c r="P81"/>
      <c r="Q81"/>
      <c r="R81"/>
    </row>
    <row r="82" spans="2:18" ht="12.75" customHeight="1" x14ac:dyDescent="0.25">
      <c r="B82" s="35" t="s">
        <v>242</v>
      </c>
      <c r="C82" s="36" t="s">
        <v>243</v>
      </c>
      <c r="D82" s="47">
        <v>50721.19206016</v>
      </c>
      <c r="E82" s="48">
        <f t="shared" si="3"/>
        <v>2.0437402024360094E-3</v>
      </c>
      <c r="F82" s="52">
        <v>2.272213855421687E-2</v>
      </c>
      <c r="G82" s="52">
        <v>7.3330000000000006E-2</v>
      </c>
      <c r="H82" s="49">
        <f t="shared" si="4"/>
        <v>9.6885245764307237E-2</v>
      </c>
      <c r="I82" s="50">
        <f t="shared" si="5"/>
        <v>1.980082717914078E-4</v>
      </c>
      <c r="J82" s="51"/>
      <c r="K82" s="51"/>
      <c r="L82" s="51"/>
      <c r="M82" s="51"/>
      <c r="N82"/>
      <c r="O82"/>
      <c r="P82"/>
      <c r="Q82"/>
      <c r="R82"/>
    </row>
    <row r="83" spans="2:18" ht="12.75" customHeight="1" x14ac:dyDescent="0.25">
      <c r="B83" s="35" t="s">
        <v>244</v>
      </c>
      <c r="C83" s="36" t="s">
        <v>245</v>
      </c>
      <c r="D83" s="47">
        <v>78869.946363250012</v>
      </c>
      <c r="E83" s="48">
        <f t="shared" si="3"/>
        <v>3.1779552806124899E-3</v>
      </c>
      <c r="F83" s="52">
        <v>0</v>
      </c>
      <c r="G83" s="52">
        <v>0.125</v>
      </c>
      <c r="H83" s="49">
        <f t="shared" si="4"/>
        <v>0.125</v>
      </c>
      <c r="I83" s="50">
        <f t="shared" si="5"/>
        <v>3.9724441007656124E-4</v>
      </c>
      <c r="J83" s="51"/>
      <c r="K83" s="51"/>
      <c r="L83" s="51"/>
      <c r="M83" s="51"/>
      <c r="N83"/>
      <c r="O83"/>
      <c r="P83"/>
      <c r="Q83"/>
      <c r="R83"/>
    </row>
    <row r="84" spans="2:18" ht="12.75" customHeight="1" x14ac:dyDescent="0.25">
      <c r="B84" s="35" t="s">
        <v>246</v>
      </c>
      <c r="C84" s="36" t="s">
        <v>247</v>
      </c>
      <c r="D84" s="47">
        <v>68933.834359</v>
      </c>
      <c r="E84" s="48">
        <f t="shared" si="3"/>
        <v>2.7775934055424599E-3</v>
      </c>
      <c r="F84" s="52">
        <v>3.0600853419444123E-2</v>
      </c>
      <c r="G84" s="52">
        <v>8.5270000000000012E-2</v>
      </c>
      <c r="H84" s="49">
        <f t="shared" si="4"/>
        <v>0.11717552080498214</v>
      </c>
      <c r="I84" s="50">
        <f t="shared" si="5"/>
        <v>3.2546595387892169E-4</v>
      </c>
      <c r="J84" s="51"/>
      <c r="K84" s="51"/>
      <c r="L84" s="51"/>
      <c r="M84" s="51"/>
      <c r="N84"/>
      <c r="O84"/>
      <c r="P84"/>
      <c r="Q84"/>
      <c r="R84"/>
    </row>
    <row r="85" spans="2:18" ht="12.75" customHeight="1" x14ac:dyDescent="0.25">
      <c r="B85" s="35" t="s">
        <v>248</v>
      </c>
      <c r="C85" s="36" t="s">
        <v>249</v>
      </c>
      <c r="D85" s="47">
        <v>19214.827152499998</v>
      </c>
      <c r="E85" s="48">
        <f t="shared" si="3"/>
        <v>7.7423485409895936E-4</v>
      </c>
      <c r="F85" s="52">
        <v>6.9565217391304342E-3</v>
      </c>
      <c r="G85" s="52">
        <v>6.5000000000000002E-2</v>
      </c>
      <c r="H85" s="49">
        <f t="shared" si="4"/>
        <v>7.218260869565217E-2</v>
      </c>
      <c r="I85" s="50">
        <f t="shared" si="5"/>
        <v>5.5886291511960533E-5</v>
      </c>
      <c r="J85" s="51"/>
      <c r="K85" s="51"/>
      <c r="L85" s="51"/>
      <c r="M85" s="51"/>
      <c r="N85"/>
      <c r="O85"/>
      <c r="P85"/>
      <c r="Q85"/>
      <c r="R85"/>
    </row>
    <row r="86" spans="2:18" ht="12.75" customHeight="1" x14ac:dyDescent="0.25">
      <c r="B86" s="35" t="s">
        <v>250</v>
      </c>
      <c r="C86" s="36" t="s">
        <v>251</v>
      </c>
      <c r="D86" s="47">
        <v>81568.48681491999</v>
      </c>
      <c r="E86" s="48">
        <f t="shared" si="3"/>
        <v>3.2866892315503212E-3</v>
      </c>
      <c r="F86" s="52">
        <v>3.2966373098478781E-2</v>
      </c>
      <c r="G86" s="52">
        <v>0.11022999999999999</v>
      </c>
      <c r="H86" s="49">
        <f t="shared" si="4"/>
        <v>0.14501331475180143</v>
      </c>
      <c r="I86" s="50">
        <f t="shared" si="5"/>
        <v>4.7661370002616309E-4</v>
      </c>
      <c r="J86" s="51"/>
      <c r="K86" s="51"/>
      <c r="L86" s="51"/>
      <c r="M86" s="51"/>
      <c r="N86"/>
      <c r="O86"/>
      <c r="P86"/>
      <c r="Q86"/>
      <c r="R86"/>
    </row>
    <row r="87" spans="2:18" ht="12.75" customHeight="1" x14ac:dyDescent="0.25">
      <c r="B87" s="35" t="s">
        <v>252</v>
      </c>
      <c r="C87" s="36" t="s">
        <v>253</v>
      </c>
      <c r="D87" s="47">
        <v>11978.744561900001</v>
      </c>
      <c r="E87" s="48">
        <f t="shared" si="3"/>
        <v>4.8266692562803947E-4</v>
      </c>
      <c r="F87" s="52">
        <v>1.83969097054563E-2</v>
      </c>
      <c r="G87" s="52">
        <v>0.1</v>
      </c>
      <c r="H87" s="49">
        <f t="shared" si="4"/>
        <v>0.11931675519072912</v>
      </c>
      <c r="I87" s="50">
        <f t="shared" si="5"/>
        <v>5.7590251403822648E-5</v>
      </c>
      <c r="J87" s="51"/>
      <c r="K87" s="51"/>
      <c r="L87" s="51"/>
      <c r="M87" s="51"/>
      <c r="N87"/>
      <c r="O87"/>
      <c r="P87"/>
      <c r="Q87"/>
      <c r="R87"/>
    </row>
    <row r="88" spans="2:18" ht="12.75" customHeight="1" x14ac:dyDescent="0.25">
      <c r="B88" s="35" t="s">
        <v>254</v>
      </c>
      <c r="C88" s="36" t="s">
        <v>255</v>
      </c>
      <c r="D88" s="47">
        <v>503471.12734161003</v>
      </c>
      <c r="E88" s="48">
        <f t="shared" si="3"/>
        <v>2.0286671939677238E-2</v>
      </c>
      <c r="F88" s="52" t="s">
        <v>117</v>
      </c>
      <c r="G88" s="52">
        <v>-1.6E-2</v>
      </c>
      <c r="H88" s="49">
        <f t="shared" si="4"/>
        <v>-1.6E-2</v>
      </c>
      <c r="I88" s="50">
        <f t="shared" si="5"/>
        <v>-3.245867510348358E-4</v>
      </c>
      <c r="J88" s="51"/>
      <c r="K88" s="51"/>
      <c r="L88" s="51"/>
      <c r="M88" s="51"/>
      <c r="N88"/>
      <c r="O88"/>
      <c r="P88"/>
      <c r="Q88"/>
      <c r="R88"/>
    </row>
    <row r="89" spans="2:18" ht="12.75" customHeight="1" x14ac:dyDescent="0.25">
      <c r="B89" s="35" t="s">
        <v>256</v>
      </c>
      <c r="C89" s="36" t="s">
        <v>257</v>
      </c>
      <c r="D89" s="47">
        <v>55729.529044459996</v>
      </c>
      <c r="E89" s="48">
        <f t="shared" si="3"/>
        <v>2.2455442063722829E-3</v>
      </c>
      <c r="F89" s="52">
        <v>0</v>
      </c>
      <c r="G89" s="52">
        <v>0.33460000000000001</v>
      </c>
      <c r="H89" s="49">
        <f t="shared" si="4"/>
        <v>0.33460000000000001</v>
      </c>
      <c r="I89" s="50">
        <f t="shared" si="5"/>
        <v>7.5135909145216588E-4</v>
      </c>
      <c r="J89" s="51"/>
      <c r="K89" s="51"/>
      <c r="L89" s="51"/>
      <c r="M89" s="51"/>
      <c r="N89"/>
      <c r="O89"/>
      <c r="P89"/>
      <c r="Q89"/>
      <c r="R89"/>
    </row>
    <row r="90" spans="2:18" ht="12.75" customHeight="1" x14ac:dyDescent="0.25">
      <c r="B90" s="35" t="s">
        <v>258</v>
      </c>
      <c r="C90" s="36" t="s">
        <v>259</v>
      </c>
      <c r="D90" s="47">
        <v>7849.7145144200013</v>
      </c>
      <c r="E90" s="48">
        <f t="shared" si="3"/>
        <v>3.1629337716939705E-4</v>
      </c>
      <c r="F90" s="52">
        <v>1.8011108172441156E-2</v>
      </c>
      <c r="G90" s="52">
        <v>5.7780000000000005E-2</v>
      </c>
      <c r="H90" s="49">
        <f t="shared" si="4"/>
        <v>7.631144908754299E-2</v>
      </c>
      <c r="I90" s="50">
        <f t="shared" si="5"/>
        <v>2.4136805948589476E-5</v>
      </c>
      <c r="J90" s="51"/>
      <c r="K90" s="51"/>
      <c r="L90" s="51"/>
      <c r="M90" s="51"/>
      <c r="N90"/>
      <c r="O90"/>
      <c r="P90"/>
      <c r="Q90"/>
      <c r="R90"/>
    </row>
    <row r="91" spans="2:18" ht="12.75" customHeight="1" x14ac:dyDescent="0.25">
      <c r="B91" s="35" t="s">
        <v>260</v>
      </c>
      <c r="C91" s="36" t="s">
        <v>261</v>
      </c>
      <c r="D91" s="47">
        <v>20509.553331840001</v>
      </c>
      <c r="E91" s="48">
        <f t="shared" si="3"/>
        <v>8.2640405273934304E-4</v>
      </c>
      <c r="F91" s="52">
        <v>2.9312942594545727E-2</v>
      </c>
      <c r="G91" s="52">
        <v>6.2380000000000005E-2</v>
      </c>
      <c r="H91" s="49">
        <f t="shared" si="4"/>
        <v>9.2607213274069622E-2</v>
      </c>
      <c r="I91" s="50">
        <f t="shared" si="5"/>
        <v>7.6530976362587826E-5</v>
      </c>
      <c r="J91" s="51"/>
      <c r="K91" s="51"/>
      <c r="L91" s="51"/>
      <c r="M91" s="51"/>
      <c r="N91"/>
      <c r="O91"/>
      <c r="P91"/>
      <c r="Q91"/>
      <c r="R91"/>
    </row>
    <row r="92" spans="2:18" ht="12.75" customHeight="1" x14ac:dyDescent="0.25">
      <c r="B92" s="35" t="s">
        <v>262</v>
      </c>
      <c r="C92" s="36" t="s">
        <v>263</v>
      </c>
      <c r="D92" s="47">
        <v>152576.62771661999</v>
      </c>
      <c r="E92" s="48">
        <f t="shared" si="3"/>
        <v>6.1478639470206667E-3</v>
      </c>
      <c r="F92" s="52">
        <v>3.0019941708851056E-2</v>
      </c>
      <c r="G92" s="52">
        <v>0.11233</v>
      </c>
      <c r="H92" s="49">
        <f t="shared" si="4"/>
        <v>0.14403601173492867</v>
      </c>
      <c r="I92" s="50">
        <f t="shared" si="5"/>
        <v>8.8551380361781356E-4</v>
      </c>
      <c r="J92" s="51"/>
      <c r="K92" s="51"/>
      <c r="L92" s="51"/>
      <c r="M92" s="51"/>
      <c r="N92"/>
      <c r="O92"/>
      <c r="P92"/>
      <c r="Q92"/>
      <c r="R92"/>
    </row>
    <row r="93" spans="2:18" ht="12.75" customHeight="1" x14ac:dyDescent="0.25">
      <c r="B93" s="35" t="s">
        <v>264</v>
      </c>
      <c r="C93" s="36" t="s">
        <v>265</v>
      </c>
      <c r="D93" s="47">
        <v>11213.473456739999</v>
      </c>
      <c r="E93" s="48">
        <f t="shared" si="3"/>
        <v>4.5183138608624271E-4</v>
      </c>
      <c r="F93" s="52">
        <v>3.6422693806842786E-2</v>
      </c>
      <c r="G93" s="52">
        <v>0.08</v>
      </c>
      <c r="H93" s="49">
        <f t="shared" si="4"/>
        <v>0.1178796015591165</v>
      </c>
      <c r="I93" s="50">
        <f t="shared" si="5"/>
        <v>5.3261703763749626E-5</v>
      </c>
      <c r="J93" s="51"/>
      <c r="K93" s="51"/>
      <c r="L93" s="51"/>
      <c r="M93" s="51"/>
      <c r="N93"/>
      <c r="O93"/>
      <c r="P93"/>
      <c r="Q93"/>
      <c r="R93"/>
    </row>
    <row r="94" spans="2:18" ht="12.75" customHeight="1" x14ac:dyDescent="0.25">
      <c r="B94" s="35" t="s">
        <v>266</v>
      </c>
      <c r="C94" s="36" t="s">
        <v>267</v>
      </c>
      <c r="D94" s="47">
        <v>14981.297146310002</v>
      </c>
      <c r="E94" s="48">
        <f t="shared" si="3"/>
        <v>6.0365062450105651E-4</v>
      </c>
      <c r="F94" s="52">
        <v>3.9188382733240504E-2</v>
      </c>
      <c r="G94" s="52">
        <v>4.7649999999999998E-2</v>
      </c>
      <c r="H94" s="49">
        <f t="shared" si="4"/>
        <v>8.7772045951859959E-2</v>
      </c>
      <c r="I94" s="50">
        <f t="shared" si="5"/>
        <v>5.2983650352575691E-5</v>
      </c>
      <c r="J94" s="51"/>
      <c r="K94" s="51"/>
      <c r="L94" s="51"/>
      <c r="M94" s="51"/>
      <c r="N94"/>
      <c r="O94"/>
      <c r="P94"/>
      <c r="Q94"/>
      <c r="R94"/>
    </row>
    <row r="95" spans="2:18" ht="12.75" customHeight="1" x14ac:dyDescent="0.25">
      <c r="B95" s="35" t="s">
        <v>268</v>
      </c>
      <c r="C95" s="36" t="s">
        <v>269</v>
      </c>
      <c r="D95" s="47">
        <v>76357.255050459993</v>
      </c>
      <c r="E95" s="48">
        <f t="shared" si="3"/>
        <v>3.0767098633878759E-3</v>
      </c>
      <c r="F95" s="52">
        <v>2.6426471696691042E-2</v>
      </c>
      <c r="G95" s="52">
        <v>0.13350000000000001</v>
      </c>
      <c r="H95" s="49">
        <f t="shared" si="4"/>
        <v>0.16169043868244518</v>
      </c>
      <c r="I95" s="50">
        <f t="shared" si="5"/>
        <v>4.9747456750979158E-4</v>
      </c>
      <c r="J95" s="51"/>
      <c r="K95" s="51"/>
      <c r="L95" s="51"/>
      <c r="M95" s="51"/>
      <c r="N95"/>
      <c r="O95"/>
      <c r="P95"/>
      <c r="Q95"/>
      <c r="R95"/>
    </row>
    <row r="96" spans="2:18" ht="12.75" customHeight="1" x14ac:dyDescent="0.25">
      <c r="B96" s="35" t="s">
        <v>270</v>
      </c>
      <c r="C96" s="36" t="s">
        <v>271</v>
      </c>
      <c r="D96" s="47">
        <v>62500.24075995</v>
      </c>
      <c r="E96" s="48">
        <f t="shared" si="3"/>
        <v>2.5183606598112866E-3</v>
      </c>
      <c r="F96" s="52">
        <v>2.2317565089842319E-2</v>
      </c>
      <c r="G96" s="52">
        <v>0.106</v>
      </c>
      <c r="H96" s="49">
        <f t="shared" si="4"/>
        <v>0.12950039603960395</v>
      </c>
      <c r="I96" s="50">
        <f t="shared" si="5"/>
        <v>3.2612870281611994E-4</v>
      </c>
      <c r="J96" s="51"/>
      <c r="K96" s="51"/>
      <c r="L96" s="51"/>
      <c r="M96" s="51"/>
      <c r="N96"/>
      <c r="O96"/>
      <c r="P96"/>
      <c r="Q96"/>
      <c r="R96"/>
    </row>
    <row r="97" spans="2:18" ht="12.75" customHeight="1" x14ac:dyDescent="0.25">
      <c r="B97" s="35" t="s">
        <v>272</v>
      </c>
      <c r="C97" s="36" t="s">
        <v>273</v>
      </c>
      <c r="D97" s="47">
        <v>10831.517174820001</v>
      </c>
      <c r="E97" s="48">
        <f t="shared" si="3"/>
        <v>4.3644098658602996E-4</v>
      </c>
      <c r="F97" s="52">
        <v>1.3476200288481352E-2</v>
      </c>
      <c r="G97" s="52">
        <v>0.1346</v>
      </c>
      <c r="H97" s="49">
        <f t="shared" si="4"/>
        <v>0.14898314856789616</v>
      </c>
      <c r="I97" s="50">
        <f t="shared" si="5"/>
        <v>6.502235234566568E-5</v>
      </c>
      <c r="J97" s="51"/>
      <c r="K97" s="51"/>
      <c r="L97" s="51"/>
      <c r="M97" s="51"/>
      <c r="N97"/>
      <c r="O97"/>
      <c r="P97"/>
      <c r="Q97"/>
      <c r="R97"/>
    </row>
    <row r="98" spans="2:18" ht="12.75" customHeight="1" x14ac:dyDescent="0.25">
      <c r="B98" s="35" t="s">
        <v>274</v>
      </c>
      <c r="C98" s="36" t="s">
        <v>275</v>
      </c>
      <c r="D98" s="47">
        <v>17006.670777839998</v>
      </c>
      <c r="E98" s="48">
        <f t="shared" si="3"/>
        <v>6.852602505288129E-4</v>
      </c>
      <c r="F98" s="52">
        <v>0</v>
      </c>
      <c r="G98" s="52">
        <v>8.5500000000000007E-2</v>
      </c>
      <c r="H98" s="49">
        <f t="shared" si="4"/>
        <v>8.5500000000000007E-2</v>
      </c>
      <c r="I98" s="50">
        <f t="shared" si="5"/>
        <v>5.8589751420213505E-5</v>
      </c>
      <c r="J98" s="51"/>
      <c r="K98" s="51"/>
      <c r="L98" s="51"/>
      <c r="M98" s="51"/>
      <c r="N98"/>
      <c r="O98"/>
      <c r="P98"/>
      <c r="Q98"/>
      <c r="R98"/>
    </row>
    <row r="99" spans="2:18" ht="12.75" customHeight="1" x14ac:dyDescent="0.25">
      <c r="B99" s="35" t="s">
        <v>276</v>
      </c>
      <c r="C99" s="36" t="s">
        <v>277</v>
      </c>
      <c r="D99" s="47">
        <v>17796.485802660005</v>
      </c>
      <c r="E99" s="48">
        <f t="shared" si="3"/>
        <v>7.1708475332831498E-4</v>
      </c>
      <c r="F99" s="52">
        <v>1.6331236897274632E-2</v>
      </c>
      <c r="G99" s="52">
        <v>0.15053</v>
      </c>
      <c r="H99" s="49">
        <f t="shared" si="4"/>
        <v>0.16809040744234799</v>
      </c>
      <c r="I99" s="50">
        <f t="shared" si="5"/>
        <v>1.2053506835765207E-4</v>
      </c>
      <c r="J99" s="51"/>
      <c r="K99" s="51"/>
      <c r="L99" s="51"/>
      <c r="M99" s="51"/>
      <c r="N99"/>
      <c r="O99"/>
      <c r="P99"/>
      <c r="Q99"/>
      <c r="R99"/>
    </row>
    <row r="100" spans="2:18" ht="12.75" customHeight="1" x14ac:dyDescent="0.25">
      <c r="B100" s="35" t="s">
        <v>278</v>
      </c>
      <c r="C100" s="36" t="s">
        <v>279</v>
      </c>
      <c r="D100" s="47">
        <v>51958.514801459998</v>
      </c>
      <c r="E100" s="48">
        <f t="shared" si="3"/>
        <v>2.0935964090248406E-3</v>
      </c>
      <c r="F100" s="52">
        <v>3.662321042949692E-2</v>
      </c>
      <c r="G100" s="52">
        <v>0.16200000000000001</v>
      </c>
      <c r="H100" s="49">
        <f t="shared" si="4"/>
        <v>0.20158969047428618</v>
      </c>
      <c r="I100" s="50">
        <f t="shared" si="5"/>
        <v>4.2204745207339466E-4</v>
      </c>
      <c r="J100" s="51"/>
      <c r="K100" s="51"/>
      <c r="L100" s="51"/>
      <c r="M100" s="51"/>
      <c r="N100"/>
      <c r="O100"/>
      <c r="P100"/>
      <c r="Q100"/>
      <c r="R100"/>
    </row>
    <row r="101" spans="2:18" ht="12.75" customHeight="1" x14ac:dyDescent="0.25">
      <c r="B101" s="35" t="s">
        <v>280</v>
      </c>
      <c r="C101" s="36" t="s">
        <v>281</v>
      </c>
      <c r="D101" s="47">
        <v>38926.680568420496</v>
      </c>
      <c r="E101" s="48">
        <f t="shared" si="3"/>
        <v>1.568496693269843E-3</v>
      </c>
      <c r="F101" s="52">
        <v>3.6424659954071716E-2</v>
      </c>
      <c r="G101" s="52">
        <v>0.10933</v>
      </c>
      <c r="H101" s="49">
        <f t="shared" si="4"/>
        <v>0.14774581399046105</v>
      </c>
      <c r="I101" s="50">
        <f t="shared" si="5"/>
        <v>2.3173882068849947E-4</v>
      </c>
      <c r="J101" s="51"/>
      <c r="K101" s="51"/>
      <c r="L101" s="51"/>
      <c r="M101" s="51"/>
      <c r="N101"/>
      <c r="O101"/>
      <c r="P101"/>
      <c r="Q101"/>
      <c r="R101"/>
    </row>
    <row r="102" spans="2:18" ht="12.75" customHeight="1" x14ac:dyDescent="0.25">
      <c r="B102" s="35" t="s">
        <v>282</v>
      </c>
      <c r="C102" s="36" t="s">
        <v>283</v>
      </c>
      <c r="D102" s="47">
        <v>17149.547069880002</v>
      </c>
      <c r="E102" s="48">
        <f t="shared" si="3"/>
        <v>6.9101725288141539E-4</v>
      </c>
      <c r="F102" s="52" t="s">
        <v>117</v>
      </c>
      <c r="G102" s="52">
        <v>0.10349999999999999</v>
      </c>
      <c r="H102" s="49">
        <f t="shared" si="4"/>
        <v>0.10349999999999999</v>
      </c>
      <c r="I102" s="50">
        <f t="shared" si="5"/>
        <v>7.1520285673226495E-5</v>
      </c>
      <c r="J102" s="51"/>
      <c r="K102" s="51"/>
      <c r="L102" s="51"/>
      <c r="M102" s="51"/>
      <c r="N102"/>
      <c r="O102"/>
      <c r="P102"/>
      <c r="Q102"/>
      <c r="R102"/>
    </row>
    <row r="103" spans="2:18" ht="12.75" customHeight="1" x14ac:dyDescent="0.25">
      <c r="B103" s="35" t="s">
        <v>284</v>
      </c>
      <c r="C103" s="36" t="s">
        <v>285</v>
      </c>
      <c r="D103" s="47">
        <v>12941.570172900001</v>
      </c>
      <c r="E103" s="48">
        <f t="shared" si="3"/>
        <v>5.2146265043674991E-4</v>
      </c>
      <c r="F103" s="52">
        <v>2.3253976094043269E-2</v>
      </c>
      <c r="G103" s="52">
        <v>7.0499999999999993E-2</v>
      </c>
      <c r="H103" s="49">
        <f t="shared" si="4"/>
        <v>9.4573678751358289E-2</v>
      </c>
      <c r="I103" s="50">
        <f t="shared" si="5"/>
        <v>4.9316641183237032E-5</v>
      </c>
      <c r="J103" s="51"/>
      <c r="K103" s="51"/>
      <c r="L103" s="51"/>
      <c r="M103" s="51"/>
      <c r="N103"/>
      <c r="O103"/>
      <c r="P103"/>
      <c r="Q103"/>
      <c r="R103"/>
    </row>
    <row r="104" spans="2:18" ht="12.75" customHeight="1" x14ac:dyDescent="0.25">
      <c r="B104" s="35" t="s">
        <v>286</v>
      </c>
      <c r="C104" s="36" t="s">
        <v>287</v>
      </c>
      <c r="D104" s="47">
        <v>62113.457958699997</v>
      </c>
      <c r="E104" s="48">
        <f t="shared" si="3"/>
        <v>2.5027757823977616E-3</v>
      </c>
      <c r="F104" s="52">
        <v>0</v>
      </c>
      <c r="G104" s="52">
        <v>0.20698</v>
      </c>
      <c r="H104" s="49">
        <f t="shared" si="4"/>
        <v>0.20698</v>
      </c>
      <c r="I104" s="50">
        <f t="shared" si="5"/>
        <v>5.1802453144068872E-4</v>
      </c>
      <c r="J104" s="51"/>
      <c r="K104" s="51"/>
      <c r="L104" s="51"/>
      <c r="M104" s="51"/>
      <c r="N104"/>
      <c r="O104"/>
      <c r="P104"/>
      <c r="Q104"/>
      <c r="R104"/>
    </row>
    <row r="105" spans="2:18" ht="12.75" customHeight="1" x14ac:dyDescent="0.25">
      <c r="B105" s="35" t="s">
        <v>288</v>
      </c>
      <c r="C105" s="36" t="s">
        <v>289</v>
      </c>
      <c r="D105" s="47">
        <v>18783.740182279998</v>
      </c>
      <c r="E105" s="48">
        <f t="shared" si="3"/>
        <v>7.5686480154301848E-4</v>
      </c>
      <c r="F105" s="52">
        <v>0</v>
      </c>
      <c r="G105" s="52">
        <v>0.13200000000000001</v>
      </c>
      <c r="H105" s="49">
        <f t="shared" si="4"/>
        <v>0.13200000000000001</v>
      </c>
      <c r="I105" s="50">
        <f t="shared" si="5"/>
        <v>9.990615380367844E-5</v>
      </c>
      <c r="J105" s="51"/>
      <c r="K105" s="51"/>
      <c r="L105" s="51"/>
      <c r="M105" s="51"/>
      <c r="N105"/>
      <c r="O105"/>
      <c r="P105"/>
      <c r="Q105"/>
      <c r="R105"/>
    </row>
    <row r="106" spans="2:18" ht="12.75" customHeight="1" x14ac:dyDescent="0.25">
      <c r="B106" s="35" t="s">
        <v>290</v>
      </c>
      <c r="C106" s="36" t="s">
        <v>291</v>
      </c>
      <c r="D106" s="47">
        <v>9595.4384788499992</v>
      </c>
      <c r="E106" s="48">
        <f t="shared" si="3"/>
        <v>3.8663490708119034E-4</v>
      </c>
      <c r="F106" s="52">
        <v>2.8013937282229964E-2</v>
      </c>
      <c r="G106" s="52">
        <v>0.19750000000000001</v>
      </c>
      <c r="H106" s="49">
        <f t="shared" si="4"/>
        <v>0.22828031358885018</v>
      </c>
      <c r="I106" s="50">
        <f t="shared" si="5"/>
        <v>8.8261137832890081E-5</v>
      </c>
      <c r="J106" s="51"/>
      <c r="K106" s="51"/>
      <c r="L106" s="51"/>
      <c r="M106" s="51"/>
      <c r="N106"/>
      <c r="O106"/>
      <c r="P106"/>
      <c r="Q106"/>
      <c r="R106"/>
    </row>
    <row r="107" spans="2:18" ht="12.75" customHeight="1" x14ac:dyDescent="0.25">
      <c r="B107" s="35" t="s">
        <v>292</v>
      </c>
      <c r="C107" s="36" t="s">
        <v>293</v>
      </c>
      <c r="D107" s="47">
        <v>16514.189515220001</v>
      </c>
      <c r="E107" s="48">
        <f t="shared" si="3"/>
        <v>6.6541639997086226E-4</v>
      </c>
      <c r="F107" s="52">
        <v>3.7524393643713419E-2</v>
      </c>
      <c r="G107" s="52">
        <v>0.16690000000000002</v>
      </c>
      <c r="H107" s="49">
        <f t="shared" si="4"/>
        <v>0.20755580429328133</v>
      </c>
      <c r="I107" s="50">
        <f t="shared" si="5"/>
        <v>1.3811103608589209E-4</v>
      </c>
      <c r="J107" s="51"/>
      <c r="K107" s="51"/>
      <c r="L107" s="51"/>
      <c r="M107" s="51"/>
      <c r="N107"/>
      <c r="O107"/>
      <c r="P107"/>
      <c r="Q107"/>
      <c r="R107"/>
    </row>
    <row r="108" spans="2:18" ht="12.75" customHeight="1" x14ac:dyDescent="0.25">
      <c r="B108" s="35" t="s">
        <v>294</v>
      </c>
      <c r="C108" s="36" t="s">
        <v>295</v>
      </c>
      <c r="D108" s="47">
        <v>16573.731848399999</v>
      </c>
      <c r="E108" s="48">
        <f t="shared" si="3"/>
        <v>6.6781557584043695E-4</v>
      </c>
      <c r="F108" s="52">
        <v>1.3694362017804156E-2</v>
      </c>
      <c r="G108" s="52">
        <v>7.6829999999999996E-2</v>
      </c>
      <c r="H108" s="49">
        <f t="shared" si="4"/>
        <v>9.1050430934718096E-2</v>
      </c>
      <c r="I108" s="50">
        <f t="shared" si="5"/>
        <v>6.0804895965188701E-5</v>
      </c>
      <c r="J108" s="51"/>
      <c r="K108" s="51"/>
      <c r="L108" s="51"/>
      <c r="M108" s="51"/>
      <c r="N108"/>
      <c r="O108"/>
      <c r="P108"/>
      <c r="Q108"/>
      <c r="R108"/>
    </row>
    <row r="109" spans="2:18" ht="12.75" customHeight="1" x14ac:dyDescent="0.25">
      <c r="B109" s="35" t="s">
        <v>296</v>
      </c>
      <c r="C109" s="36" t="s">
        <v>297</v>
      </c>
      <c r="D109" s="47">
        <v>12179.98019</v>
      </c>
      <c r="E109" s="48">
        <f t="shared" si="3"/>
        <v>4.9077543661931551E-4</v>
      </c>
      <c r="F109" s="52">
        <v>2.2752808988764042E-2</v>
      </c>
      <c r="G109" s="52">
        <v>9.0670000000000001E-2</v>
      </c>
      <c r="H109" s="49">
        <f t="shared" si="4"/>
        <v>0.11445430758426967</v>
      </c>
      <c r="I109" s="50">
        <f t="shared" si="5"/>
        <v>5.6171362777631382E-5</v>
      </c>
      <c r="J109" s="51"/>
      <c r="K109" s="51"/>
      <c r="L109" s="51"/>
      <c r="M109" s="51"/>
      <c r="N109"/>
      <c r="O109"/>
      <c r="P109"/>
      <c r="Q109"/>
      <c r="R109"/>
    </row>
    <row r="110" spans="2:18" ht="12.75" customHeight="1" x14ac:dyDescent="0.25">
      <c r="B110" s="35" t="s">
        <v>298</v>
      </c>
      <c r="C110" s="36" t="s">
        <v>299</v>
      </c>
      <c r="D110" s="47">
        <v>89394.139080120003</v>
      </c>
      <c r="E110" s="48">
        <f t="shared" si="3"/>
        <v>3.6020130537054436E-3</v>
      </c>
      <c r="F110" s="52">
        <v>0</v>
      </c>
      <c r="G110" s="52">
        <v>0.41160000000000002</v>
      </c>
      <c r="H110" s="49">
        <f t="shared" si="4"/>
        <v>0.41160000000000002</v>
      </c>
      <c r="I110" s="50">
        <f t="shared" si="5"/>
        <v>1.4825885729051606E-3</v>
      </c>
      <c r="J110" s="51"/>
      <c r="K110" s="51"/>
      <c r="L110" s="51"/>
      <c r="M110" s="51"/>
      <c r="N110"/>
      <c r="O110"/>
      <c r="P110"/>
      <c r="Q110"/>
      <c r="R110"/>
    </row>
    <row r="111" spans="2:18" ht="12.75" customHeight="1" x14ac:dyDescent="0.25">
      <c r="B111" s="35" t="s">
        <v>300</v>
      </c>
      <c r="C111" s="36" t="s">
        <v>301</v>
      </c>
      <c r="D111" s="47">
        <v>63260.815057149994</v>
      </c>
      <c r="E111" s="48">
        <f t="shared" si="3"/>
        <v>2.5490069479798191E-3</v>
      </c>
      <c r="F111" s="52">
        <v>1.8023430459597478E-4</v>
      </c>
      <c r="G111" s="52">
        <v>0.11802</v>
      </c>
      <c r="H111" s="49">
        <f t="shared" si="4"/>
        <v>0.11821086993091018</v>
      </c>
      <c r="I111" s="50">
        <f t="shared" si="5"/>
        <v>3.0132032878062875E-4</v>
      </c>
      <c r="J111" s="51"/>
      <c r="K111" s="51"/>
      <c r="L111" s="51"/>
      <c r="M111" s="51"/>
      <c r="N111"/>
      <c r="O111"/>
      <c r="P111"/>
      <c r="Q111"/>
      <c r="R111"/>
    </row>
    <row r="112" spans="2:18" ht="12.75" customHeight="1" x14ac:dyDescent="0.25">
      <c r="B112" s="35" t="s">
        <v>302</v>
      </c>
      <c r="C112" s="36" t="s">
        <v>303</v>
      </c>
      <c r="D112" s="47">
        <v>13967.009856180002</v>
      </c>
      <c r="E112" s="48" t="str">
        <f t="shared" si="3"/>
        <v>N/A</v>
      </c>
      <c r="F112" s="52">
        <v>2.7189908899789766E-2</v>
      </c>
      <c r="G112" s="52" t="s">
        <v>104</v>
      </c>
      <c r="H112" s="49" t="str">
        <f t="shared" si="4"/>
        <v>N/A</v>
      </c>
      <c r="I112" s="50" t="str">
        <f t="shared" si="5"/>
        <v>N/A</v>
      </c>
      <c r="J112" s="51"/>
      <c r="K112" s="51"/>
      <c r="L112" s="51"/>
      <c r="M112" s="51"/>
      <c r="N112"/>
      <c r="O112"/>
      <c r="P112"/>
      <c r="Q112"/>
      <c r="R112"/>
    </row>
    <row r="113" spans="2:18" ht="12.75" customHeight="1" x14ac:dyDescent="0.25">
      <c r="B113" s="35" t="s">
        <v>304</v>
      </c>
      <c r="C113" s="36" t="s">
        <v>305</v>
      </c>
      <c r="D113" s="47">
        <v>57904.660396800005</v>
      </c>
      <c r="E113" s="48">
        <f t="shared" si="3"/>
        <v>2.3331881123964874E-3</v>
      </c>
      <c r="F113" s="52">
        <v>2.568452380952381E-2</v>
      </c>
      <c r="G113" s="52">
        <v>6.0720000000000003E-2</v>
      </c>
      <c r="H113" s="49">
        <f t="shared" si="4"/>
        <v>8.7184305952380955E-2</v>
      </c>
      <c r="I113" s="50">
        <f t="shared" si="5"/>
        <v>2.0341738623563357E-4</v>
      </c>
      <c r="J113" s="51"/>
      <c r="K113" s="51"/>
      <c r="L113" s="51"/>
      <c r="M113" s="51"/>
      <c r="N113"/>
      <c r="O113"/>
      <c r="P113"/>
      <c r="Q113"/>
      <c r="R113"/>
    </row>
    <row r="114" spans="2:18" ht="12.75" customHeight="1" x14ac:dyDescent="0.25">
      <c r="B114" s="35" t="s">
        <v>306</v>
      </c>
      <c r="C114" s="36" t="s">
        <v>307</v>
      </c>
      <c r="D114" s="47">
        <v>20592.156313630003</v>
      </c>
      <c r="E114" s="48">
        <f t="shared" si="3"/>
        <v>8.2973242551349002E-4</v>
      </c>
      <c r="F114" s="52">
        <v>2.4204892014688496E-2</v>
      </c>
      <c r="G114" s="52">
        <v>4.913E-2</v>
      </c>
      <c r="H114" s="49">
        <f t="shared" si="4"/>
        <v>7.3929485187029326E-2</v>
      </c>
      <c r="I114" s="50">
        <f t="shared" si="5"/>
        <v>6.1341691061197478E-5</v>
      </c>
      <c r="J114" s="51"/>
      <c r="K114" s="51"/>
      <c r="L114" s="51"/>
      <c r="M114" s="51"/>
      <c r="N114"/>
      <c r="O114"/>
      <c r="P114"/>
      <c r="Q114"/>
      <c r="R114"/>
    </row>
    <row r="115" spans="2:18" ht="12.75" customHeight="1" x14ac:dyDescent="0.25">
      <c r="B115" s="35" t="s">
        <v>308</v>
      </c>
      <c r="C115" s="36" t="s">
        <v>309</v>
      </c>
      <c r="D115" s="47">
        <v>12991.702343829998</v>
      </c>
      <c r="E115" s="48">
        <f t="shared" si="3"/>
        <v>5.2348265684834029E-4</v>
      </c>
      <c r="F115" s="52">
        <v>3.1955755439406833E-2</v>
      </c>
      <c r="G115" s="52">
        <v>0.13200000000000001</v>
      </c>
      <c r="H115" s="49">
        <f t="shared" si="4"/>
        <v>0.16606483529840768</v>
      </c>
      <c r="I115" s="50">
        <f t="shared" si="5"/>
        <v>8.693206119109249E-5</v>
      </c>
      <c r="J115" s="51"/>
      <c r="K115" s="51"/>
      <c r="L115" s="51"/>
      <c r="M115" s="51"/>
      <c r="N115"/>
      <c r="O115"/>
      <c r="P115"/>
      <c r="Q115"/>
      <c r="R115"/>
    </row>
    <row r="116" spans="2:18" ht="12.75" customHeight="1" x14ac:dyDescent="0.25">
      <c r="B116" s="35" t="s">
        <v>310</v>
      </c>
      <c r="C116" s="36" t="s">
        <v>311</v>
      </c>
      <c r="D116" s="47">
        <v>183165.70326688379</v>
      </c>
      <c r="E116" s="48">
        <f t="shared" si="3"/>
        <v>7.3804083908357221E-3</v>
      </c>
      <c r="F116" s="52">
        <v>2.0681986656782801E-2</v>
      </c>
      <c r="G116" s="52">
        <v>0.11028</v>
      </c>
      <c r="H116" s="49">
        <f t="shared" si="4"/>
        <v>0.1321023914010378</v>
      </c>
      <c r="I116" s="50">
        <f t="shared" si="5"/>
        <v>9.7496959794568408E-4</v>
      </c>
      <c r="J116" s="51"/>
      <c r="K116" s="51"/>
      <c r="L116" s="51"/>
      <c r="M116" s="51"/>
      <c r="N116"/>
      <c r="O116"/>
      <c r="P116"/>
      <c r="Q116"/>
      <c r="R116"/>
    </row>
    <row r="117" spans="2:18" ht="12.75" customHeight="1" x14ac:dyDescent="0.25">
      <c r="B117" s="35" t="s">
        <v>312</v>
      </c>
      <c r="C117" s="36" t="s">
        <v>313</v>
      </c>
      <c r="D117" s="47">
        <v>60875.413311539989</v>
      </c>
      <c r="E117" s="48">
        <f t="shared" si="3"/>
        <v>2.4528904876118954E-3</v>
      </c>
      <c r="F117" s="52">
        <v>3.3061008581168456E-2</v>
      </c>
      <c r="G117" s="52">
        <v>0.12233000000000001</v>
      </c>
      <c r="H117" s="49">
        <f t="shared" si="4"/>
        <v>0.15741318517103564</v>
      </c>
      <c r="I117" s="50">
        <f t="shared" si="5"/>
        <v>3.8611730453072318E-4</v>
      </c>
      <c r="J117" s="51"/>
      <c r="K117" s="51"/>
      <c r="L117" s="51"/>
      <c r="M117" s="51"/>
      <c r="N117"/>
      <c r="O117"/>
      <c r="P117"/>
      <c r="Q117"/>
      <c r="R117"/>
    </row>
    <row r="118" spans="2:18" ht="12.75" customHeight="1" x14ac:dyDescent="0.25">
      <c r="B118" s="35" t="s">
        <v>314</v>
      </c>
      <c r="C118" s="36" t="s">
        <v>315</v>
      </c>
      <c r="D118" s="47">
        <v>17674.273529999999</v>
      </c>
      <c r="E118" s="48">
        <f t="shared" si="3"/>
        <v>7.1216037902397929E-4</v>
      </c>
      <c r="F118" s="52">
        <v>0</v>
      </c>
      <c r="G118" s="52">
        <v>0.20312000000000002</v>
      </c>
      <c r="H118" s="49">
        <f t="shared" si="4"/>
        <v>0.20312000000000002</v>
      </c>
      <c r="I118" s="50">
        <f t="shared" si="5"/>
        <v>1.446540161873507E-4</v>
      </c>
      <c r="J118" s="51"/>
      <c r="K118" s="51"/>
      <c r="L118" s="51"/>
      <c r="M118" s="51"/>
      <c r="N118"/>
      <c r="O118"/>
      <c r="P118"/>
      <c r="Q118"/>
      <c r="R118"/>
    </row>
    <row r="119" spans="2:18" ht="12.75" customHeight="1" x14ac:dyDescent="0.25">
      <c r="B119" s="35" t="s">
        <v>316</v>
      </c>
      <c r="C119" s="36" t="s">
        <v>317</v>
      </c>
      <c r="D119" s="47">
        <v>24766.71215634</v>
      </c>
      <c r="E119" s="48">
        <f t="shared" si="3"/>
        <v>9.9794037285315753E-4</v>
      </c>
      <c r="F119" s="52">
        <v>2.9400927514135065E-2</v>
      </c>
      <c r="G119" s="52">
        <v>6.6630000000000009E-2</v>
      </c>
      <c r="H119" s="49">
        <f t="shared" si="4"/>
        <v>9.7010419414268481E-2</v>
      </c>
      <c r="I119" s="50">
        <f t="shared" si="5"/>
        <v>9.6810614120916273E-5</v>
      </c>
      <c r="J119" s="51"/>
      <c r="K119" s="51"/>
      <c r="L119" s="51"/>
      <c r="M119" s="51"/>
      <c r="N119"/>
      <c r="O119"/>
      <c r="P119"/>
      <c r="Q119"/>
      <c r="R119"/>
    </row>
    <row r="120" spans="2:18" ht="12.75" customHeight="1" x14ac:dyDescent="0.25">
      <c r="B120" s="35" t="s">
        <v>318</v>
      </c>
      <c r="C120" s="36" t="s">
        <v>39</v>
      </c>
      <c r="D120" s="47">
        <v>15737.207830650001</v>
      </c>
      <c r="E120" s="48">
        <f t="shared" si="3"/>
        <v>6.3410899884691564E-4</v>
      </c>
      <c r="F120" s="52">
        <v>2.7552674230145867E-2</v>
      </c>
      <c r="G120" s="52">
        <v>6.608E-2</v>
      </c>
      <c r="H120" s="49">
        <f t="shared" si="4"/>
        <v>9.4543014586709884E-2</v>
      </c>
      <c r="I120" s="50">
        <f t="shared" si="5"/>
        <v>5.9950576327547948E-5</v>
      </c>
      <c r="J120" s="51"/>
      <c r="K120" s="51"/>
      <c r="L120" s="51"/>
      <c r="M120" s="51"/>
      <c r="N120"/>
      <c r="O120"/>
      <c r="P120"/>
      <c r="Q120"/>
      <c r="R120"/>
    </row>
    <row r="121" spans="2:18" ht="12.75" customHeight="1" x14ac:dyDescent="0.25">
      <c r="B121" s="35" t="s">
        <v>319</v>
      </c>
      <c r="C121" s="36" t="s">
        <v>320</v>
      </c>
      <c r="D121" s="47">
        <v>24439.372111699999</v>
      </c>
      <c r="E121" s="48">
        <f t="shared" si="3"/>
        <v>9.8475065900919894E-4</v>
      </c>
      <c r="F121" s="52">
        <v>0</v>
      </c>
      <c r="G121" s="52">
        <v>0.1368</v>
      </c>
      <c r="H121" s="49">
        <f t="shared" si="4"/>
        <v>0.1368</v>
      </c>
      <c r="I121" s="50">
        <f t="shared" si="5"/>
        <v>1.3471389015245843E-4</v>
      </c>
      <c r="J121" s="51"/>
      <c r="K121" s="51"/>
      <c r="L121" s="51"/>
      <c r="M121" s="51"/>
      <c r="N121"/>
      <c r="O121"/>
      <c r="P121"/>
      <c r="Q121"/>
      <c r="R121"/>
    </row>
    <row r="122" spans="2:18" ht="12.75" customHeight="1" x14ac:dyDescent="0.25">
      <c r="B122" s="35" t="s">
        <v>321</v>
      </c>
      <c r="C122" s="36" t="s">
        <v>322</v>
      </c>
      <c r="D122" s="47">
        <v>15449.374934369998</v>
      </c>
      <c r="E122" s="48">
        <f t="shared" si="3"/>
        <v>6.2251117084213782E-4</v>
      </c>
      <c r="F122" s="52">
        <v>3.8039597533268417E-2</v>
      </c>
      <c r="G122" s="52">
        <v>6.4379999999999993E-2</v>
      </c>
      <c r="H122" s="49">
        <f t="shared" si="4"/>
        <v>0.10364409217786433</v>
      </c>
      <c r="I122" s="50">
        <f t="shared" si="5"/>
        <v>6.451960517251278E-5</v>
      </c>
      <c r="J122" s="51"/>
      <c r="K122" s="51"/>
      <c r="L122" s="51"/>
      <c r="M122" s="51"/>
      <c r="N122"/>
      <c r="O122"/>
      <c r="P122"/>
      <c r="Q122"/>
      <c r="R122"/>
    </row>
    <row r="123" spans="2:18" ht="12.75" customHeight="1" x14ac:dyDescent="0.25">
      <c r="B123" s="35" t="s">
        <v>323</v>
      </c>
      <c r="C123" s="36" t="s">
        <v>324</v>
      </c>
      <c r="D123" s="47">
        <v>39456.377154089998</v>
      </c>
      <c r="E123" s="48">
        <f t="shared" si="3"/>
        <v>1.5898400837394879E-3</v>
      </c>
      <c r="F123" s="52">
        <v>1.9589707103047554E-2</v>
      </c>
      <c r="G123" s="52">
        <v>4.7700000000000006E-2</v>
      </c>
      <c r="H123" s="49">
        <f t="shared" si="4"/>
        <v>6.7756921617455251E-2</v>
      </c>
      <c r="I123" s="50">
        <f t="shared" si="5"/>
        <v>1.0772266993822498E-4</v>
      </c>
      <c r="J123" s="51"/>
      <c r="K123" s="51"/>
      <c r="L123" s="51"/>
      <c r="M123" s="51"/>
      <c r="N123"/>
      <c r="O123"/>
      <c r="P123"/>
      <c r="Q123"/>
      <c r="R123"/>
    </row>
    <row r="124" spans="2:18" ht="12.75" customHeight="1" x14ac:dyDescent="0.25">
      <c r="B124" s="35" t="s">
        <v>325</v>
      </c>
      <c r="C124" s="36" t="s">
        <v>326</v>
      </c>
      <c r="D124" s="47">
        <v>10977.912792499999</v>
      </c>
      <c r="E124" s="48">
        <f t="shared" si="3"/>
        <v>4.4233979529222501E-4</v>
      </c>
      <c r="F124" s="52">
        <v>1.0913999228692637E-2</v>
      </c>
      <c r="G124" s="52">
        <v>0.27912999999999999</v>
      </c>
      <c r="H124" s="49">
        <f t="shared" si="4"/>
        <v>0.29156721153104509</v>
      </c>
      <c r="I124" s="50">
        <f t="shared" si="5"/>
        <v>1.2897178066256735E-4</v>
      </c>
      <c r="J124" s="51"/>
      <c r="K124" s="51"/>
      <c r="L124" s="51"/>
      <c r="M124" s="51"/>
      <c r="N124"/>
      <c r="O124"/>
      <c r="P124"/>
      <c r="Q124"/>
      <c r="R124"/>
    </row>
    <row r="125" spans="2:18" ht="12.75" customHeight="1" x14ac:dyDescent="0.25">
      <c r="B125" s="35" t="s">
        <v>327</v>
      </c>
      <c r="C125" s="36" t="s">
        <v>328</v>
      </c>
      <c r="D125" s="47">
        <v>14576.726466510001</v>
      </c>
      <c r="E125" s="48">
        <f t="shared" si="3"/>
        <v>5.8734900915153113E-4</v>
      </c>
      <c r="F125" s="52">
        <v>2.03231378924906E-4</v>
      </c>
      <c r="G125" s="52">
        <v>5.2250000000000005E-2</v>
      </c>
      <c r="H125" s="49">
        <f t="shared" si="4"/>
        <v>5.2458540798699327E-2</v>
      </c>
      <c r="I125" s="50">
        <f t="shared" si="5"/>
        <v>3.0811471959651218E-5</v>
      </c>
      <c r="J125" s="51"/>
      <c r="K125" s="51"/>
      <c r="L125" s="51"/>
      <c r="M125" s="51"/>
      <c r="N125"/>
      <c r="O125"/>
      <c r="P125"/>
      <c r="Q125"/>
      <c r="R125"/>
    </row>
    <row r="126" spans="2:18" ht="12.75" customHeight="1" x14ac:dyDescent="0.25">
      <c r="B126" s="35" t="s">
        <v>329</v>
      </c>
      <c r="C126" s="36" t="s">
        <v>330</v>
      </c>
      <c r="D126" s="47">
        <v>76674.372713460005</v>
      </c>
      <c r="E126" s="48">
        <f t="shared" si="3"/>
        <v>3.0894876805181784E-3</v>
      </c>
      <c r="F126" s="52">
        <v>1.8301523894067171E-2</v>
      </c>
      <c r="G126" s="52">
        <v>0.06</v>
      </c>
      <c r="H126" s="49">
        <f t="shared" si="4"/>
        <v>7.8850569610889182E-2</v>
      </c>
      <c r="I126" s="50">
        <f t="shared" si="5"/>
        <v>2.4360786341468319E-4</v>
      </c>
      <c r="J126" s="51"/>
      <c r="K126" s="51"/>
      <c r="L126" s="51"/>
      <c r="M126" s="51"/>
      <c r="N126"/>
      <c r="O126"/>
      <c r="P126"/>
      <c r="Q126"/>
      <c r="R126"/>
    </row>
    <row r="127" spans="2:18" ht="12.75" customHeight="1" x14ac:dyDescent="0.25">
      <c r="B127" s="35" t="s">
        <v>331</v>
      </c>
      <c r="C127" s="36" t="s">
        <v>332</v>
      </c>
      <c r="D127" s="47">
        <v>102756.0280352</v>
      </c>
      <c r="E127" s="48">
        <f t="shared" si="3"/>
        <v>4.1404118674713466E-3</v>
      </c>
      <c r="F127" s="52">
        <v>1.0059931506849315E-2</v>
      </c>
      <c r="G127" s="52">
        <v>0.1009</v>
      </c>
      <c r="H127" s="49">
        <f t="shared" si="4"/>
        <v>0.11146745505136987</v>
      </c>
      <c r="I127" s="50">
        <f t="shared" si="5"/>
        <v>4.6152117373152071E-4</v>
      </c>
      <c r="J127" s="51"/>
      <c r="K127" s="51"/>
      <c r="L127" s="51"/>
      <c r="M127" s="51"/>
      <c r="N127"/>
      <c r="O127"/>
      <c r="P127"/>
      <c r="Q127"/>
      <c r="R127"/>
    </row>
    <row r="128" spans="2:18" ht="12.75" customHeight="1" x14ac:dyDescent="0.25">
      <c r="B128" s="35" t="s">
        <v>333</v>
      </c>
      <c r="C128" s="36" t="s">
        <v>334</v>
      </c>
      <c r="D128" s="47">
        <v>8181.1874123100006</v>
      </c>
      <c r="E128" s="48">
        <f t="shared" si="3"/>
        <v>3.2964961861246578E-4</v>
      </c>
      <c r="F128" s="52">
        <v>4.5913682277318638E-2</v>
      </c>
      <c r="G128" s="52">
        <v>8.763E-2</v>
      </c>
      <c r="H128" s="49">
        <f t="shared" si="4"/>
        <v>0.13555539026629934</v>
      </c>
      <c r="I128" s="50">
        <f t="shared" si="5"/>
        <v>4.4685782702149536E-5</v>
      </c>
      <c r="J128" s="51"/>
      <c r="K128" s="51"/>
      <c r="L128" s="51"/>
      <c r="M128" s="51"/>
      <c r="N128"/>
      <c r="O128"/>
      <c r="P128"/>
      <c r="Q128"/>
      <c r="R128"/>
    </row>
    <row r="129" spans="2:18" ht="12.75" customHeight="1" x14ac:dyDescent="0.25">
      <c r="B129" s="35" t="s">
        <v>335</v>
      </c>
      <c r="C129" s="36" t="s">
        <v>336</v>
      </c>
      <c r="D129" s="47">
        <v>10843.25925202</v>
      </c>
      <c r="E129" s="48">
        <f t="shared" si="3"/>
        <v>4.3691411732801411E-4</v>
      </c>
      <c r="F129" s="52">
        <v>3.9155790058317132E-2</v>
      </c>
      <c r="G129" s="52">
        <v>1.8450000000000001E-2</v>
      </c>
      <c r="H129" s="49">
        <f t="shared" si="4"/>
        <v>5.7967002221605113E-2</v>
      </c>
      <c r="I129" s="50">
        <f t="shared" si="5"/>
        <v>2.5326601609803632E-5</v>
      </c>
      <c r="J129" s="51"/>
      <c r="K129" s="51"/>
      <c r="L129" s="51"/>
      <c r="M129" s="51"/>
      <c r="N129"/>
      <c r="O129"/>
      <c r="P129"/>
      <c r="Q129"/>
      <c r="R129"/>
    </row>
    <row r="130" spans="2:18" ht="12.75" customHeight="1" x14ac:dyDescent="0.25">
      <c r="B130" s="35" t="s">
        <v>337</v>
      </c>
      <c r="C130" s="36" t="s">
        <v>338</v>
      </c>
      <c r="D130" s="47">
        <v>6922.0420020900001</v>
      </c>
      <c r="E130" s="48">
        <f t="shared" si="3"/>
        <v>2.7891409779648918E-4</v>
      </c>
      <c r="F130" s="52">
        <v>0</v>
      </c>
      <c r="G130" s="52">
        <v>6.7299999999999999E-2</v>
      </c>
      <c r="H130" s="49">
        <f t="shared" si="4"/>
        <v>6.7299999999999999E-2</v>
      </c>
      <c r="I130" s="50">
        <f t="shared" si="5"/>
        <v>1.8770918781703721E-5</v>
      </c>
      <c r="J130" s="51"/>
      <c r="K130" s="51"/>
      <c r="L130" s="51"/>
      <c r="M130" s="51"/>
      <c r="N130"/>
      <c r="O130"/>
      <c r="P130"/>
      <c r="Q130"/>
      <c r="R130"/>
    </row>
    <row r="131" spans="2:18" ht="12.75" customHeight="1" x14ac:dyDescent="0.25">
      <c r="B131" s="35" t="s">
        <v>339</v>
      </c>
      <c r="C131" s="36" t="s">
        <v>340</v>
      </c>
      <c r="D131" s="47">
        <v>13470.994631179999</v>
      </c>
      <c r="E131" s="48">
        <f t="shared" si="3"/>
        <v>5.4279507591003878E-4</v>
      </c>
      <c r="F131" s="52" t="s">
        <v>117</v>
      </c>
      <c r="G131" s="52">
        <v>0.2</v>
      </c>
      <c r="H131" s="49">
        <f t="shared" si="4"/>
        <v>0.2</v>
      </c>
      <c r="I131" s="50">
        <f t="shared" si="5"/>
        <v>1.0855901518200777E-4</v>
      </c>
      <c r="J131" s="51"/>
      <c r="K131" s="51"/>
      <c r="L131" s="51"/>
      <c r="M131" s="51"/>
      <c r="N131"/>
      <c r="O131"/>
      <c r="P131"/>
      <c r="Q131"/>
      <c r="R131"/>
    </row>
    <row r="132" spans="2:18" ht="12.75" customHeight="1" x14ac:dyDescent="0.25">
      <c r="B132" s="35" t="s">
        <v>341</v>
      </c>
      <c r="C132" s="36" t="s">
        <v>342</v>
      </c>
      <c r="D132" s="47">
        <v>124524.20999999999</v>
      </c>
      <c r="E132" s="48">
        <f t="shared" si="3"/>
        <v>5.0175306182025353E-3</v>
      </c>
      <c r="F132" s="52">
        <v>0</v>
      </c>
      <c r="G132" s="52">
        <v>0.24129</v>
      </c>
      <c r="H132" s="49">
        <f t="shared" si="4"/>
        <v>0.24129</v>
      </c>
      <c r="I132" s="50">
        <f t="shared" si="5"/>
        <v>1.2106799628660897E-3</v>
      </c>
      <c r="J132" s="51"/>
      <c r="K132" s="51"/>
      <c r="L132" s="51"/>
      <c r="M132" s="51"/>
      <c r="N132"/>
      <c r="O132"/>
      <c r="P132"/>
      <c r="Q132"/>
      <c r="R132"/>
    </row>
    <row r="133" spans="2:18" ht="12.75" customHeight="1" x14ac:dyDescent="0.25">
      <c r="B133" s="35" t="s">
        <v>343</v>
      </c>
      <c r="C133" s="36" t="s">
        <v>344</v>
      </c>
      <c r="D133" s="47">
        <v>234187.87449119997</v>
      </c>
      <c r="E133" s="48">
        <f t="shared" si="3"/>
        <v>9.4362761319374631E-3</v>
      </c>
      <c r="F133" s="52">
        <v>2.5601503759398497E-2</v>
      </c>
      <c r="G133" s="52">
        <v>6.8400000000000002E-2</v>
      </c>
      <c r="H133" s="49">
        <f t="shared" si="4"/>
        <v>9.4877075187969923E-2</v>
      </c>
      <c r="I133" s="50">
        <f t="shared" si="5"/>
        <v>8.9528628006427669E-4</v>
      </c>
      <c r="J133" s="51"/>
      <c r="K133" s="51"/>
      <c r="L133" s="51"/>
      <c r="M133" s="51"/>
      <c r="N133"/>
      <c r="O133"/>
      <c r="P133"/>
      <c r="Q133"/>
      <c r="R133"/>
    </row>
    <row r="134" spans="2:18" ht="12.75" customHeight="1" x14ac:dyDescent="0.25">
      <c r="B134" s="35" t="s">
        <v>345</v>
      </c>
      <c r="C134" s="36" t="s">
        <v>346</v>
      </c>
      <c r="D134" s="47">
        <v>59386.046948460003</v>
      </c>
      <c r="E134" s="48">
        <f t="shared" si="3"/>
        <v>2.392878532278272E-3</v>
      </c>
      <c r="F134" s="52">
        <v>1.2512017580002747E-2</v>
      </c>
      <c r="G134" s="52">
        <v>0.1047</v>
      </c>
      <c r="H134" s="49">
        <f t="shared" si="4"/>
        <v>0.11786702170031589</v>
      </c>
      <c r="I134" s="50">
        <f t="shared" si="5"/>
        <v>2.8204146589026313E-4</v>
      </c>
      <c r="J134" s="51"/>
      <c r="K134" s="51"/>
      <c r="L134" s="51"/>
      <c r="M134" s="51"/>
      <c r="N134"/>
      <c r="O134"/>
      <c r="P134"/>
      <c r="Q134"/>
      <c r="R134"/>
    </row>
    <row r="135" spans="2:18" ht="12.75" customHeight="1" x14ac:dyDescent="0.25">
      <c r="B135" s="35" t="s">
        <v>347</v>
      </c>
      <c r="C135" s="36" t="s">
        <v>348</v>
      </c>
      <c r="D135" s="47">
        <v>21488.997617250003</v>
      </c>
      <c r="E135" s="48">
        <f t="shared" si="3"/>
        <v>8.6586940402218345E-4</v>
      </c>
      <c r="F135" s="52">
        <v>9.7689126733154948E-3</v>
      </c>
      <c r="G135" s="52">
        <v>0.12017</v>
      </c>
      <c r="H135" s="49">
        <f t="shared" si="4"/>
        <v>0.13052587779129166</v>
      </c>
      <c r="I135" s="50">
        <f t="shared" si="5"/>
        <v>1.1301836401261806E-4</v>
      </c>
      <c r="J135" s="51"/>
      <c r="K135" s="51"/>
      <c r="L135" s="51"/>
      <c r="M135" s="51"/>
      <c r="N135"/>
      <c r="O135"/>
      <c r="P135"/>
      <c r="Q135"/>
      <c r="R135"/>
    </row>
    <row r="136" spans="2:18" ht="12.75" customHeight="1" x14ac:dyDescent="0.25">
      <c r="B136" s="35" t="s">
        <v>349</v>
      </c>
      <c r="C136" s="36" t="s">
        <v>350</v>
      </c>
      <c r="D136" s="47">
        <v>13054.579202340001</v>
      </c>
      <c r="E136" s="48">
        <f t="shared" si="3"/>
        <v>5.260161927989022E-4</v>
      </c>
      <c r="F136" s="52">
        <v>0.10016542597187759</v>
      </c>
      <c r="G136" s="52">
        <v>2.4969999999999999E-2</v>
      </c>
      <c r="H136" s="49">
        <f t="shared" si="4"/>
        <v>0.1263859913151365</v>
      </c>
      <c r="I136" s="50">
        <f t="shared" si="5"/>
        <v>6.6481077974703221E-5</v>
      </c>
      <c r="J136" s="51"/>
      <c r="K136" s="51"/>
      <c r="L136" s="51"/>
      <c r="M136" s="51"/>
      <c r="N136"/>
      <c r="O136"/>
      <c r="P136"/>
      <c r="Q136"/>
      <c r="R136"/>
    </row>
    <row r="137" spans="2:18" ht="12.75" customHeight="1" x14ac:dyDescent="0.25">
      <c r="B137" s="35" t="s">
        <v>351</v>
      </c>
      <c r="C137" s="36" t="s">
        <v>352</v>
      </c>
      <c r="D137" s="47">
        <v>41481.91070575</v>
      </c>
      <c r="E137" s="48">
        <f t="shared" si="3"/>
        <v>1.6714561535274479E-3</v>
      </c>
      <c r="F137" s="52">
        <v>1.0855399972272285E-2</v>
      </c>
      <c r="G137" s="52">
        <v>0.114</v>
      </c>
      <c r="H137" s="49">
        <f t="shared" si="4"/>
        <v>0.12547415777069182</v>
      </c>
      <c r="I137" s="50">
        <f t="shared" si="5"/>
        <v>2.097245531144967E-4</v>
      </c>
      <c r="J137" s="51"/>
      <c r="K137" s="51"/>
      <c r="L137" s="51"/>
      <c r="M137" s="51"/>
      <c r="N137"/>
      <c r="O137"/>
      <c r="P137"/>
      <c r="Q137"/>
      <c r="R137"/>
    </row>
    <row r="138" spans="2:18" ht="12.75" customHeight="1" x14ac:dyDescent="0.25">
      <c r="B138" s="35" t="s">
        <v>353</v>
      </c>
      <c r="C138" s="36" t="s">
        <v>354</v>
      </c>
      <c r="D138" s="47">
        <v>13288.502033039998</v>
      </c>
      <c r="E138" s="48">
        <f t="shared" si="3"/>
        <v>5.3544178935826885E-4</v>
      </c>
      <c r="F138" s="52">
        <v>0</v>
      </c>
      <c r="G138" s="52">
        <v>0.11849999999999999</v>
      </c>
      <c r="H138" s="49">
        <f t="shared" si="4"/>
        <v>0.11849999999999999</v>
      </c>
      <c r="I138" s="50">
        <f t="shared" si="5"/>
        <v>6.3449852038954861E-5</v>
      </c>
      <c r="J138" s="51"/>
      <c r="K138" s="51"/>
      <c r="L138" s="51"/>
      <c r="M138" s="51"/>
      <c r="N138"/>
      <c r="O138"/>
      <c r="P138"/>
      <c r="Q138"/>
      <c r="R138"/>
    </row>
    <row r="139" spans="2:18" ht="12.75" customHeight="1" x14ac:dyDescent="0.25">
      <c r="B139" s="35" t="s">
        <v>355</v>
      </c>
      <c r="C139" s="36" t="s">
        <v>356</v>
      </c>
      <c r="D139" s="47">
        <v>72117.768374000007</v>
      </c>
      <c r="E139" s="48">
        <f t="shared" si="3"/>
        <v>2.9058856180094097E-3</v>
      </c>
      <c r="F139" s="52">
        <v>3.5503597122302159E-2</v>
      </c>
      <c r="G139" s="52">
        <v>8.2220000000000001E-2</v>
      </c>
      <c r="H139" s="49">
        <f t="shared" si="4"/>
        <v>0.11918315</v>
      </c>
      <c r="I139" s="50">
        <f t="shared" si="5"/>
        <v>3.4633260149405821E-4</v>
      </c>
      <c r="J139" s="51"/>
      <c r="K139" s="51"/>
      <c r="L139" s="51"/>
      <c r="M139" s="51"/>
      <c r="N139"/>
      <c r="O139"/>
      <c r="P139"/>
      <c r="Q139"/>
      <c r="R139"/>
    </row>
    <row r="140" spans="2:18" ht="12.75" customHeight="1" x14ac:dyDescent="0.25">
      <c r="B140" s="35" t="s">
        <v>357</v>
      </c>
      <c r="C140" s="36" t="s">
        <v>358</v>
      </c>
      <c r="D140" s="47">
        <v>238096.86445560001</v>
      </c>
      <c r="E140" s="48">
        <f t="shared" ref="E140:E203" si="6">IF(OR(H140="N/A",D140="N/A"),"N/A",D140/$D$512)</f>
        <v>9.5937834699291961E-3</v>
      </c>
      <c r="F140" s="52">
        <v>3.7658606655494378E-2</v>
      </c>
      <c r="G140" s="52">
        <v>6.93E-2</v>
      </c>
      <c r="H140" s="49">
        <f t="shared" ref="H140:H203" si="7">IFERROR(F140*(1+0.5*G140)+G140,"N/A")</f>
        <v>0.10826347737610725</v>
      </c>
      <c r="I140" s="50">
        <f t="shared" ref="I140:I203" si="8">IF(AND(ISNUMBER(D140),ISNUMBER(H140)),E140*H140,"N/A")</f>
        <v>1.0386563596479512E-3</v>
      </c>
      <c r="J140" s="51"/>
      <c r="K140" s="51"/>
      <c r="L140" s="51"/>
      <c r="M140" s="51"/>
      <c r="N140"/>
      <c r="O140"/>
      <c r="P140"/>
      <c r="Q140"/>
      <c r="R140"/>
    </row>
    <row r="141" spans="2:18" ht="12.75" customHeight="1" x14ac:dyDescent="0.25">
      <c r="B141" s="35" t="s">
        <v>359</v>
      </c>
      <c r="C141" s="36" t="s">
        <v>360</v>
      </c>
      <c r="D141" s="47">
        <v>20771.532723600001</v>
      </c>
      <c r="E141" s="48">
        <f t="shared" si="6"/>
        <v>8.3696014957781225E-4</v>
      </c>
      <c r="F141" s="52">
        <v>2.7619507484307098E-3</v>
      </c>
      <c r="G141" s="52">
        <v>0.18600000000000003</v>
      </c>
      <c r="H141" s="49">
        <f t="shared" si="7"/>
        <v>0.18901881216803479</v>
      </c>
      <c r="I141" s="50">
        <f t="shared" si="8"/>
        <v>1.5820121330517879E-4</v>
      </c>
      <c r="J141" s="51"/>
      <c r="K141" s="51"/>
      <c r="L141" s="51"/>
      <c r="M141" s="51"/>
      <c r="N141"/>
      <c r="O141"/>
      <c r="P141"/>
      <c r="Q141"/>
      <c r="R141"/>
    </row>
    <row r="142" spans="2:18" ht="12.75" customHeight="1" x14ac:dyDescent="0.25">
      <c r="B142" s="35" t="s">
        <v>361</v>
      </c>
      <c r="C142" s="36" t="s">
        <v>362</v>
      </c>
      <c r="D142" s="47">
        <v>61585.644184560006</v>
      </c>
      <c r="E142" s="48">
        <f t="shared" si="6"/>
        <v>2.4815082572116438E-3</v>
      </c>
      <c r="F142" s="52">
        <v>4.7572689511941844E-2</v>
      </c>
      <c r="G142" s="52">
        <v>5.595E-2</v>
      </c>
      <c r="H142" s="49">
        <f t="shared" si="7"/>
        <v>0.10485353550103843</v>
      </c>
      <c r="I142" s="50">
        <f t="shared" si="8"/>
        <v>2.601949141436611E-4</v>
      </c>
      <c r="J142" s="51"/>
      <c r="K142" s="51"/>
      <c r="L142" s="51"/>
      <c r="M142" s="51"/>
      <c r="N142"/>
      <c r="O142"/>
      <c r="P142"/>
      <c r="Q142"/>
      <c r="R142"/>
    </row>
    <row r="143" spans="2:18" ht="12.75" customHeight="1" x14ac:dyDescent="0.25">
      <c r="B143" s="35" t="s">
        <v>363</v>
      </c>
      <c r="C143" s="36" t="s">
        <v>364</v>
      </c>
      <c r="D143" s="47">
        <v>34755.455516620001</v>
      </c>
      <c r="E143" s="48">
        <f t="shared" si="6"/>
        <v>1.4004229555378595E-3</v>
      </c>
      <c r="F143" s="52">
        <v>2.8189099433483106E-2</v>
      </c>
      <c r="G143" s="52">
        <v>0.11990000000000001</v>
      </c>
      <c r="H143" s="49">
        <f t="shared" si="7"/>
        <v>0.14977903594452041</v>
      </c>
      <c r="I143" s="50">
        <f t="shared" si="8"/>
        <v>2.0975400019503657E-4</v>
      </c>
      <c r="J143" s="51"/>
      <c r="K143" s="51"/>
      <c r="L143" s="51"/>
      <c r="M143" s="51"/>
      <c r="N143"/>
      <c r="O143"/>
      <c r="P143"/>
      <c r="Q143"/>
      <c r="R143"/>
    </row>
    <row r="144" spans="2:18" ht="12.75" customHeight="1" x14ac:dyDescent="0.25">
      <c r="B144" s="35" t="s">
        <v>365</v>
      </c>
      <c r="C144" s="36" t="s">
        <v>366</v>
      </c>
      <c r="D144" s="47">
        <v>50369.743387549992</v>
      </c>
      <c r="E144" s="48">
        <f t="shared" si="6"/>
        <v>2.0295790648102627E-3</v>
      </c>
      <c r="F144" s="52">
        <v>1.8804932026557069E-2</v>
      </c>
      <c r="G144" s="52">
        <v>0.10393000000000001</v>
      </c>
      <c r="H144" s="49">
        <f t="shared" si="7"/>
        <v>0.12371213031931712</v>
      </c>
      <c r="I144" s="50">
        <f t="shared" si="8"/>
        <v>2.5108354975916498E-4</v>
      </c>
      <c r="J144" s="51"/>
      <c r="K144" s="51"/>
      <c r="L144" s="51"/>
      <c r="M144" s="51"/>
      <c r="N144"/>
      <c r="O144"/>
      <c r="P144"/>
      <c r="Q144"/>
      <c r="R144"/>
    </row>
    <row r="145" spans="2:18" ht="12.75" customHeight="1" x14ac:dyDescent="0.25">
      <c r="B145" s="35" t="s">
        <v>367</v>
      </c>
      <c r="C145" s="36" t="s">
        <v>368</v>
      </c>
      <c r="D145" s="47">
        <v>24024.768923519998</v>
      </c>
      <c r="E145" s="48">
        <f t="shared" si="6"/>
        <v>9.6804479762611906E-4</v>
      </c>
      <c r="F145" s="52">
        <v>2.2566976489885184E-2</v>
      </c>
      <c r="G145" s="52">
        <v>9.8299999999999998E-2</v>
      </c>
      <c r="H145" s="49">
        <f t="shared" si="7"/>
        <v>0.12197614338436304</v>
      </c>
      <c r="I145" s="50">
        <f t="shared" si="8"/>
        <v>1.1807837103773019E-4</v>
      </c>
      <c r="J145" s="51"/>
      <c r="K145" s="51"/>
      <c r="L145" s="51"/>
      <c r="M145" s="51"/>
      <c r="N145"/>
      <c r="O145"/>
      <c r="P145"/>
      <c r="Q145"/>
      <c r="R145"/>
    </row>
    <row r="146" spans="2:18" ht="12.75" customHeight="1" x14ac:dyDescent="0.25">
      <c r="B146" s="35" t="s">
        <v>369</v>
      </c>
      <c r="C146" s="36" t="s">
        <v>370</v>
      </c>
      <c r="D146" s="47">
        <v>29939.896457589999</v>
      </c>
      <c r="E146" s="48">
        <f t="shared" si="6"/>
        <v>1.2063866711683731E-3</v>
      </c>
      <c r="F146" s="52">
        <v>1.1282816753007288E-2</v>
      </c>
      <c r="G146" s="52">
        <v>0.12847</v>
      </c>
      <c r="H146" s="49">
        <f t="shared" si="7"/>
        <v>0.14047756848713672</v>
      </c>
      <c r="I146" s="50">
        <f t="shared" si="8"/>
        <v>1.69470266221024E-4</v>
      </c>
      <c r="J146" s="51"/>
      <c r="K146" s="51"/>
      <c r="L146" s="51"/>
      <c r="M146" s="51"/>
      <c r="N146"/>
      <c r="O146"/>
      <c r="P146"/>
      <c r="Q146"/>
      <c r="R146"/>
    </row>
    <row r="147" spans="2:18" ht="12.75" customHeight="1" x14ac:dyDescent="0.25">
      <c r="B147" s="35" t="s">
        <v>371</v>
      </c>
      <c r="C147" s="36" t="s">
        <v>372</v>
      </c>
      <c r="D147" s="47">
        <v>11875.4533796</v>
      </c>
      <c r="E147" s="48">
        <f t="shared" si="6"/>
        <v>4.785049504604749E-4</v>
      </c>
      <c r="F147" s="52">
        <v>2.3663086489542115E-2</v>
      </c>
      <c r="G147" s="52">
        <v>8.047E-2</v>
      </c>
      <c r="H147" s="49">
        <f t="shared" si="7"/>
        <v>0.10508517077444884</v>
      </c>
      <c r="I147" s="50">
        <f t="shared" si="8"/>
        <v>5.0283774435558189E-5</v>
      </c>
      <c r="J147" s="51"/>
      <c r="K147" s="51"/>
      <c r="L147" s="51"/>
      <c r="M147" s="51"/>
      <c r="N147"/>
      <c r="O147"/>
      <c r="P147"/>
      <c r="Q147"/>
      <c r="R147"/>
    </row>
    <row r="148" spans="2:18" ht="12.75" customHeight="1" x14ac:dyDescent="0.25">
      <c r="B148" s="35" t="s">
        <v>373</v>
      </c>
      <c r="C148" s="36" t="s">
        <v>374</v>
      </c>
      <c r="D148" s="47">
        <v>15220.726371199999</v>
      </c>
      <c r="E148" s="48">
        <f t="shared" si="6"/>
        <v>6.1329809358982293E-4</v>
      </c>
      <c r="F148" s="52">
        <v>1.4818449460255153E-2</v>
      </c>
      <c r="G148" s="52">
        <v>0.13100000000000001</v>
      </c>
      <c r="H148" s="49">
        <f t="shared" si="7"/>
        <v>0.14678905789990188</v>
      </c>
      <c r="I148" s="50">
        <f t="shared" si="8"/>
        <v>9.0025449369855962E-5</v>
      </c>
      <c r="J148" s="51"/>
      <c r="K148" s="51"/>
      <c r="L148" s="51"/>
      <c r="M148" s="51"/>
      <c r="N148"/>
      <c r="O148"/>
      <c r="P148"/>
      <c r="Q148"/>
      <c r="R148"/>
    </row>
    <row r="149" spans="2:18" ht="12.75" customHeight="1" x14ac:dyDescent="0.25">
      <c r="B149" s="35" t="s">
        <v>375</v>
      </c>
      <c r="C149" s="36" t="s">
        <v>376</v>
      </c>
      <c r="D149" s="47">
        <v>91831.937251280004</v>
      </c>
      <c r="E149" s="48">
        <f t="shared" si="6"/>
        <v>3.7002407554896466E-3</v>
      </c>
      <c r="F149" s="52">
        <v>5.26070401740617E-3</v>
      </c>
      <c r="G149" s="52">
        <v>9.01E-2</v>
      </c>
      <c r="H149" s="49">
        <f t="shared" si="7"/>
        <v>9.5597698733390316E-2</v>
      </c>
      <c r="I149" s="50">
        <f t="shared" si="8"/>
        <v>3.5373450098431179E-4</v>
      </c>
      <c r="J149" s="51"/>
      <c r="K149" s="51"/>
      <c r="L149" s="51"/>
      <c r="M149" s="51"/>
      <c r="N149"/>
      <c r="O149"/>
      <c r="P149"/>
      <c r="Q149"/>
      <c r="R149"/>
    </row>
    <row r="150" spans="2:18" ht="12.75" customHeight="1" x14ac:dyDescent="0.25">
      <c r="B150" s="35" t="s">
        <v>377</v>
      </c>
      <c r="C150" s="36" t="s">
        <v>378</v>
      </c>
      <c r="D150" s="47">
        <v>171379.69667447999</v>
      </c>
      <c r="E150" s="48">
        <f t="shared" si="6"/>
        <v>6.9055075748118899E-3</v>
      </c>
      <c r="F150" s="52">
        <v>1.5457550452331248E-2</v>
      </c>
      <c r="G150" s="52">
        <v>3.7600000000000001E-2</v>
      </c>
      <c r="H150" s="49">
        <f t="shared" si="7"/>
        <v>5.3348152400835076E-2</v>
      </c>
      <c r="I150" s="50">
        <f t="shared" si="8"/>
        <v>3.6839607050618574E-4</v>
      </c>
      <c r="J150" s="51"/>
      <c r="K150" s="51"/>
      <c r="L150" s="51"/>
      <c r="M150" s="51"/>
      <c r="N150"/>
      <c r="O150"/>
      <c r="P150"/>
      <c r="Q150"/>
      <c r="R150"/>
    </row>
    <row r="151" spans="2:18" ht="12.75" customHeight="1" x14ac:dyDescent="0.25">
      <c r="B151" s="35" t="s">
        <v>379</v>
      </c>
      <c r="C151" s="36" t="s">
        <v>380</v>
      </c>
      <c r="D151" s="47">
        <v>19134.477414219997</v>
      </c>
      <c r="E151" s="48">
        <f t="shared" si="6"/>
        <v>7.7099727265207067E-4</v>
      </c>
      <c r="F151" s="52">
        <v>0</v>
      </c>
      <c r="G151" s="52">
        <v>0.12300000000000001</v>
      </c>
      <c r="H151" s="49">
        <f t="shared" si="7"/>
        <v>0.12300000000000001</v>
      </c>
      <c r="I151" s="50">
        <f t="shared" si="8"/>
        <v>9.4832664536204699E-5</v>
      </c>
      <c r="J151" s="51"/>
      <c r="K151" s="51"/>
      <c r="L151" s="51"/>
      <c r="M151" s="51"/>
      <c r="N151"/>
      <c r="O151"/>
      <c r="P151"/>
      <c r="Q151"/>
      <c r="R151"/>
    </row>
    <row r="152" spans="2:18" ht="12.75" customHeight="1" x14ac:dyDescent="0.25">
      <c r="B152" s="35" t="s">
        <v>381</v>
      </c>
      <c r="C152" s="36" t="s">
        <v>382</v>
      </c>
      <c r="D152" s="47">
        <v>15238.98725405</v>
      </c>
      <c r="E152" s="48">
        <f t="shared" si="6"/>
        <v>6.1403389057914162E-4</v>
      </c>
      <c r="F152" s="52">
        <v>0</v>
      </c>
      <c r="G152" s="52">
        <v>-0.11</v>
      </c>
      <c r="H152" s="49">
        <f t="shared" si="7"/>
        <v>-0.11</v>
      </c>
      <c r="I152" s="50">
        <f t="shared" si="8"/>
        <v>-6.7543727963705578E-5</v>
      </c>
      <c r="J152" s="51"/>
      <c r="K152" s="51"/>
      <c r="L152" s="51"/>
      <c r="M152" s="51"/>
      <c r="N152"/>
      <c r="O152"/>
      <c r="P152"/>
      <c r="Q152"/>
      <c r="R152"/>
    </row>
    <row r="153" spans="2:18" ht="12.75" customHeight="1" x14ac:dyDescent="0.25">
      <c r="B153" s="35" t="s">
        <v>383</v>
      </c>
      <c r="C153" s="36" t="s">
        <v>384</v>
      </c>
      <c r="D153" s="47">
        <v>25166.776576980003</v>
      </c>
      <c r="E153" s="48">
        <f t="shared" si="6"/>
        <v>1.0140604147294695E-3</v>
      </c>
      <c r="F153" s="52">
        <v>3.7238566345569733E-2</v>
      </c>
      <c r="G153" s="52">
        <v>0.17363000000000001</v>
      </c>
      <c r="H153" s="49">
        <f t="shared" si="7"/>
        <v>0.21410143248286037</v>
      </c>
      <c r="I153" s="50">
        <f t="shared" si="8"/>
        <v>2.1711178741774291E-4</v>
      </c>
      <c r="J153" s="51"/>
      <c r="K153" s="51"/>
      <c r="L153" s="51"/>
      <c r="M153" s="51"/>
      <c r="N153"/>
      <c r="O153"/>
      <c r="P153"/>
      <c r="Q153"/>
      <c r="R153"/>
    </row>
    <row r="154" spans="2:18" ht="12.75" customHeight="1" x14ac:dyDescent="0.25">
      <c r="B154" s="35" t="s">
        <v>385</v>
      </c>
      <c r="C154" s="36" t="s">
        <v>386</v>
      </c>
      <c r="D154" s="47">
        <v>23763.680305460002</v>
      </c>
      <c r="E154" s="48">
        <f t="shared" si="6"/>
        <v>9.5752459328047245E-4</v>
      </c>
      <c r="F154" s="52">
        <v>0</v>
      </c>
      <c r="G154" s="52">
        <v>9.4079999999999997E-2</v>
      </c>
      <c r="H154" s="49">
        <f t="shared" si="7"/>
        <v>9.4079999999999997E-2</v>
      </c>
      <c r="I154" s="50">
        <f t="shared" si="8"/>
        <v>9.0083913735826841E-5</v>
      </c>
      <c r="J154" s="51"/>
      <c r="K154" s="51"/>
      <c r="L154" s="51"/>
      <c r="M154" s="51"/>
      <c r="N154"/>
      <c r="O154"/>
      <c r="P154"/>
      <c r="Q154"/>
      <c r="R154"/>
    </row>
    <row r="155" spans="2:18" ht="12.75" customHeight="1" x14ac:dyDescent="0.25">
      <c r="B155" s="35" t="s">
        <v>387</v>
      </c>
      <c r="C155" s="36" t="s">
        <v>388</v>
      </c>
      <c r="D155" s="47">
        <v>13167.076684740001</v>
      </c>
      <c r="E155" s="48">
        <f t="shared" si="6"/>
        <v>5.305491230813967E-4</v>
      </c>
      <c r="F155" s="52">
        <v>2.1909802624324626E-2</v>
      </c>
      <c r="G155" s="52">
        <v>0.10967</v>
      </c>
      <c r="H155" s="49">
        <f t="shared" si="7"/>
        <v>0.13278122665122946</v>
      </c>
      <c r="I155" s="50">
        <f t="shared" si="8"/>
        <v>7.0446963361481973E-5</v>
      </c>
      <c r="J155" s="51"/>
      <c r="K155" s="51"/>
      <c r="L155" s="51"/>
      <c r="M155" s="51"/>
      <c r="N155"/>
      <c r="O155"/>
      <c r="P155"/>
      <c r="Q155"/>
      <c r="R155"/>
    </row>
    <row r="156" spans="2:18" ht="12.75" customHeight="1" x14ac:dyDescent="0.25">
      <c r="B156" s="35" t="s">
        <v>389</v>
      </c>
      <c r="C156" s="36" t="s">
        <v>390</v>
      </c>
      <c r="D156" s="47">
        <v>10982.076668579999</v>
      </c>
      <c r="E156" s="48">
        <f t="shared" si="6"/>
        <v>4.4250757291331414E-4</v>
      </c>
      <c r="F156" s="52">
        <v>2.8197579326136736E-2</v>
      </c>
      <c r="G156" s="52">
        <v>4.4999999999999998E-2</v>
      </c>
      <c r="H156" s="49">
        <f t="shared" si="7"/>
        <v>7.3832024860974815E-2</v>
      </c>
      <c r="I156" s="50">
        <f t="shared" si="8"/>
        <v>3.2671230124505436E-5</v>
      </c>
      <c r="J156" s="51"/>
      <c r="K156" s="51"/>
      <c r="L156" s="51"/>
      <c r="M156" s="51"/>
      <c r="N156"/>
      <c r="O156"/>
      <c r="P156"/>
      <c r="Q156"/>
      <c r="R156"/>
    </row>
    <row r="157" spans="2:18" ht="12.75" customHeight="1" x14ac:dyDescent="0.25">
      <c r="B157" s="35" t="s">
        <v>391</v>
      </c>
      <c r="C157" s="36" t="s">
        <v>392</v>
      </c>
      <c r="D157" s="47">
        <v>13667.514460820001</v>
      </c>
      <c r="E157" s="48">
        <f t="shared" si="6"/>
        <v>5.5071357033214879E-4</v>
      </c>
      <c r="F157" s="52">
        <v>2.7128140249412621E-2</v>
      </c>
      <c r="G157" s="52">
        <v>0.10313</v>
      </c>
      <c r="H157" s="49">
        <f t="shared" si="7"/>
        <v>0.13165700280137357</v>
      </c>
      <c r="I157" s="50">
        <f t="shared" si="8"/>
        <v>7.2505298071974151E-5</v>
      </c>
      <c r="J157" s="51"/>
      <c r="K157" s="51"/>
      <c r="L157" s="51"/>
      <c r="M157" s="51"/>
      <c r="N157"/>
      <c r="O157"/>
      <c r="P157"/>
      <c r="Q157"/>
      <c r="R157"/>
    </row>
    <row r="158" spans="2:18" ht="12.75" customHeight="1" x14ac:dyDescent="0.25">
      <c r="B158" s="35" t="s">
        <v>393</v>
      </c>
      <c r="C158" s="36" t="s">
        <v>43</v>
      </c>
      <c r="D158" s="47">
        <v>22714.930238560002</v>
      </c>
      <c r="E158" s="48">
        <f t="shared" si="6"/>
        <v>9.1526666149746648E-4</v>
      </c>
      <c r="F158" s="52">
        <v>3.0617841587352798E-2</v>
      </c>
      <c r="G158" s="52">
        <v>5.5330000000000004E-2</v>
      </c>
      <c r="H158" s="49">
        <f t="shared" si="7"/>
        <v>8.6794884174866915E-2</v>
      </c>
      <c r="I158" s="50">
        <f t="shared" si="8"/>
        <v>7.9440463873789734E-5</v>
      </c>
      <c r="J158" s="51"/>
      <c r="K158" s="51"/>
      <c r="L158" s="51"/>
      <c r="M158" s="51"/>
      <c r="N158"/>
      <c r="O158"/>
      <c r="P158"/>
      <c r="Q158"/>
      <c r="R158"/>
    </row>
    <row r="159" spans="2:18" ht="12.75" customHeight="1" x14ac:dyDescent="0.25">
      <c r="B159" s="35" t="s">
        <v>394</v>
      </c>
      <c r="C159" s="36" t="s">
        <v>45</v>
      </c>
      <c r="D159" s="47">
        <v>65902.55</v>
      </c>
      <c r="E159" s="48">
        <f t="shared" si="6"/>
        <v>2.6554519995960904E-3</v>
      </c>
      <c r="F159" s="52">
        <v>4.1897407611693326E-2</v>
      </c>
      <c r="G159" s="52">
        <v>5.0440000000000006E-2</v>
      </c>
      <c r="H159" s="49">
        <f t="shared" si="7"/>
        <v>9.3394060231660248E-2</v>
      </c>
      <c r="I159" s="50">
        <f t="shared" si="8"/>
        <v>2.480034439925599E-4</v>
      </c>
      <c r="J159" s="51"/>
      <c r="K159" s="51"/>
      <c r="L159" s="51"/>
      <c r="M159" s="51"/>
      <c r="N159"/>
      <c r="O159"/>
      <c r="P159"/>
      <c r="Q159"/>
      <c r="R159"/>
    </row>
    <row r="160" spans="2:18" ht="12.75" customHeight="1" x14ac:dyDescent="0.25">
      <c r="B160" s="35" t="s">
        <v>395</v>
      </c>
      <c r="C160" s="36" t="s">
        <v>396</v>
      </c>
      <c r="D160" s="47">
        <v>8907.3919999999998</v>
      </c>
      <c r="E160" s="48">
        <f t="shared" si="6"/>
        <v>3.5891102692667005E-4</v>
      </c>
      <c r="F160" s="52">
        <v>0</v>
      </c>
      <c r="G160" s="52">
        <v>0.19145000000000001</v>
      </c>
      <c r="H160" s="49">
        <f t="shared" si="7"/>
        <v>0.19145000000000001</v>
      </c>
      <c r="I160" s="50">
        <f t="shared" si="8"/>
        <v>6.8713516105110977E-5</v>
      </c>
      <c r="J160" s="51"/>
      <c r="K160" s="51"/>
      <c r="L160" s="51"/>
      <c r="M160" s="51"/>
      <c r="N160"/>
      <c r="O160"/>
      <c r="P160"/>
      <c r="Q160"/>
      <c r="R160"/>
    </row>
    <row r="161" spans="2:18" ht="12.75" customHeight="1" x14ac:dyDescent="0.25">
      <c r="B161" s="35" t="s">
        <v>397</v>
      </c>
      <c r="C161" s="36" t="s">
        <v>398</v>
      </c>
      <c r="D161" s="47">
        <v>12991.212000000001</v>
      </c>
      <c r="E161" s="48">
        <f t="shared" si="6"/>
        <v>5.2346289912267023E-4</v>
      </c>
      <c r="F161" s="52">
        <v>1.1437246963562755E-2</v>
      </c>
      <c r="G161" s="52">
        <v>5.8169999999999999E-2</v>
      </c>
      <c r="H161" s="49">
        <f t="shared" si="7"/>
        <v>6.9939899291497978E-2</v>
      </c>
      <c r="I161" s="50">
        <f t="shared" si="8"/>
        <v>3.6610942447475119E-5</v>
      </c>
      <c r="J161" s="51"/>
      <c r="K161" s="51"/>
      <c r="L161" s="51"/>
      <c r="M161" s="51"/>
      <c r="N161"/>
      <c r="O161"/>
      <c r="P161"/>
      <c r="Q161"/>
      <c r="R161"/>
    </row>
    <row r="162" spans="2:18" ht="12.75" customHeight="1" x14ac:dyDescent="0.25">
      <c r="B162" s="35" t="s">
        <v>399</v>
      </c>
      <c r="C162" s="36" t="s">
        <v>400</v>
      </c>
      <c r="D162" s="47">
        <v>124643.24656623999</v>
      </c>
      <c r="E162" s="48">
        <f t="shared" si="6"/>
        <v>5.0223270318139517E-3</v>
      </c>
      <c r="F162" s="52">
        <v>2.8418958031837915E-2</v>
      </c>
      <c r="G162" s="52">
        <v>6.1669999999999996E-2</v>
      </c>
      <c r="H162" s="49">
        <f t="shared" si="7"/>
        <v>9.0965256602749636E-2</v>
      </c>
      <c r="I162" s="50">
        <f t="shared" si="8"/>
        <v>4.5685726719188203E-4</v>
      </c>
      <c r="J162" s="51"/>
      <c r="K162" s="51"/>
      <c r="L162" s="51"/>
      <c r="M162" s="51"/>
      <c r="N162"/>
      <c r="O162"/>
      <c r="P162"/>
      <c r="Q162"/>
      <c r="R162"/>
    </row>
    <row r="163" spans="2:18" ht="12.75" customHeight="1" x14ac:dyDescent="0.25">
      <c r="B163" s="35" t="s">
        <v>401</v>
      </c>
      <c r="C163" s="36" t="s">
        <v>402</v>
      </c>
      <c r="D163" s="47">
        <v>17638.830545249999</v>
      </c>
      <c r="E163" s="48">
        <f t="shared" si="6"/>
        <v>7.1073225302997701E-4</v>
      </c>
      <c r="F163" s="52">
        <v>1.1619771863117872E-2</v>
      </c>
      <c r="G163" s="52">
        <v>6.695000000000001E-2</v>
      </c>
      <c r="H163" s="49">
        <f t="shared" si="7"/>
        <v>7.895874372623575E-2</v>
      </c>
      <c r="I163" s="50">
        <f t="shared" si="8"/>
        <v>5.6118525824964097E-5</v>
      </c>
      <c r="J163" s="51"/>
      <c r="K163" s="51"/>
      <c r="L163" s="51"/>
      <c r="M163" s="51"/>
      <c r="N163"/>
      <c r="O163"/>
      <c r="P163"/>
      <c r="Q163"/>
      <c r="R163"/>
    </row>
    <row r="164" spans="2:18" ht="12.75" customHeight="1" x14ac:dyDescent="0.25">
      <c r="B164" s="35" t="s">
        <v>403</v>
      </c>
      <c r="C164" s="36" t="s">
        <v>404</v>
      </c>
      <c r="D164" s="47">
        <v>29653.969518600003</v>
      </c>
      <c r="E164" s="48">
        <f t="shared" si="6"/>
        <v>1.1948656410734925E-3</v>
      </c>
      <c r="F164" s="52" t="s">
        <v>117</v>
      </c>
      <c r="G164" s="52">
        <v>0.11867000000000001</v>
      </c>
      <c r="H164" s="49">
        <f t="shared" si="7"/>
        <v>0.11867000000000001</v>
      </c>
      <c r="I164" s="50">
        <f t="shared" si="8"/>
        <v>1.4179470562619137E-4</v>
      </c>
      <c r="J164" s="51"/>
      <c r="K164" s="51"/>
      <c r="L164" s="51"/>
      <c r="M164" s="51"/>
      <c r="N164"/>
      <c r="O164"/>
      <c r="P164"/>
      <c r="Q164"/>
      <c r="R164"/>
    </row>
    <row r="165" spans="2:18" ht="12.75" customHeight="1" x14ac:dyDescent="0.25">
      <c r="B165" s="35" t="s">
        <v>405</v>
      </c>
      <c r="C165" s="36" t="s">
        <v>406</v>
      </c>
      <c r="D165" s="47">
        <v>33210.1603713</v>
      </c>
      <c r="E165" s="48">
        <f t="shared" si="6"/>
        <v>1.3381574273662465E-3</v>
      </c>
      <c r="F165" s="52">
        <v>7.0247933884297533E-3</v>
      </c>
      <c r="G165" s="52">
        <v>0.10672000000000001</v>
      </c>
      <c r="H165" s="49">
        <f t="shared" si="7"/>
        <v>0.11411963636363637</v>
      </c>
      <c r="I165" s="50">
        <f t="shared" si="8"/>
        <v>1.5271003900833521E-4</v>
      </c>
      <c r="J165" s="51"/>
      <c r="K165" s="51"/>
      <c r="L165" s="51"/>
      <c r="M165" s="51"/>
      <c r="N165"/>
      <c r="O165"/>
      <c r="P165"/>
      <c r="Q165"/>
      <c r="R165"/>
    </row>
    <row r="166" spans="2:18" ht="12.75" customHeight="1" x14ac:dyDescent="0.25">
      <c r="B166" s="35" t="s">
        <v>407</v>
      </c>
      <c r="C166" s="36" t="s">
        <v>408</v>
      </c>
      <c r="D166" s="47">
        <v>50221.75338704</v>
      </c>
      <c r="E166" s="48">
        <f t="shared" si="6"/>
        <v>2.023616012655612E-3</v>
      </c>
      <c r="F166" s="52">
        <v>1.0660858600332435E-2</v>
      </c>
      <c r="G166" s="52">
        <v>0.13433</v>
      </c>
      <c r="H166" s="49">
        <f t="shared" si="7"/>
        <v>0.14570689516822377</v>
      </c>
      <c r="I166" s="50">
        <f t="shared" si="8"/>
        <v>2.9485480621675025E-4</v>
      </c>
      <c r="J166" s="51"/>
      <c r="K166" s="51"/>
      <c r="L166" s="51"/>
      <c r="M166" s="51"/>
      <c r="N166"/>
      <c r="O166"/>
      <c r="P166"/>
      <c r="Q166"/>
      <c r="R166"/>
    </row>
    <row r="167" spans="2:18" ht="12.75" customHeight="1" x14ac:dyDescent="0.25">
      <c r="B167" s="35" t="s">
        <v>409</v>
      </c>
      <c r="C167" s="36" t="s">
        <v>41</v>
      </c>
      <c r="D167" s="47">
        <v>27240.185575680003</v>
      </c>
      <c r="E167" s="48">
        <f t="shared" si="6"/>
        <v>1.0976055593646687E-3</v>
      </c>
      <c r="F167" s="52">
        <v>3.4865629420084865E-2</v>
      </c>
      <c r="G167" s="52">
        <v>3.0670000000000003E-2</v>
      </c>
      <c r="H167" s="49">
        <f t="shared" si="7"/>
        <v>6.6070293847241862E-2</v>
      </c>
      <c r="I167" s="50">
        <f t="shared" si="8"/>
        <v>7.2519121835589931E-5</v>
      </c>
      <c r="J167" s="51"/>
      <c r="K167" s="51"/>
      <c r="L167" s="51"/>
      <c r="M167" s="51"/>
      <c r="N167"/>
      <c r="O167"/>
      <c r="P167"/>
      <c r="Q167"/>
      <c r="R167"/>
    </row>
    <row r="168" spans="2:18" ht="12.75" customHeight="1" x14ac:dyDescent="0.25">
      <c r="B168" s="35" t="s">
        <v>410</v>
      </c>
      <c r="C168" s="36" t="s">
        <v>411</v>
      </c>
      <c r="D168" s="47">
        <v>13400.10156576</v>
      </c>
      <c r="E168" s="48">
        <f t="shared" si="6"/>
        <v>5.3993853800176315E-4</v>
      </c>
      <c r="F168" s="52">
        <v>1.4357773374166818E-2</v>
      </c>
      <c r="G168" s="52">
        <v>7.1599999999999997E-2</v>
      </c>
      <c r="H168" s="49">
        <f t="shared" si="7"/>
        <v>8.6471781660961991E-2</v>
      </c>
      <c r="I168" s="50">
        <f t="shared" si="8"/>
        <v>4.6689447368427493E-5</v>
      </c>
      <c r="J168" s="51"/>
      <c r="K168" s="51"/>
      <c r="L168" s="51"/>
      <c r="M168" s="51"/>
      <c r="N168"/>
      <c r="O168"/>
      <c r="P168"/>
      <c r="Q168"/>
      <c r="R168"/>
    </row>
    <row r="169" spans="2:18" ht="12.75" customHeight="1" x14ac:dyDescent="0.25">
      <c r="B169" s="35" t="s">
        <v>412</v>
      </c>
      <c r="C169" s="36" t="s">
        <v>413</v>
      </c>
      <c r="D169" s="47">
        <v>20825.852287520003</v>
      </c>
      <c r="E169" s="48">
        <f t="shared" si="6"/>
        <v>8.3914888119181739E-4</v>
      </c>
      <c r="F169" s="52">
        <v>3.8782853566958694E-2</v>
      </c>
      <c r="G169" s="52">
        <v>5.5099999999999996E-2</v>
      </c>
      <c r="H169" s="49">
        <f t="shared" si="7"/>
        <v>9.4951321182728393E-2</v>
      </c>
      <c r="I169" s="50">
        <f t="shared" si="8"/>
        <v>7.9678294938171439E-5</v>
      </c>
      <c r="J169" s="51"/>
      <c r="K169" s="51"/>
      <c r="L169" s="51"/>
      <c r="M169" s="51"/>
      <c r="N169"/>
      <c r="O169"/>
      <c r="P169"/>
      <c r="Q169"/>
      <c r="R169"/>
    </row>
    <row r="170" spans="2:18" ht="12.75" customHeight="1" x14ac:dyDescent="0.25">
      <c r="B170" s="35" t="s">
        <v>414</v>
      </c>
      <c r="C170" s="36" t="s">
        <v>415</v>
      </c>
      <c r="D170" s="47">
        <v>58775.58704014001</v>
      </c>
      <c r="E170" s="48">
        <f t="shared" si="6"/>
        <v>2.3682808955522031E-3</v>
      </c>
      <c r="F170" s="52">
        <v>1.0181885215681453E-2</v>
      </c>
      <c r="G170" s="52">
        <v>0.12042</v>
      </c>
      <c r="H170" s="49">
        <f t="shared" si="7"/>
        <v>0.13121493652451763</v>
      </c>
      <c r="I170" s="50">
        <f t="shared" si="8"/>
        <v>3.1075382738211007E-4</v>
      </c>
      <c r="J170" s="51"/>
      <c r="K170" s="51"/>
      <c r="L170" s="51"/>
      <c r="M170" s="51"/>
      <c r="N170"/>
      <c r="O170"/>
      <c r="P170"/>
      <c r="Q170"/>
      <c r="R170"/>
    </row>
    <row r="171" spans="2:18" ht="12.75" customHeight="1" x14ac:dyDescent="0.25">
      <c r="B171" s="35" t="s">
        <v>416</v>
      </c>
      <c r="C171" s="36" t="s">
        <v>417</v>
      </c>
      <c r="D171" s="47">
        <v>10992.089388480001</v>
      </c>
      <c r="E171" s="48">
        <f t="shared" si="6"/>
        <v>4.4291102159746756E-4</v>
      </c>
      <c r="F171" s="52">
        <v>3.0175483214649034E-2</v>
      </c>
      <c r="G171" s="52">
        <v>6.7330000000000001E-2</v>
      </c>
      <c r="H171" s="49">
        <f t="shared" si="7"/>
        <v>9.8521340857070192E-2</v>
      </c>
      <c r="I171" s="50">
        <f t="shared" si="8"/>
        <v>4.3636187728157279E-5</v>
      </c>
      <c r="J171" s="51"/>
      <c r="K171" s="51"/>
      <c r="L171" s="51"/>
      <c r="M171" s="51"/>
      <c r="N171"/>
      <c r="O171"/>
      <c r="P171"/>
      <c r="Q171"/>
      <c r="R171"/>
    </row>
    <row r="172" spans="2:18" ht="12.75" customHeight="1" x14ac:dyDescent="0.25">
      <c r="B172" s="35" t="s">
        <v>418</v>
      </c>
      <c r="C172" s="36" t="s">
        <v>419</v>
      </c>
      <c r="D172" s="47">
        <v>41382.35510647</v>
      </c>
      <c r="E172" s="48">
        <f t="shared" si="6"/>
        <v>1.6674446985051603E-3</v>
      </c>
      <c r="F172" s="52">
        <v>2.9169760879251449E-2</v>
      </c>
      <c r="G172" s="52">
        <v>8.950000000000001E-2</v>
      </c>
      <c r="H172" s="49">
        <f t="shared" si="7"/>
        <v>0.11997510767859797</v>
      </c>
      <c r="I172" s="50">
        <f t="shared" si="8"/>
        <v>2.0005185725126393E-4</v>
      </c>
      <c r="J172" s="51"/>
      <c r="K172" s="51"/>
      <c r="L172" s="51"/>
      <c r="M172" s="51"/>
      <c r="N172"/>
      <c r="O172"/>
      <c r="P172"/>
      <c r="Q172"/>
      <c r="R172"/>
    </row>
    <row r="173" spans="2:18" ht="12.75" customHeight="1" x14ac:dyDescent="0.25">
      <c r="B173" s="35" t="s">
        <v>420</v>
      </c>
      <c r="C173" s="36" t="s">
        <v>421</v>
      </c>
      <c r="D173" s="47">
        <v>51537.729041249993</v>
      </c>
      <c r="E173" s="48">
        <f t="shared" si="6"/>
        <v>2.0766414294625746E-3</v>
      </c>
      <c r="F173" s="52">
        <v>9.6679797411367493E-3</v>
      </c>
      <c r="G173" s="52">
        <v>9.9030000000000007E-2</v>
      </c>
      <c r="H173" s="49">
        <f t="shared" si="7"/>
        <v>0.10917668975801914</v>
      </c>
      <c r="I173" s="50">
        <f t="shared" si="8"/>
        <v>2.2672083708308489E-4</v>
      </c>
      <c r="J173" s="51"/>
      <c r="K173" s="51"/>
      <c r="L173" s="51"/>
      <c r="M173" s="51"/>
      <c r="N173"/>
      <c r="O173"/>
      <c r="P173"/>
      <c r="Q173"/>
      <c r="R173"/>
    </row>
    <row r="174" spans="2:18" ht="12.75" customHeight="1" x14ac:dyDescent="0.25">
      <c r="B174" s="35" t="s">
        <v>422</v>
      </c>
      <c r="C174" s="36" t="s">
        <v>423</v>
      </c>
      <c r="D174" s="47">
        <v>36966.216131130001</v>
      </c>
      <c r="E174" s="48">
        <f t="shared" si="6"/>
        <v>1.4895024933467736E-3</v>
      </c>
      <c r="F174" s="52">
        <v>2.2370417336563933E-2</v>
      </c>
      <c r="G174" s="52">
        <v>0.18388000000000002</v>
      </c>
      <c r="H174" s="49">
        <f t="shared" si="7"/>
        <v>0.20830715350648762</v>
      </c>
      <c r="I174" s="50">
        <f t="shared" si="8"/>
        <v>3.1027402452988244E-4</v>
      </c>
      <c r="J174" s="51"/>
      <c r="K174" s="51"/>
      <c r="L174" s="51"/>
      <c r="M174" s="51"/>
      <c r="N174"/>
      <c r="O174"/>
      <c r="P174"/>
      <c r="Q174"/>
      <c r="R174"/>
    </row>
    <row r="175" spans="2:18" ht="12.75" customHeight="1" x14ac:dyDescent="0.25">
      <c r="B175" s="35" t="s">
        <v>424</v>
      </c>
      <c r="C175" s="36" t="s">
        <v>425</v>
      </c>
      <c r="D175" s="47">
        <v>27656.24662668</v>
      </c>
      <c r="E175" s="48">
        <f t="shared" si="6"/>
        <v>1.1143701633114355E-3</v>
      </c>
      <c r="F175" s="52">
        <v>2.9868913857677901E-2</v>
      </c>
      <c r="G175" s="52">
        <v>6.7049999999999998E-2</v>
      </c>
      <c r="H175" s="49">
        <f t="shared" si="7"/>
        <v>9.7920269194756548E-2</v>
      </c>
      <c r="I175" s="50">
        <f t="shared" si="8"/>
        <v>1.0911942637406058E-4</v>
      </c>
      <c r="J175" s="51"/>
      <c r="K175" s="51"/>
      <c r="L175" s="51"/>
      <c r="M175" s="51"/>
      <c r="N175"/>
      <c r="O175"/>
      <c r="P175"/>
      <c r="Q175"/>
      <c r="R175"/>
    </row>
    <row r="176" spans="2:18" ht="12.75" customHeight="1" x14ac:dyDescent="0.25">
      <c r="B176" s="35" t="s">
        <v>51</v>
      </c>
      <c r="C176" s="36" t="s">
        <v>52</v>
      </c>
      <c r="D176" s="47">
        <v>22737.053442240001</v>
      </c>
      <c r="E176" s="48">
        <f t="shared" si="6"/>
        <v>9.1615808535662707E-4</v>
      </c>
      <c r="F176" s="52">
        <v>2.9889864770667782E-2</v>
      </c>
      <c r="G176" s="52">
        <v>5.756E-2</v>
      </c>
      <c r="H176" s="49">
        <f t="shared" si="7"/>
        <v>8.8310095078767609E-2</v>
      </c>
      <c r="I176" s="50">
        <f t="shared" si="8"/>
        <v>8.0906007625025422E-5</v>
      </c>
      <c r="J176" s="51"/>
      <c r="K176" s="51"/>
      <c r="L176" s="51"/>
      <c r="M176" s="51"/>
      <c r="N176"/>
      <c r="O176"/>
      <c r="P176"/>
      <c r="Q176"/>
      <c r="R176"/>
    </row>
    <row r="177" spans="2:18" ht="12.75" customHeight="1" x14ac:dyDescent="0.25">
      <c r="B177" s="35" t="s">
        <v>426</v>
      </c>
      <c r="C177" s="36" t="s">
        <v>427</v>
      </c>
      <c r="D177" s="47">
        <v>19011.295765799998</v>
      </c>
      <c r="E177" s="48">
        <f t="shared" si="6"/>
        <v>7.6603383869374244E-4</v>
      </c>
      <c r="F177" s="52">
        <v>2.6897028334485141E-2</v>
      </c>
      <c r="G177" s="52">
        <v>6.5850000000000006E-2</v>
      </c>
      <c r="H177" s="49">
        <f t="shared" si="7"/>
        <v>9.363261299239807E-2</v>
      </c>
      <c r="I177" s="50">
        <f t="shared" si="8"/>
        <v>7.1725749957492275E-5</v>
      </c>
      <c r="J177" s="51"/>
      <c r="K177" s="51"/>
      <c r="L177" s="51"/>
      <c r="M177" s="51"/>
      <c r="N177"/>
      <c r="O177"/>
      <c r="P177"/>
      <c r="Q177"/>
      <c r="R177"/>
    </row>
    <row r="178" spans="2:18" ht="12.75" customHeight="1" x14ac:dyDescent="0.25">
      <c r="B178" s="35" t="s">
        <v>428</v>
      </c>
      <c r="C178" s="36" t="s">
        <v>429</v>
      </c>
      <c r="D178" s="47">
        <v>12074.21747532</v>
      </c>
      <c r="E178" s="48">
        <f t="shared" si="6"/>
        <v>4.8651387447673196E-4</v>
      </c>
      <c r="F178" s="52">
        <v>1.0179518563851488E-2</v>
      </c>
      <c r="G178" s="52">
        <v>0.1208</v>
      </c>
      <c r="H178" s="49">
        <f t="shared" si="7"/>
        <v>0.13159436148510811</v>
      </c>
      <c r="I178" s="50">
        <f t="shared" si="8"/>
        <v>6.4022482665411577E-5</v>
      </c>
      <c r="J178" s="51"/>
      <c r="K178" s="51"/>
      <c r="L178" s="51"/>
      <c r="M178" s="51"/>
      <c r="N178"/>
      <c r="O178"/>
      <c r="P178"/>
      <c r="Q178"/>
      <c r="R178"/>
    </row>
    <row r="179" spans="2:18" ht="12.75" customHeight="1" x14ac:dyDescent="0.25">
      <c r="B179" s="35" t="s">
        <v>430</v>
      </c>
      <c r="C179" s="36" t="s">
        <v>431</v>
      </c>
      <c r="D179" s="47">
        <v>34183.906584119999</v>
      </c>
      <c r="E179" s="48">
        <f t="shared" si="6"/>
        <v>1.3773931827039685E-3</v>
      </c>
      <c r="F179" s="52">
        <v>3.5604368329610329E-2</v>
      </c>
      <c r="G179" s="52">
        <v>9.2249999999999999E-2</v>
      </c>
      <c r="H179" s="49">
        <f t="shared" si="7"/>
        <v>0.12949661981881361</v>
      </c>
      <c r="I179" s="50">
        <f t="shared" si="8"/>
        <v>1.7836776132164147E-4</v>
      </c>
      <c r="J179" s="51"/>
      <c r="K179" s="51"/>
      <c r="L179" s="51"/>
      <c r="M179" s="51"/>
      <c r="N179"/>
      <c r="O179"/>
      <c r="P179"/>
      <c r="Q179"/>
      <c r="R179"/>
    </row>
    <row r="180" spans="2:18" ht="12.75" customHeight="1" x14ac:dyDescent="0.25">
      <c r="B180" s="35" t="s">
        <v>432</v>
      </c>
      <c r="C180" s="36" t="s">
        <v>433</v>
      </c>
      <c r="D180" s="47">
        <v>17945.691265919999</v>
      </c>
      <c r="E180" s="48">
        <f t="shared" si="6"/>
        <v>7.2309678087147393E-4</v>
      </c>
      <c r="F180" s="52">
        <v>3.8918233678428067E-2</v>
      </c>
      <c r="G180" s="52">
        <v>-8.8500000000000002E-3</v>
      </c>
      <c r="H180" s="49">
        <f t="shared" si="7"/>
        <v>2.9896020494401019E-2</v>
      </c>
      <c r="I180" s="50">
        <f t="shared" si="8"/>
        <v>2.1617716180368987E-5</v>
      </c>
      <c r="J180" s="51"/>
      <c r="K180" s="51"/>
      <c r="L180" s="51"/>
      <c r="M180" s="51"/>
      <c r="N180"/>
      <c r="O180"/>
      <c r="P180"/>
      <c r="Q180"/>
      <c r="R180"/>
    </row>
    <row r="181" spans="2:18" ht="12.75" customHeight="1" x14ac:dyDescent="0.25">
      <c r="B181" s="35" t="s">
        <v>434</v>
      </c>
      <c r="C181" s="36" t="s">
        <v>49</v>
      </c>
      <c r="D181" s="47">
        <v>14684.51400311</v>
      </c>
      <c r="E181" s="48">
        <f t="shared" si="6"/>
        <v>5.9169215868969019E-4</v>
      </c>
      <c r="F181" s="52">
        <v>3.3396913473209638E-2</v>
      </c>
      <c r="G181" s="52">
        <v>6.6729999999999998E-2</v>
      </c>
      <c r="H181" s="49">
        <f t="shared" si="7"/>
        <v>0.10124120149124327</v>
      </c>
      <c r="I181" s="50">
        <f t="shared" si="8"/>
        <v>5.9903625058691613E-5</v>
      </c>
      <c r="J181" s="51"/>
      <c r="K181" s="51"/>
      <c r="L181" s="51"/>
      <c r="M181" s="51"/>
      <c r="N181"/>
      <c r="O181"/>
      <c r="P181"/>
      <c r="Q181"/>
      <c r="R181"/>
    </row>
    <row r="182" spans="2:18" ht="12.75" customHeight="1" x14ac:dyDescent="0.25">
      <c r="B182" s="35" t="s">
        <v>435</v>
      </c>
      <c r="C182" s="36" t="s">
        <v>436</v>
      </c>
      <c r="D182" s="47">
        <v>37345.997637749999</v>
      </c>
      <c r="E182" s="48">
        <f t="shared" si="6"/>
        <v>1.5048052632875982E-3</v>
      </c>
      <c r="F182" s="52">
        <v>0</v>
      </c>
      <c r="G182" s="52">
        <v>0.14000000000000001</v>
      </c>
      <c r="H182" s="49">
        <f t="shared" si="7"/>
        <v>0.14000000000000001</v>
      </c>
      <c r="I182" s="50">
        <f t="shared" si="8"/>
        <v>2.1067273686026377E-4</v>
      </c>
      <c r="J182" s="51"/>
      <c r="K182" s="51"/>
      <c r="L182" s="51"/>
      <c r="M182" s="51"/>
      <c r="N182"/>
      <c r="O182"/>
      <c r="P182"/>
      <c r="Q182"/>
      <c r="R182"/>
    </row>
    <row r="183" spans="2:18" ht="12.75" customHeight="1" x14ac:dyDescent="0.25">
      <c r="B183" s="35" t="s">
        <v>437</v>
      </c>
      <c r="C183" s="36" t="s">
        <v>438</v>
      </c>
      <c r="D183" s="47">
        <v>48487.296650000011</v>
      </c>
      <c r="E183" s="48">
        <f t="shared" si="6"/>
        <v>1.953728480070215E-3</v>
      </c>
      <c r="F183" s="52">
        <v>2.8919999999999998E-2</v>
      </c>
      <c r="G183" s="52">
        <v>4.122E-2</v>
      </c>
      <c r="H183" s="49">
        <f t="shared" si="7"/>
        <v>7.0736041200000002E-2</v>
      </c>
      <c r="I183" s="50">
        <f t="shared" si="8"/>
        <v>1.381990182598601E-4</v>
      </c>
      <c r="J183" s="51"/>
      <c r="K183" s="51"/>
      <c r="L183" s="51"/>
      <c r="M183" s="51"/>
      <c r="N183"/>
      <c r="O183"/>
      <c r="P183"/>
      <c r="Q183"/>
      <c r="R183"/>
    </row>
    <row r="184" spans="2:18" ht="12.75" customHeight="1" x14ac:dyDescent="0.25">
      <c r="B184" s="35" t="s">
        <v>439</v>
      </c>
      <c r="C184" s="36" t="s">
        <v>440</v>
      </c>
      <c r="D184" s="47">
        <v>13048.603103580001</v>
      </c>
      <c r="E184" s="48">
        <f t="shared" si="6"/>
        <v>5.2577539417423549E-4</v>
      </c>
      <c r="F184" s="52">
        <v>1.2524667806867517E-2</v>
      </c>
      <c r="G184" s="52">
        <v>7.6999999999999999E-2</v>
      </c>
      <c r="H184" s="49">
        <f t="shared" si="7"/>
        <v>9.0006867517431921E-2</v>
      </c>
      <c r="I184" s="50">
        <f t="shared" si="8"/>
        <v>4.7323396247365961E-5</v>
      </c>
      <c r="J184" s="51"/>
      <c r="K184" s="51"/>
      <c r="L184" s="51"/>
      <c r="M184" s="51"/>
      <c r="N184"/>
      <c r="O184"/>
      <c r="P184"/>
      <c r="Q184"/>
      <c r="R184"/>
    </row>
    <row r="185" spans="2:18" ht="12.75" customHeight="1" x14ac:dyDescent="0.25">
      <c r="B185" s="35" t="s">
        <v>441</v>
      </c>
      <c r="C185" s="36" t="s">
        <v>442</v>
      </c>
      <c r="D185" s="47">
        <v>17892.453354240002</v>
      </c>
      <c r="E185" s="48">
        <f t="shared" si="6"/>
        <v>7.2095163293675873E-4</v>
      </c>
      <c r="F185" s="52">
        <v>1.0735439289239881E-2</v>
      </c>
      <c r="G185" s="52">
        <v>0.17199999999999999</v>
      </c>
      <c r="H185" s="49">
        <f t="shared" si="7"/>
        <v>0.1836586870681145</v>
      </c>
      <c r="I185" s="50">
        <f t="shared" si="8"/>
        <v>1.3240903034477831E-4</v>
      </c>
      <c r="J185" s="51"/>
      <c r="K185" s="51"/>
      <c r="L185" s="51"/>
      <c r="M185" s="51"/>
      <c r="N185"/>
      <c r="O185"/>
      <c r="P185"/>
      <c r="Q185"/>
      <c r="R185"/>
    </row>
    <row r="186" spans="2:18" ht="12.75" customHeight="1" x14ac:dyDescent="0.25">
      <c r="B186" s="35" t="s">
        <v>443</v>
      </c>
      <c r="C186" s="36" t="s">
        <v>444</v>
      </c>
      <c r="D186" s="47">
        <v>12701.844429779998</v>
      </c>
      <c r="E186" s="48">
        <f t="shared" si="6"/>
        <v>5.1180323355648244E-4</v>
      </c>
      <c r="F186" s="52">
        <v>3.5778713168971736E-2</v>
      </c>
      <c r="G186" s="52">
        <v>4.3929999999999997E-2</v>
      </c>
      <c r="H186" s="49">
        <f t="shared" si="7"/>
        <v>8.0494592603728196E-2</v>
      </c>
      <c r="I186" s="50">
        <f t="shared" si="8"/>
        <v>4.1197392778399803E-5</v>
      </c>
      <c r="J186" s="51"/>
      <c r="K186" s="51"/>
      <c r="L186" s="51"/>
      <c r="M186" s="51"/>
      <c r="N186"/>
      <c r="O186"/>
      <c r="P186"/>
      <c r="Q186"/>
      <c r="R186"/>
    </row>
    <row r="187" spans="2:18" ht="12.75" customHeight="1" x14ac:dyDescent="0.25">
      <c r="B187" s="35" t="s">
        <v>445</v>
      </c>
      <c r="C187" s="36" t="s">
        <v>446</v>
      </c>
      <c r="D187" s="47">
        <v>33631.645920269999</v>
      </c>
      <c r="E187" s="48">
        <f t="shared" si="6"/>
        <v>1.3551406039476266E-3</v>
      </c>
      <c r="F187" s="52">
        <v>6.8090154211150666E-2</v>
      </c>
      <c r="G187" s="52">
        <v>-7.0300000000000007E-3</v>
      </c>
      <c r="H187" s="49">
        <f t="shared" si="7"/>
        <v>6.0820817319098462E-2</v>
      </c>
      <c r="I187" s="50">
        <f t="shared" si="8"/>
        <v>8.2420759114391356E-5</v>
      </c>
      <c r="J187" s="51"/>
      <c r="K187" s="51"/>
      <c r="L187" s="51"/>
      <c r="M187" s="51"/>
      <c r="N187"/>
      <c r="O187"/>
      <c r="P187"/>
      <c r="Q187"/>
      <c r="R187"/>
    </row>
    <row r="188" spans="2:18" ht="12.75" customHeight="1" x14ac:dyDescent="0.25">
      <c r="B188" s="35" t="s">
        <v>447</v>
      </c>
      <c r="C188" s="36" t="s">
        <v>448</v>
      </c>
      <c r="D188" s="47">
        <v>16831.024037579999</v>
      </c>
      <c r="E188" s="48">
        <f t="shared" si="6"/>
        <v>6.78182808341129E-4</v>
      </c>
      <c r="F188" s="52">
        <v>6.3482761988475434E-3</v>
      </c>
      <c r="G188" s="52">
        <v>0.2291</v>
      </c>
      <c r="H188" s="49">
        <f t="shared" si="7"/>
        <v>0.23617547123742552</v>
      </c>
      <c r="I188" s="50">
        <f t="shared" si="8"/>
        <v>1.6017014434508678E-4</v>
      </c>
      <c r="J188" s="51"/>
      <c r="K188" s="51"/>
      <c r="L188" s="51"/>
      <c r="M188" s="51"/>
      <c r="N188"/>
      <c r="O188"/>
      <c r="P188"/>
      <c r="Q188"/>
      <c r="R188"/>
    </row>
    <row r="189" spans="2:18" ht="12.75" customHeight="1" x14ac:dyDescent="0.25">
      <c r="B189" s="35" t="s">
        <v>449</v>
      </c>
      <c r="C189" s="36" t="s">
        <v>450</v>
      </c>
      <c r="D189" s="47">
        <v>17821.936557360001</v>
      </c>
      <c r="E189" s="48">
        <f t="shared" si="6"/>
        <v>7.1811025624829807E-4</v>
      </c>
      <c r="F189" s="52">
        <v>2.7344251766217086E-2</v>
      </c>
      <c r="G189" s="52">
        <v>0.14849999999999999</v>
      </c>
      <c r="H189" s="49">
        <f t="shared" si="7"/>
        <v>0.17787456245985869</v>
      </c>
      <c r="I189" s="50">
        <f t="shared" si="8"/>
        <v>1.2773354762810304E-4</v>
      </c>
      <c r="J189" s="51"/>
      <c r="K189" s="51"/>
      <c r="L189" s="51"/>
      <c r="M189" s="51"/>
      <c r="N189"/>
      <c r="O189"/>
      <c r="P189"/>
      <c r="Q189"/>
      <c r="R189"/>
    </row>
    <row r="190" spans="2:18" ht="12.75" customHeight="1" x14ac:dyDescent="0.25">
      <c r="B190" s="35" t="s">
        <v>451</v>
      </c>
      <c r="C190" s="36" t="s">
        <v>452</v>
      </c>
      <c r="D190" s="47">
        <v>473705.22700399999</v>
      </c>
      <c r="E190" s="48">
        <f t="shared" si="6"/>
        <v>1.9087296201237915E-2</v>
      </c>
      <c r="F190" s="52">
        <v>0</v>
      </c>
      <c r="G190" s="52">
        <v>0.21883</v>
      </c>
      <c r="H190" s="49">
        <f t="shared" si="7"/>
        <v>0.21883</v>
      </c>
      <c r="I190" s="50">
        <f t="shared" si="8"/>
        <v>4.1768730277168932E-3</v>
      </c>
      <c r="J190" s="51"/>
      <c r="K190" s="51"/>
      <c r="L190" s="51"/>
      <c r="M190" s="51"/>
      <c r="N190"/>
      <c r="O190"/>
      <c r="P190"/>
      <c r="Q190"/>
      <c r="R190"/>
    </row>
    <row r="191" spans="2:18" ht="12.75" customHeight="1" x14ac:dyDescent="0.25">
      <c r="B191" s="35" t="s">
        <v>453</v>
      </c>
      <c r="C191" s="36" t="s">
        <v>454</v>
      </c>
      <c r="D191" s="47">
        <v>6456.8346123000001</v>
      </c>
      <c r="E191" s="48">
        <f t="shared" si="6"/>
        <v>2.6016921017917033E-4</v>
      </c>
      <c r="F191" s="52">
        <v>1.8262951676099259E-2</v>
      </c>
      <c r="G191" s="52">
        <v>9.9650000000000002E-2</v>
      </c>
      <c r="H191" s="49">
        <f t="shared" si="7"/>
        <v>0.11882290324336091</v>
      </c>
      <c r="I191" s="50">
        <f t="shared" si="8"/>
        <v>3.0914060888021183E-5</v>
      </c>
      <c r="J191" s="51"/>
      <c r="K191" s="51"/>
      <c r="L191" s="51"/>
      <c r="M191" s="51"/>
      <c r="N191"/>
      <c r="O191"/>
      <c r="P191"/>
      <c r="Q191"/>
      <c r="R191"/>
    </row>
    <row r="192" spans="2:18" ht="12.75" customHeight="1" x14ac:dyDescent="0.25">
      <c r="B192" s="35" t="s">
        <v>455</v>
      </c>
      <c r="C192" s="36" t="s">
        <v>456</v>
      </c>
      <c r="D192" s="47">
        <v>17895.87722975</v>
      </c>
      <c r="E192" s="48">
        <f t="shared" si="6"/>
        <v>7.2108959325952913E-4</v>
      </c>
      <c r="F192" s="52">
        <v>1.8380566801619435E-2</v>
      </c>
      <c r="G192" s="52">
        <v>-0.1255</v>
      </c>
      <c r="H192" s="49">
        <f t="shared" si="7"/>
        <v>-0.10827281376518219</v>
      </c>
      <c r="I192" s="50">
        <f t="shared" si="8"/>
        <v>-7.8074399238999971E-5</v>
      </c>
      <c r="J192" s="51"/>
      <c r="K192" s="51"/>
      <c r="L192" s="51"/>
      <c r="M192" s="51"/>
      <c r="N192"/>
      <c r="O192"/>
      <c r="P192"/>
      <c r="Q192"/>
      <c r="R192"/>
    </row>
    <row r="193" spans="2:18" ht="12.75" customHeight="1" x14ac:dyDescent="0.25">
      <c r="B193" s="35" t="s">
        <v>457</v>
      </c>
      <c r="C193" s="36" t="s">
        <v>458</v>
      </c>
      <c r="D193" s="47">
        <v>46460.544377500002</v>
      </c>
      <c r="E193" s="48">
        <f t="shared" si="6"/>
        <v>1.8720633036135215E-3</v>
      </c>
      <c r="F193" s="52">
        <v>1.4434206090571975E-2</v>
      </c>
      <c r="G193" s="52">
        <v>0.14249999999999999</v>
      </c>
      <c r="H193" s="49">
        <f t="shared" si="7"/>
        <v>0.15796264327452522</v>
      </c>
      <c r="I193" s="50">
        <f t="shared" si="8"/>
        <v>2.9571606781603188E-4</v>
      </c>
      <c r="J193" s="51"/>
      <c r="K193" s="51"/>
      <c r="L193" s="51"/>
      <c r="M193" s="51"/>
      <c r="N193"/>
      <c r="O193"/>
      <c r="P193"/>
      <c r="Q193"/>
      <c r="R193"/>
    </row>
    <row r="194" spans="2:18" ht="12.75" customHeight="1" x14ac:dyDescent="0.25">
      <c r="B194" s="35" t="s">
        <v>459</v>
      </c>
      <c r="C194" s="36" t="s">
        <v>460</v>
      </c>
      <c r="D194" s="47">
        <v>21858.174175250002</v>
      </c>
      <c r="E194" s="48">
        <f t="shared" si="6"/>
        <v>8.8074486224261794E-4</v>
      </c>
      <c r="F194" s="52">
        <v>3.6890613630851332E-2</v>
      </c>
      <c r="G194" s="52">
        <v>-1.4999999999999999E-4</v>
      </c>
      <c r="H194" s="49">
        <f t="shared" si="7"/>
        <v>3.6737846834829016E-2</v>
      </c>
      <c r="I194" s="50">
        <f t="shared" si="8"/>
        <v>3.2356669849631878E-5</v>
      </c>
      <c r="J194" s="51"/>
      <c r="K194" s="51"/>
      <c r="L194" s="51"/>
      <c r="M194" s="51"/>
      <c r="N194"/>
      <c r="O194"/>
      <c r="P194"/>
      <c r="Q194"/>
      <c r="R194"/>
    </row>
    <row r="195" spans="2:18" ht="12.75" customHeight="1" x14ac:dyDescent="0.25">
      <c r="B195" s="35" t="s">
        <v>461</v>
      </c>
      <c r="C195" s="36" t="s">
        <v>462</v>
      </c>
      <c r="D195" s="47">
        <v>9135.5384687700007</v>
      </c>
      <c r="E195" s="48">
        <f t="shared" si="6"/>
        <v>3.681038729803673E-4</v>
      </c>
      <c r="F195" s="52">
        <v>0</v>
      </c>
      <c r="G195" s="52">
        <v>8.4129999999999996E-2</v>
      </c>
      <c r="H195" s="49">
        <f t="shared" si="7"/>
        <v>8.4129999999999996E-2</v>
      </c>
      <c r="I195" s="50">
        <f t="shared" si="8"/>
        <v>3.0968578833838302E-5</v>
      </c>
      <c r="J195" s="51"/>
      <c r="K195" s="51"/>
      <c r="L195" s="51"/>
      <c r="M195" s="51"/>
      <c r="N195"/>
      <c r="O195"/>
      <c r="P195"/>
      <c r="Q195"/>
      <c r="R195"/>
    </row>
    <row r="196" spans="2:18" ht="12.75" customHeight="1" x14ac:dyDescent="0.25">
      <c r="B196" s="35" t="s">
        <v>463</v>
      </c>
      <c r="C196" s="36" t="s">
        <v>464</v>
      </c>
      <c r="D196" s="47">
        <v>35159.593185919999</v>
      </c>
      <c r="E196" s="48">
        <f t="shared" si="6"/>
        <v>1.4167071233288596E-3</v>
      </c>
      <c r="F196" s="52">
        <v>1.2858192505510655E-2</v>
      </c>
      <c r="G196" s="52">
        <v>8.1000000000000003E-2</v>
      </c>
      <c r="H196" s="49">
        <f t="shared" si="7"/>
        <v>9.4378949301983844E-2</v>
      </c>
      <c r="I196" s="50">
        <f t="shared" si="8"/>
        <v>1.3370732976841383E-4</v>
      </c>
      <c r="J196" s="51"/>
      <c r="K196" s="51"/>
      <c r="L196" s="51"/>
      <c r="M196" s="51"/>
      <c r="N196"/>
      <c r="O196"/>
      <c r="P196"/>
      <c r="Q196"/>
      <c r="R196"/>
    </row>
    <row r="197" spans="2:18" ht="12.75" customHeight="1" x14ac:dyDescent="0.25">
      <c r="B197" s="35" t="s">
        <v>465</v>
      </c>
      <c r="C197" s="36" t="s">
        <v>466</v>
      </c>
      <c r="D197" s="47">
        <v>33803.43795136</v>
      </c>
      <c r="E197" s="48">
        <f t="shared" si="6"/>
        <v>1.3620627259667689E-3</v>
      </c>
      <c r="F197" s="52">
        <v>0</v>
      </c>
      <c r="G197" s="52">
        <v>7.400000000000001E-2</v>
      </c>
      <c r="H197" s="49">
        <f t="shared" si="7"/>
        <v>7.400000000000001E-2</v>
      </c>
      <c r="I197" s="50">
        <f t="shared" si="8"/>
        <v>1.0079264172154092E-4</v>
      </c>
      <c r="J197" s="51"/>
      <c r="K197" s="51"/>
      <c r="L197" s="51"/>
      <c r="M197" s="51"/>
      <c r="N197"/>
      <c r="O197"/>
      <c r="P197"/>
      <c r="Q197"/>
      <c r="R197"/>
    </row>
    <row r="198" spans="2:18" ht="12.75" customHeight="1" x14ac:dyDescent="0.25">
      <c r="B198" s="35" t="s">
        <v>467</v>
      </c>
      <c r="C198" s="36" t="s">
        <v>468</v>
      </c>
      <c r="D198" s="47">
        <v>18368.757457440002</v>
      </c>
      <c r="E198" s="48">
        <f t="shared" si="6"/>
        <v>7.4014364725575341E-4</v>
      </c>
      <c r="F198" s="52">
        <v>3.4216101694915249E-2</v>
      </c>
      <c r="G198" s="52">
        <v>3.95E-2</v>
      </c>
      <c r="H198" s="49">
        <f t="shared" si="7"/>
        <v>7.4391869703389818E-2</v>
      </c>
      <c r="I198" s="50">
        <f t="shared" si="8"/>
        <v>5.5060669768441722E-5</v>
      </c>
      <c r="J198" s="51"/>
      <c r="K198" s="51"/>
      <c r="L198" s="51"/>
      <c r="M198" s="51"/>
      <c r="N198"/>
      <c r="O198"/>
      <c r="P198"/>
      <c r="Q198"/>
      <c r="R198"/>
    </row>
    <row r="199" spans="2:18" ht="12.75" customHeight="1" x14ac:dyDescent="0.25">
      <c r="B199" s="35" t="s">
        <v>469</v>
      </c>
      <c r="C199" s="36" t="s">
        <v>470</v>
      </c>
      <c r="D199" s="47">
        <v>6658.26411396</v>
      </c>
      <c r="E199" s="48">
        <f t="shared" si="6"/>
        <v>2.6828553303709759E-4</v>
      </c>
      <c r="F199" s="52">
        <v>2.6076636147846732E-2</v>
      </c>
      <c r="G199" s="52">
        <v>7.3050000000000004E-2</v>
      </c>
      <c r="H199" s="49">
        <f t="shared" si="7"/>
        <v>0.10007908528314684</v>
      </c>
      <c r="I199" s="50">
        <f t="shared" si="8"/>
        <v>2.6849770741054197E-5</v>
      </c>
      <c r="J199" s="51"/>
      <c r="K199" s="51"/>
      <c r="L199" s="51"/>
      <c r="M199" s="51"/>
      <c r="N199"/>
      <c r="O199"/>
      <c r="P199"/>
      <c r="Q199"/>
      <c r="R199"/>
    </row>
    <row r="200" spans="2:18" ht="12.75" customHeight="1" x14ac:dyDescent="0.25">
      <c r="B200" s="35" t="s">
        <v>471</v>
      </c>
      <c r="C200" s="36" t="s">
        <v>472</v>
      </c>
      <c r="D200" s="47">
        <v>6799.6484552799993</v>
      </c>
      <c r="E200" s="48" t="str">
        <f t="shared" si="6"/>
        <v>N/A</v>
      </c>
      <c r="F200" s="52">
        <v>1.3562026326286399E-2</v>
      </c>
      <c r="G200" s="52" t="s">
        <v>104</v>
      </c>
      <c r="H200" s="49" t="str">
        <f t="shared" si="7"/>
        <v>N/A</v>
      </c>
      <c r="I200" s="50" t="str">
        <f t="shared" si="8"/>
        <v>N/A</v>
      </c>
      <c r="J200" s="51"/>
      <c r="K200" s="51"/>
      <c r="L200" s="51"/>
      <c r="M200" s="51"/>
      <c r="N200"/>
      <c r="O200"/>
      <c r="P200"/>
      <c r="Q200"/>
      <c r="R200"/>
    </row>
    <row r="201" spans="2:18" ht="12.75" customHeight="1" x14ac:dyDescent="0.25">
      <c r="B201" s="35" t="s">
        <v>473</v>
      </c>
      <c r="C201" s="36" t="s">
        <v>474</v>
      </c>
      <c r="D201" s="47">
        <v>5268.8124112800006</v>
      </c>
      <c r="E201" s="48">
        <f t="shared" si="6"/>
        <v>2.122995005964136E-4</v>
      </c>
      <c r="F201" s="52">
        <v>2.2257551669316374E-2</v>
      </c>
      <c r="G201" s="52">
        <v>0.20485</v>
      </c>
      <c r="H201" s="49">
        <f t="shared" si="7"/>
        <v>0.2293872813990461</v>
      </c>
      <c r="I201" s="50">
        <f t="shared" si="8"/>
        <v>4.8698805284186482E-5</v>
      </c>
      <c r="J201" s="51"/>
      <c r="K201" s="51"/>
      <c r="L201" s="51"/>
      <c r="M201" s="51"/>
      <c r="N201"/>
      <c r="O201"/>
      <c r="P201"/>
      <c r="Q201"/>
      <c r="R201"/>
    </row>
    <row r="202" spans="2:18" ht="12.75" customHeight="1" x14ac:dyDescent="0.25">
      <c r="B202" s="35" t="s">
        <v>475</v>
      </c>
      <c r="C202" s="36" t="s">
        <v>476</v>
      </c>
      <c r="D202" s="47">
        <v>5799.9262658400003</v>
      </c>
      <c r="E202" s="48">
        <f t="shared" si="6"/>
        <v>2.33699997953565E-4</v>
      </c>
      <c r="F202" s="52">
        <v>1.817976513098464E-2</v>
      </c>
      <c r="G202" s="52">
        <v>0.1305</v>
      </c>
      <c r="H202" s="49">
        <f t="shared" si="7"/>
        <v>0.14986599480578139</v>
      </c>
      <c r="I202" s="50">
        <f t="shared" si="8"/>
        <v>3.5023682679420095E-5</v>
      </c>
      <c r="J202" s="51"/>
      <c r="K202" s="51"/>
      <c r="L202" s="51"/>
      <c r="M202" s="51"/>
      <c r="N202"/>
      <c r="O202"/>
      <c r="P202"/>
      <c r="Q202"/>
      <c r="R202"/>
    </row>
    <row r="203" spans="2:18" ht="12.75" customHeight="1" x14ac:dyDescent="0.25">
      <c r="B203" s="35" t="s">
        <v>477</v>
      </c>
      <c r="C203" s="36" t="s">
        <v>478</v>
      </c>
      <c r="D203" s="47">
        <v>20543.344392670002</v>
      </c>
      <c r="E203" s="48">
        <f t="shared" si="6"/>
        <v>8.2776561674634274E-4</v>
      </c>
      <c r="F203" s="52">
        <v>0</v>
      </c>
      <c r="G203" s="52">
        <v>0.16500000000000001</v>
      </c>
      <c r="H203" s="49">
        <f t="shared" si="7"/>
        <v>0.16500000000000001</v>
      </c>
      <c r="I203" s="50">
        <f t="shared" si="8"/>
        <v>1.3658132676314656E-4</v>
      </c>
      <c r="J203" s="51"/>
      <c r="K203" s="51"/>
      <c r="L203" s="51"/>
      <c r="M203" s="51"/>
      <c r="N203"/>
      <c r="O203"/>
      <c r="P203"/>
      <c r="Q203"/>
      <c r="R203"/>
    </row>
    <row r="204" spans="2:18" ht="12.75" customHeight="1" x14ac:dyDescent="0.25">
      <c r="B204" s="35" t="s">
        <v>479</v>
      </c>
      <c r="C204" s="36" t="s">
        <v>480</v>
      </c>
      <c r="D204" s="47">
        <v>10165.424242360001</v>
      </c>
      <c r="E204" s="48">
        <f t="shared" ref="E204:E267" si="9">IF(OR(H204="N/A",D204="N/A"),"N/A",D204/$D$512)</f>
        <v>4.096016941850875E-4</v>
      </c>
      <c r="F204" s="52">
        <v>1.850077679958571E-2</v>
      </c>
      <c r="G204" s="52">
        <v>9.8670000000000008E-2</v>
      </c>
      <c r="H204" s="49">
        <f t="shared" ref="H204:H267" si="10">IFERROR(F204*(1+0.5*G204)+G204,"N/A")</f>
        <v>0.11808351262299327</v>
      </c>
      <c r="I204" s="50">
        <f t="shared" ref="I204:I267" si="11">IF(AND(ISNUMBER(D204),ISNUMBER(H204)),E204*H204,"N/A")</f>
        <v>4.8367206825704207E-5</v>
      </c>
      <c r="J204" s="51"/>
      <c r="K204" s="51"/>
      <c r="L204" s="51"/>
      <c r="M204" s="51"/>
      <c r="N204"/>
      <c r="O204"/>
      <c r="P204"/>
      <c r="Q204"/>
      <c r="R204"/>
    </row>
    <row r="205" spans="2:18" ht="12.75" customHeight="1" x14ac:dyDescent="0.25">
      <c r="B205" s="35" t="s">
        <v>481</v>
      </c>
      <c r="C205" s="36" t="s">
        <v>482</v>
      </c>
      <c r="D205" s="47">
        <v>96347.329774160011</v>
      </c>
      <c r="E205" s="48">
        <f t="shared" si="9"/>
        <v>3.8821822449136966E-3</v>
      </c>
      <c r="F205" s="52">
        <v>7.6523745433570477E-3</v>
      </c>
      <c r="G205" s="52">
        <v>2.6600000000000002E-2</v>
      </c>
      <c r="H205" s="49">
        <f t="shared" si="10"/>
        <v>3.4354151124783697E-2</v>
      </c>
      <c r="I205" s="50">
        <f t="shared" si="11"/>
        <v>1.3336907553571716E-4</v>
      </c>
      <c r="J205" s="51"/>
      <c r="K205" s="51"/>
      <c r="L205" s="51"/>
      <c r="M205" s="51"/>
      <c r="N205"/>
      <c r="O205"/>
      <c r="P205"/>
      <c r="Q205"/>
      <c r="R205"/>
    </row>
    <row r="206" spans="2:18" ht="12.75" customHeight="1" x14ac:dyDescent="0.25">
      <c r="B206" s="35" t="s">
        <v>483</v>
      </c>
      <c r="C206" s="36" t="s">
        <v>484</v>
      </c>
      <c r="D206" s="47">
        <v>17258.401378799997</v>
      </c>
      <c r="E206" s="48">
        <f t="shared" si="9"/>
        <v>6.9540338653309138E-4</v>
      </c>
      <c r="F206" s="52">
        <v>7.3290845886442649E-3</v>
      </c>
      <c r="G206" s="52">
        <v>0.12390000000000001</v>
      </c>
      <c r="H206" s="49">
        <f t="shared" si="10"/>
        <v>0.13168312137891078</v>
      </c>
      <c r="I206" s="50">
        <f t="shared" si="11"/>
        <v>9.1572888556142683E-5</v>
      </c>
      <c r="J206" s="51"/>
      <c r="K206" s="51"/>
      <c r="L206" s="51"/>
      <c r="M206" s="51"/>
      <c r="N206"/>
      <c r="O206"/>
      <c r="P206"/>
      <c r="Q206"/>
      <c r="R206"/>
    </row>
    <row r="207" spans="2:18" ht="12.75" customHeight="1" x14ac:dyDescent="0.25">
      <c r="B207" s="35" t="s">
        <v>485</v>
      </c>
      <c r="C207" s="36" t="s">
        <v>486</v>
      </c>
      <c r="D207" s="47">
        <v>9866.8544766800005</v>
      </c>
      <c r="E207" s="48">
        <f t="shared" si="9"/>
        <v>3.9757123889475515E-4</v>
      </c>
      <c r="F207" s="52">
        <v>3.1331022007838411E-2</v>
      </c>
      <c r="G207" s="52">
        <v>5.9050000000000005E-2</v>
      </c>
      <c r="H207" s="49">
        <f t="shared" si="10"/>
        <v>9.1306070432619846E-2</v>
      </c>
      <c r="I207" s="50">
        <f t="shared" si="11"/>
        <v>3.6300667540508447E-5</v>
      </c>
      <c r="J207" s="51"/>
      <c r="K207" s="51"/>
      <c r="L207" s="51"/>
      <c r="M207" s="51"/>
      <c r="N207"/>
      <c r="O207"/>
      <c r="P207"/>
      <c r="Q207"/>
      <c r="R207"/>
    </row>
    <row r="208" spans="2:18" ht="12.75" customHeight="1" x14ac:dyDescent="0.25">
      <c r="B208" s="35" t="s">
        <v>487</v>
      </c>
      <c r="C208" s="36" t="s">
        <v>488</v>
      </c>
      <c r="D208" s="47">
        <v>10312.4640958</v>
      </c>
      <c r="E208" s="48">
        <f t="shared" si="9"/>
        <v>4.1552646147918401E-4</v>
      </c>
      <c r="F208" s="52">
        <v>2.27411610650371E-2</v>
      </c>
      <c r="G208" s="52">
        <v>0.15426999999999999</v>
      </c>
      <c r="H208" s="49">
        <f t="shared" si="10"/>
        <v>0.17876530052378872</v>
      </c>
      <c r="I208" s="50">
        <f t="shared" si="11"/>
        <v>7.4281712761912848E-5</v>
      </c>
      <c r="J208" s="51"/>
      <c r="K208" s="51"/>
      <c r="L208" s="51"/>
      <c r="M208" s="51"/>
      <c r="N208"/>
      <c r="O208"/>
      <c r="P208"/>
      <c r="Q208"/>
      <c r="R208"/>
    </row>
    <row r="209" spans="2:18" ht="12.75" customHeight="1" x14ac:dyDescent="0.25">
      <c r="B209" s="35" t="s">
        <v>489</v>
      </c>
      <c r="C209" s="36" t="s">
        <v>490</v>
      </c>
      <c r="D209" s="47">
        <v>14206.95944746</v>
      </c>
      <c r="E209" s="48">
        <f t="shared" si="9"/>
        <v>5.7244975912067479E-4</v>
      </c>
      <c r="F209" s="52">
        <v>0</v>
      </c>
      <c r="G209" s="52">
        <v>0.221</v>
      </c>
      <c r="H209" s="49">
        <f t="shared" si="10"/>
        <v>0.221</v>
      </c>
      <c r="I209" s="50">
        <f t="shared" si="11"/>
        <v>1.2651139676566912E-4</v>
      </c>
      <c r="J209" s="51"/>
      <c r="K209" s="51"/>
      <c r="L209" s="51"/>
      <c r="M209" s="51"/>
      <c r="N209"/>
      <c r="O209"/>
      <c r="P209"/>
      <c r="Q209"/>
      <c r="R209"/>
    </row>
    <row r="210" spans="2:18" ht="12.75" customHeight="1" x14ac:dyDescent="0.25">
      <c r="B210" s="35" t="s">
        <v>491</v>
      </c>
      <c r="C210" s="36" t="s">
        <v>492</v>
      </c>
      <c r="D210" s="47">
        <v>27620.462136900001</v>
      </c>
      <c r="E210" s="48">
        <f t="shared" si="9"/>
        <v>1.1129282768451178E-3</v>
      </c>
      <c r="F210" s="52">
        <v>3.6709474194330021E-3</v>
      </c>
      <c r="G210" s="52">
        <v>0.1389</v>
      </c>
      <c r="H210" s="49">
        <f t="shared" si="10"/>
        <v>0.14282589471771262</v>
      </c>
      <c r="I210" s="50">
        <f t="shared" si="11"/>
        <v>1.5895497689704611E-4</v>
      </c>
      <c r="J210" s="51"/>
      <c r="K210" s="51"/>
      <c r="L210" s="51"/>
      <c r="M210" s="51"/>
      <c r="N210"/>
      <c r="O210"/>
      <c r="P210"/>
      <c r="Q210"/>
      <c r="R210"/>
    </row>
    <row r="211" spans="2:18" ht="12.75" customHeight="1" x14ac:dyDescent="0.25">
      <c r="B211" s="35" t="s">
        <v>493</v>
      </c>
      <c r="C211" s="36" t="s">
        <v>494</v>
      </c>
      <c r="D211" s="47">
        <v>48939.578215119996</v>
      </c>
      <c r="E211" s="48">
        <f t="shared" si="9"/>
        <v>1.9719525394803336E-3</v>
      </c>
      <c r="F211" s="52">
        <v>2.3240473526120506E-2</v>
      </c>
      <c r="G211" s="52">
        <v>0.10093000000000001</v>
      </c>
      <c r="H211" s="49">
        <f t="shared" si="10"/>
        <v>0.12534330402261618</v>
      </c>
      <c r="I211" s="50">
        <f t="shared" si="11"/>
        <v>2.4717104667425346E-4</v>
      </c>
      <c r="J211" s="51"/>
      <c r="K211" s="51"/>
      <c r="L211" s="51"/>
      <c r="M211" s="51"/>
      <c r="N211"/>
      <c r="O211"/>
      <c r="P211"/>
      <c r="Q211"/>
      <c r="R211"/>
    </row>
    <row r="212" spans="2:18" ht="12.75" customHeight="1" x14ac:dyDescent="0.25">
      <c r="B212" s="35" t="s">
        <v>495</v>
      </c>
      <c r="C212" s="36" t="s">
        <v>496</v>
      </c>
      <c r="D212" s="47">
        <v>86702.597796000002</v>
      </c>
      <c r="E212" s="48">
        <f t="shared" si="9"/>
        <v>3.4935611245325679E-3</v>
      </c>
      <c r="F212" s="52">
        <v>4.0160642570281121E-3</v>
      </c>
      <c r="G212" s="52">
        <v>1.6E-2</v>
      </c>
      <c r="H212" s="49">
        <f t="shared" si="10"/>
        <v>2.0048192771084338E-2</v>
      </c>
      <c r="I212" s="50">
        <f t="shared" si="11"/>
        <v>7.0039586882195102E-5</v>
      </c>
      <c r="J212" s="51"/>
      <c r="K212" s="51"/>
      <c r="L212" s="51"/>
      <c r="M212" s="51"/>
      <c r="N212"/>
      <c r="O212"/>
      <c r="P212"/>
      <c r="Q212"/>
      <c r="R212"/>
    </row>
    <row r="213" spans="2:18" ht="12.75" customHeight="1" x14ac:dyDescent="0.25">
      <c r="B213" s="35" t="s">
        <v>497</v>
      </c>
      <c r="C213" s="36" t="s">
        <v>498</v>
      </c>
      <c r="D213" s="47">
        <v>83711.757921539989</v>
      </c>
      <c r="E213" s="48">
        <f t="shared" si="9"/>
        <v>3.3730493730888596E-3</v>
      </c>
      <c r="F213" s="52">
        <v>3.824470516532074E-2</v>
      </c>
      <c r="G213" s="52">
        <v>-1.482E-2</v>
      </c>
      <c r="H213" s="49">
        <f t="shared" si="10"/>
        <v>2.3141311900045709E-2</v>
      </c>
      <c r="I213" s="50">
        <f t="shared" si="11"/>
        <v>7.8056787596902951E-5</v>
      </c>
      <c r="J213" s="51"/>
      <c r="K213" s="51"/>
      <c r="L213" s="51"/>
      <c r="M213" s="51"/>
      <c r="N213"/>
      <c r="O213"/>
      <c r="P213"/>
      <c r="Q213"/>
      <c r="R213"/>
    </row>
    <row r="214" spans="2:18" ht="12.75" customHeight="1" x14ac:dyDescent="0.25">
      <c r="B214" s="35" t="s">
        <v>499</v>
      </c>
      <c r="C214" s="36" t="s">
        <v>500</v>
      </c>
      <c r="D214" s="47">
        <v>28351.541046669998</v>
      </c>
      <c r="E214" s="48">
        <f t="shared" si="9"/>
        <v>1.1423860892182545E-3</v>
      </c>
      <c r="F214" s="52">
        <v>4.1528099347505794E-2</v>
      </c>
      <c r="G214" s="52">
        <v>6.3329999999999997E-2</v>
      </c>
      <c r="H214" s="49">
        <f t="shared" si="10"/>
        <v>0.10617308661334457</v>
      </c>
      <c r="I214" s="50">
        <f t="shared" si="11"/>
        <v>1.2129065719644971E-4</v>
      </c>
      <c r="J214" s="51"/>
      <c r="K214" s="51"/>
      <c r="L214" s="51"/>
      <c r="M214" s="51"/>
      <c r="N214"/>
      <c r="O214"/>
      <c r="P214"/>
      <c r="Q214"/>
      <c r="R214"/>
    </row>
    <row r="215" spans="2:18" ht="12.75" customHeight="1" x14ac:dyDescent="0.25">
      <c r="B215" s="35" t="s">
        <v>501</v>
      </c>
      <c r="C215" s="36" t="s">
        <v>502</v>
      </c>
      <c r="D215" s="47">
        <v>27158.992239960004</v>
      </c>
      <c r="E215" s="48">
        <f t="shared" si="9"/>
        <v>1.0943339863270314E-3</v>
      </c>
      <c r="F215" s="52">
        <v>2.3059096176129779E-2</v>
      </c>
      <c r="G215" s="52">
        <v>0.10390000000000001</v>
      </c>
      <c r="H215" s="49">
        <f t="shared" si="10"/>
        <v>0.12815701622247971</v>
      </c>
      <c r="I215" s="50">
        <f t="shared" si="11"/>
        <v>1.4024657843852425E-4</v>
      </c>
      <c r="J215" s="51"/>
      <c r="K215" s="51"/>
      <c r="L215" s="51"/>
      <c r="M215" s="51"/>
      <c r="N215"/>
      <c r="O215"/>
      <c r="P215"/>
      <c r="Q215"/>
      <c r="R215"/>
    </row>
    <row r="216" spans="2:18" ht="12.75" customHeight="1" x14ac:dyDescent="0.25">
      <c r="B216" s="35" t="s">
        <v>503</v>
      </c>
      <c r="C216" s="36" t="s">
        <v>504</v>
      </c>
      <c r="D216" s="47">
        <v>53658.862712820002</v>
      </c>
      <c r="E216" s="48">
        <f t="shared" si="9"/>
        <v>2.1621095737086042E-3</v>
      </c>
      <c r="F216" s="52">
        <v>4.0189125295508277E-2</v>
      </c>
      <c r="G216" s="52">
        <v>6.0280000000000007E-2</v>
      </c>
      <c r="H216" s="49">
        <f t="shared" si="10"/>
        <v>0.10168042553191491</v>
      </c>
      <c r="I216" s="50">
        <f t="shared" si="11"/>
        <v>2.1984422150131801E-4</v>
      </c>
      <c r="J216" s="51"/>
      <c r="K216" s="51"/>
      <c r="L216" s="51"/>
      <c r="M216" s="51"/>
      <c r="N216"/>
      <c r="O216"/>
      <c r="P216"/>
      <c r="Q216"/>
      <c r="R216"/>
    </row>
    <row r="217" spans="2:18" ht="12.75" customHeight="1" x14ac:dyDescent="0.25">
      <c r="B217" s="35" t="s">
        <v>505</v>
      </c>
      <c r="C217" s="36" t="s">
        <v>506</v>
      </c>
      <c r="D217" s="47">
        <v>825304.62343099993</v>
      </c>
      <c r="E217" s="48">
        <f t="shared" si="9"/>
        <v>3.3254507034488762E-2</v>
      </c>
      <c r="F217" s="52">
        <v>0</v>
      </c>
      <c r="G217" s="52">
        <v>0.15224000000000001</v>
      </c>
      <c r="H217" s="49">
        <f t="shared" si="10"/>
        <v>0.15224000000000001</v>
      </c>
      <c r="I217" s="50">
        <f t="shared" si="11"/>
        <v>5.0626661509305696E-3</v>
      </c>
      <c r="J217" s="51"/>
      <c r="K217" s="51"/>
      <c r="L217" s="51"/>
      <c r="M217" s="51"/>
      <c r="N217"/>
      <c r="O217"/>
      <c r="P217"/>
      <c r="Q217"/>
      <c r="R217"/>
    </row>
    <row r="218" spans="2:18" ht="12.75" customHeight="1" x14ac:dyDescent="0.25">
      <c r="B218" s="35" t="s">
        <v>507</v>
      </c>
      <c r="C218" s="36" t="s">
        <v>508</v>
      </c>
      <c r="D218" s="47">
        <v>15623.280043250001</v>
      </c>
      <c r="E218" s="48">
        <f t="shared" si="9"/>
        <v>6.2951843640493283E-4</v>
      </c>
      <c r="F218" s="52">
        <v>2.886501634750117E-2</v>
      </c>
      <c r="G218" s="52">
        <v>6.3399999999999998E-2</v>
      </c>
      <c r="H218" s="49">
        <f t="shared" si="10"/>
        <v>9.318003736571695E-2</v>
      </c>
      <c r="I218" s="50">
        <f t="shared" si="11"/>
        <v>5.8658551426619352E-5</v>
      </c>
      <c r="J218" s="51"/>
      <c r="K218" s="51"/>
      <c r="L218" s="51"/>
      <c r="M218" s="51"/>
      <c r="N218"/>
      <c r="O218"/>
      <c r="P218"/>
      <c r="Q218"/>
      <c r="R218"/>
    </row>
    <row r="219" spans="2:18" ht="12.75" customHeight="1" x14ac:dyDescent="0.25">
      <c r="B219" s="35" t="s">
        <v>509</v>
      </c>
      <c r="C219" s="36" t="s">
        <v>510</v>
      </c>
      <c r="D219" s="47">
        <v>21170.888137280002</v>
      </c>
      <c r="E219" s="48">
        <f t="shared" si="9"/>
        <v>8.5305162300040491E-4</v>
      </c>
      <c r="F219" s="52">
        <v>2.8332836266030414E-4</v>
      </c>
      <c r="G219" s="52">
        <v>0.17</v>
      </c>
      <c r="H219" s="49">
        <f t="shared" si="10"/>
        <v>0.17030741127348645</v>
      </c>
      <c r="I219" s="50">
        <f t="shared" si="11"/>
        <v>1.4528101359584508E-4</v>
      </c>
      <c r="J219" s="51"/>
      <c r="K219" s="51"/>
      <c r="L219" s="51"/>
      <c r="M219" s="51"/>
      <c r="N219"/>
      <c r="O219"/>
      <c r="P219"/>
      <c r="Q219"/>
      <c r="R219"/>
    </row>
    <row r="220" spans="2:18" ht="12.75" customHeight="1" x14ac:dyDescent="0.25">
      <c r="B220" s="35" t="s">
        <v>511</v>
      </c>
      <c r="C220" s="36" t="s">
        <v>512</v>
      </c>
      <c r="D220" s="47">
        <v>9646.4683384199998</v>
      </c>
      <c r="E220" s="48">
        <f t="shared" si="9"/>
        <v>3.8869108461353567E-4</v>
      </c>
      <c r="F220" s="52">
        <v>3.8671411625148283E-2</v>
      </c>
      <c r="G220" s="52">
        <v>8.7000000000000008E-2</v>
      </c>
      <c r="H220" s="49">
        <f t="shared" si="10"/>
        <v>0.12735361803084225</v>
      </c>
      <c r="I220" s="50">
        <f t="shared" si="11"/>
        <v>4.9501215921866005E-5</v>
      </c>
      <c r="J220" s="51"/>
      <c r="K220" s="51"/>
      <c r="L220" s="51"/>
      <c r="M220" s="51"/>
      <c r="N220"/>
      <c r="O220"/>
      <c r="P220"/>
      <c r="Q220"/>
      <c r="R220"/>
    </row>
    <row r="221" spans="2:18" ht="12.75" customHeight="1" x14ac:dyDescent="0.25">
      <c r="B221" s="35" t="s">
        <v>513</v>
      </c>
      <c r="C221" s="36" t="s">
        <v>514</v>
      </c>
      <c r="D221" s="47">
        <v>15718.349249999999</v>
      </c>
      <c r="E221" s="48">
        <f t="shared" si="9"/>
        <v>6.3334911845235444E-4</v>
      </c>
      <c r="F221" s="52">
        <v>2.7003003003003005E-2</v>
      </c>
      <c r="G221" s="52">
        <v>7.2750000000000009E-2</v>
      </c>
      <c r="H221" s="49">
        <f t="shared" si="10"/>
        <v>0.10073523723723725</v>
      </c>
      <c r="I221" s="50">
        <f t="shared" si="11"/>
        <v>6.3800573701292993E-5</v>
      </c>
      <c r="J221" s="51"/>
      <c r="K221" s="51"/>
      <c r="L221" s="51"/>
      <c r="M221" s="51"/>
      <c r="N221"/>
      <c r="O221"/>
      <c r="P221"/>
      <c r="Q221"/>
      <c r="R221"/>
    </row>
    <row r="222" spans="2:18" ht="12.75" customHeight="1" x14ac:dyDescent="0.25">
      <c r="B222" s="35" t="s">
        <v>515</v>
      </c>
      <c r="C222" s="36" t="s">
        <v>516</v>
      </c>
      <c r="D222" s="47">
        <v>75908.535400280001</v>
      </c>
      <c r="E222" s="48">
        <f t="shared" si="9"/>
        <v>3.0586293264082218E-3</v>
      </c>
      <c r="F222" s="52">
        <v>1.7134066377484113E-2</v>
      </c>
      <c r="G222" s="52">
        <v>6.7350000000000007E-2</v>
      </c>
      <c r="H222" s="49">
        <f t="shared" si="10"/>
        <v>8.5061056062745888E-2</v>
      </c>
      <c r="I222" s="50">
        <f t="shared" si="11"/>
        <v>2.6017024060876848E-4</v>
      </c>
      <c r="J222" s="51"/>
      <c r="K222" s="51"/>
      <c r="L222" s="51"/>
      <c r="M222" s="51"/>
      <c r="N222"/>
      <c r="O222"/>
      <c r="P222"/>
      <c r="Q222"/>
      <c r="R222"/>
    </row>
    <row r="223" spans="2:18" ht="12.75" customHeight="1" x14ac:dyDescent="0.25">
      <c r="B223" s="35" t="s">
        <v>517</v>
      </c>
      <c r="C223" s="36" t="s">
        <v>518</v>
      </c>
      <c r="D223" s="47">
        <v>16524.182750399999</v>
      </c>
      <c r="E223" s="48">
        <f t="shared" si="9"/>
        <v>6.6581906354520285E-4</v>
      </c>
      <c r="F223" s="52">
        <v>1.9200484554815263E-2</v>
      </c>
      <c r="G223" s="52">
        <v>0.12467</v>
      </c>
      <c r="H223" s="49">
        <f t="shared" si="10"/>
        <v>0.14506734675953967</v>
      </c>
      <c r="I223" s="50">
        <f t="shared" si="11"/>
        <v>9.6588604970423913E-5</v>
      </c>
      <c r="J223" s="51"/>
      <c r="K223" s="51"/>
      <c r="L223" s="51"/>
      <c r="M223" s="51"/>
      <c r="N223"/>
      <c r="O223"/>
      <c r="P223"/>
      <c r="Q223"/>
      <c r="R223"/>
    </row>
    <row r="224" spans="2:18" ht="12.75" customHeight="1" x14ac:dyDescent="0.25">
      <c r="B224" s="35" t="s">
        <v>519</v>
      </c>
      <c r="C224" s="36" t="s">
        <v>520</v>
      </c>
      <c r="D224" s="47">
        <v>24405.023290739999</v>
      </c>
      <c r="E224" s="48">
        <f t="shared" si="9"/>
        <v>9.8336662083006949E-4</v>
      </c>
      <c r="F224" s="52">
        <v>2.5241329996424741E-2</v>
      </c>
      <c r="G224" s="52">
        <v>0.30077999999999999</v>
      </c>
      <c r="H224" s="49">
        <f t="shared" si="10"/>
        <v>0.32981737361458707</v>
      </c>
      <c r="I224" s="50">
        <f t="shared" si="11"/>
        <v>3.24331396182425E-4</v>
      </c>
      <c r="J224" s="51"/>
      <c r="K224" s="51"/>
      <c r="L224" s="51"/>
      <c r="M224" s="51"/>
      <c r="N224"/>
      <c r="O224"/>
      <c r="P224"/>
      <c r="Q224"/>
      <c r="R224"/>
    </row>
    <row r="225" spans="2:18" ht="12.75" customHeight="1" x14ac:dyDescent="0.25">
      <c r="B225" s="35" t="s">
        <v>521</v>
      </c>
      <c r="C225" s="36" t="s">
        <v>522</v>
      </c>
      <c r="D225" s="47">
        <v>10913.0589984</v>
      </c>
      <c r="E225" s="48">
        <f t="shared" si="9"/>
        <v>4.3972660145944864E-4</v>
      </c>
      <c r="F225" s="52">
        <v>3.1399907749077492E-2</v>
      </c>
      <c r="G225" s="52">
        <v>0.1085</v>
      </c>
      <c r="H225" s="49">
        <f t="shared" si="10"/>
        <v>0.14160335274446495</v>
      </c>
      <c r="I225" s="50">
        <f t="shared" si="11"/>
        <v>6.2266761057587058E-5</v>
      </c>
      <c r="J225" s="51"/>
      <c r="K225" s="51"/>
      <c r="L225" s="51"/>
      <c r="M225" s="51"/>
      <c r="N225"/>
      <c r="O225"/>
      <c r="P225"/>
      <c r="Q225"/>
      <c r="R225"/>
    </row>
    <row r="226" spans="2:18" ht="12.75" customHeight="1" x14ac:dyDescent="0.25">
      <c r="B226" s="35" t="s">
        <v>523</v>
      </c>
      <c r="C226" s="36" t="s">
        <v>524</v>
      </c>
      <c r="D226" s="47">
        <v>14450.628431250001</v>
      </c>
      <c r="E226" s="48">
        <f t="shared" si="9"/>
        <v>5.822680634236905E-4</v>
      </c>
      <c r="F226" s="52">
        <v>4.305454545454545E-2</v>
      </c>
      <c r="G226" s="52">
        <v>8.2029999999999992E-2</v>
      </c>
      <c r="H226" s="49">
        <f t="shared" si="10"/>
        <v>0.12685042763636362</v>
      </c>
      <c r="I226" s="50">
        <f t="shared" si="11"/>
        <v>7.3860952844292428E-5</v>
      </c>
      <c r="J226" s="51"/>
      <c r="K226" s="51"/>
      <c r="L226" s="51"/>
      <c r="M226" s="51"/>
      <c r="N226"/>
      <c r="O226"/>
      <c r="P226"/>
      <c r="Q226"/>
      <c r="R226"/>
    </row>
    <row r="227" spans="2:18" ht="12.75" customHeight="1" x14ac:dyDescent="0.25">
      <c r="B227" s="35" t="s">
        <v>525</v>
      </c>
      <c r="C227" s="36" t="s">
        <v>526</v>
      </c>
      <c r="D227" s="47">
        <v>6372.7303802999995</v>
      </c>
      <c r="E227" s="48">
        <f t="shared" si="9"/>
        <v>2.5678034660653326E-4</v>
      </c>
      <c r="F227" s="52">
        <v>3.5507657402155418E-2</v>
      </c>
      <c r="G227" s="52">
        <v>3.7170000000000002E-2</v>
      </c>
      <c r="H227" s="49">
        <f t="shared" si="10"/>
        <v>7.3337567214974475E-2</v>
      </c>
      <c r="I227" s="50">
        <f t="shared" si="11"/>
        <v>1.8831645928741077E-5</v>
      </c>
      <c r="J227" s="51"/>
      <c r="K227" s="51"/>
      <c r="L227" s="51"/>
      <c r="M227" s="51"/>
      <c r="N227"/>
      <c r="O227"/>
      <c r="P227"/>
      <c r="Q227"/>
      <c r="R227"/>
    </row>
    <row r="228" spans="2:18" ht="12.75" customHeight="1" x14ac:dyDescent="0.25">
      <c r="B228" s="35" t="s">
        <v>527</v>
      </c>
      <c r="C228" s="36" t="s">
        <v>528</v>
      </c>
      <c r="D228" s="47">
        <v>45349.257128099998</v>
      </c>
      <c r="E228" s="48">
        <f t="shared" si="9"/>
        <v>1.8272855226544405E-3</v>
      </c>
      <c r="F228" s="52">
        <v>1.0253116735927466E-2</v>
      </c>
      <c r="G228" s="52">
        <v>0.11560000000000001</v>
      </c>
      <c r="H228" s="49">
        <f t="shared" si="10"/>
        <v>0.12644574688326407</v>
      </c>
      <c r="I228" s="50">
        <f t="shared" si="11"/>
        <v>2.3105248268101626E-4</v>
      </c>
      <c r="J228" s="51"/>
      <c r="K228" s="51"/>
      <c r="L228" s="51"/>
      <c r="M228" s="51"/>
      <c r="N228"/>
      <c r="O228"/>
      <c r="P228"/>
      <c r="Q228"/>
      <c r="R228"/>
    </row>
    <row r="229" spans="2:18" ht="12.75" customHeight="1" x14ac:dyDescent="0.25">
      <c r="B229" s="35" t="s">
        <v>529</v>
      </c>
      <c r="C229" s="36" t="s">
        <v>530</v>
      </c>
      <c r="D229" s="47">
        <v>14877.885565399998</v>
      </c>
      <c r="E229" s="48">
        <f t="shared" si="9"/>
        <v>5.9948379803821303E-4</v>
      </c>
      <c r="F229" s="52">
        <v>4.7638933504657893E-2</v>
      </c>
      <c r="G229" s="52">
        <v>2.5699999999999997E-2</v>
      </c>
      <c r="H229" s="49">
        <f t="shared" si="10"/>
        <v>7.3951093800192741E-2</v>
      </c>
      <c r="I229" s="50">
        <f t="shared" si="11"/>
        <v>4.4332482580419692E-5</v>
      </c>
      <c r="J229" s="51"/>
      <c r="K229" s="51"/>
      <c r="L229" s="51"/>
      <c r="M229" s="51"/>
      <c r="N229"/>
      <c r="O229"/>
      <c r="P229"/>
      <c r="Q229"/>
      <c r="R229"/>
    </row>
    <row r="230" spans="2:18" ht="12.75" customHeight="1" x14ac:dyDescent="0.25">
      <c r="B230" s="35" t="s">
        <v>531</v>
      </c>
      <c r="C230" s="36" t="s">
        <v>532</v>
      </c>
      <c r="D230" s="47">
        <v>205833.84261142</v>
      </c>
      <c r="E230" s="48">
        <f t="shared" si="9"/>
        <v>8.293789678047999E-3</v>
      </c>
      <c r="F230" s="52">
        <v>2.9429841409208152E-2</v>
      </c>
      <c r="G230" s="52">
        <v>0.10718</v>
      </c>
      <c r="H230" s="49">
        <f t="shared" si="10"/>
        <v>0.13818698661032761</v>
      </c>
      <c r="I230" s="50">
        <f t="shared" si="11"/>
        <v>1.1460938031892921E-3</v>
      </c>
      <c r="J230" s="51"/>
      <c r="K230" s="51"/>
      <c r="L230" s="51"/>
      <c r="M230" s="51"/>
      <c r="N230"/>
      <c r="O230"/>
      <c r="P230"/>
      <c r="Q230"/>
      <c r="R230"/>
    </row>
    <row r="231" spans="2:18" ht="12.75" customHeight="1" x14ac:dyDescent="0.25">
      <c r="B231" s="35" t="s">
        <v>533</v>
      </c>
      <c r="C231" s="36" t="s">
        <v>534</v>
      </c>
      <c r="D231" s="47">
        <v>17651.745761500002</v>
      </c>
      <c r="E231" s="48">
        <f t="shared" si="9"/>
        <v>7.1125265378558188E-4</v>
      </c>
      <c r="F231" s="52">
        <v>1.7424892703862663E-2</v>
      </c>
      <c r="G231" s="52">
        <v>-9.2300000000000007E-2</v>
      </c>
      <c r="H231" s="49">
        <f t="shared" si="10"/>
        <v>-7.5679266094420605E-2</v>
      </c>
      <c r="I231" s="50">
        <f t="shared" si="11"/>
        <v>-5.3827078846201864E-5</v>
      </c>
      <c r="J231" s="51"/>
      <c r="K231" s="51"/>
      <c r="L231" s="51"/>
      <c r="M231" s="51"/>
      <c r="N231"/>
      <c r="O231"/>
      <c r="P231"/>
      <c r="Q231"/>
      <c r="R231"/>
    </row>
    <row r="232" spans="2:18" ht="12.75" customHeight="1" x14ac:dyDescent="0.25">
      <c r="B232" s="35" t="s">
        <v>535</v>
      </c>
      <c r="C232" s="36" t="s">
        <v>536</v>
      </c>
      <c r="D232" s="47">
        <v>8913.9604572000007</v>
      </c>
      <c r="E232" s="48">
        <f t="shared" si="9"/>
        <v>3.5917569381446122E-4</v>
      </c>
      <c r="F232" s="52">
        <v>2.6015325670498086E-2</v>
      </c>
      <c r="G232" s="52">
        <v>7.0669999999999997E-2</v>
      </c>
      <c r="H232" s="49">
        <f t="shared" si="10"/>
        <v>9.7604577203065132E-2</v>
      </c>
      <c r="I232" s="50">
        <f t="shared" si="11"/>
        <v>3.5057191736378063E-5</v>
      </c>
      <c r="J232" s="51"/>
      <c r="K232" s="51"/>
      <c r="L232" s="51"/>
      <c r="M232" s="51"/>
      <c r="N232"/>
      <c r="O232"/>
      <c r="P232"/>
      <c r="Q232"/>
      <c r="R232"/>
    </row>
    <row r="233" spans="2:18" ht="12.75" customHeight="1" x14ac:dyDescent="0.25">
      <c r="B233" s="35" t="s">
        <v>537</v>
      </c>
      <c r="C233" s="36" t="s">
        <v>538</v>
      </c>
      <c r="D233" s="47">
        <v>17549.344976820001</v>
      </c>
      <c r="E233" s="48">
        <f t="shared" si="9"/>
        <v>7.0712655595721677E-4</v>
      </c>
      <c r="F233" s="52">
        <v>2.5440393281442032E-2</v>
      </c>
      <c r="G233" s="52">
        <v>9.5000000000000001E-2</v>
      </c>
      <c r="H233" s="49">
        <f t="shared" si="10"/>
        <v>0.12164881196231053</v>
      </c>
      <c r="I233" s="50">
        <f t="shared" si="11"/>
        <v>8.6021105439195713E-5</v>
      </c>
      <c r="J233" s="51"/>
      <c r="K233" s="51"/>
      <c r="L233" s="51"/>
      <c r="M233" s="51"/>
      <c r="N233"/>
      <c r="O233"/>
      <c r="P233"/>
      <c r="Q233"/>
      <c r="R233"/>
    </row>
    <row r="234" spans="2:18" ht="12.75" customHeight="1" x14ac:dyDescent="0.25">
      <c r="B234" s="35" t="s">
        <v>539</v>
      </c>
      <c r="C234" s="36" t="s">
        <v>540</v>
      </c>
      <c r="D234" s="47">
        <v>8489.1291075099998</v>
      </c>
      <c r="E234" s="48">
        <f t="shared" si="9"/>
        <v>3.4205770282586646E-4</v>
      </c>
      <c r="F234" s="52">
        <v>1.6506041778777947E-2</v>
      </c>
      <c r="G234" s="52">
        <v>0.4</v>
      </c>
      <c r="H234" s="49">
        <f t="shared" si="10"/>
        <v>0.41980725013453357</v>
      </c>
      <c r="I234" s="50">
        <f t="shared" si="11"/>
        <v>1.4359830361066248E-4</v>
      </c>
      <c r="J234" s="51"/>
      <c r="K234" s="51"/>
      <c r="L234" s="51"/>
      <c r="M234" s="51"/>
      <c r="N234"/>
      <c r="O234"/>
      <c r="P234"/>
      <c r="Q234"/>
      <c r="R234"/>
    </row>
    <row r="235" spans="2:18" ht="12.75" customHeight="1" x14ac:dyDescent="0.25">
      <c r="B235" s="35" t="s">
        <v>541</v>
      </c>
      <c r="C235" s="36" t="s">
        <v>542</v>
      </c>
      <c r="D235" s="47">
        <v>25114.587621120001</v>
      </c>
      <c r="E235" s="48">
        <f t="shared" si="9"/>
        <v>1.0119575330170734E-3</v>
      </c>
      <c r="F235" s="52">
        <v>7.6142723880597007E-3</v>
      </c>
      <c r="G235" s="52">
        <v>0.13263</v>
      </c>
      <c r="H235" s="49">
        <f t="shared" si="10"/>
        <v>0.14074921286147388</v>
      </c>
      <c r="I235" s="50">
        <f t="shared" si="11"/>
        <v>1.4243222622139205E-4</v>
      </c>
      <c r="J235" s="51"/>
      <c r="K235" s="51"/>
      <c r="L235" s="51"/>
      <c r="M235" s="51"/>
      <c r="N235"/>
      <c r="O235"/>
      <c r="P235"/>
      <c r="Q235"/>
      <c r="R235"/>
    </row>
    <row r="236" spans="2:18" ht="12.75" customHeight="1" x14ac:dyDescent="0.25">
      <c r="B236" s="35" t="s">
        <v>543</v>
      </c>
      <c r="C236" s="36" t="s">
        <v>544</v>
      </c>
      <c r="D236" s="47">
        <v>5839.3087530000003</v>
      </c>
      <c r="E236" s="48">
        <f t="shared" si="9"/>
        <v>2.3528686074230517E-4</v>
      </c>
      <c r="F236" s="52">
        <v>4.2486338797814209E-2</v>
      </c>
      <c r="G236" s="52">
        <v>8.5999999999999993E-2</v>
      </c>
      <c r="H236" s="49">
        <f t="shared" si="10"/>
        <v>0.13031325136612021</v>
      </c>
      <c r="I236" s="50">
        <f t="shared" si="11"/>
        <v>3.0660995827057332E-5</v>
      </c>
      <c r="J236" s="51"/>
      <c r="K236" s="51"/>
      <c r="L236" s="51"/>
      <c r="M236" s="51"/>
      <c r="N236"/>
      <c r="O236"/>
      <c r="P236"/>
      <c r="Q236"/>
      <c r="R236"/>
    </row>
    <row r="237" spans="2:18" ht="12.75" customHeight="1" x14ac:dyDescent="0.25">
      <c r="B237" s="35" t="s">
        <v>545</v>
      </c>
      <c r="C237" s="36" t="s">
        <v>546</v>
      </c>
      <c r="D237" s="47">
        <v>12741.785412950001</v>
      </c>
      <c r="E237" s="48">
        <f t="shared" si="9"/>
        <v>5.1341260016861835E-4</v>
      </c>
      <c r="F237" s="52">
        <v>0</v>
      </c>
      <c r="G237" s="52">
        <v>3.0950000000000002E-2</v>
      </c>
      <c r="H237" s="49">
        <f t="shared" si="10"/>
        <v>3.0950000000000002E-2</v>
      </c>
      <c r="I237" s="50">
        <f t="shared" si="11"/>
        <v>1.589011997521874E-5</v>
      </c>
      <c r="J237" s="51"/>
      <c r="K237" s="51"/>
      <c r="L237" s="51"/>
      <c r="M237" s="51"/>
      <c r="N237"/>
      <c r="O237"/>
      <c r="P237"/>
      <c r="Q237"/>
      <c r="R237"/>
    </row>
    <row r="238" spans="2:18" ht="12.75" customHeight="1" x14ac:dyDescent="0.25">
      <c r="B238" s="35" t="s">
        <v>547</v>
      </c>
      <c r="C238" s="36" t="s">
        <v>548</v>
      </c>
      <c r="D238" s="47">
        <v>113152.25821705001</v>
      </c>
      <c r="E238" s="48">
        <f t="shared" si="9"/>
        <v>4.5593135674003296E-3</v>
      </c>
      <c r="F238" s="52">
        <v>2.14290312198262E-2</v>
      </c>
      <c r="G238" s="52">
        <v>7.8750000000000001E-2</v>
      </c>
      <c r="H238" s="49">
        <f t="shared" si="10"/>
        <v>0.10102279932410685</v>
      </c>
      <c r="I238" s="50">
        <f t="shared" si="11"/>
        <v>4.6059461957516118E-4</v>
      </c>
      <c r="J238" s="51"/>
      <c r="K238" s="51"/>
      <c r="L238" s="51"/>
      <c r="M238" s="51"/>
      <c r="N238"/>
      <c r="O238"/>
      <c r="P238"/>
      <c r="Q238"/>
      <c r="R238"/>
    </row>
    <row r="239" spans="2:18" ht="12.75" customHeight="1" x14ac:dyDescent="0.25">
      <c r="B239" s="35" t="s">
        <v>549</v>
      </c>
      <c r="C239" s="36" t="s">
        <v>550</v>
      </c>
      <c r="D239" s="47">
        <v>5968.0605332999994</v>
      </c>
      <c r="E239" s="48">
        <f t="shared" si="9"/>
        <v>2.4047473545199682E-4</v>
      </c>
      <c r="F239" s="52">
        <v>5.2172318973418889E-2</v>
      </c>
      <c r="G239" s="52">
        <v>0.96360000000000001</v>
      </c>
      <c r="H239" s="49">
        <f t="shared" si="10"/>
        <v>1.0409089422548121</v>
      </c>
      <c r="I239" s="50">
        <f t="shared" si="11"/>
        <v>2.503123025183438E-4</v>
      </c>
      <c r="J239" s="51"/>
      <c r="K239" s="51"/>
      <c r="L239" s="51"/>
      <c r="M239" s="51"/>
      <c r="N239"/>
      <c r="O239"/>
      <c r="P239"/>
      <c r="Q239"/>
      <c r="R239"/>
    </row>
    <row r="240" spans="2:18" ht="12.75" customHeight="1" x14ac:dyDescent="0.25">
      <c r="B240" s="35" t="s">
        <v>551</v>
      </c>
      <c r="C240" s="36" t="s">
        <v>552</v>
      </c>
      <c r="D240" s="47">
        <v>22021.979072090002</v>
      </c>
      <c r="E240" s="48">
        <f t="shared" si="9"/>
        <v>8.8734515374662513E-4</v>
      </c>
      <c r="F240" s="52">
        <v>2.8562538892345987E-2</v>
      </c>
      <c r="G240" s="52">
        <v>6.0899999999999996E-2</v>
      </c>
      <c r="H240" s="49">
        <f t="shared" si="10"/>
        <v>9.0332268201617924E-2</v>
      </c>
      <c r="I240" s="50">
        <f t="shared" si="11"/>
        <v>8.0155900415646036E-5</v>
      </c>
      <c r="J240" s="51"/>
      <c r="K240" s="51"/>
      <c r="L240" s="51"/>
      <c r="M240" s="51"/>
      <c r="N240"/>
      <c r="O240"/>
      <c r="P240"/>
      <c r="Q240"/>
      <c r="R240"/>
    </row>
    <row r="241" spans="2:18" ht="12.75" customHeight="1" x14ac:dyDescent="0.25">
      <c r="B241" s="35" t="s">
        <v>553</v>
      </c>
      <c r="C241" s="36" t="s">
        <v>554</v>
      </c>
      <c r="D241" s="47">
        <v>30578.026270860002</v>
      </c>
      <c r="E241" s="48">
        <f t="shared" si="9"/>
        <v>1.2320992284009795E-3</v>
      </c>
      <c r="F241" s="52">
        <v>3.1845536609829486E-2</v>
      </c>
      <c r="G241" s="52">
        <v>3.0800000000000001E-2</v>
      </c>
      <c r="H241" s="49">
        <f t="shared" si="10"/>
        <v>6.3135957873620863E-2</v>
      </c>
      <c r="I241" s="50">
        <f t="shared" si="11"/>
        <v>7.7789764980445007E-5</v>
      </c>
      <c r="J241" s="51"/>
      <c r="K241" s="51"/>
      <c r="L241" s="51"/>
      <c r="M241" s="51"/>
      <c r="N241"/>
      <c r="O241"/>
      <c r="P241"/>
      <c r="Q241"/>
      <c r="R241"/>
    </row>
    <row r="242" spans="2:18" ht="12.75" customHeight="1" x14ac:dyDescent="0.25">
      <c r="B242" s="35" t="s">
        <v>555</v>
      </c>
      <c r="C242" s="36" t="s">
        <v>556</v>
      </c>
      <c r="D242" s="47">
        <v>4950.1874232999999</v>
      </c>
      <c r="E242" s="48">
        <f t="shared" si="9"/>
        <v>1.9946094789317567E-4</v>
      </c>
      <c r="F242" s="52">
        <v>4.1190965092402464E-2</v>
      </c>
      <c r="G242" s="52">
        <v>0.1</v>
      </c>
      <c r="H242" s="49">
        <f t="shared" si="10"/>
        <v>0.1432505133470226</v>
      </c>
      <c r="I242" s="50">
        <f t="shared" si="11"/>
        <v>2.857288317838114E-5</v>
      </c>
      <c r="J242" s="51"/>
      <c r="K242" s="51"/>
      <c r="L242" s="51"/>
      <c r="M242" s="51"/>
      <c r="N242"/>
      <c r="O242"/>
      <c r="P242"/>
      <c r="Q242"/>
      <c r="R242"/>
    </row>
    <row r="243" spans="2:18" ht="12.75" customHeight="1" x14ac:dyDescent="0.25">
      <c r="B243" s="35" t="s">
        <v>557</v>
      </c>
      <c r="C243" s="36" t="s">
        <v>558</v>
      </c>
      <c r="D243" s="47">
        <v>22798.361111680002</v>
      </c>
      <c r="E243" s="48">
        <f t="shared" si="9"/>
        <v>9.1862839300640737E-4</v>
      </c>
      <c r="F243" s="52">
        <v>1.9595864661654132E-2</v>
      </c>
      <c r="G243" s="52">
        <v>5.7999999999999996E-2</v>
      </c>
      <c r="H243" s="49">
        <f t="shared" si="10"/>
        <v>7.8164144736842092E-2</v>
      </c>
      <c r="I243" s="50">
        <f t="shared" si="11"/>
        <v>7.1803802670325487E-5</v>
      </c>
      <c r="J243" s="51"/>
      <c r="K243" s="51"/>
      <c r="L243" s="51"/>
      <c r="M243" s="51"/>
      <c r="N243"/>
      <c r="O243"/>
      <c r="P243"/>
      <c r="Q243"/>
      <c r="R243"/>
    </row>
    <row r="244" spans="2:18" ht="12.75" customHeight="1" x14ac:dyDescent="0.25">
      <c r="B244" s="35" t="s">
        <v>559</v>
      </c>
      <c r="C244" s="36" t="s">
        <v>560</v>
      </c>
      <c r="D244" s="47">
        <v>18953.954841120001</v>
      </c>
      <c r="E244" s="48">
        <f t="shared" si="9"/>
        <v>7.6372336553147196E-4</v>
      </c>
      <c r="F244" s="52">
        <v>1.6778690565098332E-2</v>
      </c>
      <c r="G244" s="52">
        <v>7.0000000000000007E-2</v>
      </c>
      <c r="H244" s="49">
        <f t="shared" si="10"/>
        <v>8.7365944734876771E-2</v>
      </c>
      <c r="I244" s="50">
        <f t="shared" si="11"/>
        <v>6.6723413345756675E-5</v>
      </c>
      <c r="J244" s="51"/>
      <c r="K244" s="51"/>
      <c r="L244" s="51"/>
      <c r="M244" s="51"/>
      <c r="N244"/>
      <c r="O244"/>
      <c r="P244"/>
      <c r="Q244"/>
      <c r="R244"/>
    </row>
    <row r="245" spans="2:18" ht="12.75" customHeight="1" x14ac:dyDescent="0.25">
      <c r="B245" s="35" t="s">
        <v>561</v>
      </c>
      <c r="C245" s="36" t="s">
        <v>562</v>
      </c>
      <c r="D245" s="47">
        <v>8976.72555087</v>
      </c>
      <c r="E245" s="48">
        <f t="shared" si="9"/>
        <v>3.6170472635555162E-4</v>
      </c>
      <c r="F245" s="52" t="s">
        <v>117</v>
      </c>
      <c r="G245" s="52">
        <v>7.1059999999999998E-2</v>
      </c>
      <c r="H245" s="49">
        <f t="shared" si="10"/>
        <v>7.1059999999999998E-2</v>
      </c>
      <c r="I245" s="50">
        <f t="shared" si="11"/>
        <v>2.5702737854825496E-5</v>
      </c>
      <c r="J245" s="51"/>
      <c r="K245" s="51"/>
      <c r="L245" s="51"/>
      <c r="M245" s="51"/>
      <c r="N245"/>
      <c r="O245"/>
      <c r="P245"/>
      <c r="Q245"/>
      <c r="R245"/>
    </row>
    <row r="246" spans="2:18" ht="12.75" customHeight="1" x14ac:dyDescent="0.25">
      <c r="B246" s="35" t="s">
        <v>563</v>
      </c>
      <c r="C246" s="36" t="s">
        <v>564</v>
      </c>
      <c r="D246" s="47">
        <v>14187.46978836</v>
      </c>
      <c r="E246" s="48">
        <f t="shared" si="9"/>
        <v>5.7166445029380023E-4</v>
      </c>
      <c r="F246" s="52">
        <v>4.4102296450939459E-2</v>
      </c>
      <c r="G246" s="52">
        <v>2.7000000000000003E-2</v>
      </c>
      <c r="H246" s="49">
        <f t="shared" si="10"/>
        <v>7.1697677453027145E-2</v>
      </c>
      <c r="I246" s="50">
        <f t="shared" si="11"/>
        <v>4.0987013368526961E-5</v>
      </c>
      <c r="J246" s="51"/>
      <c r="K246" s="51"/>
      <c r="L246" s="51"/>
      <c r="M246" s="51"/>
      <c r="N246"/>
      <c r="O246"/>
      <c r="P246"/>
      <c r="Q246"/>
      <c r="R246"/>
    </row>
    <row r="247" spans="2:18" ht="12.75" customHeight="1" x14ac:dyDescent="0.25">
      <c r="B247" s="35" t="s">
        <v>565</v>
      </c>
      <c r="C247" s="36" t="s">
        <v>566</v>
      </c>
      <c r="D247" s="47">
        <v>23101.907977260002</v>
      </c>
      <c r="E247" s="48">
        <f t="shared" si="9"/>
        <v>9.3085939364561689E-4</v>
      </c>
      <c r="F247" s="52">
        <v>2.6635977976351657E-2</v>
      </c>
      <c r="G247" s="52">
        <v>7.2000000000000008E-2</v>
      </c>
      <c r="H247" s="49">
        <f t="shared" si="10"/>
        <v>9.9594873183500326E-2</v>
      </c>
      <c r="I247" s="50">
        <f t="shared" si="11"/>
        <v>9.2708823261805225E-5</v>
      </c>
      <c r="J247" s="51"/>
      <c r="K247" s="51"/>
      <c r="L247" s="51"/>
      <c r="M247" s="51"/>
      <c r="N247"/>
      <c r="O247"/>
      <c r="P247"/>
      <c r="Q247"/>
      <c r="R247"/>
    </row>
    <row r="248" spans="2:18" ht="12.75" customHeight="1" x14ac:dyDescent="0.25">
      <c r="B248" s="35" t="s">
        <v>567</v>
      </c>
      <c r="C248" s="36" t="s">
        <v>568</v>
      </c>
      <c r="D248" s="47">
        <v>37997.559004859999</v>
      </c>
      <c r="E248" s="48">
        <f t="shared" si="9"/>
        <v>1.5310590263840462E-3</v>
      </c>
      <c r="F248" s="52">
        <v>7.0250588991218688E-3</v>
      </c>
      <c r="G248" s="52">
        <v>0.14112</v>
      </c>
      <c r="H248" s="49">
        <f t="shared" si="10"/>
        <v>0.1486407470550439</v>
      </c>
      <c r="I248" s="50">
        <f t="shared" si="11"/>
        <v>2.2757775746709281E-4</v>
      </c>
      <c r="J248" s="51"/>
      <c r="K248" s="51"/>
      <c r="L248" s="51"/>
      <c r="M248" s="51"/>
      <c r="N248"/>
      <c r="O248"/>
      <c r="P248"/>
      <c r="Q248"/>
      <c r="R248"/>
    </row>
    <row r="249" spans="2:18" ht="12.75" customHeight="1" x14ac:dyDescent="0.25">
      <c r="B249" s="35" t="s">
        <v>569</v>
      </c>
      <c r="C249" s="36" t="s">
        <v>570</v>
      </c>
      <c r="D249" s="47">
        <v>124074.05207408001</v>
      </c>
      <c r="E249" s="48">
        <f t="shared" si="9"/>
        <v>4.9993921278934615E-3</v>
      </c>
      <c r="F249" s="52">
        <v>4.6661407157713546E-2</v>
      </c>
      <c r="G249" s="52">
        <v>7.2299999999999994E-3</v>
      </c>
      <c r="H249" s="49">
        <f t="shared" si="10"/>
        <v>5.4060088144588674E-2</v>
      </c>
      <c r="I249" s="50">
        <f t="shared" si="11"/>
        <v>2.7026757910328326E-4</v>
      </c>
      <c r="J249" s="51"/>
      <c r="K249" s="51"/>
      <c r="L249" s="51"/>
      <c r="M249" s="51"/>
      <c r="N249"/>
      <c r="O249"/>
      <c r="P249"/>
      <c r="Q249"/>
      <c r="R249"/>
    </row>
    <row r="250" spans="2:18" ht="12.75" customHeight="1" x14ac:dyDescent="0.25">
      <c r="B250" s="35" t="s">
        <v>571</v>
      </c>
      <c r="C250" s="36" t="s">
        <v>572</v>
      </c>
      <c r="D250" s="47">
        <v>42427.011411879997</v>
      </c>
      <c r="E250" s="48">
        <f t="shared" si="9"/>
        <v>1.7095376778373961E-3</v>
      </c>
      <c r="F250" s="52">
        <v>1.4364196703738443E-2</v>
      </c>
      <c r="G250" s="52">
        <v>0.10087</v>
      </c>
      <c r="H250" s="49">
        <f t="shared" si="10"/>
        <v>0.11595865496449149</v>
      </c>
      <c r="I250" s="50">
        <f t="shared" si="11"/>
        <v>1.9823568973314465E-4</v>
      </c>
      <c r="J250" s="51"/>
      <c r="K250" s="51"/>
      <c r="L250" s="51"/>
      <c r="M250" s="51"/>
      <c r="N250"/>
      <c r="O250"/>
      <c r="P250"/>
      <c r="Q250"/>
      <c r="R250"/>
    </row>
    <row r="251" spans="2:18" ht="12.75" customHeight="1" x14ac:dyDescent="0.25">
      <c r="B251" s="35" t="s">
        <v>573</v>
      </c>
      <c r="C251" s="36" t="s">
        <v>574</v>
      </c>
      <c r="D251" s="47">
        <v>18595.470986460001</v>
      </c>
      <c r="E251" s="48">
        <f t="shared" si="9"/>
        <v>7.4927875498635938E-4</v>
      </c>
      <c r="F251" s="52" t="s">
        <v>117</v>
      </c>
      <c r="G251" s="52">
        <v>0.16240000000000002</v>
      </c>
      <c r="H251" s="49">
        <f t="shared" si="10"/>
        <v>0.16240000000000002</v>
      </c>
      <c r="I251" s="50">
        <f t="shared" si="11"/>
        <v>1.2168286980978478E-4</v>
      </c>
      <c r="J251" s="51"/>
      <c r="K251" s="51"/>
      <c r="L251" s="51"/>
      <c r="M251" s="51"/>
      <c r="N251"/>
      <c r="O251"/>
      <c r="P251"/>
      <c r="Q251"/>
      <c r="R251"/>
    </row>
    <row r="252" spans="2:18" ht="12.75" customHeight="1" x14ac:dyDescent="0.25">
      <c r="B252" s="35" t="s">
        <v>575</v>
      </c>
      <c r="C252" s="36" t="s">
        <v>576</v>
      </c>
      <c r="D252" s="47">
        <v>13285.442348640001</v>
      </c>
      <c r="E252" s="48">
        <f t="shared" si="9"/>
        <v>5.3531850361199489E-4</v>
      </c>
      <c r="F252" s="52">
        <v>2.275463520346737E-2</v>
      </c>
      <c r="G252" s="52">
        <v>0.04</v>
      </c>
      <c r="H252" s="49">
        <f t="shared" si="10"/>
        <v>6.320972790753672E-2</v>
      </c>
      <c r="I252" s="50">
        <f t="shared" si="11"/>
        <v>3.3837336957183911E-5</v>
      </c>
      <c r="J252" s="51"/>
      <c r="K252" s="51"/>
      <c r="L252" s="51"/>
      <c r="M252" s="51"/>
      <c r="N252"/>
      <c r="O252"/>
      <c r="P252"/>
      <c r="Q252"/>
      <c r="R252"/>
    </row>
    <row r="253" spans="2:18" ht="12.75" customHeight="1" x14ac:dyDescent="0.25">
      <c r="B253" s="35" t="s">
        <v>577</v>
      </c>
      <c r="C253" s="36" t="s">
        <v>578</v>
      </c>
      <c r="D253" s="47">
        <v>45546.479999999996</v>
      </c>
      <c r="E253" s="48">
        <f t="shared" si="9"/>
        <v>1.8352323451909422E-3</v>
      </c>
      <c r="F253" s="52">
        <v>0</v>
      </c>
      <c r="G253" s="52">
        <v>0.27089999999999997</v>
      </c>
      <c r="H253" s="49">
        <f t="shared" si="10"/>
        <v>0.27089999999999997</v>
      </c>
      <c r="I253" s="50">
        <f t="shared" si="11"/>
        <v>4.9716444231222626E-4</v>
      </c>
      <c r="J253" s="51"/>
      <c r="K253" s="51"/>
      <c r="L253" s="51"/>
      <c r="M253" s="51"/>
      <c r="N253"/>
      <c r="O253"/>
      <c r="P253"/>
      <c r="Q253"/>
      <c r="R253"/>
    </row>
    <row r="254" spans="2:18" ht="12.75" customHeight="1" x14ac:dyDescent="0.25">
      <c r="B254" s="35" t="s">
        <v>579</v>
      </c>
      <c r="C254" s="36" t="s">
        <v>580</v>
      </c>
      <c r="D254" s="47">
        <v>18151.29796</v>
      </c>
      <c r="E254" s="48">
        <f t="shared" si="9"/>
        <v>7.3138141791397201E-4</v>
      </c>
      <c r="F254" s="52" t="s">
        <v>117</v>
      </c>
      <c r="G254" s="52">
        <v>0.47533000000000003</v>
      </c>
      <c r="H254" s="49">
        <f t="shared" si="10"/>
        <v>0.47533000000000003</v>
      </c>
      <c r="I254" s="50">
        <f t="shared" si="11"/>
        <v>3.4764752937704836E-4</v>
      </c>
      <c r="J254" s="51"/>
      <c r="K254" s="51"/>
      <c r="L254" s="51"/>
      <c r="M254" s="51"/>
      <c r="N254"/>
      <c r="O254"/>
      <c r="P254"/>
      <c r="Q254"/>
      <c r="R254"/>
    </row>
    <row r="255" spans="2:18" ht="12.75" customHeight="1" x14ac:dyDescent="0.25">
      <c r="B255" s="35" t="s">
        <v>581</v>
      </c>
      <c r="C255" s="36" t="s">
        <v>582</v>
      </c>
      <c r="D255" s="47">
        <v>21775.606233240003</v>
      </c>
      <c r="E255" s="48">
        <f t="shared" si="9"/>
        <v>8.7741790134788806E-4</v>
      </c>
      <c r="F255" s="52" t="s">
        <v>117</v>
      </c>
      <c r="G255" s="52">
        <v>0.11207</v>
      </c>
      <c r="H255" s="49">
        <f t="shared" si="10"/>
        <v>0.11207</v>
      </c>
      <c r="I255" s="50">
        <f t="shared" si="11"/>
        <v>9.8332224204057819E-5</v>
      </c>
      <c r="J255" s="51"/>
      <c r="K255" s="51"/>
      <c r="L255" s="51"/>
      <c r="M255" s="51"/>
      <c r="N255"/>
      <c r="O255"/>
      <c r="P255"/>
      <c r="Q255"/>
      <c r="R255"/>
    </row>
    <row r="256" spans="2:18" ht="12.75" customHeight="1" x14ac:dyDescent="0.25">
      <c r="B256" s="35" t="s">
        <v>583</v>
      </c>
      <c r="C256" s="36" t="s">
        <v>584</v>
      </c>
      <c r="D256" s="47">
        <v>244322.00999999998</v>
      </c>
      <c r="E256" s="48">
        <f t="shared" si="9"/>
        <v>9.8446170899280216E-3</v>
      </c>
      <c r="F256" s="52">
        <v>2.3246824958586418E-2</v>
      </c>
      <c r="G256" s="52">
        <v>8.5400000000000004E-2</v>
      </c>
      <c r="H256" s="49">
        <f t="shared" si="10"/>
        <v>0.10963946438431806</v>
      </c>
      <c r="I256" s="50">
        <f t="shared" si="11"/>
        <v>1.0793585448084122E-3</v>
      </c>
      <c r="J256" s="51"/>
      <c r="K256" s="51"/>
      <c r="L256" s="51"/>
      <c r="M256" s="51"/>
      <c r="N256"/>
      <c r="O256"/>
      <c r="P256"/>
      <c r="Q256"/>
      <c r="R256"/>
    </row>
    <row r="257" spans="2:18" ht="12.75" customHeight="1" x14ac:dyDescent="0.25">
      <c r="B257" s="35" t="s">
        <v>585</v>
      </c>
      <c r="C257" s="36" t="s">
        <v>586</v>
      </c>
      <c r="D257" s="47">
        <v>66874.51194122</v>
      </c>
      <c r="E257" s="48">
        <f t="shared" si="9"/>
        <v>2.6946158601803007E-3</v>
      </c>
      <c r="F257" s="52">
        <v>7.0468368651454691E-3</v>
      </c>
      <c r="G257" s="52">
        <v>0.1603</v>
      </c>
      <c r="H257" s="49">
        <f t="shared" si="10"/>
        <v>0.16791164083988688</v>
      </c>
      <c r="I257" s="50">
        <f t="shared" si="11"/>
        <v>4.5245737051605753E-4</v>
      </c>
      <c r="J257" s="51"/>
      <c r="K257" s="51"/>
      <c r="L257" s="51"/>
      <c r="M257" s="51"/>
      <c r="N257"/>
      <c r="O257"/>
      <c r="P257"/>
      <c r="Q257"/>
      <c r="R257"/>
    </row>
    <row r="258" spans="2:18" ht="12.75" customHeight="1" x14ac:dyDescent="0.25">
      <c r="B258" s="35" t="s">
        <v>587</v>
      </c>
      <c r="C258" s="36" t="s">
        <v>588</v>
      </c>
      <c r="D258" s="47">
        <v>18214.745775689993</v>
      </c>
      <c r="E258" s="48">
        <f t="shared" si="9"/>
        <v>7.3393795979351988E-4</v>
      </c>
      <c r="F258" s="52">
        <v>4.4297956493078446E-2</v>
      </c>
      <c r="G258" s="52">
        <v>6.0749999999999998E-2</v>
      </c>
      <c r="H258" s="49">
        <f t="shared" si="10"/>
        <v>0.10639350692155571</v>
      </c>
      <c r="I258" s="50">
        <f t="shared" si="11"/>
        <v>7.8086233405284328E-5</v>
      </c>
      <c r="J258" s="51"/>
      <c r="K258" s="51"/>
      <c r="L258" s="51"/>
      <c r="M258" s="51"/>
      <c r="N258"/>
      <c r="O258"/>
      <c r="P258"/>
      <c r="Q258"/>
      <c r="R258"/>
    </row>
    <row r="259" spans="2:18" ht="12.75" customHeight="1" x14ac:dyDescent="0.25">
      <c r="B259" s="35" t="s">
        <v>589</v>
      </c>
      <c r="C259" s="36" t="s">
        <v>590</v>
      </c>
      <c r="D259" s="47">
        <v>8598.945853180001</v>
      </c>
      <c r="E259" s="48">
        <f t="shared" si="9"/>
        <v>3.4648261653373569E-4</v>
      </c>
      <c r="F259" s="52">
        <v>4.2211280214861244E-2</v>
      </c>
      <c r="G259" s="52">
        <v>0.1149</v>
      </c>
      <c r="H259" s="49">
        <f t="shared" si="10"/>
        <v>0.15953631826320502</v>
      </c>
      <c r="I259" s="50">
        <f t="shared" si="11"/>
        <v>5.5276560983994078E-5</v>
      </c>
      <c r="J259" s="51"/>
      <c r="K259" s="51"/>
      <c r="L259" s="51"/>
      <c r="M259" s="51"/>
      <c r="N259"/>
      <c r="O259"/>
      <c r="P259"/>
      <c r="Q259"/>
      <c r="R259"/>
    </row>
    <row r="260" spans="2:18" ht="12.75" customHeight="1" x14ac:dyDescent="0.25">
      <c r="B260" s="35" t="s">
        <v>591</v>
      </c>
      <c r="C260" s="36" t="s">
        <v>592</v>
      </c>
      <c r="D260" s="47">
        <v>8135.494202490001</v>
      </c>
      <c r="E260" s="48">
        <f t="shared" si="9"/>
        <v>3.2780847399234891E-4</v>
      </c>
      <c r="F260" s="52">
        <v>0</v>
      </c>
      <c r="G260" s="52">
        <v>7.8900000000000012E-2</v>
      </c>
      <c r="H260" s="49">
        <f t="shared" si="10"/>
        <v>7.8900000000000012E-2</v>
      </c>
      <c r="I260" s="50">
        <f t="shared" si="11"/>
        <v>2.5864088597996332E-5</v>
      </c>
      <c r="J260" s="51"/>
      <c r="K260" s="51"/>
      <c r="L260" s="51"/>
      <c r="M260" s="51"/>
      <c r="N260"/>
      <c r="O260"/>
      <c r="P260"/>
      <c r="Q260"/>
      <c r="R260"/>
    </row>
    <row r="261" spans="2:18" ht="12.75" customHeight="1" x14ac:dyDescent="0.25">
      <c r="B261" s="35" t="s">
        <v>593</v>
      </c>
      <c r="C261" s="36" t="s">
        <v>594</v>
      </c>
      <c r="D261" s="47">
        <v>27824.778327330001</v>
      </c>
      <c r="E261" s="48">
        <f t="shared" si="9"/>
        <v>1.1211609148299483E-3</v>
      </c>
      <c r="F261" s="52" t="s">
        <v>117</v>
      </c>
      <c r="G261" s="52">
        <v>0.16274999999999998</v>
      </c>
      <c r="H261" s="49">
        <f t="shared" si="10"/>
        <v>0.16274999999999998</v>
      </c>
      <c r="I261" s="50">
        <f t="shared" si="11"/>
        <v>1.8246893888857407E-4</v>
      </c>
      <c r="J261" s="51"/>
      <c r="K261" s="51"/>
      <c r="L261" s="51"/>
      <c r="M261" s="51"/>
      <c r="N261"/>
      <c r="O261"/>
      <c r="P261"/>
      <c r="Q261"/>
      <c r="R261"/>
    </row>
    <row r="262" spans="2:18" ht="12.75" customHeight="1" x14ac:dyDescent="0.25">
      <c r="B262" s="35" t="s">
        <v>595</v>
      </c>
      <c r="C262" s="36" t="s">
        <v>596</v>
      </c>
      <c r="D262" s="47">
        <v>25694.0917491</v>
      </c>
      <c r="E262" s="48">
        <f t="shared" si="9"/>
        <v>1.0353078494375863E-3</v>
      </c>
      <c r="F262" s="52">
        <v>2.0490103675777572E-2</v>
      </c>
      <c r="G262" s="52">
        <v>9.9180000000000004E-2</v>
      </c>
      <c r="H262" s="49">
        <f t="shared" si="10"/>
        <v>0.12068620791705939</v>
      </c>
      <c r="I262" s="50">
        <f t="shared" si="11"/>
        <v>1.2494737837538816E-4</v>
      </c>
      <c r="J262" s="51"/>
      <c r="K262" s="51"/>
      <c r="L262" s="51"/>
      <c r="M262" s="51"/>
      <c r="N262"/>
      <c r="O262"/>
      <c r="P262"/>
      <c r="Q262"/>
      <c r="R262"/>
    </row>
    <row r="263" spans="2:18" ht="12.75" customHeight="1" x14ac:dyDescent="0.25">
      <c r="B263" s="35" t="s">
        <v>597</v>
      </c>
      <c r="C263" s="36" t="s">
        <v>598</v>
      </c>
      <c r="D263" s="47">
        <v>10002.75372635</v>
      </c>
      <c r="E263" s="48">
        <f t="shared" si="9"/>
        <v>4.0304711098589286E-4</v>
      </c>
      <c r="F263" s="52">
        <v>7.0712854279988552E-2</v>
      </c>
      <c r="G263" s="52">
        <v>5.62E-2</v>
      </c>
      <c r="H263" s="49">
        <f t="shared" si="10"/>
        <v>0.12889988548525622</v>
      </c>
      <c r="I263" s="50">
        <f t="shared" si="11"/>
        <v>5.1952726451244943E-5</v>
      </c>
      <c r="J263" s="51"/>
      <c r="K263" s="51"/>
      <c r="L263" s="51"/>
      <c r="M263" s="51"/>
      <c r="N263"/>
      <c r="O263"/>
      <c r="P263"/>
      <c r="Q263"/>
      <c r="R263"/>
    </row>
    <row r="264" spans="2:18" ht="12.75" customHeight="1" x14ac:dyDescent="0.25">
      <c r="B264" s="35" t="s">
        <v>599</v>
      </c>
      <c r="C264" s="36" t="s">
        <v>600</v>
      </c>
      <c r="D264" s="47">
        <v>64395.861416340005</v>
      </c>
      <c r="E264" s="48">
        <f t="shared" si="9"/>
        <v>2.5947420693695888E-3</v>
      </c>
      <c r="F264" s="52">
        <v>0</v>
      </c>
      <c r="G264" s="52">
        <v>0.12820000000000001</v>
      </c>
      <c r="H264" s="49">
        <f t="shared" si="10"/>
        <v>0.12820000000000001</v>
      </c>
      <c r="I264" s="50">
        <f t="shared" si="11"/>
        <v>3.326459332931813E-4</v>
      </c>
      <c r="J264" s="51"/>
      <c r="K264" s="51"/>
      <c r="L264" s="51"/>
      <c r="M264" s="51"/>
      <c r="N264"/>
      <c r="O264"/>
      <c r="P264"/>
      <c r="Q264"/>
      <c r="R264"/>
    </row>
    <row r="265" spans="2:18" ht="12.75" customHeight="1" x14ac:dyDescent="0.25">
      <c r="B265" s="35" t="s">
        <v>601</v>
      </c>
      <c r="C265" s="36" t="s">
        <v>602</v>
      </c>
      <c r="D265" s="47">
        <v>13011.79033448</v>
      </c>
      <c r="E265" s="48">
        <f t="shared" si="9"/>
        <v>5.2429207461653603E-4</v>
      </c>
      <c r="F265" s="52" t="s">
        <v>117</v>
      </c>
      <c r="G265" s="52">
        <v>0.14019999999999999</v>
      </c>
      <c r="H265" s="49">
        <f t="shared" si="10"/>
        <v>0.14019999999999999</v>
      </c>
      <c r="I265" s="50">
        <f t="shared" si="11"/>
        <v>7.3505748861238342E-5</v>
      </c>
      <c r="J265" s="51"/>
      <c r="K265" s="51"/>
      <c r="L265" s="51"/>
      <c r="M265" s="51"/>
      <c r="N265"/>
      <c r="O265"/>
      <c r="P265"/>
      <c r="Q265"/>
      <c r="R265"/>
    </row>
    <row r="266" spans="2:18" ht="12.75" customHeight="1" x14ac:dyDescent="0.25">
      <c r="B266" s="35" t="s">
        <v>603</v>
      </c>
      <c r="C266" s="36" t="s">
        <v>604</v>
      </c>
      <c r="D266" s="47">
        <v>46978.558277939999</v>
      </c>
      <c r="E266" s="48">
        <f t="shared" si="9"/>
        <v>1.8929359564583957E-3</v>
      </c>
      <c r="F266" s="52">
        <v>2.8048610141081159E-2</v>
      </c>
      <c r="G266" s="52">
        <v>7.2669999999999998E-2</v>
      </c>
      <c r="H266" s="49">
        <f t="shared" si="10"/>
        <v>0.10173775639055735</v>
      </c>
      <c r="I266" s="50">
        <f t="shared" si="11"/>
        <v>1.9258305720109092E-4</v>
      </c>
      <c r="J266" s="51"/>
      <c r="K266" s="51"/>
      <c r="L266" s="51"/>
      <c r="M266" s="51"/>
      <c r="N266"/>
      <c r="O266"/>
      <c r="P266"/>
      <c r="Q266"/>
      <c r="R266"/>
    </row>
    <row r="267" spans="2:18" ht="12.75" customHeight="1" x14ac:dyDescent="0.25">
      <c r="B267" s="35" t="s">
        <v>605</v>
      </c>
      <c r="C267" s="36" t="s">
        <v>606</v>
      </c>
      <c r="D267" s="47">
        <v>7852.287661280001</v>
      </c>
      <c r="E267" s="48">
        <f t="shared" si="9"/>
        <v>3.1639705855918609E-4</v>
      </c>
      <c r="F267" s="52">
        <v>6.2891809908998994E-2</v>
      </c>
      <c r="G267" s="52">
        <v>6.343E-2</v>
      </c>
      <c r="H267" s="49">
        <f t="shared" si="10"/>
        <v>0.12831642366026291</v>
      </c>
      <c r="I267" s="50">
        <f t="shared" si="11"/>
        <v>4.059893901094154E-5</v>
      </c>
      <c r="J267" s="51"/>
      <c r="K267" s="51"/>
      <c r="L267" s="51"/>
      <c r="M267" s="51"/>
      <c r="N267"/>
      <c r="O267"/>
      <c r="P267"/>
      <c r="Q267"/>
      <c r="R267"/>
    </row>
    <row r="268" spans="2:18" ht="12.75" customHeight="1" x14ac:dyDescent="0.25">
      <c r="B268" s="35" t="s">
        <v>607</v>
      </c>
      <c r="C268" s="36" t="s">
        <v>608</v>
      </c>
      <c r="D268" s="47">
        <v>11232.7168004</v>
      </c>
      <c r="E268" s="48">
        <f t="shared" ref="E268:E331" si="12">IF(OR(H268="N/A",D268="N/A"),"N/A",D268/$D$512)</f>
        <v>4.5260676997352573E-4</v>
      </c>
      <c r="F268" s="52">
        <v>9.8354307841239108E-3</v>
      </c>
      <c r="G268" s="52">
        <v>0.18775000000000003</v>
      </c>
      <c r="H268" s="49">
        <f t="shared" ref="H268:H331" si="13">IFERROR(F268*(1+0.5*G268)+G268,"N/A")</f>
        <v>0.19850873184898357</v>
      </c>
      <c r="I268" s="50">
        <f t="shared" ref="I268:I331" si="14">IF(AND(ISNUMBER(D268),ISNUMBER(H268)),E268*H268,"N/A")</f>
        <v>8.9846395933709206E-5</v>
      </c>
      <c r="J268" s="51"/>
      <c r="K268" s="51"/>
      <c r="L268" s="51"/>
      <c r="M268" s="51"/>
      <c r="N268"/>
      <c r="O268"/>
      <c r="P268"/>
      <c r="Q268"/>
      <c r="R268"/>
    </row>
    <row r="269" spans="2:18" ht="12.75" customHeight="1" x14ac:dyDescent="0.25">
      <c r="B269" s="35" t="s">
        <v>609</v>
      </c>
      <c r="C269" s="36" t="s">
        <v>610</v>
      </c>
      <c r="D269" s="47">
        <v>32702.51198535</v>
      </c>
      <c r="E269" s="48">
        <f t="shared" si="12"/>
        <v>1.317702438575029E-3</v>
      </c>
      <c r="F269" s="52">
        <v>3.0253977114150156E-2</v>
      </c>
      <c r="G269" s="52">
        <v>7.6329999999999995E-2</v>
      </c>
      <c r="H269" s="49">
        <f t="shared" si="13"/>
        <v>0.1077386201507117</v>
      </c>
      <c r="I269" s="50">
        <f t="shared" si="14"/>
        <v>1.4196744250130156E-4</v>
      </c>
      <c r="J269" s="51"/>
      <c r="K269" s="51"/>
      <c r="L269" s="51"/>
      <c r="M269" s="51"/>
      <c r="N269"/>
      <c r="O269"/>
      <c r="P269"/>
      <c r="Q269"/>
      <c r="R269"/>
    </row>
    <row r="270" spans="2:18" ht="12.75" customHeight="1" x14ac:dyDescent="0.25">
      <c r="B270" s="35" t="s">
        <v>611</v>
      </c>
      <c r="C270" s="36" t="s">
        <v>612</v>
      </c>
      <c r="D270" s="47">
        <v>10297.73891993</v>
      </c>
      <c r="E270" s="48">
        <f t="shared" si="12"/>
        <v>4.1493313090687088E-4</v>
      </c>
      <c r="F270" s="52">
        <v>7.6547893239398467E-3</v>
      </c>
      <c r="G270" s="52">
        <v>0.1396</v>
      </c>
      <c r="H270" s="49">
        <f t="shared" si="13"/>
        <v>0.14778909361875084</v>
      </c>
      <c r="I270" s="50">
        <f t="shared" si="14"/>
        <v>6.1322591329116932E-5</v>
      </c>
      <c r="J270" s="51"/>
      <c r="K270" s="51"/>
      <c r="L270" s="51"/>
      <c r="M270" s="51"/>
      <c r="N270"/>
      <c r="O270"/>
      <c r="P270"/>
      <c r="Q270"/>
      <c r="R270"/>
    </row>
    <row r="271" spans="2:18" ht="12.75" customHeight="1" x14ac:dyDescent="0.25">
      <c r="B271" s="35" t="s">
        <v>613</v>
      </c>
      <c r="C271" s="36" t="s">
        <v>614</v>
      </c>
      <c r="D271" s="47">
        <v>5873.5192206600004</v>
      </c>
      <c r="E271" s="48" t="str">
        <f t="shared" si="12"/>
        <v>N/A</v>
      </c>
      <c r="F271" s="52">
        <v>2.5733401955738547E-2</v>
      </c>
      <c r="G271" s="52" t="s">
        <v>104</v>
      </c>
      <c r="H271" s="49" t="str">
        <f t="shared" si="13"/>
        <v>N/A</v>
      </c>
      <c r="I271" s="50" t="str">
        <f t="shared" si="14"/>
        <v>N/A</v>
      </c>
      <c r="J271" s="51"/>
      <c r="K271" s="51"/>
      <c r="L271" s="51"/>
      <c r="M271" s="51"/>
      <c r="N271"/>
      <c r="O271"/>
      <c r="P271"/>
      <c r="Q271"/>
      <c r="R271"/>
    </row>
    <row r="272" spans="2:18" ht="12.75" customHeight="1" x14ac:dyDescent="0.25">
      <c r="B272" s="35" t="s">
        <v>615</v>
      </c>
      <c r="C272" s="36" t="s">
        <v>616</v>
      </c>
      <c r="D272" s="47">
        <v>10591.71809364</v>
      </c>
      <c r="E272" s="48">
        <f t="shared" si="12"/>
        <v>4.2677861465018318E-4</v>
      </c>
      <c r="F272" s="52">
        <v>1.1366948411541823E-2</v>
      </c>
      <c r="G272" s="52">
        <v>0.11</v>
      </c>
      <c r="H272" s="49">
        <f t="shared" si="13"/>
        <v>0.12199213057417663</v>
      </c>
      <c r="I272" s="50">
        <f t="shared" si="14"/>
        <v>5.206363248467136E-5</v>
      </c>
      <c r="J272" s="51"/>
      <c r="K272" s="51"/>
      <c r="L272" s="51"/>
      <c r="M272" s="51"/>
      <c r="N272"/>
      <c r="O272"/>
      <c r="P272"/>
      <c r="Q272"/>
      <c r="R272"/>
    </row>
    <row r="273" spans="2:18" ht="12.75" customHeight="1" x14ac:dyDescent="0.25">
      <c r="B273" s="35" t="s">
        <v>617</v>
      </c>
      <c r="C273" s="36" t="s">
        <v>618</v>
      </c>
      <c r="D273" s="47">
        <v>366397.44384959998</v>
      </c>
      <c r="E273" s="48">
        <f t="shared" si="12"/>
        <v>1.4763477663873653E-2</v>
      </c>
      <c r="F273" s="52">
        <v>2.7558139534883726E-2</v>
      </c>
      <c r="G273" s="52">
        <v>7.3429999999999995E-2</v>
      </c>
      <c r="H273" s="49">
        <f t="shared" si="13"/>
        <v>0.10199993662790698</v>
      </c>
      <c r="I273" s="50">
        <f t="shared" si="14"/>
        <v>1.5058737861226327E-3</v>
      </c>
      <c r="J273" s="51"/>
      <c r="K273" s="51"/>
      <c r="L273" s="51"/>
      <c r="M273" s="51"/>
      <c r="N273"/>
      <c r="O273"/>
      <c r="P273"/>
      <c r="Q273"/>
      <c r="R273"/>
    </row>
    <row r="274" spans="2:18" ht="12.75" customHeight="1" x14ac:dyDescent="0.25">
      <c r="B274" s="35" t="s">
        <v>619</v>
      </c>
      <c r="C274" s="36" t="s">
        <v>620</v>
      </c>
      <c r="D274" s="47">
        <v>9338.2388264000001</v>
      </c>
      <c r="E274" s="48">
        <f t="shared" si="12"/>
        <v>3.7627140321990166E-4</v>
      </c>
      <c r="F274" s="52">
        <v>2.805514157973174E-2</v>
      </c>
      <c r="G274" s="52">
        <v>8.763E-2</v>
      </c>
      <c r="H274" s="49">
        <f t="shared" si="13"/>
        <v>0.11691437760804768</v>
      </c>
      <c r="I274" s="50">
        <f t="shared" si="14"/>
        <v>4.3991536919161549E-5</v>
      </c>
      <c r="J274" s="51"/>
      <c r="K274" s="51"/>
      <c r="L274" s="51"/>
      <c r="M274" s="51"/>
      <c r="N274"/>
      <c r="O274"/>
      <c r="P274"/>
      <c r="Q274"/>
      <c r="R274"/>
    </row>
    <row r="275" spans="2:18" ht="12.75" customHeight="1" x14ac:dyDescent="0.25">
      <c r="B275" s="35" t="s">
        <v>621</v>
      </c>
      <c r="C275" s="36" t="s">
        <v>622</v>
      </c>
      <c r="D275" s="47">
        <v>348870.45590529998</v>
      </c>
      <c r="E275" s="48">
        <f t="shared" si="12"/>
        <v>1.4057251953584931E-2</v>
      </c>
      <c r="F275" s="52">
        <v>3.1759737212576258E-2</v>
      </c>
      <c r="G275" s="52">
        <v>6.7670000000000008E-2</v>
      </c>
      <c r="H275" s="49">
        <f t="shared" si="13"/>
        <v>0.10050432792116379</v>
      </c>
      <c r="I275" s="50">
        <f t="shared" si="14"/>
        <v>1.4128146600135203E-3</v>
      </c>
      <c r="J275" s="51"/>
      <c r="K275" s="51"/>
      <c r="L275" s="51"/>
      <c r="M275" s="51"/>
      <c r="N275"/>
      <c r="O275"/>
      <c r="P275"/>
      <c r="Q275"/>
      <c r="R275"/>
    </row>
    <row r="276" spans="2:18" ht="12.75" customHeight="1" x14ac:dyDescent="0.25">
      <c r="B276" s="35" t="s">
        <v>623</v>
      </c>
      <c r="C276" s="36" t="s">
        <v>624</v>
      </c>
      <c r="D276" s="47">
        <v>7304.58</v>
      </c>
      <c r="E276" s="48">
        <f t="shared" si="12"/>
        <v>2.9432793673703992E-4</v>
      </c>
      <c r="F276" s="52">
        <v>3.5482395976223137E-2</v>
      </c>
      <c r="G276" s="52">
        <v>0.10550000000000001</v>
      </c>
      <c r="H276" s="49">
        <f t="shared" si="13"/>
        <v>0.14285409236396893</v>
      </c>
      <c r="I276" s="50">
        <f t="shared" si="14"/>
        <v>4.2045950259929502E-5</v>
      </c>
      <c r="J276" s="51"/>
      <c r="K276" s="51"/>
      <c r="L276" s="51"/>
      <c r="M276" s="51"/>
      <c r="N276"/>
      <c r="O276"/>
      <c r="P276"/>
      <c r="Q276"/>
      <c r="R276"/>
    </row>
    <row r="277" spans="2:18" ht="12.75" customHeight="1" x14ac:dyDescent="0.25">
      <c r="B277" s="35" t="s">
        <v>625</v>
      </c>
      <c r="C277" s="36" t="s">
        <v>626</v>
      </c>
      <c r="D277" s="47">
        <v>18653.62643964</v>
      </c>
      <c r="E277" s="48">
        <f t="shared" si="12"/>
        <v>7.5162204844669194E-4</v>
      </c>
      <c r="F277" s="52">
        <v>4.3449419568822555E-2</v>
      </c>
      <c r="G277" s="52">
        <v>3.0500000000000003E-2</v>
      </c>
      <c r="H277" s="49">
        <f t="shared" si="13"/>
        <v>7.4612023217247095E-2</v>
      </c>
      <c r="I277" s="50">
        <f t="shared" si="14"/>
        <v>5.6080041729299397E-5</v>
      </c>
      <c r="J277" s="51"/>
      <c r="K277" s="51"/>
      <c r="L277" s="51"/>
      <c r="M277" s="51"/>
      <c r="N277"/>
      <c r="O277"/>
      <c r="P277"/>
      <c r="Q277"/>
      <c r="R277"/>
    </row>
    <row r="278" spans="2:18" ht="12.75" customHeight="1" x14ac:dyDescent="0.25">
      <c r="B278" s="35" t="s">
        <v>627</v>
      </c>
      <c r="C278" s="36" t="s">
        <v>628</v>
      </c>
      <c r="D278" s="47">
        <v>17532.731286179998</v>
      </c>
      <c r="E278" s="48">
        <f t="shared" si="12"/>
        <v>7.0645713029719812E-4</v>
      </c>
      <c r="F278" s="52">
        <v>4.2635212888377447E-2</v>
      </c>
      <c r="G278" s="52">
        <v>0.13173000000000001</v>
      </c>
      <c r="H278" s="49">
        <f t="shared" si="13"/>
        <v>0.17717338118527043</v>
      </c>
      <c r="I278" s="50">
        <f t="shared" si="14"/>
        <v>1.2516539843719773E-4</v>
      </c>
      <c r="J278" s="51"/>
      <c r="K278" s="51"/>
      <c r="L278" s="51"/>
      <c r="M278" s="51"/>
      <c r="N278"/>
      <c r="O278"/>
      <c r="P278"/>
      <c r="Q278"/>
      <c r="R278"/>
    </row>
    <row r="279" spans="2:18" ht="12.75" customHeight="1" x14ac:dyDescent="0.25">
      <c r="B279" s="35" t="s">
        <v>629</v>
      </c>
      <c r="C279" s="36" t="s">
        <v>630</v>
      </c>
      <c r="D279" s="47">
        <v>16163.27040354</v>
      </c>
      <c r="E279" s="48">
        <f t="shared" si="12"/>
        <v>6.5127660026952831E-4</v>
      </c>
      <c r="F279" s="52" t="s">
        <v>117</v>
      </c>
      <c r="G279" s="52">
        <v>0.17</v>
      </c>
      <c r="H279" s="49">
        <f t="shared" si="13"/>
        <v>0.17</v>
      </c>
      <c r="I279" s="50">
        <f t="shared" si="14"/>
        <v>1.1071702204581982E-4</v>
      </c>
      <c r="J279" s="51"/>
      <c r="K279" s="51"/>
      <c r="L279" s="51"/>
      <c r="M279" s="51"/>
      <c r="N279"/>
      <c r="O279"/>
      <c r="P279"/>
      <c r="Q279"/>
      <c r="R279"/>
    </row>
    <row r="280" spans="2:18" ht="12.75" customHeight="1" x14ac:dyDescent="0.25">
      <c r="B280" s="35" t="s">
        <v>631</v>
      </c>
      <c r="C280" s="36" t="s">
        <v>632</v>
      </c>
      <c r="D280" s="47">
        <v>39131.663117080003</v>
      </c>
      <c r="E280" s="48">
        <f t="shared" si="12"/>
        <v>1.5767561812368516E-3</v>
      </c>
      <c r="F280" s="52">
        <v>4.9859769398566532E-2</v>
      </c>
      <c r="G280" s="52">
        <v>2.4380000000000002E-2</v>
      </c>
      <c r="H280" s="49">
        <f t="shared" si="13"/>
        <v>7.4847559987535062E-2</v>
      </c>
      <c r="I280" s="50">
        <f t="shared" si="14"/>
        <v>1.1801635286084196E-4</v>
      </c>
      <c r="J280" s="51"/>
      <c r="K280" s="51"/>
      <c r="L280" s="51"/>
      <c r="M280" s="51"/>
      <c r="N280"/>
      <c r="O280"/>
      <c r="P280"/>
      <c r="Q280"/>
      <c r="R280"/>
    </row>
    <row r="281" spans="2:18" ht="12.75" customHeight="1" x14ac:dyDescent="0.25">
      <c r="B281" s="35" t="s">
        <v>633</v>
      </c>
      <c r="C281" s="36" t="s">
        <v>634</v>
      </c>
      <c r="D281" s="47">
        <v>7441.67626552</v>
      </c>
      <c r="E281" s="48">
        <f t="shared" si="12"/>
        <v>2.9985204092439292E-4</v>
      </c>
      <c r="F281" s="52">
        <v>6.3873159682899208E-2</v>
      </c>
      <c r="G281" s="52">
        <v>3.2579999999999998E-2</v>
      </c>
      <c r="H281" s="49">
        <f t="shared" si="13"/>
        <v>9.7493653454133633E-2</v>
      </c>
      <c r="I281" s="50">
        <f t="shared" si="14"/>
        <v>2.9233670965397459E-5</v>
      </c>
      <c r="J281" s="51"/>
      <c r="K281" s="51"/>
      <c r="L281" s="51"/>
      <c r="M281" s="51"/>
      <c r="N281"/>
      <c r="O281"/>
      <c r="P281"/>
      <c r="Q281"/>
      <c r="R281"/>
    </row>
    <row r="282" spans="2:18" ht="12.75" customHeight="1" x14ac:dyDescent="0.25">
      <c r="B282" s="35" t="s">
        <v>635</v>
      </c>
      <c r="C282" s="36" t="s">
        <v>636</v>
      </c>
      <c r="D282" s="47">
        <v>19577.486244560001</v>
      </c>
      <c r="E282" s="48">
        <f t="shared" si="12"/>
        <v>7.8884770005381902E-4</v>
      </c>
      <c r="F282" s="52">
        <v>2.5071058351446247E-2</v>
      </c>
      <c r="G282" s="52">
        <v>8.5830000000000004E-2</v>
      </c>
      <c r="H282" s="49">
        <f t="shared" si="13"/>
        <v>0.11197698282059856</v>
      </c>
      <c r="I282" s="50">
        <f t="shared" si="14"/>
        <v>8.8332785356995183E-5</v>
      </c>
      <c r="J282" s="51"/>
      <c r="K282" s="51"/>
      <c r="L282" s="51"/>
      <c r="M282" s="51"/>
      <c r="N282"/>
      <c r="O282"/>
      <c r="P282"/>
      <c r="Q282"/>
      <c r="R282"/>
    </row>
    <row r="283" spans="2:18" ht="12.75" customHeight="1" x14ac:dyDescent="0.25">
      <c r="B283" s="35" t="s">
        <v>637</v>
      </c>
      <c r="C283" s="36" t="s">
        <v>638</v>
      </c>
      <c r="D283" s="47">
        <v>41358.506622579996</v>
      </c>
      <c r="E283" s="48">
        <f t="shared" si="12"/>
        <v>1.6664837568688647E-3</v>
      </c>
      <c r="F283" s="52">
        <v>3.4154255761710633E-2</v>
      </c>
      <c r="G283" s="52">
        <v>6.0850000000000001E-2</v>
      </c>
      <c r="H283" s="49">
        <f t="shared" si="13"/>
        <v>9.604339899326067E-2</v>
      </c>
      <c r="I283" s="50">
        <f t="shared" si="14"/>
        <v>1.6005476437674438E-4</v>
      </c>
      <c r="J283" s="51"/>
      <c r="K283" s="51"/>
      <c r="L283" s="51"/>
      <c r="M283" s="51"/>
      <c r="N283"/>
      <c r="O283"/>
      <c r="P283"/>
      <c r="Q283"/>
      <c r="R283"/>
    </row>
    <row r="284" spans="2:18" ht="12.75" customHeight="1" x14ac:dyDescent="0.25">
      <c r="B284" s="35" t="s">
        <v>639</v>
      </c>
      <c r="C284" s="36" t="s">
        <v>640</v>
      </c>
      <c r="D284" s="47">
        <v>44978.853045529999</v>
      </c>
      <c r="E284" s="48">
        <f t="shared" si="12"/>
        <v>1.8123606030311626E-3</v>
      </c>
      <c r="F284" s="52">
        <v>5.0075490689481625E-2</v>
      </c>
      <c r="G284" s="52">
        <v>0.1</v>
      </c>
      <c r="H284" s="49">
        <f t="shared" si="13"/>
        <v>0.15257926522395571</v>
      </c>
      <c r="I284" s="50">
        <f t="shared" si="14"/>
        <v>2.7652864913134005E-4</v>
      </c>
      <c r="J284" s="51"/>
      <c r="K284" s="51"/>
      <c r="L284" s="51"/>
      <c r="M284" s="51"/>
      <c r="N284"/>
      <c r="O284"/>
      <c r="P284"/>
      <c r="Q284"/>
      <c r="R284"/>
    </row>
    <row r="285" spans="2:18" ht="12.75" customHeight="1" x14ac:dyDescent="0.25">
      <c r="B285" s="35" t="s">
        <v>641</v>
      </c>
      <c r="C285" s="36" t="s">
        <v>642</v>
      </c>
      <c r="D285" s="47">
        <v>10385.52040204</v>
      </c>
      <c r="E285" s="48">
        <f t="shared" si="12"/>
        <v>4.1847016418094764E-4</v>
      </c>
      <c r="F285" s="52" t="s">
        <v>117</v>
      </c>
      <c r="G285" s="52">
        <v>0.12923000000000001</v>
      </c>
      <c r="H285" s="49">
        <f t="shared" si="13"/>
        <v>0.12923000000000001</v>
      </c>
      <c r="I285" s="50">
        <f t="shared" si="14"/>
        <v>5.4078899317103866E-5</v>
      </c>
      <c r="J285" s="51"/>
      <c r="K285" s="51"/>
      <c r="L285" s="51"/>
      <c r="M285" s="51"/>
      <c r="N285"/>
      <c r="O285"/>
      <c r="P285"/>
      <c r="Q285"/>
      <c r="R285"/>
    </row>
    <row r="286" spans="2:18" ht="12.75" customHeight="1" x14ac:dyDescent="0.25">
      <c r="B286" s="35" t="s">
        <v>643</v>
      </c>
      <c r="C286" s="36" t="s">
        <v>644</v>
      </c>
      <c r="D286" s="47">
        <v>193664.80480619997</v>
      </c>
      <c r="E286" s="48">
        <f t="shared" si="12"/>
        <v>7.8034551496719059E-3</v>
      </c>
      <c r="F286" s="52">
        <v>3.6158940397350993E-2</v>
      </c>
      <c r="G286" s="52">
        <v>6.7180000000000004E-2</v>
      </c>
      <c r="H286" s="49">
        <f t="shared" si="13"/>
        <v>0.10455351920529801</v>
      </c>
      <c r="I286" s="50">
        <f t="shared" si="14"/>
        <v>8.1587869785890328E-4</v>
      </c>
      <c r="J286" s="51"/>
      <c r="K286" s="51"/>
      <c r="L286" s="51"/>
      <c r="M286" s="51"/>
      <c r="N286"/>
      <c r="O286"/>
      <c r="P286"/>
      <c r="Q286"/>
      <c r="R286"/>
    </row>
    <row r="287" spans="2:18" ht="12.75" customHeight="1" x14ac:dyDescent="0.25">
      <c r="B287" s="35" t="s">
        <v>645</v>
      </c>
      <c r="C287" s="36" t="s">
        <v>646</v>
      </c>
      <c r="D287" s="47">
        <v>19433.020332599997</v>
      </c>
      <c r="E287" s="48">
        <f t="shared" si="12"/>
        <v>7.83026646167624E-4</v>
      </c>
      <c r="F287" s="52">
        <v>2.3973727422003287E-2</v>
      </c>
      <c r="G287" s="52">
        <v>6.7460000000000006E-2</v>
      </c>
      <c r="H287" s="49">
        <f t="shared" si="13"/>
        <v>9.2242361247947463E-2</v>
      </c>
      <c r="I287" s="50">
        <f t="shared" si="14"/>
        <v>7.2228226762562707E-5</v>
      </c>
      <c r="J287" s="51"/>
      <c r="K287" s="51"/>
      <c r="L287" s="51"/>
      <c r="M287" s="51"/>
      <c r="N287"/>
      <c r="O287"/>
      <c r="P287"/>
      <c r="Q287"/>
      <c r="R287"/>
    </row>
    <row r="288" spans="2:18" ht="12.75" customHeight="1" x14ac:dyDescent="0.25">
      <c r="B288" s="35" t="s">
        <v>647</v>
      </c>
      <c r="C288" s="36" t="s">
        <v>648</v>
      </c>
      <c r="D288" s="47">
        <v>11225.49464058</v>
      </c>
      <c r="E288" s="48">
        <f t="shared" si="12"/>
        <v>4.5231576304381786E-4</v>
      </c>
      <c r="F288" s="52">
        <v>3.9423359811709323E-2</v>
      </c>
      <c r="G288" s="52">
        <v>0.10400000000000001</v>
      </c>
      <c r="H288" s="49">
        <f t="shared" si="13"/>
        <v>0.14547337452191822</v>
      </c>
      <c r="I288" s="50">
        <f t="shared" si="14"/>
        <v>6.5799900399440538E-5</v>
      </c>
      <c r="J288" s="51"/>
      <c r="K288" s="51"/>
      <c r="L288" s="51"/>
      <c r="M288" s="51"/>
      <c r="N288"/>
      <c r="O288"/>
      <c r="P288"/>
      <c r="Q288"/>
      <c r="R288"/>
    </row>
    <row r="289" spans="2:18" ht="12.75" customHeight="1" x14ac:dyDescent="0.25">
      <c r="B289" s="35" t="s">
        <v>649</v>
      </c>
      <c r="C289" s="36" t="s">
        <v>650</v>
      </c>
      <c r="D289" s="47">
        <v>11517.2592465</v>
      </c>
      <c r="E289" s="48">
        <f t="shared" si="12"/>
        <v>4.640720138444565E-4</v>
      </c>
      <c r="F289" s="52">
        <v>1.3310043668122272E-2</v>
      </c>
      <c r="G289" s="52">
        <v>8.967E-2</v>
      </c>
      <c r="H289" s="49">
        <f t="shared" si="13"/>
        <v>0.10357679947598253</v>
      </c>
      <c r="I289" s="50">
        <f t="shared" si="14"/>
        <v>4.806709392038266E-5</v>
      </c>
      <c r="J289" s="51"/>
      <c r="K289" s="51"/>
      <c r="L289" s="51"/>
      <c r="M289" s="51"/>
      <c r="N289"/>
      <c r="O289"/>
      <c r="P289"/>
      <c r="Q289"/>
      <c r="R289"/>
    </row>
    <row r="290" spans="2:18" ht="12.75" customHeight="1" x14ac:dyDescent="0.25">
      <c r="B290" s="35" t="s">
        <v>651</v>
      </c>
      <c r="C290" s="36" t="s">
        <v>652</v>
      </c>
      <c r="D290" s="47">
        <v>14873.88179628</v>
      </c>
      <c r="E290" s="48" t="str">
        <f t="shared" si="12"/>
        <v>N/A</v>
      </c>
      <c r="F290" s="52">
        <v>5.8601925491837594E-3</v>
      </c>
      <c r="G290" s="52" t="s">
        <v>104</v>
      </c>
      <c r="H290" s="49" t="str">
        <f t="shared" si="13"/>
        <v>N/A</v>
      </c>
      <c r="I290" s="50" t="str">
        <f t="shared" si="14"/>
        <v>N/A</v>
      </c>
      <c r="J290" s="51"/>
      <c r="K290" s="51"/>
      <c r="L290" s="51"/>
      <c r="M290" s="51"/>
      <c r="N290"/>
      <c r="O290"/>
      <c r="P290"/>
      <c r="Q290"/>
      <c r="R290"/>
    </row>
    <row r="291" spans="2:18" ht="12.75" customHeight="1" x14ac:dyDescent="0.25">
      <c r="B291" s="35" t="s">
        <v>653</v>
      </c>
      <c r="C291" s="36" t="s">
        <v>654</v>
      </c>
      <c r="D291" s="47">
        <v>7312.8223139399997</v>
      </c>
      <c r="E291" s="48">
        <f t="shared" si="12"/>
        <v>2.9466004936444615E-4</v>
      </c>
      <c r="F291" s="52">
        <v>4.5221971407072986E-2</v>
      </c>
      <c r="G291" s="52">
        <v>0.10717</v>
      </c>
      <c r="H291" s="49">
        <f t="shared" si="13"/>
        <v>0.15481519074492101</v>
      </c>
      <c r="I291" s="50">
        <f t="shared" si="14"/>
        <v>4.561785174726457E-5</v>
      </c>
      <c r="J291" s="51"/>
      <c r="K291" s="51"/>
      <c r="L291" s="51"/>
      <c r="M291" s="51"/>
      <c r="N291"/>
      <c r="O291"/>
      <c r="P291"/>
      <c r="Q291"/>
      <c r="R291"/>
    </row>
    <row r="292" spans="2:18" ht="12.75" customHeight="1" x14ac:dyDescent="0.25">
      <c r="B292" s="35" t="s">
        <v>655</v>
      </c>
      <c r="C292" s="36" t="s">
        <v>656</v>
      </c>
      <c r="D292" s="47">
        <v>5636.0792299999994</v>
      </c>
      <c r="E292" s="48">
        <f t="shared" si="12"/>
        <v>2.2709800851690098E-4</v>
      </c>
      <c r="F292" s="52">
        <v>3.5813953488372095E-2</v>
      </c>
      <c r="G292" s="52">
        <v>0.1</v>
      </c>
      <c r="H292" s="49">
        <f t="shared" si="13"/>
        <v>0.13760465116279069</v>
      </c>
      <c r="I292" s="50">
        <f t="shared" si="14"/>
        <v>3.1249742241732627E-5</v>
      </c>
      <c r="J292" s="51"/>
      <c r="K292" s="51"/>
      <c r="L292" s="51"/>
      <c r="M292" s="51"/>
      <c r="N292"/>
      <c r="O292"/>
      <c r="P292"/>
      <c r="Q292"/>
      <c r="R292"/>
    </row>
    <row r="293" spans="2:18" ht="12.75" customHeight="1" x14ac:dyDescent="0.25">
      <c r="B293" s="35" t="s">
        <v>657</v>
      </c>
      <c r="C293" s="36" t="s">
        <v>658</v>
      </c>
      <c r="D293" s="47">
        <v>15088.345453369997</v>
      </c>
      <c r="E293" s="48">
        <f t="shared" si="12"/>
        <v>6.0796398780848301E-4</v>
      </c>
      <c r="F293" s="52">
        <v>3.3521893987010273E-3</v>
      </c>
      <c r="G293" s="52">
        <v>0.12740000000000001</v>
      </c>
      <c r="H293" s="49">
        <f t="shared" si="13"/>
        <v>0.1309657238633983</v>
      </c>
      <c r="I293" s="50">
        <f t="shared" si="14"/>
        <v>7.9622443746216236E-5</v>
      </c>
      <c r="J293" s="51"/>
      <c r="K293" s="51"/>
      <c r="L293" s="51"/>
      <c r="M293" s="51"/>
      <c r="N293"/>
      <c r="O293"/>
      <c r="P293"/>
      <c r="Q293"/>
      <c r="R293"/>
    </row>
    <row r="294" spans="2:18" ht="12.75" customHeight="1" x14ac:dyDescent="0.25">
      <c r="B294" s="35" t="s">
        <v>659</v>
      </c>
      <c r="C294" s="36" t="s">
        <v>660</v>
      </c>
      <c r="D294" s="47">
        <v>15219.896000000001</v>
      </c>
      <c r="E294" s="48">
        <f t="shared" si="12"/>
        <v>6.1326463493210112E-4</v>
      </c>
      <c r="F294" s="52">
        <v>0</v>
      </c>
      <c r="G294" s="52">
        <v>7.077E-2</v>
      </c>
      <c r="H294" s="49">
        <f t="shared" si="13"/>
        <v>7.077E-2</v>
      </c>
      <c r="I294" s="50">
        <f t="shared" si="14"/>
        <v>4.3400738214144793E-5</v>
      </c>
      <c r="J294" s="51"/>
      <c r="K294" s="51"/>
      <c r="L294" s="51"/>
      <c r="M294" s="51"/>
      <c r="N294"/>
      <c r="O294"/>
      <c r="P294"/>
      <c r="Q294"/>
      <c r="R294"/>
    </row>
    <row r="295" spans="2:18" ht="12.75" customHeight="1" x14ac:dyDescent="0.25">
      <c r="B295" s="35" t="s">
        <v>661</v>
      </c>
      <c r="C295" s="36" t="s">
        <v>662</v>
      </c>
      <c r="D295" s="47">
        <v>97283.678782859992</v>
      </c>
      <c r="E295" s="48" t="str">
        <f t="shared" si="12"/>
        <v>N/A</v>
      </c>
      <c r="F295" s="52">
        <v>1.7667063424587653E-2</v>
      </c>
      <c r="G295" s="52" t="s">
        <v>104</v>
      </c>
      <c r="H295" s="49" t="str">
        <f t="shared" si="13"/>
        <v>N/A</v>
      </c>
      <c r="I295" s="50" t="str">
        <f t="shared" si="14"/>
        <v>N/A</v>
      </c>
      <c r="J295" s="51"/>
      <c r="K295" s="51"/>
      <c r="L295" s="51"/>
      <c r="M295" s="51"/>
      <c r="N295"/>
      <c r="O295"/>
      <c r="P295"/>
      <c r="Q295"/>
      <c r="R295"/>
    </row>
    <row r="296" spans="2:18" ht="12.75" customHeight="1" x14ac:dyDescent="0.25">
      <c r="B296" s="35" t="s">
        <v>663</v>
      </c>
      <c r="C296" s="36" t="s">
        <v>664</v>
      </c>
      <c r="D296" s="47">
        <v>8762.8894914400007</v>
      </c>
      <c r="E296" s="48">
        <f t="shared" si="12"/>
        <v>3.5308849843115203E-4</v>
      </c>
      <c r="F296" s="52" t="s">
        <v>117</v>
      </c>
      <c r="G296" s="52">
        <v>0.1305</v>
      </c>
      <c r="H296" s="49">
        <f t="shared" si="13"/>
        <v>0.1305</v>
      </c>
      <c r="I296" s="50">
        <f t="shared" si="14"/>
        <v>4.6078049045265341E-5</v>
      </c>
      <c r="J296" s="51"/>
      <c r="K296" s="51"/>
      <c r="L296" s="51"/>
      <c r="M296" s="51"/>
      <c r="N296"/>
      <c r="O296"/>
      <c r="P296"/>
      <c r="Q296"/>
      <c r="R296"/>
    </row>
    <row r="297" spans="2:18" ht="12.75" customHeight="1" x14ac:dyDescent="0.25">
      <c r="B297" s="35" t="s">
        <v>665</v>
      </c>
      <c r="C297" s="36" t="s">
        <v>666</v>
      </c>
      <c r="D297" s="47">
        <v>16423.74628236</v>
      </c>
      <c r="E297" s="48">
        <f t="shared" si="12"/>
        <v>6.6177211513593511E-4</v>
      </c>
      <c r="F297" s="52">
        <v>1.6511324672815953E-2</v>
      </c>
      <c r="G297" s="52">
        <v>0.05</v>
      </c>
      <c r="H297" s="49">
        <f t="shared" si="13"/>
        <v>6.6924107789636353E-2</v>
      </c>
      <c r="I297" s="50">
        <f t="shared" si="14"/>
        <v>4.4288508365532958E-5</v>
      </c>
      <c r="J297" s="51"/>
      <c r="K297" s="51"/>
      <c r="L297" s="51"/>
      <c r="M297" s="51"/>
      <c r="N297"/>
      <c r="O297"/>
      <c r="P297"/>
      <c r="Q297"/>
      <c r="R297"/>
    </row>
    <row r="298" spans="2:18" ht="12.75" customHeight="1" x14ac:dyDescent="0.25">
      <c r="B298" s="35" t="s">
        <v>667</v>
      </c>
      <c r="C298" s="36" t="s">
        <v>668</v>
      </c>
      <c r="D298" s="47">
        <v>128329.77657428001</v>
      </c>
      <c r="E298" s="48">
        <f t="shared" si="12"/>
        <v>5.1708706538956591E-3</v>
      </c>
      <c r="F298" s="52">
        <v>2.0275939970953685E-2</v>
      </c>
      <c r="G298" s="52">
        <v>0.13813</v>
      </c>
      <c r="H298" s="49">
        <f t="shared" si="13"/>
        <v>0.15980629776504759</v>
      </c>
      <c r="I298" s="50">
        <f t="shared" si="14"/>
        <v>8.2633769542099608E-4</v>
      </c>
      <c r="J298" s="51"/>
      <c r="K298" s="51"/>
      <c r="L298" s="51"/>
      <c r="M298" s="51"/>
      <c r="N298"/>
      <c r="O298"/>
      <c r="P298"/>
      <c r="Q298"/>
      <c r="R298"/>
    </row>
    <row r="299" spans="2:18" ht="12.75" customHeight="1" x14ac:dyDescent="0.25">
      <c r="B299" s="35" t="s">
        <v>669</v>
      </c>
      <c r="C299" s="36" t="s">
        <v>670</v>
      </c>
      <c r="D299" s="47">
        <v>83680.894444100006</v>
      </c>
      <c r="E299" s="48">
        <f t="shared" si="12"/>
        <v>3.371805772000852E-3</v>
      </c>
      <c r="F299" s="52">
        <v>3.0217795036299174E-2</v>
      </c>
      <c r="G299" s="52">
        <v>7.6060000000000003E-2</v>
      </c>
      <c r="H299" s="49">
        <f t="shared" si="13"/>
        <v>0.10742697778152963</v>
      </c>
      <c r="I299" s="50">
        <f t="shared" si="14"/>
        <v>3.6222290375236888E-4</v>
      </c>
      <c r="J299" s="51"/>
      <c r="K299" s="51"/>
      <c r="L299" s="51"/>
      <c r="M299" s="51"/>
      <c r="N299"/>
      <c r="O299"/>
      <c r="P299"/>
      <c r="Q299"/>
      <c r="R299"/>
    </row>
    <row r="300" spans="2:18" ht="12.75" customHeight="1" x14ac:dyDescent="0.25">
      <c r="B300" s="35" t="s">
        <v>671</v>
      </c>
      <c r="C300" s="36" t="s">
        <v>672</v>
      </c>
      <c r="D300" s="47">
        <v>12813.30788864</v>
      </c>
      <c r="E300" s="48">
        <f t="shared" si="12"/>
        <v>5.1629449929220419E-4</v>
      </c>
      <c r="F300" s="52">
        <v>2.3836096938775513E-2</v>
      </c>
      <c r="G300" s="52">
        <v>0.09</v>
      </c>
      <c r="H300" s="49">
        <f t="shared" si="13"/>
        <v>0.11490872130102041</v>
      </c>
      <c r="I300" s="50">
        <f t="shared" si="14"/>
        <v>5.9326740728417772E-5</v>
      </c>
      <c r="J300" s="51"/>
      <c r="K300" s="51"/>
      <c r="L300" s="51"/>
      <c r="M300" s="51"/>
      <c r="N300"/>
      <c r="O300"/>
      <c r="P300"/>
      <c r="Q300"/>
      <c r="R300"/>
    </row>
    <row r="301" spans="2:18" ht="12.75" customHeight="1" x14ac:dyDescent="0.25">
      <c r="B301" s="35" t="s">
        <v>673</v>
      </c>
      <c r="C301" s="36" t="s">
        <v>30</v>
      </c>
      <c r="D301" s="47">
        <v>11189.930114999999</v>
      </c>
      <c r="E301" s="48">
        <f t="shared" si="12"/>
        <v>4.5088273973036339E-4</v>
      </c>
      <c r="F301" s="52">
        <v>2.99789029535865E-2</v>
      </c>
      <c r="G301" s="52">
        <v>6.2899999999999998E-2</v>
      </c>
      <c r="H301" s="49">
        <f t="shared" si="13"/>
        <v>9.3821739451476788E-2</v>
      </c>
      <c r="I301" s="50">
        <f t="shared" si="14"/>
        <v>4.2302602930150172E-5</v>
      </c>
      <c r="J301" s="51"/>
      <c r="K301" s="51"/>
      <c r="L301" s="51"/>
      <c r="M301" s="51"/>
      <c r="N301"/>
      <c r="O301"/>
      <c r="P301"/>
      <c r="Q301"/>
      <c r="R301"/>
    </row>
    <row r="302" spans="2:18" ht="12.75" customHeight="1" x14ac:dyDescent="0.25">
      <c r="B302" s="35" t="s">
        <v>674</v>
      </c>
      <c r="C302" s="36" t="s">
        <v>675</v>
      </c>
      <c r="D302" s="47">
        <v>80408.114680979998</v>
      </c>
      <c r="E302" s="48">
        <f t="shared" si="12"/>
        <v>3.2399336431345994E-3</v>
      </c>
      <c r="F302" s="52">
        <v>2.0780906730577194E-2</v>
      </c>
      <c r="G302" s="52">
        <v>0.15795000000000001</v>
      </c>
      <c r="H302" s="49">
        <f t="shared" si="13"/>
        <v>0.18037207883962453</v>
      </c>
      <c r="I302" s="50">
        <f t="shared" si="14"/>
        <v>5.843935665146259E-4</v>
      </c>
      <c r="J302" s="51"/>
      <c r="K302" s="51"/>
      <c r="L302" s="51"/>
      <c r="M302" s="51"/>
      <c r="N302"/>
      <c r="O302"/>
      <c r="P302"/>
      <c r="Q302"/>
      <c r="R302"/>
    </row>
    <row r="303" spans="2:18" ht="12.75" customHeight="1" x14ac:dyDescent="0.25">
      <c r="B303" s="35" t="s">
        <v>676</v>
      </c>
      <c r="C303" s="36" t="s">
        <v>677</v>
      </c>
      <c r="D303" s="47">
        <v>27831.520075059998</v>
      </c>
      <c r="E303" s="48">
        <f t="shared" si="12"/>
        <v>1.1214325642196971E-3</v>
      </c>
      <c r="F303" s="52">
        <v>2.2259992324140582E-2</v>
      </c>
      <c r="G303" s="52">
        <v>-4.15E-3</v>
      </c>
      <c r="H303" s="49">
        <f t="shared" si="13"/>
        <v>1.8063802840067988E-2</v>
      </c>
      <c r="I303" s="50">
        <f t="shared" si="14"/>
        <v>2.0257336738496492E-5</v>
      </c>
      <c r="J303" s="51"/>
      <c r="K303" s="51"/>
      <c r="L303" s="51"/>
      <c r="M303" s="51"/>
      <c r="N303"/>
      <c r="O303"/>
      <c r="P303"/>
      <c r="Q303"/>
      <c r="R303"/>
    </row>
    <row r="304" spans="2:18" ht="12.75" customHeight="1" x14ac:dyDescent="0.25">
      <c r="B304" s="35" t="s">
        <v>678</v>
      </c>
      <c r="C304" s="36" t="s">
        <v>679</v>
      </c>
      <c r="D304" s="47">
        <v>28391.62617313</v>
      </c>
      <c r="E304" s="48">
        <f t="shared" si="12"/>
        <v>1.1440012638846715E-3</v>
      </c>
      <c r="F304" s="52">
        <v>1.3490364025695933E-2</v>
      </c>
      <c r="G304" s="52">
        <v>9.9730000000000013E-2</v>
      </c>
      <c r="H304" s="49">
        <f t="shared" si="13"/>
        <v>0.11389306102783728</v>
      </c>
      <c r="I304" s="50">
        <f t="shared" si="14"/>
        <v>1.3029380576353987E-4</v>
      </c>
      <c r="J304" s="51"/>
      <c r="K304" s="51"/>
      <c r="L304" s="51"/>
      <c r="M304" s="51"/>
      <c r="N304"/>
      <c r="O304"/>
      <c r="P304"/>
      <c r="Q304"/>
      <c r="R304"/>
    </row>
    <row r="305" spans="2:18" ht="12.75" customHeight="1" x14ac:dyDescent="0.25">
      <c r="B305" s="35" t="s">
        <v>680</v>
      </c>
      <c r="C305" s="36" t="s">
        <v>681</v>
      </c>
      <c r="D305" s="47">
        <v>10182.66190893</v>
      </c>
      <c r="E305" s="48">
        <f t="shared" si="12"/>
        <v>4.1029626209121065E-4</v>
      </c>
      <c r="F305" s="52">
        <v>1.1322111926341534E-2</v>
      </c>
      <c r="G305" s="52">
        <v>0.11019999999999999</v>
      </c>
      <c r="H305" s="49">
        <f t="shared" si="13"/>
        <v>0.12214596029348294</v>
      </c>
      <c r="I305" s="50">
        <f t="shared" si="14"/>
        <v>5.011603093795749E-5</v>
      </c>
      <c r="J305" s="51"/>
      <c r="K305" s="51"/>
      <c r="L305" s="51"/>
      <c r="M305" s="51"/>
      <c r="N305"/>
      <c r="O305"/>
      <c r="P305"/>
      <c r="Q305"/>
      <c r="R305"/>
    </row>
    <row r="306" spans="2:18" ht="12.75" customHeight="1" x14ac:dyDescent="0.25">
      <c r="B306" s="35" t="s">
        <v>682</v>
      </c>
      <c r="C306" s="36" t="s">
        <v>683</v>
      </c>
      <c r="D306" s="47">
        <v>32290.658825999999</v>
      </c>
      <c r="E306" s="48">
        <f t="shared" si="12"/>
        <v>1.3011073857957976E-3</v>
      </c>
      <c r="F306" s="52">
        <v>4.6747126436781618E-2</v>
      </c>
      <c r="G306" s="52">
        <v>6.8000000000000005E-2</v>
      </c>
      <c r="H306" s="49">
        <f t="shared" si="13"/>
        <v>0.1163365287356322</v>
      </c>
      <c r="I306" s="50">
        <f t="shared" si="14"/>
        <v>1.513663167757761E-4</v>
      </c>
      <c r="J306" s="51"/>
      <c r="K306" s="51"/>
      <c r="L306" s="51"/>
      <c r="M306" s="51"/>
      <c r="N306"/>
      <c r="O306"/>
      <c r="P306"/>
      <c r="Q306"/>
      <c r="R306"/>
    </row>
    <row r="307" spans="2:18" ht="12.75" customHeight="1" x14ac:dyDescent="0.25">
      <c r="B307" s="35" t="s">
        <v>684</v>
      </c>
      <c r="C307" s="36" t="s">
        <v>685</v>
      </c>
      <c r="D307" s="47">
        <v>7290.8249999999998</v>
      </c>
      <c r="E307" s="48">
        <f t="shared" si="12"/>
        <v>2.9377369805804431E-4</v>
      </c>
      <c r="F307" s="52">
        <v>6.3601855757064535E-2</v>
      </c>
      <c r="G307" s="52">
        <v>1.6670000000000001E-2</v>
      </c>
      <c r="H307" s="49">
        <f t="shared" si="13"/>
        <v>8.0801977224799676E-2</v>
      </c>
      <c r="I307" s="50">
        <f t="shared" si="14"/>
        <v>2.3737495659731273E-5</v>
      </c>
      <c r="J307" s="51"/>
      <c r="K307" s="51"/>
      <c r="L307" s="51"/>
      <c r="M307" s="51"/>
      <c r="N307"/>
      <c r="O307"/>
      <c r="P307"/>
      <c r="Q307"/>
      <c r="R307"/>
    </row>
    <row r="308" spans="2:18" ht="12.75" customHeight="1" x14ac:dyDescent="0.25">
      <c r="B308" s="35" t="s">
        <v>686</v>
      </c>
      <c r="C308" s="36" t="s">
        <v>687</v>
      </c>
      <c r="D308" s="47">
        <v>237159.39462615998</v>
      </c>
      <c r="E308" s="48">
        <f t="shared" si="12"/>
        <v>9.556009421229297E-3</v>
      </c>
      <c r="F308" s="52">
        <v>4.974693948176667E-3</v>
      </c>
      <c r="G308" s="52">
        <v>0.19663</v>
      </c>
      <c r="H308" s="49">
        <f t="shared" si="13"/>
        <v>0.20209378098369166</v>
      </c>
      <c r="I308" s="50">
        <f t="shared" si="14"/>
        <v>1.9312100750520076E-3</v>
      </c>
      <c r="J308" s="51"/>
      <c r="K308" s="51"/>
      <c r="L308" s="51"/>
      <c r="M308" s="51"/>
      <c r="N308"/>
      <c r="O308"/>
      <c r="P308"/>
      <c r="Q308"/>
      <c r="R308"/>
    </row>
    <row r="309" spans="2:18" ht="12.75" customHeight="1" x14ac:dyDescent="0.25">
      <c r="B309" s="35" t="s">
        <v>688</v>
      </c>
      <c r="C309" s="36" t="s">
        <v>689</v>
      </c>
      <c r="D309" s="47">
        <v>12262.3575678</v>
      </c>
      <c r="E309" s="48">
        <f t="shared" si="12"/>
        <v>4.940947189930702E-4</v>
      </c>
      <c r="F309" s="52">
        <v>3.5757406891427507E-2</v>
      </c>
      <c r="G309" s="52">
        <v>7.0000000000000007E-2</v>
      </c>
      <c r="H309" s="49">
        <f t="shared" si="13"/>
        <v>0.10700891613262747</v>
      </c>
      <c r="I309" s="50">
        <f t="shared" si="14"/>
        <v>5.2872540346303588E-5</v>
      </c>
      <c r="J309" s="51"/>
      <c r="K309" s="51"/>
      <c r="L309" s="51"/>
      <c r="M309" s="51"/>
      <c r="N309"/>
      <c r="O309"/>
      <c r="P309"/>
      <c r="Q309"/>
      <c r="R309"/>
    </row>
    <row r="310" spans="2:18" ht="12.75" customHeight="1" x14ac:dyDescent="0.25">
      <c r="B310" s="35" t="s">
        <v>690</v>
      </c>
      <c r="C310" s="36" t="s">
        <v>691</v>
      </c>
      <c r="D310" s="47">
        <v>6017.7059205900005</v>
      </c>
      <c r="E310" s="48">
        <f t="shared" si="12"/>
        <v>2.424751275908436E-4</v>
      </c>
      <c r="F310" s="52">
        <v>7.1006333567909918E-2</v>
      </c>
      <c r="G310" s="52">
        <v>-8.5000000000000006E-4</v>
      </c>
      <c r="H310" s="49">
        <f t="shared" si="13"/>
        <v>7.0126155876143556E-2</v>
      </c>
      <c r="I310" s="50">
        <f t="shared" si="14"/>
        <v>1.7003848593523294E-5</v>
      </c>
      <c r="J310" s="51"/>
      <c r="K310" s="51"/>
      <c r="L310" s="51"/>
      <c r="M310" s="51"/>
      <c r="N310"/>
      <c r="O310"/>
      <c r="P310"/>
      <c r="Q310"/>
      <c r="R310"/>
    </row>
    <row r="311" spans="2:18" ht="12.75" customHeight="1" x14ac:dyDescent="0.25">
      <c r="B311" s="35" t="s">
        <v>692</v>
      </c>
      <c r="C311" s="36" t="s">
        <v>693</v>
      </c>
      <c r="D311" s="47">
        <v>41548.292386479996</v>
      </c>
      <c r="E311" s="48">
        <f t="shared" si="12"/>
        <v>1.6741309114363758E-3</v>
      </c>
      <c r="F311" s="52">
        <v>1.3848920863309353E-2</v>
      </c>
      <c r="G311" s="52">
        <v>0.1081</v>
      </c>
      <c r="H311" s="49">
        <f t="shared" si="13"/>
        <v>0.12269745503597122</v>
      </c>
      <c r="I311" s="50">
        <f t="shared" si="14"/>
        <v>2.0541160223029424E-4</v>
      </c>
      <c r="J311" s="51"/>
      <c r="K311" s="51"/>
      <c r="L311" s="51"/>
      <c r="M311" s="51"/>
      <c r="N311"/>
      <c r="O311"/>
      <c r="P311"/>
      <c r="Q311"/>
      <c r="R311"/>
    </row>
    <row r="312" spans="2:18" ht="12.75" customHeight="1" x14ac:dyDescent="0.25">
      <c r="B312" s="35" t="s">
        <v>694</v>
      </c>
      <c r="C312" s="36" t="s">
        <v>695</v>
      </c>
      <c r="D312" s="47">
        <v>11479.317650000001</v>
      </c>
      <c r="E312" s="48">
        <f t="shared" si="12"/>
        <v>4.6254320974971677E-4</v>
      </c>
      <c r="F312" s="52">
        <v>1.2185736275012828E-2</v>
      </c>
      <c r="G312" s="52">
        <v>0.125</v>
      </c>
      <c r="H312" s="49">
        <f t="shared" si="13"/>
        <v>0.13794734479220114</v>
      </c>
      <c r="I312" s="50">
        <f t="shared" si="14"/>
        <v>6.3806607636635593E-5</v>
      </c>
      <c r="J312" s="51"/>
      <c r="K312" s="51"/>
      <c r="L312" s="51"/>
      <c r="M312" s="51"/>
      <c r="N312"/>
      <c r="O312"/>
      <c r="P312"/>
      <c r="Q312"/>
      <c r="R312"/>
    </row>
    <row r="313" spans="2:18" ht="12.75" customHeight="1" x14ac:dyDescent="0.25">
      <c r="B313" s="35" t="s">
        <v>696</v>
      </c>
      <c r="C313" s="36" t="s">
        <v>697</v>
      </c>
      <c r="D313" s="47">
        <v>4997.8834770399999</v>
      </c>
      <c r="E313" s="48">
        <f t="shared" si="12"/>
        <v>2.0138279433579018E-4</v>
      </c>
      <c r="F313" s="52">
        <v>0</v>
      </c>
      <c r="G313" s="52">
        <v>0.1</v>
      </c>
      <c r="H313" s="49">
        <f t="shared" si="13"/>
        <v>0.1</v>
      </c>
      <c r="I313" s="50">
        <f t="shared" si="14"/>
        <v>2.0138279433579021E-5</v>
      </c>
      <c r="J313" s="51"/>
      <c r="K313" s="51"/>
      <c r="L313" s="51"/>
      <c r="M313" s="51"/>
      <c r="N313"/>
      <c r="O313"/>
      <c r="P313"/>
      <c r="Q313"/>
      <c r="R313"/>
    </row>
    <row r="314" spans="2:18" ht="12.75" customHeight="1" x14ac:dyDescent="0.25">
      <c r="B314" s="35" t="s">
        <v>698</v>
      </c>
      <c r="C314" s="36" t="s">
        <v>699</v>
      </c>
      <c r="D314" s="47">
        <v>141836.26113956</v>
      </c>
      <c r="E314" s="48">
        <f t="shared" si="12"/>
        <v>5.7150957475587492E-3</v>
      </c>
      <c r="F314" s="52">
        <v>2.5268440079857547E-2</v>
      </c>
      <c r="G314" s="52">
        <v>8.5220000000000004E-2</v>
      </c>
      <c r="H314" s="49">
        <f t="shared" si="13"/>
        <v>0.11156512831166028</v>
      </c>
      <c r="I314" s="50">
        <f t="shared" si="14"/>
        <v>6.3760539038981592E-4</v>
      </c>
      <c r="J314" s="51"/>
      <c r="K314" s="51"/>
      <c r="L314" s="51"/>
      <c r="M314" s="51"/>
      <c r="N314"/>
      <c r="O314"/>
      <c r="P314"/>
      <c r="Q314"/>
      <c r="R314"/>
    </row>
    <row r="315" spans="2:18" ht="12.75" customHeight="1" x14ac:dyDescent="0.25">
      <c r="B315" s="35" t="s">
        <v>700</v>
      </c>
      <c r="C315" s="36" t="s">
        <v>701</v>
      </c>
      <c r="D315" s="47">
        <v>20403.026853299998</v>
      </c>
      <c r="E315" s="48">
        <f t="shared" si="12"/>
        <v>8.2211171578957436E-4</v>
      </c>
      <c r="F315" s="52">
        <v>1.6945412311265971E-2</v>
      </c>
      <c r="G315" s="52">
        <v>0.12390000000000001</v>
      </c>
      <c r="H315" s="49">
        <f t="shared" si="13"/>
        <v>0.1418951806039489</v>
      </c>
      <c r="I315" s="50">
        <f t="shared" si="14"/>
        <v>1.1665369038858396E-4</v>
      </c>
      <c r="J315" s="51"/>
      <c r="K315" s="51"/>
      <c r="L315" s="51"/>
      <c r="M315" s="51"/>
      <c r="N315"/>
      <c r="O315"/>
      <c r="P315"/>
      <c r="Q315"/>
      <c r="R315"/>
    </row>
    <row r="316" spans="2:18" ht="12.75" customHeight="1" x14ac:dyDescent="0.25">
      <c r="B316" s="35" t="s">
        <v>702</v>
      </c>
      <c r="C316" s="36" t="s">
        <v>703</v>
      </c>
      <c r="D316" s="47">
        <v>22877.081938720003</v>
      </c>
      <c r="E316" s="48">
        <f t="shared" si="12"/>
        <v>9.2180033973036913E-4</v>
      </c>
      <c r="F316" s="52">
        <v>1.2409860808317961E-2</v>
      </c>
      <c r="G316" s="52">
        <v>8.0769999999999995E-2</v>
      </c>
      <c r="H316" s="49">
        <f t="shared" si="13"/>
        <v>9.3681033037061878E-2</v>
      </c>
      <c r="I316" s="50">
        <f t="shared" si="14"/>
        <v>8.6355208079855574E-5</v>
      </c>
      <c r="J316" s="51"/>
      <c r="K316" s="51"/>
      <c r="L316" s="51"/>
      <c r="M316" s="51"/>
      <c r="N316"/>
      <c r="O316"/>
      <c r="P316"/>
      <c r="Q316"/>
      <c r="R316"/>
    </row>
    <row r="317" spans="2:18" ht="12.75" customHeight="1" x14ac:dyDescent="0.25">
      <c r="B317" s="35" t="s">
        <v>704</v>
      </c>
      <c r="C317" s="36" t="s">
        <v>705</v>
      </c>
      <c r="D317" s="47">
        <v>33360.824411419999</v>
      </c>
      <c r="E317" s="48">
        <f t="shared" si="12"/>
        <v>1.3442282262443458E-3</v>
      </c>
      <c r="F317" s="52">
        <v>1.1121172675307036E-2</v>
      </c>
      <c r="G317" s="52">
        <v>0.08</v>
      </c>
      <c r="H317" s="49">
        <f t="shared" si="13"/>
        <v>9.1566019582319316E-2</v>
      </c>
      <c r="I317" s="50">
        <f t="shared" si="14"/>
        <v>1.2308562808739613E-4</v>
      </c>
      <c r="J317" s="51"/>
      <c r="K317" s="51"/>
      <c r="L317" s="51"/>
      <c r="M317" s="51"/>
      <c r="N317"/>
      <c r="O317"/>
      <c r="P317"/>
      <c r="Q317"/>
      <c r="R317"/>
    </row>
    <row r="318" spans="2:18" ht="12.75" customHeight="1" x14ac:dyDescent="0.25">
      <c r="B318" s="35" t="s">
        <v>706</v>
      </c>
      <c r="C318" s="36" t="s">
        <v>707</v>
      </c>
      <c r="D318" s="47">
        <v>69031.299662199992</v>
      </c>
      <c r="E318" s="48">
        <f t="shared" si="12"/>
        <v>2.7815206349785537E-3</v>
      </c>
      <c r="F318" s="52">
        <v>2.1861924686192472E-2</v>
      </c>
      <c r="G318" s="52">
        <v>7.3260000000000006E-2</v>
      </c>
      <c r="H318" s="49">
        <f t="shared" si="13"/>
        <v>9.5922726987447707E-2</v>
      </c>
      <c r="I318" s="50">
        <f t="shared" si="14"/>
        <v>2.6681104447900001E-4</v>
      </c>
      <c r="J318" s="51"/>
      <c r="K318" s="51"/>
      <c r="L318" s="51"/>
      <c r="M318" s="51"/>
      <c r="N318"/>
      <c r="O318"/>
      <c r="P318"/>
      <c r="Q318"/>
      <c r="R318"/>
    </row>
    <row r="319" spans="2:18" ht="12.75" customHeight="1" x14ac:dyDescent="0.25">
      <c r="B319" s="35" t="s">
        <v>708</v>
      </c>
      <c r="C319" s="36" t="s">
        <v>709</v>
      </c>
      <c r="D319" s="47">
        <v>125786.5494763</v>
      </c>
      <c r="E319" s="48">
        <f t="shared" si="12"/>
        <v>5.0683948394885086E-3</v>
      </c>
      <c r="F319" s="52">
        <v>2.1153641113125069E-2</v>
      </c>
      <c r="G319" s="52">
        <v>7.7020000000000005E-2</v>
      </c>
      <c r="H319" s="49">
        <f t="shared" si="13"/>
        <v>9.8988267832391522E-2</v>
      </c>
      <c r="I319" s="50">
        <f t="shared" si="14"/>
        <v>5.0171162585159956E-4</v>
      </c>
      <c r="J319" s="51"/>
      <c r="K319" s="51"/>
      <c r="L319" s="51"/>
      <c r="M319" s="51"/>
      <c r="N319"/>
      <c r="O319"/>
      <c r="P319"/>
      <c r="Q319"/>
      <c r="R319"/>
    </row>
    <row r="320" spans="2:18" ht="12.75" customHeight="1" x14ac:dyDescent="0.25">
      <c r="B320" s="35" t="s">
        <v>710</v>
      </c>
      <c r="C320" s="36" t="s">
        <v>711</v>
      </c>
      <c r="D320" s="47">
        <v>43373.941851020005</v>
      </c>
      <c r="E320" s="48">
        <f t="shared" si="12"/>
        <v>1.7476929287054239E-3</v>
      </c>
      <c r="F320" s="52">
        <v>3.8556610019863165E-2</v>
      </c>
      <c r="G320" s="52">
        <v>9.2729999999999993E-2</v>
      </c>
      <c r="H320" s="49">
        <f t="shared" si="13"/>
        <v>0.13307428724343412</v>
      </c>
      <c r="I320" s="50">
        <f t="shared" si="14"/>
        <v>2.325729908078642E-4</v>
      </c>
      <c r="J320" s="51"/>
      <c r="K320" s="51"/>
      <c r="L320" s="51"/>
      <c r="M320" s="51"/>
      <c r="N320"/>
      <c r="O320"/>
      <c r="P320"/>
      <c r="Q320"/>
      <c r="R320"/>
    </row>
    <row r="321" spans="2:18" ht="12.75" customHeight="1" x14ac:dyDescent="0.25">
      <c r="B321" s="35" t="s">
        <v>712</v>
      </c>
      <c r="C321" s="36" t="s">
        <v>713</v>
      </c>
      <c r="D321" s="47">
        <v>13970.570166179999</v>
      </c>
      <c r="E321" s="48">
        <f t="shared" si="12"/>
        <v>5.6292478035038351E-4</v>
      </c>
      <c r="F321" s="52">
        <v>1.9600307455803226E-2</v>
      </c>
      <c r="G321" s="52">
        <v>0.12990000000000002</v>
      </c>
      <c r="H321" s="49">
        <f t="shared" si="13"/>
        <v>0.15077334742505766</v>
      </c>
      <c r="I321" s="50">
        <f t="shared" si="14"/>
        <v>8.4874053481942644E-5</v>
      </c>
      <c r="J321" s="51"/>
      <c r="K321" s="51"/>
      <c r="L321" s="51"/>
      <c r="M321" s="51"/>
      <c r="N321"/>
      <c r="O321"/>
      <c r="P321"/>
      <c r="Q321"/>
      <c r="R321"/>
    </row>
    <row r="322" spans="2:18" ht="12.75" customHeight="1" x14ac:dyDescent="0.25">
      <c r="B322" s="35" t="s">
        <v>714</v>
      </c>
      <c r="C322" s="36" t="s">
        <v>715</v>
      </c>
      <c r="D322" s="47">
        <v>9296.8834572899996</v>
      </c>
      <c r="E322" s="48">
        <f t="shared" si="12"/>
        <v>3.7460504588475777E-4</v>
      </c>
      <c r="F322" s="52" t="s">
        <v>117</v>
      </c>
      <c r="G322" s="52">
        <v>7.5899999999999995E-2</v>
      </c>
      <c r="H322" s="49">
        <f t="shared" si="13"/>
        <v>7.5899999999999995E-2</v>
      </c>
      <c r="I322" s="50">
        <f t="shared" si="14"/>
        <v>2.8432522982653113E-5</v>
      </c>
      <c r="J322" s="51"/>
      <c r="K322" s="51"/>
      <c r="L322" s="51"/>
      <c r="M322" s="51"/>
      <c r="N322"/>
      <c r="O322"/>
      <c r="P322"/>
      <c r="Q322"/>
      <c r="R322"/>
    </row>
    <row r="323" spans="2:18" ht="12.75" customHeight="1" x14ac:dyDescent="0.25">
      <c r="B323" s="35" t="s">
        <v>716</v>
      </c>
      <c r="C323" s="36" t="s">
        <v>717</v>
      </c>
      <c r="D323" s="47">
        <v>18473.949214561701</v>
      </c>
      <c r="E323" s="48">
        <f t="shared" si="12"/>
        <v>7.4438220345410754E-4</v>
      </c>
      <c r="F323" s="52">
        <v>1.6294021001500108E-2</v>
      </c>
      <c r="G323" s="52">
        <v>6.1000000000000006E-2</v>
      </c>
      <c r="H323" s="49">
        <f t="shared" si="13"/>
        <v>7.7790988642045866E-2</v>
      </c>
      <c r="I323" s="50">
        <f t="shared" si="14"/>
        <v>5.7906227534239555E-5</v>
      </c>
      <c r="J323" s="51"/>
      <c r="K323" s="51"/>
      <c r="L323" s="51"/>
      <c r="M323" s="51"/>
      <c r="N323"/>
      <c r="O323"/>
      <c r="P323"/>
      <c r="Q323"/>
      <c r="R323"/>
    </row>
    <row r="324" spans="2:18" ht="12.75" customHeight="1" x14ac:dyDescent="0.25">
      <c r="B324" s="35" t="s">
        <v>718</v>
      </c>
      <c r="C324" s="36" t="s">
        <v>719</v>
      </c>
      <c r="D324" s="47">
        <v>12080.311038</v>
      </c>
      <c r="E324" s="48">
        <f t="shared" si="12"/>
        <v>4.8675940614740739E-4</v>
      </c>
      <c r="F324" s="52">
        <v>1.0118863049095605E-2</v>
      </c>
      <c r="G324" s="52">
        <v>0.13290000000000002</v>
      </c>
      <c r="H324" s="49">
        <f t="shared" si="13"/>
        <v>0.14369126149870803</v>
      </c>
      <c r="I324" s="50">
        <f t="shared" si="14"/>
        <v>6.9943073115682946E-5</v>
      </c>
      <c r="J324" s="51"/>
      <c r="K324" s="51"/>
      <c r="L324" s="51"/>
      <c r="M324" s="51"/>
      <c r="N324"/>
      <c r="O324"/>
      <c r="P324"/>
      <c r="Q324"/>
      <c r="R324"/>
    </row>
    <row r="325" spans="2:18" ht="12.75" customHeight="1" x14ac:dyDescent="0.25">
      <c r="B325" s="35" t="s">
        <v>720</v>
      </c>
      <c r="C325" s="36" t="s">
        <v>721</v>
      </c>
      <c r="D325" s="47">
        <v>47121.616744200001</v>
      </c>
      <c r="E325" s="48">
        <f t="shared" si="12"/>
        <v>1.8987002992689435E-3</v>
      </c>
      <c r="F325" s="52">
        <v>1.8737270875763747E-2</v>
      </c>
      <c r="G325" s="52">
        <v>0.12267</v>
      </c>
      <c r="H325" s="49">
        <f t="shared" si="13"/>
        <v>0.14255652138492872</v>
      </c>
      <c r="I325" s="50">
        <f t="shared" si="14"/>
        <v>2.7067210981630369E-4</v>
      </c>
      <c r="J325" s="51"/>
      <c r="K325" s="51"/>
      <c r="L325" s="51"/>
      <c r="M325" s="51"/>
      <c r="N325"/>
      <c r="O325"/>
      <c r="P325"/>
      <c r="Q325"/>
      <c r="R325"/>
    </row>
    <row r="326" spans="2:18" ht="12.75" customHeight="1" x14ac:dyDescent="0.25">
      <c r="B326" s="35" t="s">
        <v>722</v>
      </c>
      <c r="C326" s="36" t="s">
        <v>723</v>
      </c>
      <c r="D326" s="47">
        <v>119812.46400000001</v>
      </c>
      <c r="E326" s="48">
        <f t="shared" si="12"/>
        <v>4.8276773373008269E-3</v>
      </c>
      <c r="F326" s="52">
        <v>2.7575932333717801E-2</v>
      </c>
      <c r="G326" s="52">
        <v>7.6999999999999999E-2</v>
      </c>
      <c r="H326" s="49">
        <f t="shared" si="13"/>
        <v>0.10563760572856594</v>
      </c>
      <c r="I326" s="50">
        <f t="shared" si="14"/>
        <v>5.0998427514251782E-4</v>
      </c>
      <c r="J326" s="51"/>
      <c r="K326" s="51"/>
      <c r="L326" s="51"/>
      <c r="M326" s="51"/>
      <c r="N326"/>
      <c r="O326"/>
      <c r="P326"/>
      <c r="Q326"/>
      <c r="R326"/>
    </row>
    <row r="327" spans="2:18" ht="12.75" customHeight="1" x14ac:dyDescent="0.25">
      <c r="B327" s="35" t="s">
        <v>724</v>
      </c>
      <c r="C327" s="36" t="s">
        <v>725</v>
      </c>
      <c r="D327" s="47">
        <v>32735.540145630006</v>
      </c>
      <c r="E327" s="48">
        <f t="shared" si="12"/>
        <v>1.3190332625607247E-3</v>
      </c>
      <c r="F327" s="52">
        <v>0</v>
      </c>
      <c r="G327" s="52">
        <v>0.154</v>
      </c>
      <c r="H327" s="49">
        <f t="shared" si="13"/>
        <v>0.154</v>
      </c>
      <c r="I327" s="50">
        <f t="shared" si="14"/>
        <v>2.0313112243435161E-4</v>
      </c>
      <c r="J327" s="51"/>
      <c r="K327" s="51"/>
      <c r="L327" s="51"/>
      <c r="M327" s="51"/>
      <c r="N327"/>
      <c r="O327"/>
      <c r="P327"/>
      <c r="Q327"/>
      <c r="R327"/>
    </row>
    <row r="328" spans="2:18" ht="12.75" customHeight="1" x14ac:dyDescent="0.25">
      <c r="B328" s="35" t="s">
        <v>726</v>
      </c>
      <c r="C328" s="36" t="s">
        <v>727</v>
      </c>
      <c r="D328" s="47">
        <v>106373.95056725001</v>
      </c>
      <c r="E328" s="48">
        <f t="shared" si="12"/>
        <v>4.2861910463060943E-3</v>
      </c>
      <c r="F328" s="52">
        <v>5.7850220264317187E-2</v>
      </c>
      <c r="G328" s="52">
        <v>5.5670000000000004E-2</v>
      </c>
      <c r="H328" s="49">
        <f t="shared" si="13"/>
        <v>0.11513048114537447</v>
      </c>
      <c r="I328" s="50">
        <f t="shared" si="14"/>
        <v>4.9347123744221671E-4</v>
      </c>
      <c r="J328" s="51"/>
      <c r="K328" s="51"/>
      <c r="L328" s="51"/>
      <c r="M328" s="51"/>
      <c r="N328"/>
      <c r="O328"/>
      <c r="P328"/>
      <c r="Q328"/>
      <c r="R328"/>
    </row>
    <row r="329" spans="2:18" ht="12.75" customHeight="1" x14ac:dyDescent="0.25">
      <c r="B329" s="35" t="s">
        <v>728</v>
      </c>
      <c r="C329" s="36" t="s">
        <v>729</v>
      </c>
      <c r="D329" s="47">
        <v>11066.858026290001</v>
      </c>
      <c r="E329" s="48">
        <f t="shared" si="12"/>
        <v>4.4592372032884657E-4</v>
      </c>
      <c r="F329" s="52">
        <v>6.7223963775687907E-3</v>
      </c>
      <c r="G329" s="52">
        <v>8.4000000000000005E-2</v>
      </c>
      <c r="H329" s="49">
        <f t="shared" si="13"/>
        <v>9.1004737025426691E-2</v>
      </c>
      <c r="I329" s="50">
        <f t="shared" si="14"/>
        <v>4.05811709019266E-5</v>
      </c>
      <c r="J329" s="51"/>
      <c r="K329" s="51"/>
      <c r="L329" s="51"/>
      <c r="M329" s="51"/>
      <c r="N329"/>
      <c r="O329"/>
      <c r="P329"/>
      <c r="Q329"/>
      <c r="R329"/>
    </row>
    <row r="330" spans="2:18" ht="12.75" customHeight="1" x14ac:dyDescent="0.25">
      <c r="B330" s="35" t="s">
        <v>730</v>
      </c>
      <c r="C330" s="36" t="s">
        <v>731</v>
      </c>
      <c r="D330" s="47">
        <v>40661.764133250006</v>
      </c>
      <c r="E330" s="48">
        <f t="shared" si="12"/>
        <v>1.638409483013075E-3</v>
      </c>
      <c r="F330" s="52">
        <v>3.5533498759305213E-2</v>
      </c>
      <c r="G330" s="52">
        <v>0.16140000000000002</v>
      </c>
      <c r="H330" s="49">
        <f t="shared" si="13"/>
        <v>0.19980105210918114</v>
      </c>
      <c r="I330" s="50">
        <f t="shared" si="14"/>
        <v>3.2735593849167195E-4</v>
      </c>
      <c r="J330" s="51"/>
      <c r="K330" s="51"/>
      <c r="L330" s="51"/>
      <c r="M330" s="51"/>
      <c r="N330"/>
      <c r="O330"/>
      <c r="P330"/>
      <c r="Q330"/>
      <c r="R330"/>
    </row>
    <row r="331" spans="2:18" ht="12.75" customHeight="1" x14ac:dyDescent="0.25">
      <c r="B331" s="35" t="s">
        <v>732</v>
      </c>
      <c r="C331" s="36" t="s">
        <v>733</v>
      </c>
      <c r="D331" s="47">
        <v>210550.14052355997</v>
      </c>
      <c r="E331" s="48">
        <f t="shared" si="12"/>
        <v>8.4838263719465359E-3</v>
      </c>
      <c r="F331" s="52">
        <v>2.6970700012259416E-2</v>
      </c>
      <c r="G331" s="52">
        <v>8.763E-2</v>
      </c>
      <c r="H331" s="49">
        <f t="shared" si="13"/>
        <v>0.11578242123329656</v>
      </c>
      <c r="I331" s="50">
        <f t="shared" si="14"/>
        <v>9.8227795866686392E-4</v>
      </c>
      <c r="J331" s="51"/>
      <c r="K331" s="51"/>
      <c r="L331" s="51"/>
      <c r="M331" s="51"/>
      <c r="N331"/>
      <c r="O331"/>
      <c r="P331"/>
      <c r="Q331"/>
      <c r="R331"/>
    </row>
    <row r="332" spans="2:18" ht="12.75" customHeight="1" x14ac:dyDescent="0.25">
      <c r="B332" s="35" t="s">
        <v>734</v>
      </c>
      <c r="C332" s="36" t="s">
        <v>735</v>
      </c>
      <c r="D332" s="47">
        <v>14135.57200693</v>
      </c>
      <c r="E332" s="48">
        <f t="shared" ref="E332:E395" si="15">IF(OR(H332="N/A",D332="N/A"),"N/A",D332/$D$512)</f>
        <v>5.6957330105188327E-4</v>
      </c>
      <c r="F332" s="52">
        <v>1.1580775911986103E-2</v>
      </c>
      <c r="G332" s="52">
        <v>4.5000000000000005E-3</v>
      </c>
      <c r="H332" s="49">
        <f t="shared" ref="H332:H395" si="16">IFERROR(F332*(1+0.5*G332)+G332,"N/A")</f>
        <v>1.6106832657788075E-2</v>
      </c>
      <c r="I332" s="50">
        <f t="shared" ref="I332:I395" si="17">IF(AND(ISNUMBER(D332),ISNUMBER(H332)),E332*H332,"N/A")</f>
        <v>9.174021846386632E-6</v>
      </c>
      <c r="J332" s="51"/>
      <c r="K332" s="51"/>
      <c r="L332" s="51"/>
      <c r="M332" s="51"/>
      <c r="N332"/>
      <c r="O332"/>
      <c r="P332"/>
      <c r="Q332"/>
      <c r="R332"/>
    </row>
    <row r="333" spans="2:18" ht="12.75" customHeight="1" x14ac:dyDescent="0.25">
      <c r="B333" s="35" t="s">
        <v>736</v>
      </c>
      <c r="C333" s="36" t="s">
        <v>737</v>
      </c>
      <c r="D333" s="47">
        <v>74041.765278110004</v>
      </c>
      <c r="E333" s="48">
        <f t="shared" si="15"/>
        <v>2.9834104091781212E-3</v>
      </c>
      <c r="F333" s="52">
        <v>3.0210016155088858E-2</v>
      </c>
      <c r="G333" s="52">
        <v>8.9900000000000008E-2</v>
      </c>
      <c r="H333" s="49">
        <f t="shared" si="16"/>
        <v>0.12146795638126011</v>
      </c>
      <c r="I333" s="50">
        <f t="shared" si="17"/>
        <v>3.6238876544944542E-4</v>
      </c>
      <c r="J333" s="51"/>
      <c r="K333" s="51"/>
      <c r="L333" s="51"/>
      <c r="M333" s="51"/>
      <c r="N333"/>
      <c r="O333"/>
      <c r="P333"/>
      <c r="Q333"/>
      <c r="R333"/>
    </row>
    <row r="334" spans="2:18" ht="12.75" customHeight="1" x14ac:dyDescent="0.25">
      <c r="B334" s="35" t="s">
        <v>738</v>
      </c>
      <c r="C334" s="36" t="s">
        <v>739</v>
      </c>
      <c r="D334" s="47">
        <v>16050.875442260001</v>
      </c>
      <c r="E334" s="48">
        <f t="shared" si="15"/>
        <v>6.4674780093360734E-4</v>
      </c>
      <c r="F334" s="52">
        <v>1.2232302985546999E-2</v>
      </c>
      <c r="G334" s="52">
        <v>9.2499999999999999E-2</v>
      </c>
      <c r="H334" s="49">
        <f t="shared" si="16"/>
        <v>0.10529804699862855</v>
      </c>
      <c r="I334" s="50">
        <f t="shared" si="17"/>
        <v>6.8101280338966644E-5</v>
      </c>
      <c r="J334" s="51"/>
      <c r="K334" s="51"/>
      <c r="L334" s="51"/>
      <c r="M334" s="51"/>
      <c r="N334"/>
      <c r="O334"/>
      <c r="P334"/>
      <c r="Q334"/>
      <c r="R334"/>
    </row>
    <row r="335" spans="2:18" ht="12.75" customHeight="1" x14ac:dyDescent="0.25">
      <c r="B335" s="35" t="s">
        <v>740</v>
      </c>
      <c r="C335" s="36" t="s">
        <v>741</v>
      </c>
      <c r="D335" s="47">
        <v>889286.26052585989</v>
      </c>
      <c r="E335" s="48">
        <f t="shared" si="15"/>
        <v>3.5832558508384342E-2</v>
      </c>
      <c r="F335" s="52">
        <v>1.5434388749892159E-2</v>
      </c>
      <c r="G335" s="52">
        <v>0.11678000000000001</v>
      </c>
      <c r="H335" s="49">
        <f t="shared" si="16"/>
        <v>0.13311560270899836</v>
      </c>
      <c r="I335" s="50">
        <f t="shared" si="17"/>
        <v>4.7698726224490286E-3</v>
      </c>
      <c r="J335" s="51"/>
      <c r="K335" s="51"/>
      <c r="L335" s="51"/>
      <c r="M335" s="51"/>
      <c r="N335"/>
      <c r="O335"/>
      <c r="P335"/>
      <c r="Q335"/>
      <c r="R335"/>
    </row>
    <row r="336" spans="2:18" ht="12.75" customHeight="1" x14ac:dyDescent="0.25">
      <c r="B336" s="35" t="s">
        <v>742</v>
      </c>
      <c r="C336" s="36" t="s">
        <v>743</v>
      </c>
      <c r="D336" s="47">
        <v>23046.857944319996</v>
      </c>
      <c r="E336" s="48">
        <f t="shared" si="15"/>
        <v>9.2864122879390213E-4</v>
      </c>
      <c r="F336" s="52">
        <v>1.6453356086461889E-2</v>
      </c>
      <c r="G336" s="52">
        <v>4.0999999999999995E-2</v>
      </c>
      <c r="H336" s="49">
        <f t="shared" si="16"/>
        <v>5.7790649886234349E-2</v>
      </c>
      <c r="I336" s="50">
        <f t="shared" si="17"/>
        <v>5.366678012315085E-5</v>
      </c>
      <c r="J336" s="51"/>
      <c r="K336" s="51"/>
      <c r="L336" s="51"/>
      <c r="M336" s="51"/>
      <c r="N336"/>
      <c r="O336"/>
      <c r="P336"/>
      <c r="Q336"/>
      <c r="R336"/>
    </row>
    <row r="337" spans="2:18" ht="12.75" customHeight="1" x14ac:dyDescent="0.25">
      <c r="B337" s="35" t="s">
        <v>744</v>
      </c>
      <c r="C337" s="36" t="s">
        <v>745</v>
      </c>
      <c r="D337" s="47">
        <v>23887.339680559999</v>
      </c>
      <c r="E337" s="48">
        <f t="shared" si="15"/>
        <v>9.6250727657388199E-4</v>
      </c>
      <c r="F337" s="52">
        <v>2.4860885694412239E-2</v>
      </c>
      <c r="G337" s="52">
        <v>7.9830000000000012E-2</v>
      </c>
      <c r="H337" s="49">
        <f t="shared" si="16"/>
        <v>0.10568320794690471</v>
      </c>
      <c r="I337" s="50">
        <f t="shared" si="17"/>
        <v>1.0172085666056649E-4</v>
      </c>
      <c r="J337" s="51"/>
      <c r="K337" s="51"/>
      <c r="L337" s="51"/>
      <c r="M337" s="51"/>
      <c r="N337"/>
      <c r="O337"/>
      <c r="P337"/>
      <c r="Q337"/>
      <c r="R337"/>
    </row>
    <row r="338" spans="2:18" ht="12.75" customHeight="1" x14ac:dyDescent="0.25">
      <c r="B338" s="35" t="s">
        <v>746</v>
      </c>
      <c r="C338" s="36" t="s">
        <v>747</v>
      </c>
      <c r="D338" s="47">
        <v>17599.778063680002</v>
      </c>
      <c r="E338" s="48">
        <f t="shared" si="15"/>
        <v>7.0915868735954026E-4</v>
      </c>
      <c r="F338" s="52">
        <v>0</v>
      </c>
      <c r="G338" s="52">
        <v>0.12673000000000001</v>
      </c>
      <c r="H338" s="49">
        <f t="shared" si="16"/>
        <v>0.12673000000000001</v>
      </c>
      <c r="I338" s="50">
        <f t="shared" si="17"/>
        <v>8.9871680449074548E-5</v>
      </c>
      <c r="J338" s="51"/>
      <c r="K338" s="51"/>
      <c r="L338" s="51"/>
      <c r="M338" s="51"/>
      <c r="N338"/>
      <c r="O338"/>
      <c r="P338"/>
      <c r="Q338"/>
      <c r="R338"/>
    </row>
    <row r="339" spans="2:18" ht="12.75" customHeight="1" x14ac:dyDescent="0.25">
      <c r="B339" s="35" t="s">
        <v>748</v>
      </c>
      <c r="C339" s="36" t="s">
        <v>749</v>
      </c>
      <c r="D339" s="47">
        <v>44326.190827859995</v>
      </c>
      <c r="E339" s="48">
        <f t="shared" si="15"/>
        <v>1.7860624826857034E-3</v>
      </c>
      <c r="F339" s="52">
        <v>3.6165907941325243E-3</v>
      </c>
      <c r="G339" s="52">
        <v>-3.3000000000000002E-2</v>
      </c>
      <c r="H339" s="49">
        <f t="shared" si="16"/>
        <v>-2.9443082953970665E-2</v>
      </c>
      <c r="I339" s="50">
        <f t="shared" si="17"/>
        <v>-5.258718583868996E-5</v>
      </c>
      <c r="J339" s="51"/>
      <c r="K339" s="51"/>
      <c r="L339" s="51"/>
      <c r="M339" s="51"/>
      <c r="N339"/>
      <c r="O339"/>
      <c r="P339"/>
      <c r="Q339"/>
      <c r="R339"/>
    </row>
    <row r="340" spans="2:18" ht="12.75" customHeight="1" x14ac:dyDescent="0.25">
      <c r="B340" s="35" t="s">
        <v>750</v>
      </c>
      <c r="C340" s="36" t="s">
        <v>751</v>
      </c>
      <c r="D340" s="47">
        <v>14801.7861276</v>
      </c>
      <c r="E340" s="48">
        <f t="shared" si="15"/>
        <v>5.9641747656394317E-4</v>
      </c>
      <c r="F340" s="52">
        <v>3.3985962319911342E-2</v>
      </c>
      <c r="G340" s="52">
        <v>8.9329999999999993E-2</v>
      </c>
      <c r="H340" s="49">
        <f t="shared" si="16"/>
        <v>0.12483394532693018</v>
      </c>
      <c r="I340" s="50">
        <f t="shared" si="17"/>
        <v>7.4453146661408943E-5</v>
      </c>
      <c r="J340" s="51"/>
      <c r="K340" s="51"/>
      <c r="L340" s="51"/>
      <c r="M340" s="51"/>
      <c r="N340"/>
      <c r="O340"/>
      <c r="P340"/>
      <c r="Q340"/>
      <c r="R340"/>
    </row>
    <row r="341" spans="2:18" ht="12.75" customHeight="1" x14ac:dyDescent="0.25">
      <c r="B341" s="35" t="s">
        <v>752</v>
      </c>
      <c r="C341" s="36" t="s">
        <v>753</v>
      </c>
      <c r="D341" s="47">
        <v>14493.033983139998</v>
      </c>
      <c r="E341" s="48">
        <f t="shared" si="15"/>
        <v>5.8397673641980778E-4</v>
      </c>
      <c r="F341" s="52">
        <v>0</v>
      </c>
      <c r="G341" s="52">
        <v>4.8580000000000005E-2</v>
      </c>
      <c r="H341" s="49">
        <f t="shared" si="16"/>
        <v>4.8580000000000005E-2</v>
      </c>
      <c r="I341" s="50">
        <f t="shared" si="17"/>
        <v>2.8369589855274266E-5</v>
      </c>
      <c r="J341" s="51"/>
      <c r="K341" s="51"/>
      <c r="L341" s="51"/>
      <c r="M341" s="51"/>
      <c r="N341"/>
      <c r="O341"/>
      <c r="P341"/>
      <c r="Q341"/>
      <c r="R341"/>
    </row>
    <row r="342" spans="2:18" ht="12.75" customHeight="1" x14ac:dyDescent="0.25">
      <c r="B342" s="35" t="s">
        <v>754</v>
      </c>
      <c r="C342" s="36" t="s">
        <v>755</v>
      </c>
      <c r="D342" s="47">
        <v>11170.7993628</v>
      </c>
      <c r="E342" s="48">
        <f t="shared" si="15"/>
        <v>4.501118925600602E-4</v>
      </c>
      <c r="F342" s="52">
        <v>1.9090909090909089E-2</v>
      </c>
      <c r="G342" s="52">
        <v>0.16070000000000001</v>
      </c>
      <c r="H342" s="49">
        <f t="shared" si="16"/>
        <v>0.18132486363636363</v>
      </c>
      <c r="I342" s="50">
        <f t="shared" si="17"/>
        <v>8.1616477539558474E-5</v>
      </c>
      <c r="J342" s="51"/>
      <c r="K342" s="51"/>
      <c r="L342" s="51"/>
      <c r="M342" s="51"/>
      <c r="N342"/>
      <c r="O342"/>
      <c r="P342"/>
      <c r="Q342"/>
      <c r="R342"/>
    </row>
    <row r="343" spans="2:18" ht="12.75" customHeight="1" x14ac:dyDescent="0.25">
      <c r="B343" s="35" t="s">
        <v>756</v>
      </c>
      <c r="C343" s="36" t="s">
        <v>757</v>
      </c>
      <c r="D343" s="47">
        <v>12094.78234525</v>
      </c>
      <c r="E343" s="48">
        <f t="shared" si="15"/>
        <v>4.8734250743519947E-4</v>
      </c>
      <c r="F343" s="52">
        <v>3.6543654365436547E-3</v>
      </c>
      <c r="G343" s="52">
        <v>0.1225</v>
      </c>
      <c r="H343" s="49">
        <f t="shared" si="16"/>
        <v>0.12637819531953196</v>
      </c>
      <c r="I343" s="50">
        <f t="shared" si="17"/>
        <v>6.1589466592156089E-5</v>
      </c>
      <c r="J343" s="51"/>
      <c r="K343" s="51"/>
      <c r="L343" s="51"/>
      <c r="M343" s="51"/>
      <c r="N343"/>
      <c r="O343"/>
      <c r="P343"/>
      <c r="Q343"/>
      <c r="R343"/>
    </row>
    <row r="344" spans="2:18" ht="12.75" customHeight="1" x14ac:dyDescent="0.25">
      <c r="B344" s="35" t="s">
        <v>758</v>
      </c>
      <c r="C344" s="36" t="s">
        <v>759</v>
      </c>
      <c r="D344" s="47">
        <v>13820.5741413</v>
      </c>
      <c r="E344" s="48">
        <f t="shared" si="15"/>
        <v>5.5688089822140583E-4</v>
      </c>
      <c r="F344" s="52">
        <v>2.2309994015559543E-2</v>
      </c>
      <c r="G344" s="52">
        <v>9.1129999999999989E-2</v>
      </c>
      <c r="H344" s="49">
        <f t="shared" si="16"/>
        <v>0.11445654889287851</v>
      </c>
      <c r="I344" s="50">
        <f t="shared" si="17"/>
        <v>6.3738665754788435E-5</v>
      </c>
      <c r="J344" s="51"/>
      <c r="K344" s="51"/>
      <c r="L344" s="51"/>
      <c r="M344" s="51"/>
      <c r="N344"/>
      <c r="O344"/>
      <c r="P344"/>
      <c r="Q344"/>
      <c r="R344"/>
    </row>
    <row r="345" spans="2:18" ht="12.75" customHeight="1" x14ac:dyDescent="0.25">
      <c r="B345" s="35" t="s">
        <v>760</v>
      </c>
      <c r="C345" s="36" t="s">
        <v>56</v>
      </c>
      <c r="D345" s="47">
        <v>91444.753656200002</v>
      </c>
      <c r="E345" s="48">
        <f t="shared" si="15"/>
        <v>3.6846397286437052E-3</v>
      </c>
      <c r="F345" s="52">
        <v>2.6113783727253714E-2</v>
      </c>
      <c r="G345" s="52">
        <v>4.8979999999999996E-2</v>
      </c>
      <c r="H345" s="49">
        <f t="shared" si="16"/>
        <v>7.5733310290734157E-2</v>
      </c>
      <c r="I345" s="50">
        <f t="shared" si="17"/>
        <v>2.7904996387894022E-4</v>
      </c>
      <c r="J345" s="51"/>
      <c r="K345" s="51"/>
      <c r="L345" s="51"/>
      <c r="M345" s="51"/>
      <c r="N345"/>
      <c r="O345"/>
      <c r="P345"/>
      <c r="Q345"/>
      <c r="R345"/>
    </row>
    <row r="346" spans="2:18" ht="12.75" customHeight="1" x14ac:dyDescent="0.25">
      <c r="B346" s="35" t="s">
        <v>761</v>
      </c>
      <c r="C346" s="36" t="s">
        <v>762</v>
      </c>
      <c r="D346" s="47">
        <v>17652.665407299999</v>
      </c>
      <c r="E346" s="48">
        <f t="shared" si="15"/>
        <v>7.1128970963969557E-4</v>
      </c>
      <c r="F346" s="52">
        <v>1.6928183464091737E-2</v>
      </c>
      <c r="G346" s="52">
        <v>5.5500000000000001E-2</v>
      </c>
      <c r="H346" s="49">
        <f t="shared" si="16"/>
        <v>7.2897940555220281E-2</v>
      </c>
      <c r="I346" s="50">
        <f t="shared" si="17"/>
        <v>5.1851554970854423E-5</v>
      </c>
      <c r="J346" s="51"/>
      <c r="K346" s="51"/>
      <c r="L346" s="51"/>
      <c r="M346" s="51"/>
      <c r="N346"/>
      <c r="O346"/>
      <c r="P346"/>
      <c r="Q346"/>
      <c r="R346"/>
    </row>
    <row r="347" spans="2:18" ht="12.75" customHeight="1" x14ac:dyDescent="0.25">
      <c r="B347" s="35" t="s">
        <v>763</v>
      </c>
      <c r="C347" s="36" t="s">
        <v>764</v>
      </c>
      <c r="D347" s="47">
        <v>157812.92887161998</v>
      </c>
      <c r="E347" s="48">
        <f t="shared" si="15"/>
        <v>6.3588534515623277E-3</v>
      </c>
      <c r="F347" s="52">
        <v>0</v>
      </c>
      <c r="G347" s="52">
        <v>0.32067000000000001</v>
      </c>
      <c r="H347" s="49">
        <f t="shared" si="16"/>
        <v>0.32067000000000001</v>
      </c>
      <c r="I347" s="50">
        <f t="shared" si="17"/>
        <v>2.0390935363124919E-3</v>
      </c>
      <c r="J347" s="51"/>
      <c r="K347" s="51"/>
      <c r="L347" s="51"/>
      <c r="M347" s="51"/>
      <c r="N347"/>
      <c r="O347"/>
      <c r="P347"/>
      <c r="Q347"/>
      <c r="R347"/>
    </row>
    <row r="348" spans="2:18" ht="12.75" customHeight="1" x14ac:dyDescent="0.25">
      <c r="B348" s="35" t="s">
        <v>765</v>
      </c>
      <c r="C348" s="36" t="s">
        <v>766</v>
      </c>
      <c r="D348" s="47">
        <v>10388.867839850001</v>
      </c>
      <c r="E348" s="48">
        <f t="shared" si="15"/>
        <v>4.1860504455243694E-4</v>
      </c>
      <c r="F348" s="52">
        <v>2.915023305844389E-2</v>
      </c>
      <c r="G348" s="52">
        <v>5.7529999999999998E-2</v>
      </c>
      <c r="H348" s="49">
        <f t="shared" si="16"/>
        <v>8.751873951237002E-2</v>
      </c>
      <c r="I348" s="50">
        <f t="shared" si="17"/>
        <v>3.6635785852748778E-5</v>
      </c>
      <c r="J348" s="51"/>
      <c r="K348" s="51"/>
      <c r="L348" s="51"/>
      <c r="M348" s="51"/>
      <c r="N348"/>
      <c r="O348"/>
      <c r="P348"/>
      <c r="Q348"/>
      <c r="R348"/>
    </row>
    <row r="349" spans="2:18" ht="12.75" customHeight="1" x14ac:dyDescent="0.25">
      <c r="B349" s="35" t="s">
        <v>767</v>
      </c>
      <c r="C349" s="36" t="s">
        <v>768</v>
      </c>
      <c r="D349" s="47">
        <v>136605.62690600002</v>
      </c>
      <c r="E349" s="48">
        <f t="shared" si="15"/>
        <v>5.5043345837697518E-3</v>
      </c>
      <c r="F349" s="52">
        <v>9.7695852534562203E-3</v>
      </c>
      <c r="G349" s="52">
        <v>0.18340000000000001</v>
      </c>
      <c r="H349" s="49">
        <f t="shared" si="16"/>
        <v>0.19406545622119817</v>
      </c>
      <c r="I349" s="50">
        <f t="shared" si="17"/>
        <v>1.0682012021933959E-3</v>
      </c>
      <c r="J349" s="51"/>
      <c r="K349" s="51"/>
      <c r="L349" s="51"/>
      <c r="M349" s="51"/>
      <c r="N349"/>
      <c r="O349"/>
      <c r="P349"/>
      <c r="Q349"/>
      <c r="R349"/>
    </row>
    <row r="350" spans="2:18" ht="12.75" customHeight="1" x14ac:dyDescent="0.25">
      <c r="B350" s="35" t="s">
        <v>769</v>
      </c>
      <c r="C350" s="36" t="s">
        <v>770</v>
      </c>
      <c r="D350" s="47">
        <v>6185.9314282699997</v>
      </c>
      <c r="E350" s="48" t="str">
        <f t="shared" si="15"/>
        <v>N/A</v>
      </c>
      <c r="F350" s="52" t="s">
        <v>117</v>
      </c>
      <c r="G350" s="52" t="s">
        <v>104</v>
      </c>
      <c r="H350" s="49" t="str">
        <f t="shared" si="16"/>
        <v>N/A</v>
      </c>
      <c r="I350" s="50" t="str">
        <f t="shared" si="17"/>
        <v>N/A</v>
      </c>
      <c r="J350" s="51"/>
      <c r="K350" s="51"/>
      <c r="L350" s="51"/>
      <c r="M350" s="51"/>
      <c r="N350"/>
      <c r="O350"/>
      <c r="P350"/>
      <c r="Q350"/>
      <c r="R350"/>
    </row>
    <row r="351" spans="2:18" ht="12.75" customHeight="1" x14ac:dyDescent="0.25">
      <c r="B351" s="35" t="s">
        <v>771</v>
      </c>
      <c r="C351" s="36" t="s">
        <v>772</v>
      </c>
      <c r="D351" s="47">
        <v>9579.3013123500004</v>
      </c>
      <c r="E351" s="48" t="str">
        <f t="shared" si="15"/>
        <v>N/A</v>
      </c>
      <c r="F351" s="52">
        <v>4.7829313543599261E-2</v>
      </c>
      <c r="G351" s="52" t="s">
        <v>104</v>
      </c>
      <c r="H351" s="49" t="str">
        <f t="shared" si="16"/>
        <v>N/A</v>
      </c>
      <c r="I351" s="50" t="str">
        <f t="shared" si="17"/>
        <v>N/A</v>
      </c>
      <c r="J351" s="51"/>
      <c r="K351" s="51"/>
      <c r="L351" s="51"/>
      <c r="M351" s="51"/>
      <c r="N351"/>
      <c r="O351"/>
      <c r="P351"/>
      <c r="Q351"/>
      <c r="R351"/>
    </row>
    <row r="352" spans="2:18" ht="12.75" customHeight="1" x14ac:dyDescent="0.25">
      <c r="B352" s="35" t="s">
        <v>773</v>
      </c>
      <c r="C352" s="36" t="s">
        <v>774</v>
      </c>
      <c r="D352" s="47">
        <v>46034.509273469994</v>
      </c>
      <c r="E352" s="48">
        <f t="shared" si="15"/>
        <v>1.854896809010587E-3</v>
      </c>
      <c r="F352" s="52">
        <v>1.9213893293020173E-2</v>
      </c>
      <c r="G352" s="52">
        <v>8.8900000000000007E-2</v>
      </c>
      <c r="H352" s="49">
        <f t="shared" si="16"/>
        <v>0.10896795084989493</v>
      </c>
      <c r="I352" s="50">
        <f t="shared" si="17"/>
        <v>2.0212430431589259E-4</v>
      </c>
      <c r="J352" s="51"/>
      <c r="K352" s="51"/>
      <c r="L352" s="51"/>
      <c r="M352" s="51"/>
      <c r="N352"/>
      <c r="O352"/>
      <c r="P352"/>
      <c r="Q352"/>
      <c r="R352"/>
    </row>
    <row r="353" spans="2:18" ht="12.75" customHeight="1" x14ac:dyDescent="0.25">
      <c r="B353" s="35" t="s">
        <v>775</v>
      </c>
      <c r="C353" s="36" t="s">
        <v>776</v>
      </c>
      <c r="D353" s="47">
        <v>10153.315002079999</v>
      </c>
      <c r="E353" s="48">
        <f t="shared" si="15"/>
        <v>4.0911376911519076E-4</v>
      </c>
      <c r="F353" s="52">
        <v>7.7794561933534744E-3</v>
      </c>
      <c r="G353" s="52">
        <v>0.77760000000000007</v>
      </c>
      <c r="H353" s="49">
        <f t="shared" si="16"/>
        <v>0.78840410876132938</v>
      </c>
      <c r="I353" s="50">
        <f t="shared" si="17"/>
        <v>3.2254697652125025E-4</v>
      </c>
      <c r="J353" s="51"/>
      <c r="K353" s="51"/>
      <c r="L353" s="51"/>
      <c r="M353" s="51"/>
      <c r="N353"/>
      <c r="O353"/>
      <c r="P353"/>
      <c r="Q353"/>
      <c r="R353"/>
    </row>
    <row r="354" spans="2:18" ht="12.75" customHeight="1" x14ac:dyDescent="0.25">
      <c r="B354" s="35" t="s">
        <v>777</v>
      </c>
      <c r="C354" s="36" t="s">
        <v>778</v>
      </c>
      <c r="D354" s="47">
        <v>11708.60660352</v>
      </c>
      <c r="E354" s="48">
        <f t="shared" si="15"/>
        <v>4.7178209064446179E-4</v>
      </c>
      <c r="F354" s="52">
        <v>2.8591851322373124E-3</v>
      </c>
      <c r="G354" s="52">
        <v>0.38215000000000005</v>
      </c>
      <c r="H354" s="49">
        <f t="shared" si="16"/>
        <v>0.38555550393137961</v>
      </c>
      <c r="I354" s="50">
        <f t="shared" si="17"/>
        <v>1.8189818170422529E-4</v>
      </c>
      <c r="J354" s="51"/>
      <c r="K354" s="51"/>
      <c r="L354" s="51"/>
      <c r="M354" s="51"/>
      <c r="N354"/>
      <c r="O354"/>
      <c r="P354"/>
      <c r="Q354"/>
      <c r="R354"/>
    </row>
    <row r="355" spans="2:18" ht="12.75" customHeight="1" x14ac:dyDescent="0.25">
      <c r="B355" s="35" t="s">
        <v>779</v>
      </c>
      <c r="C355" s="36" t="s">
        <v>780</v>
      </c>
      <c r="D355" s="47">
        <v>48013.580123520005</v>
      </c>
      <c r="E355" s="48">
        <f t="shared" si="15"/>
        <v>1.9346407285722373E-3</v>
      </c>
      <c r="F355" s="52">
        <v>1.8995098039215685E-2</v>
      </c>
      <c r="G355" s="52">
        <v>0.13783000000000001</v>
      </c>
      <c r="H355" s="49">
        <f t="shared" si="16"/>
        <v>0.15813414522058825</v>
      </c>
      <c r="I355" s="50">
        <f t="shared" si="17"/>
        <v>3.0593275792170681E-4</v>
      </c>
      <c r="J355" s="51"/>
      <c r="K355" s="51"/>
      <c r="L355" s="51"/>
      <c r="M355" s="51"/>
      <c r="N355"/>
      <c r="O355"/>
      <c r="P355"/>
      <c r="Q355"/>
      <c r="R355"/>
    </row>
    <row r="356" spans="2:18" ht="12.75" customHeight="1" x14ac:dyDescent="0.25">
      <c r="B356" s="35" t="s">
        <v>781</v>
      </c>
      <c r="C356" s="36" t="s">
        <v>782</v>
      </c>
      <c r="D356" s="47">
        <v>16809.102642020003</v>
      </c>
      <c r="E356" s="48">
        <f t="shared" si="15"/>
        <v>6.7729951606072824E-4</v>
      </c>
      <c r="F356" s="52">
        <v>2.3405818395533354E-2</v>
      </c>
      <c r="G356" s="52">
        <v>0.1323</v>
      </c>
      <c r="H356" s="49">
        <f t="shared" si="16"/>
        <v>0.15725411328239788</v>
      </c>
      <c r="I356" s="50">
        <f t="shared" si="17"/>
        <v>1.0650813482472703E-4</v>
      </c>
      <c r="J356" s="51"/>
      <c r="K356" s="51"/>
      <c r="L356" s="51"/>
      <c r="M356" s="51"/>
      <c r="N356"/>
      <c r="O356"/>
      <c r="P356"/>
      <c r="Q356"/>
      <c r="R356"/>
    </row>
    <row r="357" spans="2:18" ht="12.75" customHeight="1" x14ac:dyDescent="0.25">
      <c r="B357" s="35" t="s">
        <v>783</v>
      </c>
      <c r="C357" s="36" t="s">
        <v>784</v>
      </c>
      <c r="D357" s="47">
        <v>20739.841835160001</v>
      </c>
      <c r="E357" s="48">
        <f t="shared" si="15"/>
        <v>8.3568320910924201E-4</v>
      </c>
      <c r="F357" s="52">
        <v>2.5906026127265065E-2</v>
      </c>
      <c r="G357" s="52">
        <v>0.1065</v>
      </c>
      <c r="H357" s="49">
        <f t="shared" si="16"/>
        <v>0.13378552201854194</v>
      </c>
      <c r="I357" s="50">
        <f t="shared" si="17"/>
        <v>1.1180231437281028E-4</v>
      </c>
      <c r="J357" s="51"/>
      <c r="K357" s="51"/>
      <c r="L357" s="51"/>
      <c r="M357" s="51"/>
      <c r="N357"/>
      <c r="O357"/>
      <c r="P357"/>
      <c r="Q357"/>
      <c r="R357"/>
    </row>
    <row r="358" spans="2:18" ht="12.75" customHeight="1" x14ac:dyDescent="0.25">
      <c r="B358" s="35" t="s">
        <v>785</v>
      </c>
      <c r="C358" s="36" t="s">
        <v>786</v>
      </c>
      <c r="D358" s="47">
        <v>17873.984052989999</v>
      </c>
      <c r="E358" s="48">
        <f t="shared" si="15"/>
        <v>7.2020743801660069E-4</v>
      </c>
      <c r="F358" s="52">
        <v>2.7080129847941229E-2</v>
      </c>
      <c r="G358" s="52">
        <v>8.5000000000000006E-3</v>
      </c>
      <c r="H358" s="49">
        <f t="shared" si="16"/>
        <v>3.5695220399794982E-2</v>
      </c>
      <c r="I358" s="50">
        <f t="shared" si="17"/>
        <v>2.5707963233574245E-5</v>
      </c>
      <c r="J358" s="51"/>
      <c r="K358" s="51"/>
      <c r="L358" s="51"/>
      <c r="M358" s="51"/>
      <c r="N358"/>
      <c r="O358"/>
      <c r="P358"/>
      <c r="Q358"/>
      <c r="R358"/>
    </row>
    <row r="359" spans="2:18" ht="12.75" customHeight="1" x14ac:dyDescent="0.25">
      <c r="B359" s="35" t="s">
        <v>787</v>
      </c>
      <c r="C359" s="36" t="s">
        <v>788</v>
      </c>
      <c r="D359" s="47">
        <v>102904.86</v>
      </c>
      <c r="E359" s="48">
        <f t="shared" si="15"/>
        <v>4.1464088454112287E-3</v>
      </c>
      <c r="F359" s="52">
        <v>3.94558624344856E-3</v>
      </c>
      <c r="G359" s="52">
        <v>7.8570000000000001E-2</v>
      </c>
      <c r="H359" s="49">
        <f t="shared" si="16"/>
        <v>8.2670588599022432E-2</v>
      </c>
      <c r="I359" s="50">
        <f t="shared" si="17"/>
        <v>3.4278605982233928E-4</v>
      </c>
      <c r="J359" s="51"/>
      <c r="K359" s="51"/>
      <c r="L359" s="51"/>
      <c r="M359" s="51"/>
      <c r="N359"/>
      <c r="O359"/>
      <c r="P359"/>
      <c r="Q359"/>
      <c r="R359"/>
    </row>
    <row r="360" spans="2:18" ht="12.75" customHeight="1" x14ac:dyDescent="0.25">
      <c r="B360" s="35" t="s">
        <v>789</v>
      </c>
      <c r="C360" s="36" t="s">
        <v>790</v>
      </c>
      <c r="D360" s="47">
        <v>6578.768</v>
      </c>
      <c r="E360" s="48">
        <f t="shared" si="15"/>
        <v>2.6508234720020352E-4</v>
      </c>
      <c r="F360" s="52">
        <v>5.8997429305912591E-2</v>
      </c>
      <c r="G360" s="52">
        <v>-5.9249999999999997E-2</v>
      </c>
      <c r="H360" s="49">
        <f t="shared" si="16"/>
        <v>-2.0003695372750666E-3</v>
      </c>
      <c r="I360" s="50">
        <f t="shared" si="17"/>
        <v>-5.3026265220865965E-7</v>
      </c>
      <c r="J360" s="51"/>
      <c r="K360" s="51"/>
      <c r="L360" s="51"/>
      <c r="M360" s="51"/>
      <c r="N360"/>
      <c r="O360"/>
      <c r="P360"/>
      <c r="Q360"/>
      <c r="R360"/>
    </row>
    <row r="361" spans="2:18" ht="12.75" customHeight="1" x14ac:dyDescent="0.25">
      <c r="B361" s="35" t="s">
        <v>791</v>
      </c>
      <c r="C361" s="36" t="s">
        <v>792</v>
      </c>
      <c r="D361" s="47">
        <v>7413.8034385600004</v>
      </c>
      <c r="E361" s="48">
        <f t="shared" si="15"/>
        <v>2.9872894395644058E-4</v>
      </c>
      <c r="F361" s="52">
        <v>1.6772151898734176E-2</v>
      </c>
      <c r="G361" s="52">
        <v>-9.1249999999999998E-2</v>
      </c>
      <c r="H361" s="49">
        <f t="shared" si="16"/>
        <v>-7.5243077531645566E-2</v>
      </c>
      <c r="I361" s="50">
        <f t="shared" si="17"/>
        <v>-2.2477285091061061E-5</v>
      </c>
      <c r="J361" s="51"/>
      <c r="K361" s="51"/>
      <c r="L361" s="51"/>
      <c r="M361" s="51"/>
      <c r="N361"/>
      <c r="O361"/>
      <c r="P361"/>
      <c r="Q361"/>
      <c r="R361"/>
    </row>
    <row r="362" spans="2:18" ht="12.75" customHeight="1" x14ac:dyDescent="0.25">
      <c r="B362" s="35" t="s">
        <v>793</v>
      </c>
      <c r="C362" s="36" t="s">
        <v>794</v>
      </c>
      <c r="D362" s="47">
        <v>21642.12191908</v>
      </c>
      <c r="E362" s="48">
        <f t="shared" si="15"/>
        <v>8.7203933573925998E-4</v>
      </c>
      <c r="F362" s="52">
        <v>3.8265019651880977E-2</v>
      </c>
      <c r="G362" s="52">
        <v>4.3929999999999997E-2</v>
      </c>
      <c r="H362" s="49">
        <f t="shared" si="16"/>
        <v>8.3035510808534538E-2</v>
      </c>
      <c r="I362" s="50">
        <f t="shared" si="17"/>
        <v>7.2410231688244605E-5</v>
      </c>
      <c r="J362" s="51"/>
      <c r="K362" s="51"/>
      <c r="L362" s="51"/>
      <c r="M362" s="51"/>
      <c r="N362"/>
      <c r="O362"/>
      <c r="P362"/>
      <c r="Q362"/>
      <c r="R362"/>
    </row>
    <row r="363" spans="2:18" ht="12.75" customHeight="1" x14ac:dyDescent="0.25">
      <c r="B363" s="35" t="s">
        <v>795</v>
      </c>
      <c r="C363" s="36" t="s">
        <v>796</v>
      </c>
      <c r="D363" s="47">
        <v>27516.220886699997</v>
      </c>
      <c r="E363" s="48">
        <f t="shared" si="15"/>
        <v>1.108728020007044E-3</v>
      </c>
      <c r="F363" s="52">
        <v>5.3747195213163811E-2</v>
      </c>
      <c r="G363" s="52">
        <v>0.12823000000000001</v>
      </c>
      <c r="H363" s="49">
        <f t="shared" si="16"/>
        <v>0.18542319663425583</v>
      </c>
      <c r="I363" s="50">
        <f t="shared" si="17"/>
        <v>2.0558389366767525E-4</v>
      </c>
      <c r="J363" s="51"/>
      <c r="K363" s="51"/>
      <c r="L363" s="51"/>
      <c r="M363" s="51"/>
      <c r="N363"/>
      <c r="O363"/>
      <c r="P363"/>
      <c r="Q363"/>
      <c r="R363"/>
    </row>
    <row r="364" spans="2:18" ht="12.75" customHeight="1" x14ac:dyDescent="0.25">
      <c r="B364" s="35" t="s">
        <v>797</v>
      </c>
      <c r="C364" s="36" t="s">
        <v>798</v>
      </c>
      <c r="D364" s="47">
        <v>16881.94452506</v>
      </c>
      <c r="E364" s="48">
        <f t="shared" si="15"/>
        <v>6.8023457887655102E-4</v>
      </c>
      <c r="F364" s="52">
        <v>3.4291771564860213E-2</v>
      </c>
      <c r="G364" s="52">
        <v>3.7769999999999998E-2</v>
      </c>
      <c r="H364" s="49">
        <f t="shared" si="16"/>
        <v>7.2709371670862596E-2</v>
      </c>
      <c r="I364" s="50">
        <f t="shared" si="17"/>
        <v>4.9459428818907848E-5</v>
      </c>
      <c r="J364" s="51"/>
      <c r="K364" s="51"/>
      <c r="L364" s="51"/>
      <c r="M364" s="51"/>
      <c r="N364"/>
      <c r="O364"/>
      <c r="P364"/>
      <c r="Q364"/>
      <c r="R364"/>
    </row>
    <row r="365" spans="2:18" ht="12.75" customHeight="1" x14ac:dyDescent="0.25">
      <c r="B365" s="35" t="s">
        <v>799</v>
      </c>
      <c r="C365" s="36" t="s">
        <v>800</v>
      </c>
      <c r="D365" s="47">
        <v>189997.37185999996</v>
      </c>
      <c r="E365" s="48">
        <f t="shared" si="15"/>
        <v>7.655681017254095E-3</v>
      </c>
      <c r="F365" s="52">
        <v>1.5697015489233097E-2</v>
      </c>
      <c r="G365" s="52">
        <v>7.5429999999999997E-2</v>
      </c>
      <c r="H365" s="49">
        <f t="shared" si="16"/>
        <v>9.1719028428409524E-2</v>
      </c>
      <c r="I365" s="50">
        <f t="shared" si="17"/>
        <v>7.0217162486036345E-4</v>
      </c>
      <c r="J365" s="51"/>
      <c r="K365" s="51"/>
      <c r="L365" s="51"/>
      <c r="M365" s="51"/>
      <c r="N365"/>
      <c r="O365"/>
      <c r="P365"/>
      <c r="Q365"/>
      <c r="R365"/>
    </row>
    <row r="366" spans="2:18" ht="12.75" customHeight="1" x14ac:dyDescent="0.25">
      <c r="B366" s="35" t="s">
        <v>801</v>
      </c>
      <c r="C366" s="36" t="s">
        <v>802</v>
      </c>
      <c r="D366" s="47">
        <v>29000.543212199998</v>
      </c>
      <c r="E366" s="48">
        <f t="shared" si="15"/>
        <v>1.1685367328306616E-3</v>
      </c>
      <c r="F366" s="52">
        <v>0</v>
      </c>
      <c r="G366" s="52">
        <v>0.14832999999999999</v>
      </c>
      <c r="H366" s="49">
        <f t="shared" si="16"/>
        <v>0.14832999999999999</v>
      </c>
      <c r="I366" s="50">
        <f t="shared" si="17"/>
        <v>1.7332905358077201E-4</v>
      </c>
      <c r="J366" s="51"/>
      <c r="K366" s="51"/>
      <c r="L366" s="51"/>
      <c r="M366" s="51"/>
      <c r="N366"/>
      <c r="O366"/>
      <c r="P366"/>
      <c r="Q366"/>
      <c r="R366"/>
    </row>
    <row r="367" spans="2:18" ht="12.75" customHeight="1" x14ac:dyDescent="0.25">
      <c r="B367" s="35" t="s">
        <v>803</v>
      </c>
      <c r="C367" s="36" t="s">
        <v>804</v>
      </c>
      <c r="D367" s="47">
        <v>49072.805623209999</v>
      </c>
      <c r="E367" s="48">
        <f t="shared" si="15"/>
        <v>1.9773207534145988E-3</v>
      </c>
      <c r="F367" s="52">
        <v>4.7853978921643503E-2</v>
      </c>
      <c r="G367" s="52">
        <v>-5.0000000000000001E-3</v>
      </c>
      <c r="H367" s="49">
        <f t="shared" si="16"/>
        <v>4.2734343974339402E-2</v>
      </c>
      <c r="I367" s="50">
        <f t="shared" si="17"/>
        <v>8.4499505224019405E-5</v>
      </c>
      <c r="J367" s="51"/>
      <c r="K367" s="51"/>
      <c r="L367" s="51"/>
      <c r="M367" s="51"/>
      <c r="N367"/>
      <c r="O367"/>
      <c r="P367"/>
      <c r="Q367"/>
      <c r="R367"/>
    </row>
    <row r="368" spans="2:18" ht="12.75" customHeight="1" x14ac:dyDescent="0.25">
      <c r="B368" s="35" t="s">
        <v>805</v>
      </c>
      <c r="C368" s="36" t="s">
        <v>806</v>
      </c>
      <c r="D368" s="47">
        <v>28450.793874480001</v>
      </c>
      <c r="E368" s="48">
        <f t="shared" si="15"/>
        <v>1.1463853444833945E-3</v>
      </c>
      <c r="F368" s="52">
        <v>2.8814842862552061E-2</v>
      </c>
      <c r="G368" s="52">
        <v>9.2499999999999999E-2</v>
      </c>
      <c r="H368" s="49">
        <f t="shared" si="16"/>
        <v>0.12264752934494509</v>
      </c>
      <c r="I368" s="50">
        <f t="shared" si="17"/>
        <v>1.4060133017814212E-4</v>
      </c>
      <c r="J368" s="51"/>
      <c r="K368" s="51"/>
      <c r="L368" s="51"/>
      <c r="M368" s="51"/>
      <c r="N368"/>
      <c r="O368"/>
      <c r="P368"/>
      <c r="Q368"/>
      <c r="R368"/>
    </row>
    <row r="369" spans="2:18" ht="12.75" customHeight="1" x14ac:dyDescent="0.25">
      <c r="B369" s="35" t="s">
        <v>807</v>
      </c>
      <c r="C369" s="36" t="s">
        <v>808</v>
      </c>
      <c r="D369" s="47">
        <v>6555.4251828799997</v>
      </c>
      <c r="E369" s="48">
        <f t="shared" si="15"/>
        <v>2.6414178070622858E-4</v>
      </c>
      <c r="F369" s="52">
        <v>4.112903225806451E-2</v>
      </c>
      <c r="G369" s="52">
        <v>0.02</v>
      </c>
      <c r="H369" s="49">
        <f t="shared" si="16"/>
        <v>6.1540322580645151E-2</v>
      </c>
      <c r="I369" s="50">
        <f t="shared" si="17"/>
        <v>1.6255370391687339E-5</v>
      </c>
      <c r="J369" s="51"/>
      <c r="K369" s="51"/>
      <c r="L369" s="51"/>
      <c r="M369" s="51"/>
      <c r="N369"/>
      <c r="O369"/>
      <c r="P369"/>
      <c r="Q369"/>
      <c r="R369"/>
    </row>
    <row r="370" spans="2:18" ht="12.75" customHeight="1" x14ac:dyDescent="0.25">
      <c r="B370" s="35" t="s">
        <v>809</v>
      </c>
      <c r="C370" s="36" t="s">
        <v>810</v>
      </c>
      <c r="D370" s="47">
        <v>23455.492386150003</v>
      </c>
      <c r="E370" s="48">
        <f t="shared" si="15"/>
        <v>9.4510658780749606E-4</v>
      </c>
      <c r="F370" s="52">
        <v>4.0798226164079819E-2</v>
      </c>
      <c r="G370" s="52">
        <v>5.9000000000000004E-2</v>
      </c>
      <c r="H370" s="49">
        <f t="shared" si="16"/>
        <v>0.10100177383592018</v>
      </c>
      <c r="I370" s="50">
        <f t="shared" si="17"/>
        <v>9.5457441832570955E-5</v>
      </c>
      <c r="J370" s="51"/>
      <c r="K370" s="51"/>
      <c r="L370" s="51"/>
      <c r="M370" s="51"/>
      <c r="N370"/>
      <c r="O370"/>
      <c r="P370"/>
      <c r="Q370"/>
      <c r="R370"/>
    </row>
    <row r="371" spans="2:18" ht="12.75" customHeight="1" x14ac:dyDescent="0.25">
      <c r="B371" s="35" t="s">
        <v>811</v>
      </c>
      <c r="C371" s="36" t="s">
        <v>812</v>
      </c>
      <c r="D371" s="47">
        <v>30163.622285279998</v>
      </c>
      <c r="E371" s="48">
        <f t="shared" si="15"/>
        <v>1.2154013936108387E-3</v>
      </c>
      <c r="F371" s="52">
        <v>3.139126067302863E-2</v>
      </c>
      <c r="G371" s="52">
        <v>6.7269999999999996E-2</v>
      </c>
      <c r="H371" s="49">
        <f t="shared" si="16"/>
        <v>9.9717105725765948E-2</v>
      </c>
      <c r="I371" s="50">
        <f t="shared" si="17"/>
        <v>1.2119630926593527E-4</v>
      </c>
      <c r="J371" s="51"/>
      <c r="K371" s="51"/>
      <c r="L371" s="51"/>
      <c r="M371" s="51"/>
      <c r="N371"/>
      <c r="O371"/>
      <c r="P371"/>
      <c r="Q371"/>
      <c r="R371"/>
    </row>
    <row r="372" spans="2:18" ht="12.75" customHeight="1" x14ac:dyDescent="0.25">
      <c r="B372" s="35" t="s">
        <v>813</v>
      </c>
      <c r="C372" s="36" t="s">
        <v>814</v>
      </c>
      <c r="D372" s="47">
        <v>162419.24490098</v>
      </c>
      <c r="E372" s="48">
        <f t="shared" si="15"/>
        <v>6.544458577781808E-3</v>
      </c>
      <c r="F372" s="52">
        <v>3.2967318001037527E-2</v>
      </c>
      <c r="G372" s="52">
        <v>5.4800000000000001E-2</v>
      </c>
      <c r="H372" s="49">
        <f t="shared" si="16"/>
        <v>8.8670622514265968E-2</v>
      </c>
      <c r="I372" s="50">
        <f t="shared" si="17"/>
        <v>5.803012161107406E-4</v>
      </c>
      <c r="J372" s="51"/>
      <c r="K372" s="51"/>
      <c r="L372" s="51"/>
      <c r="M372" s="51"/>
      <c r="N372"/>
      <c r="O372"/>
      <c r="P372"/>
      <c r="Q372"/>
      <c r="R372"/>
    </row>
    <row r="373" spans="2:18" ht="12.75" customHeight="1" x14ac:dyDescent="0.25">
      <c r="B373" s="35" t="s">
        <v>815</v>
      </c>
      <c r="C373" s="36" t="s">
        <v>816</v>
      </c>
      <c r="D373" s="47">
        <v>231954.40412620001</v>
      </c>
      <c r="E373" s="48">
        <f t="shared" si="15"/>
        <v>9.3462815361778483E-3</v>
      </c>
      <c r="F373" s="52">
        <v>3.4490186692197222E-2</v>
      </c>
      <c r="G373" s="52">
        <v>5.45E-2</v>
      </c>
      <c r="H373" s="49">
        <f t="shared" si="16"/>
        <v>8.9930044279559598E-2</v>
      </c>
      <c r="I373" s="50">
        <f t="shared" si="17"/>
        <v>8.4051151239770419E-4</v>
      </c>
      <c r="J373" s="51"/>
      <c r="K373" s="51"/>
      <c r="L373" s="51"/>
      <c r="M373" s="51"/>
      <c r="N373"/>
      <c r="O373"/>
      <c r="P373"/>
      <c r="Q373"/>
      <c r="R373"/>
    </row>
    <row r="374" spans="2:18" ht="12.75" customHeight="1" x14ac:dyDescent="0.25">
      <c r="B374" s="35" t="s">
        <v>817</v>
      </c>
      <c r="C374" s="36" t="s">
        <v>818</v>
      </c>
      <c r="D374" s="47">
        <v>14519.624998620002</v>
      </c>
      <c r="E374" s="48">
        <f t="shared" si="15"/>
        <v>5.8504818456904723E-4</v>
      </c>
      <c r="F374" s="52">
        <v>4.2706536323557601E-2</v>
      </c>
      <c r="G374" s="52">
        <v>4.1599999999999998E-2</v>
      </c>
      <c r="H374" s="49">
        <f t="shared" si="16"/>
        <v>8.5194832279087584E-2</v>
      </c>
      <c r="I374" s="50">
        <f t="shared" si="17"/>
        <v>4.9843081959544657E-5</v>
      </c>
      <c r="J374" s="51"/>
      <c r="K374" s="51"/>
      <c r="L374" s="51"/>
      <c r="M374" s="51"/>
      <c r="N374"/>
      <c r="O374"/>
      <c r="P374"/>
      <c r="Q374"/>
      <c r="R374"/>
    </row>
    <row r="375" spans="2:18" ht="12.75" customHeight="1" x14ac:dyDescent="0.25">
      <c r="B375" s="35" t="s">
        <v>819</v>
      </c>
      <c r="C375" s="36" t="s">
        <v>820</v>
      </c>
      <c r="D375" s="47">
        <v>256261.82538995999</v>
      </c>
      <c r="E375" s="48">
        <f t="shared" si="15"/>
        <v>1.0325715418476425E-2</v>
      </c>
      <c r="F375" s="52">
        <v>2.8367825068332686E-2</v>
      </c>
      <c r="G375" s="52">
        <v>6.5079999999999999E-2</v>
      </c>
      <c r="H375" s="49">
        <f t="shared" si="16"/>
        <v>9.4370914096056233E-2</v>
      </c>
      <c r="I375" s="50">
        <f t="shared" si="17"/>
        <v>9.7444720273736198E-4</v>
      </c>
      <c r="J375" s="51"/>
      <c r="K375" s="51"/>
      <c r="L375" s="51"/>
      <c r="M375" s="51"/>
      <c r="N375"/>
      <c r="O375"/>
      <c r="P375"/>
      <c r="Q375"/>
      <c r="R375"/>
    </row>
    <row r="376" spans="2:18" ht="12.75" customHeight="1" x14ac:dyDescent="0.25">
      <c r="B376" s="35" t="s">
        <v>821</v>
      </c>
      <c r="C376" s="36" t="s">
        <v>822</v>
      </c>
      <c r="D376" s="47">
        <v>42980.601637520005</v>
      </c>
      <c r="E376" s="48">
        <f t="shared" si="15"/>
        <v>1.7318438294450745E-3</v>
      </c>
      <c r="F376" s="52">
        <v>1.9236516777611738E-2</v>
      </c>
      <c r="G376" s="52">
        <v>9.8000000000000004E-2</v>
      </c>
      <c r="H376" s="49">
        <f t="shared" si="16"/>
        <v>0.11817910609971471</v>
      </c>
      <c r="I376" s="50">
        <f t="shared" si="17"/>
        <v>2.0466775566812569E-4</v>
      </c>
      <c r="J376" s="51"/>
      <c r="K376" s="51"/>
      <c r="L376" s="51"/>
      <c r="M376" s="51"/>
      <c r="N376"/>
      <c r="O376"/>
      <c r="P376"/>
      <c r="Q376"/>
      <c r="R376"/>
    </row>
    <row r="377" spans="2:18" ht="12.75" customHeight="1" x14ac:dyDescent="0.25">
      <c r="B377" s="35" t="s">
        <v>823</v>
      </c>
      <c r="C377" s="36" t="s">
        <v>824</v>
      </c>
      <c r="D377" s="47">
        <v>22091.721673349999</v>
      </c>
      <c r="E377" s="48">
        <f t="shared" si="15"/>
        <v>8.9015533529457575E-4</v>
      </c>
      <c r="F377" s="52">
        <v>1.7655325876910464E-2</v>
      </c>
      <c r="G377" s="52">
        <v>9.5150000000000012E-2</v>
      </c>
      <c r="H377" s="49">
        <f t="shared" si="16"/>
        <v>0.11364527800550449</v>
      </c>
      <c r="I377" s="50">
        <f t="shared" si="17"/>
        <v>1.0116195054763513E-4</v>
      </c>
      <c r="J377" s="51"/>
      <c r="K377" s="51"/>
      <c r="L377" s="51"/>
      <c r="M377" s="51"/>
      <c r="N377"/>
      <c r="O377"/>
      <c r="P377"/>
      <c r="Q377"/>
      <c r="R377"/>
    </row>
    <row r="378" spans="2:18" ht="12.75" customHeight="1" x14ac:dyDescent="0.25">
      <c r="B378" s="35" t="s">
        <v>825</v>
      </c>
      <c r="C378" s="36" t="s">
        <v>826</v>
      </c>
      <c r="D378" s="47">
        <v>7446.8057280899993</v>
      </c>
      <c r="E378" s="48">
        <f t="shared" si="15"/>
        <v>3.0005872551608717E-4</v>
      </c>
      <c r="F378" s="52">
        <v>1.6263490882024563E-2</v>
      </c>
      <c r="G378" s="52">
        <v>7.17E-2</v>
      </c>
      <c r="H378" s="49">
        <f t="shared" si="16"/>
        <v>8.8546537030145145E-2</v>
      </c>
      <c r="I378" s="50">
        <f t="shared" si="17"/>
        <v>2.6569161050128372E-5</v>
      </c>
      <c r="J378" s="51"/>
      <c r="K378" s="51"/>
      <c r="L378" s="51"/>
      <c r="M378" s="51"/>
      <c r="N378"/>
      <c r="O378"/>
      <c r="P378"/>
      <c r="Q378"/>
      <c r="R378"/>
    </row>
    <row r="379" spans="2:18" ht="12.75" customHeight="1" x14ac:dyDescent="0.25">
      <c r="B379" s="35" t="s">
        <v>827</v>
      </c>
      <c r="C379" s="36" t="s">
        <v>828</v>
      </c>
      <c r="D379" s="47">
        <v>9088.6185474000013</v>
      </c>
      <c r="E379" s="48">
        <f t="shared" si="15"/>
        <v>3.6621329971692218E-4</v>
      </c>
      <c r="F379" s="52">
        <v>3.2106467040964856E-2</v>
      </c>
      <c r="G379" s="52">
        <v>8.2500000000000004E-2</v>
      </c>
      <c r="H379" s="49">
        <f t="shared" si="16"/>
        <v>0.11593085880640466</v>
      </c>
      <c r="I379" s="50">
        <f t="shared" si="17"/>
        <v>4.2455422342510058E-5</v>
      </c>
      <c r="J379" s="51"/>
      <c r="K379" s="51"/>
      <c r="L379" s="51"/>
      <c r="M379" s="51"/>
      <c r="N379"/>
      <c r="O379"/>
      <c r="P379"/>
      <c r="Q379"/>
      <c r="R379"/>
    </row>
    <row r="380" spans="2:18" ht="12.75" customHeight="1" x14ac:dyDescent="0.25">
      <c r="B380" s="35" t="s">
        <v>829</v>
      </c>
      <c r="C380" s="36" t="s">
        <v>830</v>
      </c>
      <c r="D380" s="47">
        <v>10419.904339840001</v>
      </c>
      <c r="E380" s="48">
        <f t="shared" si="15"/>
        <v>4.1985561734452024E-4</v>
      </c>
      <c r="F380" s="52">
        <v>3.0731603572947681E-3</v>
      </c>
      <c r="G380" s="52">
        <v>0.15953000000000001</v>
      </c>
      <c r="H380" s="49">
        <f t="shared" si="16"/>
        <v>0.16284829099319439</v>
      </c>
      <c r="I380" s="50">
        <f t="shared" si="17"/>
        <v>6.837276974844771E-5</v>
      </c>
      <c r="J380" s="51"/>
      <c r="K380" s="51"/>
      <c r="L380" s="51"/>
      <c r="M380" s="51"/>
      <c r="N380"/>
      <c r="O380"/>
      <c r="P380"/>
      <c r="Q380"/>
      <c r="R380"/>
    </row>
    <row r="381" spans="2:18" ht="12.75" customHeight="1" x14ac:dyDescent="0.25">
      <c r="B381" s="35" t="s">
        <v>831</v>
      </c>
      <c r="C381" s="36" t="s">
        <v>832</v>
      </c>
      <c r="D381" s="47">
        <v>45158.274000000005</v>
      </c>
      <c r="E381" s="48">
        <f t="shared" si="15"/>
        <v>1.8195901219544336E-3</v>
      </c>
      <c r="F381" s="52">
        <v>2.8294249022892241E-2</v>
      </c>
      <c r="G381" s="52">
        <v>6.8680000000000005E-2</v>
      </c>
      <c r="H381" s="49">
        <f t="shared" si="16"/>
        <v>9.7945873534338368E-2</v>
      </c>
      <c r="I381" s="50">
        <f t="shared" si="17"/>
        <v>1.7822134396928028E-4</v>
      </c>
      <c r="J381" s="51"/>
      <c r="K381" s="51"/>
      <c r="L381" s="51"/>
      <c r="M381" s="51"/>
      <c r="N381"/>
      <c r="O381"/>
      <c r="P381"/>
      <c r="Q381"/>
      <c r="R381"/>
    </row>
    <row r="382" spans="2:18" ht="12.75" customHeight="1" x14ac:dyDescent="0.25">
      <c r="B382" s="35" t="s">
        <v>833</v>
      </c>
      <c r="C382" s="36" t="s">
        <v>834</v>
      </c>
      <c r="D382" s="47">
        <v>141233.98765240001</v>
      </c>
      <c r="E382" s="48">
        <f t="shared" si="15"/>
        <v>5.6908279713379101E-3</v>
      </c>
      <c r="F382" s="52">
        <v>5.1689598238855251E-2</v>
      </c>
      <c r="G382" s="52">
        <v>8.6229999999999987E-2</v>
      </c>
      <c r="H382" s="49">
        <f t="shared" si="16"/>
        <v>0.14014819526692349</v>
      </c>
      <c r="I382" s="50">
        <f t="shared" si="17"/>
        <v>7.9755926975753552E-4</v>
      </c>
      <c r="J382" s="51"/>
      <c r="K382" s="51"/>
      <c r="L382" s="51"/>
      <c r="M382" s="51"/>
      <c r="N382"/>
      <c r="O382"/>
      <c r="P382"/>
      <c r="Q382"/>
      <c r="R382"/>
    </row>
    <row r="383" spans="2:18" ht="12.75" customHeight="1" x14ac:dyDescent="0.25">
      <c r="B383" s="35" t="s">
        <v>835</v>
      </c>
      <c r="C383" s="36" t="s">
        <v>836</v>
      </c>
      <c r="D383" s="47">
        <v>58906.122106920011</v>
      </c>
      <c r="E383" s="48">
        <f t="shared" si="15"/>
        <v>2.3735406253213602E-3</v>
      </c>
      <c r="F383" s="52">
        <v>3.1510857846912058E-2</v>
      </c>
      <c r="G383" s="52">
        <v>7.3650000000000007E-2</v>
      </c>
      <c r="H383" s="49">
        <f t="shared" si="16"/>
        <v>0.1063212451871246</v>
      </c>
      <c r="I383" s="50">
        <f t="shared" si="17"/>
        <v>2.5235779478639337E-4</v>
      </c>
      <c r="J383" s="51"/>
      <c r="K383" s="51"/>
      <c r="L383" s="51"/>
      <c r="M383" s="51"/>
      <c r="N383"/>
      <c r="O383"/>
      <c r="P383"/>
      <c r="Q383"/>
      <c r="R383"/>
    </row>
    <row r="384" spans="2:18" ht="12.75" customHeight="1" x14ac:dyDescent="0.25">
      <c r="B384" s="35" t="s">
        <v>837</v>
      </c>
      <c r="C384" s="36" t="s">
        <v>838</v>
      </c>
      <c r="D384" s="47">
        <v>7303.5172713000002</v>
      </c>
      <c r="E384" s="48">
        <f t="shared" si="15"/>
        <v>2.9428511555559182E-4</v>
      </c>
      <c r="F384" s="52">
        <v>1.7034256217738152E-2</v>
      </c>
      <c r="G384" s="52">
        <v>0.10290000000000001</v>
      </c>
      <c r="H384" s="49">
        <f t="shared" si="16"/>
        <v>0.12081066870014079</v>
      </c>
      <c r="I384" s="50">
        <f t="shared" si="17"/>
        <v>3.5552781598769255E-5</v>
      </c>
      <c r="J384" s="51"/>
      <c r="K384" s="51"/>
      <c r="L384" s="51"/>
      <c r="M384" s="51"/>
      <c r="N384"/>
      <c r="O384"/>
      <c r="P384"/>
      <c r="Q384"/>
      <c r="R384"/>
    </row>
    <row r="385" spans="2:18" ht="12.75" customHeight="1" x14ac:dyDescent="0.25">
      <c r="B385" s="35" t="s">
        <v>839</v>
      </c>
      <c r="C385" s="36" t="s">
        <v>64</v>
      </c>
      <c r="D385" s="47">
        <v>10782.887032650002</v>
      </c>
      <c r="E385" s="48">
        <f t="shared" si="15"/>
        <v>4.3448150234352395E-4</v>
      </c>
      <c r="F385" s="52">
        <v>3.1263650546021843E-2</v>
      </c>
      <c r="G385" s="52">
        <v>5.1749999999999997E-2</v>
      </c>
      <c r="H385" s="49">
        <f t="shared" si="16"/>
        <v>8.3822597503900156E-2</v>
      </c>
      <c r="I385" s="50">
        <f t="shared" si="17"/>
        <v>3.6419368093831062E-5</v>
      </c>
      <c r="J385" s="51"/>
      <c r="K385" s="51"/>
      <c r="L385" s="51"/>
      <c r="M385" s="51"/>
      <c r="N385"/>
      <c r="O385"/>
      <c r="P385"/>
      <c r="Q385"/>
      <c r="R385"/>
    </row>
    <row r="386" spans="2:18" ht="12.75" customHeight="1" x14ac:dyDescent="0.25">
      <c r="B386" s="35" t="s">
        <v>840</v>
      </c>
      <c r="C386" s="36" t="s">
        <v>841</v>
      </c>
      <c r="D386" s="47">
        <v>25978.270711180001</v>
      </c>
      <c r="E386" s="48">
        <f t="shared" si="15"/>
        <v>1.0467584472232331E-3</v>
      </c>
      <c r="F386" s="52">
        <v>1.760428973916205E-2</v>
      </c>
      <c r="G386" s="52">
        <v>7.4929999999999997E-2</v>
      </c>
      <c r="H386" s="49">
        <f t="shared" si="16"/>
        <v>9.319383445423976E-2</v>
      </c>
      <c r="I386" s="50">
        <f t="shared" si="17"/>
        <v>9.7551433444099055E-5</v>
      </c>
      <c r="J386" s="51"/>
      <c r="K386" s="51"/>
      <c r="L386" s="51"/>
      <c r="M386" s="51"/>
      <c r="N386"/>
      <c r="O386"/>
      <c r="P386"/>
      <c r="Q386"/>
      <c r="R386"/>
    </row>
    <row r="387" spans="2:18" ht="12.75" customHeight="1" x14ac:dyDescent="0.25">
      <c r="B387" s="35" t="s">
        <v>842</v>
      </c>
      <c r="C387" s="36" t="s">
        <v>843</v>
      </c>
      <c r="D387" s="47">
        <v>23583.375019999999</v>
      </c>
      <c r="E387" s="48">
        <f t="shared" si="15"/>
        <v>9.5025944146445761E-4</v>
      </c>
      <c r="F387" s="52">
        <v>5.0763591936469156E-2</v>
      </c>
      <c r="G387" s="52">
        <v>2.5329999999999998E-2</v>
      </c>
      <c r="H387" s="49">
        <f t="shared" si="16"/>
        <v>7.6736512828344539E-2</v>
      </c>
      <c r="I387" s="50">
        <f t="shared" si="17"/>
        <v>7.2919595820192864E-5</v>
      </c>
      <c r="J387" s="51"/>
      <c r="K387" s="51"/>
      <c r="L387" s="51"/>
      <c r="M387" s="51"/>
      <c r="N387"/>
      <c r="O387"/>
      <c r="P387"/>
      <c r="Q387"/>
      <c r="R387"/>
    </row>
    <row r="388" spans="2:18" ht="12.75" customHeight="1" x14ac:dyDescent="0.25">
      <c r="B388" s="35" t="s">
        <v>844</v>
      </c>
      <c r="C388" s="36" t="s">
        <v>845</v>
      </c>
      <c r="D388" s="47">
        <v>6542.2882723499988</v>
      </c>
      <c r="E388" s="48">
        <f t="shared" si="15"/>
        <v>2.6361244708658247E-4</v>
      </c>
      <c r="F388" s="52">
        <v>1.5514018691588787E-2</v>
      </c>
      <c r="G388" s="52">
        <v>0.01</v>
      </c>
      <c r="H388" s="49">
        <f t="shared" si="16"/>
        <v>2.5591588785046727E-2</v>
      </c>
      <c r="I388" s="50">
        <f t="shared" si="17"/>
        <v>6.7462613444597081E-6</v>
      </c>
      <c r="J388" s="51"/>
      <c r="K388" s="51"/>
      <c r="L388" s="51"/>
      <c r="M388" s="51"/>
      <c r="N388"/>
      <c r="O388"/>
      <c r="P388"/>
      <c r="Q388"/>
      <c r="R388"/>
    </row>
    <row r="389" spans="2:18" ht="12.75" customHeight="1" x14ac:dyDescent="0.25">
      <c r="B389" s="35" t="s">
        <v>846</v>
      </c>
      <c r="C389" s="36" t="s">
        <v>847</v>
      </c>
      <c r="D389" s="47">
        <v>39255.82</v>
      </c>
      <c r="E389" s="48">
        <f t="shared" si="15"/>
        <v>1.5817589109189886E-3</v>
      </c>
      <c r="F389" s="52">
        <v>4.2321316941029384E-2</v>
      </c>
      <c r="G389" s="52">
        <v>0.09</v>
      </c>
      <c r="H389" s="49">
        <f t="shared" si="16"/>
        <v>0.1342257762033757</v>
      </c>
      <c r="I389" s="50">
        <f t="shared" si="17"/>
        <v>2.1231281758470744E-4</v>
      </c>
      <c r="J389" s="51"/>
      <c r="K389" s="51"/>
      <c r="L389" s="51"/>
      <c r="M389" s="51"/>
      <c r="N389"/>
      <c r="O389"/>
      <c r="P389"/>
      <c r="Q389"/>
      <c r="R389"/>
    </row>
    <row r="390" spans="2:18" ht="12.75" customHeight="1" x14ac:dyDescent="0.25">
      <c r="B390" s="35" t="s">
        <v>848</v>
      </c>
      <c r="C390" s="36" t="s">
        <v>849</v>
      </c>
      <c r="D390" s="47">
        <v>37974.419715960001</v>
      </c>
      <c r="E390" s="48">
        <f t="shared" si="15"/>
        <v>1.5301266607778787E-3</v>
      </c>
      <c r="F390" s="52">
        <v>3.7514934289127833E-2</v>
      </c>
      <c r="G390" s="52">
        <v>5.1500000000000004E-2</v>
      </c>
      <c r="H390" s="49">
        <f t="shared" si="16"/>
        <v>8.9980943847072878E-2</v>
      </c>
      <c r="I390" s="50">
        <f t="shared" si="17"/>
        <v>1.3768224114236343E-4</v>
      </c>
      <c r="J390" s="51"/>
      <c r="K390" s="51"/>
      <c r="L390" s="51"/>
      <c r="M390" s="51"/>
      <c r="N390"/>
      <c r="O390"/>
      <c r="P390"/>
      <c r="Q390"/>
      <c r="R390"/>
    </row>
    <row r="391" spans="2:18" ht="12.75" customHeight="1" x14ac:dyDescent="0.25">
      <c r="B391" s="35" t="s">
        <v>850</v>
      </c>
      <c r="C391" s="36" t="s">
        <v>851</v>
      </c>
      <c r="D391" s="47">
        <v>44818.037331239997</v>
      </c>
      <c r="E391" s="48">
        <f t="shared" si="15"/>
        <v>1.8058807564990047E-3</v>
      </c>
      <c r="F391" s="52">
        <v>3.4916768168899714E-2</v>
      </c>
      <c r="G391" s="52">
        <v>5.7000000000000002E-2</v>
      </c>
      <c r="H391" s="49">
        <f t="shared" si="16"/>
        <v>9.291189606171335E-2</v>
      </c>
      <c r="I391" s="50">
        <f t="shared" si="17"/>
        <v>1.6778780514768379E-4</v>
      </c>
      <c r="J391" s="51"/>
      <c r="K391" s="51"/>
      <c r="L391" s="51"/>
      <c r="M391" s="51"/>
      <c r="N391"/>
      <c r="O391"/>
      <c r="P391"/>
      <c r="Q391"/>
      <c r="R391"/>
    </row>
    <row r="392" spans="2:18" ht="12.75" customHeight="1" x14ac:dyDescent="0.25">
      <c r="B392" s="35" t="s">
        <v>852</v>
      </c>
      <c r="C392" s="36" t="s">
        <v>853</v>
      </c>
      <c r="D392" s="47">
        <v>8369.4993832199998</v>
      </c>
      <c r="E392" s="48">
        <f t="shared" si="15"/>
        <v>3.372373887321476E-4</v>
      </c>
      <c r="F392" s="52">
        <v>1.366392181703013E-3</v>
      </c>
      <c r="G392" s="52">
        <v>0.11028</v>
      </c>
      <c r="H392" s="49">
        <f t="shared" si="16"/>
        <v>0.11172173504660211</v>
      </c>
      <c r="I392" s="50">
        <f t="shared" si="17"/>
        <v>3.7676746191740955E-5</v>
      </c>
      <c r="J392" s="51"/>
      <c r="K392" s="51"/>
      <c r="L392" s="51"/>
      <c r="M392" s="51"/>
      <c r="N392"/>
      <c r="O392"/>
      <c r="P392"/>
      <c r="Q392"/>
      <c r="R392"/>
    </row>
    <row r="393" spans="2:18" ht="12.75" customHeight="1" x14ac:dyDescent="0.25">
      <c r="B393" s="35" t="s">
        <v>854</v>
      </c>
      <c r="C393" s="36" t="s">
        <v>855</v>
      </c>
      <c r="D393" s="47">
        <v>5297.8183087500001</v>
      </c>
      <c r="E393" s="48">
        <f t="shared" si="15"/>
        <v>2.1346825307164846E-4</v>
      </c>
      <c r="F393" s="52">
        <v>1.07095046854083E-3</v>
      </c>
      <c r="G393" s="52">
        <v>0.22</v>
      </c>
      <c r="H393" s="49">
        <f t="shared" si="16"/>
        <v>0.22118875502008031</v>
      </c>
      <c r="I393" s="50">
        <f t="shared" si="17"/>
        <v>4.721677713322936E-5</v>
      </c>
      <c r="J393" s="51"/>
      <c r="K393" s="51"/>
      <c r="L393" s="51"/>
      <c r="M393" s="51"/>
      <c r="N393"/>
      <c r="O393"/>
      <c r="P393"/>
      <c r="Q393"/>
      <c r="R393"/>
    </row>
    <row r="394" spans="2:18" ht="12.75" customHeight="1" x14ac:dyDescent="0.25">
      <c r="B394" s="35" t="s">
        <v>856</v>
      </c>
      <c r="C394" s="36" t="s">
        <v>857</v>
      </c>
      <c r="D394" s="47">
        <v>22842.693185409997</v>
      </c>
      <c r="E394" s="48">
        <f t="shared" si="15"/>
        <v>9.2041469253248875E-4</v>
      </c>
      <c r="F394" s="52">
        <v>3.1252303383209261E-3</v>
      </c>
      <c r="G394" s="52">
        <v>0.26850000000000002</v>
      </c>
      <c r="H394" s="49">
        <f t="shared" si="16"/>
        <v>0.27204479251124053</v>
      </c>
      <c r="I394" s="50">
        <f t="shared" si="17"/>
        <v>2.5039402405429813E-4</v>
      </c>
      <c r="J394" s="51"/>
      <c r="K394" s="51"/>
      <c r="L394" s="51"/>
      <c r="M394" s="51"/>
      <c r="N394"/>
      <c r="O394"/>
      <c r="P394"/>
      <c r="Q394"/>
      <c r="R394"/>
    </row>
    <row r="395" spans="2:18" ht="12.75" customHeight="1" x14ac:dyDescent="0.25">
      <c r="B395" s="35" t="s">
        <v>858</v>
      </c>
      <c r="C395" s="36" t="s">
        <v>859</v>
      </c>
      <c r="D395" s="47">
        <v>118177.37953791</v>
      </c>
      <c r="E395" s="48">
        <f t="shared" si="15"/>
        <v>4.7617938729376816E-3</v>
      </c>
      <c r="F395" s="52" t="s">
        <v>117</v>
      </c>
      <c r="G395" s="52">
        <v>0.23552000000000001</v>
      </c>
      <c r="H395" s="49">
        <f t="shared" si="16"/>
        <v>0.23552000000000001</v>
      </c>
      <c r="I395" s="50">
        <f t="shared" si="17"/>
        <v>1.1214976929542829E-3</v>
      </c>
      <c r="J395" s="51"/>
      <c r="K395" s="51"/>
      <c r="L395" s="51"/>
      <c r="M395" s="51"/>
      <c r="N395"/>
      <c r="O395"/>
      <c r="P395"/>
      <c r="Q395"/>
      <c r="R395"/>
    </row>
    <row r="396" spans="2:18" ht="12.75" customHeight="1" x14ac:dyDescent="0.25">
      <c r="B396" s="35" t="s">
        <v>860</v>
      </c>
      <c r="C396" s="36" t="s">
        <v>861</v>
      </c>
      <c r="D396" s="47">
        <v>68503.302223799998</v>
      </c>
      <c r="E396" s="48">
        <f t="shared" ref="E396:E459" si="18">IF(OR(H396="N/A",D396="N/A"),"N/A",D396/$D$512)</f>
        <v>2.7602457092953917E-3</v>
      </c>
      <c r="F396" s="52">
        <v>4.4664310954063605E-2</v>
      </c>
      <c r="G396" s="52">
        <v>0.11707000000000001</v>
      </c>
      <c r="H396" s="49">
        <f t="shared" ref="H396:H459" si="19">IFERROR(F396*(1+0.5*G396)+G396,"N/A")</f>
        <v>0.16434873639575973</v>
      </c>
      <c r="I396" s="50">
        <f t="shared" ref="I396:I459" si="20">IF(AND(ISNUMBER(D396),ISNUMBER(H396)),E396*H396,"N/A")</f>
        <v>4.5364289446451518E-4</v>
      </c>
      <c r="J396" s="51"/>
      <c r="K396" s="51"/>
      <c r="L396" s="51"/>
      <c r="M396" s="51"/>
      <c r="N396"/>
      <c r="O396"/>
      <c r="P396"/>
      <c r="Q396"/>
      <c r="R396"/>
    </row>
    <row r="397" spans="2:18" ht="12.75" customHeight="1" x14ac:dyDescent="0.25">
      <c r="B397" s="35" t="s">
        <v>862</v>
      </c>
      <c r="C397" s="36" t="s">
        <v>863</v>
      </c>
      <c r="D397" s="47">
        <v>8553.4514378999993</v>
      </c>
      <c r="E397" s="48">
        <f t="shared" si="18"/>
        <v>3.4464948206434513E-4</v>
      </c>
      <c r="F397" s="52">
        <v>0</v>
      </c>
      <c r="G397" s="52">
        <v>0.1183</v>
      </c>
      <c r="H397" s="49">
        <f t="shared" si="19"/>
        <v>0.1183</v>
      </c>
      <c r="I397" s="50">
        <f t="shared" si="20"/>
        <v>4.0772033728212032E-5</v>
      </c>
      <c r="J397" s="51"/>
      <c r="K397" s="51"/>
      <c r="L397" s="51"/>
      <c r="M397" s="51"/>
      <c r="N397"/>
      <c r="O397"/>
      <c r="P397"/>
      <c r="Q397"/>
      <c r="R397"/>
    </row>
    <row r="398" spans="2:18" ht="12.75" customHeight="1" x14ac:dyDescent="0.25">
      <c r="B398" s="35" t="s">
        <v>864</v>
      </c>
      <c r="C398" s="36" t="s">
        <v>865</v>
      </c>
      <c r="D398" s="47">
        <v>24512.485553640003</v>
      </c>
      <c r="E398" s="48">
        <f t="shared" si="18"/>
        <v>9.8769666391488068E-4</v>
      </c>
      <c r="F398" s="52">
        <v>2.3843659327530294E-2</v>
      </c>
      <c r="G398" s="52">
        <v>0.11715</v>
      </c>
      <c r="H398" s="49">
        <f t="shared" si="19"/>
        <v>0.14239030167264038</v>
      </c>
      <c r="I398" s="50">
        <f t="shared" si="20"/>
        <v>1.4063842593590035E-4</v>
      </c>
      <c r="J398" s="51"/>
      <c r="K398" s="51"/>
      <c r="L398" s="51"/>
      <c r="M398" s="51"/>
      <c r="N398"/>
      <c r="O398"/>
      <c r="P398"/>
      <c r="Q398"/>
      <c r="R398"/>
    </row>
    <row r="399" spans="2:18" ht="12.75" customHeight="1" x14ac:dyDescent="0.25">
      <c r="B399" s="35" t="s">
        <v>866</v>
      </c>
      <c r="C399" s="36" t="s">
        <v>867</v>
      </c>
      <c r="D399" s="47">
        <v>8909.907160050001</v>
      </c>
      <c r="E399" s="48">
        <f t="shared" si="18"/>
        <v>3.5901237181824224E-4</v>
      </c>
      <c r="F399" s="52">
        <v>2.520429125770372E-2</v>
      </c>
      <c r="G399" s="52">
        <v>0.1</v>
      </c>
      <c r="H399" s="49">
        <f t="shared" si="19"/>
        <v>0.12646450582058891</v>
      </c>
      <c r="I399" s="50">
        <f t="shared" si="20"/>
        <v>4.5402322185471522E-5</v>
      </c>
      <c r="J399" s="51"/>
      <c r="K399" s="51"/>
      <c r="L399" s="51"/>
      <c r="M399" s="51"/>
      <c r="N399"/>
      <c r="O399"/>
      <c r="P399"/>
      <c r="Q399"/>
      <c r="R399"/>
    </row>
    <row r="400" spans="2:18" ht="12.75" customHeight="1" x14ac:dyDescent="0.25">
      <c r="B400" s="35" t="s">
        <v>868</v>
      </c>
      <c r="C400" s="36" t="s">
        <v>869</v>
      </c>
      <c r="D400" s="47">
        <v>10858.435093440001</v>
      </c>
      <c r="E400" s="48">
        <f t="shared" si="18"/>
        <v>4.3752560684464579E-4</v>
      </c>
      <c r="F400" s="52">
        <v>3.5731933292155647E-2</v>
      </c>
      <c r="G400" s="52">
        <v>4.6730000000000001E-2</v>
      </c>
      <c r="H400" s="49">
        <f t="shared" si="19"/>
        <v>8.3296809913526865E-2</v>
      </c>
      <c r="I400" s="50">
        <f t="shared" si="20"/>
        <v>3.6444487305638948E-5</v>
      </c>
      <c r="J400" s="51"/>
      <c r="K400" s="51"/>
      <c r="L400" s="51"/>
      <c r="M400" s="51"/>
      <c r="N400"/>
      <c r="O400"/>
      <c r="P400"/>
      <c r="Q400"/>
      <c r="R400"/>
    </row>
    <row r="401" spans="2:18" ht="12.75" customHeight="1" x14ac:dyDescent="0.25">
      <c r="B401" s="35" t="s">
        <v>870</v>
      </c>
      <c r="C401" s="36" t="s">
        <v>871</v>
      </c>
      <c r="D401" s="47">
        <v>45292.116524830009</v>
      </c>
      <c r="E401" s="48">
        <f t="shared" si="18"/>
        <v>1.8249831211660092E-3</v>
      </c>
      <c r="F401" s="52">
        <v>0</v>
      </c>
      <c r="G401" s="52">
        <v>0.13880000000000001</v>
      </c>
      <c r="H401" s="49">
        <f t="shared" si="19"/>
        <v>0.13880000000000001</v>
      </c>
      <c r="I401" s="50">
        <f t="shared" si="20"/>
        <v>2.5330765721784208E-4</v>
      </c>
      <c r="J401" s="51"/>
      <c r="K401" s="51"/>
      <c r="L401" s="51"/>
      <c r="M401" s="51"/>
      <c r="N401"/>
      <c r="O401"/>
      <c r="P401"/>
      <c r="Q401"/>
      <c r="R401"/>
    </row>
    <row r="402" spans="2:18" ht="12.75" customHeight="1" x14ac:dyDescent="0.25">
      <c r="B402" s="35" t="s">
        <v>872</v>
      </c>
      <c r="C402" s="36" t="s">
        <v>873</v>
      </c>
      <c r="D402" s="47">
        <v>16019.15308684</v>
      </c>
      <c r="E402" s="48">
        <f t="shared" si="18"/>
        <v>6.4546959254664898E-4</v>
      </c>
      <c r="F402" s="52">
        <v>3.8500635324015244E-2</v>
      </c>
      <c r="G402" s="52">
        <v>0.10880000000000001</v>
      </c>
      <c r="H402" s="49">
        <f t="shared" si="19"/>
        <v>0.14939506988564169</v>
      </c>
      <c r="I402" s="50">
        <f t="shared" si="20"/>
        <v>9.642997488756329E-5</v>
      </c>
      <c r="J402" s="51"/>
      <c r="K402" s="51"/>
      <c r="L402" s="51"/>
      <c r="M402" s="51"/>
      <c r="N402"/>
      <c r="O402"/>
      <c r="P402"/>
      <c r="Q402"/>
      <c r="R402"/>
    </row>
    <row r="403" spans="2:18" ht="12.75" customHeight="1" x14ac:dyDescent="0.25">
      <c r="B403" s="35" t="s">
        <v>874</v>
      </c>
      <c r="C403" s="36" t="s">
        <v>875</v>
      </c>
      <c r="D403" s="47">
        <v>7850.8448457000013</v>
      </c>
      <c r="E403" s="48">
        <f t="shared" si="18"/>
        <v>3.1633892230319963E-4</v>
      </c>
      <c r="F403" s="52">
        <v>1.827696041255877E-2</v>
      </c>
      <c r="G403" s="52">
        <v>9.2450000000000004E-2</v>
      </c>
      <c r="H403" s="49">
        <f t="shared" si="19"/>
        <v>0.1115718129076293</v>
      </c>
      <c r="I403" s="50">
        <f t="shared" si="20"/>
        <v>3.5294507054613667E-5</v>
      </c>
      <c r="J403" s="51"/>
      <c r="K403" s="51"/>
      <c r="L403" s="51"/>
      <c r="M403" s="51"/>
      <c r="N403"/>
      <c r="O403"/>
      <c r="P403"/>
      <c r="Q403"/>
      <c r="R403"/>
    </row>
    <row r="404" spans="2:18" ht="12.75" customHeight="1" x14ac:dyDescent="0.25">
      <c r="B404" s="35" t="s">
        <v>876</v>
      </c>
      <c r="C404" s="36" t="s">
        <v>877</v>
      </c>
      <c r="D404" s="47">
        <v>32131.51787304</v>
      </c>
      <c r="E404" s="48">
        <f t="shared" si="18"/>
        <v>1.2946950214524566E-3</v>
      </c>
      <c r="F404" s="52">
        <v>0</v>
      </c>
      <c r="G404" s="52">
        <v>0.18400000000000002</v>
      </c>
      <c r="H404" s="49">
        <f t="shared" si="19"/>
        <v>0.18400000000000002</v>
      </c>
      <c r="I404" s="50">
        <f t="shared" si="20"/>
        <v>2.3822388394725204E-4</v>
      </c>
      <c r="J404" s="51"/>
      <c r="K404" s="51"/>
      <c r="L404" s="51"/>
      <c r="M404" s="51"/>
      <c r="N404"/>
      <c r="O404"/>
      <c r="P404"/>
      <c r="Q404"/>
      <c r="R404"/>
    </row>
    <row r="405" spans="2:18" ht="12.75" customHeight="1" x14ac:dyDescent="0.25">
      <c r="B405" s="35" t="s">
        <v>878</v>
      </c>
      <c r="C405" s="36" t="s">
        <v>879</v>
      </c>
      <c r="D405" s="47">
        <v>11549.60059165</v>
      </c>
      <c r="E405" s="48">
        <f t="shared" si="18"/>
        <v>4.6537516356549456E-4</v>
      </c>
      <c r="F405" s="52">
        <v>1.5752839174502382E-2</v>
      </c>
      <c r="G405" s="52">
        <v>0.17</v>
      </c>
      <c r="H405" s="49">
        <f t="shared" si="19"/>
        <v>0.18709183050433509</v>
      </c>
      <c r="I405" s="50">
        <f t="shared" si="20"/>
        <v>8.7067891222722722E-5</v>
      </c>
      <c r="J405" s="51"/>
      <c r="K405" s="51"/>
      <c r="L405" s="51"/>
      <c r="M405" s="51"/>
      <c r="N405"/>
      <c r="O405"/>
      <c r="P405"/>
      <c r="Q405"/>
      <c r="R405"/>
    </row>
    <row r="406" spans="2:18" ht="12.75" customHeight="1" x14ac:dyDescent="0.25">
      <c r="B406" s="35" t="s">
        <v>880</v>
      </c>
      <c r="C406" s="36" t="s">
        <v>881</v>
      </c>
      <c r="D406" s="47">
        <v>9495.9593625599991</v>
      </c>
      <c r="E406" s="48">
        <f t="shared" si="18"/>
        <v>3.8262653383508172E-4</v>
      </c>
      <c r="F406" s="52">
        <v>2.0202020202020204E-2</v>
      </c>
      <c r="G406" s="52">
        <v>6.8400000000000002E-2</v>
      </c>
      <c r="H406" s="49">
        <f t="shared" si="19"/>
        <v>8.9292929292929299E-2</v>
      </c>
      <c r="I406" s="50">
        <f t="shared" si="20"/>
        <v>3.4165844031334572E-5</v>
      </c>
      <c r="J406" s="51"/>
      <c r="K406" s="51"/>
      <c r="L406" s="51"/>
      <c r="M406" s="51"/>
      <c r="N406"/>
      <c r="O406"/>
      <c r="P406"/>
      <c r="Q406"/>
      <c r="R406"/>
    </row>
    <row r="407" spans="2:18" ht="12.75" customHeight="1" x14ac:dyDescent="0.25">
      <c r="B407" s="35" t="s">
        <v>882</v>
      </c>
      <c r="C407" s="36" t="s">
        <v>883</v>
      </c>
      <c r="D407" s="47">
        <v>14383.02190333</v>
      </c>
      <c r="E407" s="48">
        <f t="shared" si="18"/>
        <v>5.7954395199323876E-4</v>
      </c>
      <c r="F407" s="52">
        <v>1.4944704593005877E-2</v>
      </c>
      <c r="G407" s="52">
        <v>0.125</v>
      </c>
      <c r="H407" s="49">
        <f t="shared" si="19"/>
        <v>0.14087874863006875</v>
      </c>
      <c r="I407" s="50">
        <f t="shared" si="20"/>
        <v>8.1645426732932107E-5</v>
      </c>
      <c r="J407" s="51"/>
      <c r="K407" s="51"/>
      <c r="L407" s="51"/>
      <c r="M407" s="51"/>
      <c r="N407"/>
      <c r="O407"/>
      <c r="P407"/>
      <c r="Q407"/>
      <c r="R407"/>
    </row>
    <row r="408" spans="2:18" ht="12.75" customHeight="1" x14ac:dyDescent="0.25">
      <c r="B408" s="35" t="s">
        <v>884</v>
      </c>
      <c r="C408" s="36" t="s">
        <v>885</v>
      </c>
      <c r="D408" s="47">
        <v>21437.819422780001</v>
      </c>
      <c r="E408" s="48">
        <f t="shared" si="18"/>
        <v>8.6380724954043602E-4</v>
      </c>
      <c r="F408" s="52">
        <v>2.1725310879384372E-2</v>
      </c>
      <c r="G408" s="52">
        <v>8.9419999999999999E-2</v>
      </c>
      <c r="H408" s="49">
        <f t="shared" si="19"/>
        <v>0.11211664952880165</v>
      </c>
      <c r="I408" s="50">
        <f t="shared" si="20"/>
        <v>9.6847174657163179E-5</v>
      </c>
      <c r="J408" s="51"/>
      <c r="K408" s="51"/>
      <c r="L408" s="51"/>
      <c r="M408" s="51"/>
      <c r="N408"/>
      <c r="O408"/>
      <c r="P408"/>
      <c r="Q408"/>
      <c r="R408"/>
    </row>
    <row r="409" spans="2:18" ht="12.75" customHeight="1" x14ac:dyDescent="0.25">
      <c r="B409" s="35" t="s">
        <v>886</v>
      </c>
      <c r="C409" s="36" t="s">
        <v>887</v>
      </c>
      <c r="D409" s="47">
        <v>13251.977533059999</v>
      </c>
      <c r="E409" s="48">
        <f t="shared" si="18"/>
        <v>5.3397008520560498E-4</v>
      </c>
      <c r="F409" s="52">
        <v>1.9401878398418192E-2</v>
      </c>
      <c r="G409" s="52">
        <v>0.1</v>
      </c>
      <c r="H409" s="49">
        <f t="shared" si="19"/>
        <v>0.12037197231833911</v>
      </c>
      <c r="I409" s="50">
        <f t="shared" si="20"/>
        <v>6.4275032315190255E-5</v>
      </c>
      <c r="J409" s="51"/>
      <c r="K409" s="51"/>
      <c r="L409" s="51"/>
      <c r="M409" s="51"/>
      <c r="N409"/>
      <c r="O409"/>
      <c r="P409"/>
      <c r="Q409"/>
      <c r="R409"/>
    </row>
    <row r="410" spans="2:18" ht="12.75" customHeight="1" x14ac:dyDescent="0.25">
      <c r="B410" s="35" t="s">
        <v>888</v>
      </c>
      <c r="C410" s="36" t="s">
        <v>889</v>
      </c>
      <c r="D410" s="47">
        <v>33797.894566219999</v>
      </c>
      <c r="E410" s="48">
        <f t="shared" si="18"/>
        <v>1.3618393629382585E-3</v>
      </c>
      <c r="F410" s="52">
        <v>5.5547040250145622E-3</v>
      </c>
      <c r="G410" s="52">
        <v>0.11333</v>
      </c>
      <c r="H410" s="49">
        <f t="shared" si="19"/>
        <v>0.11919946132859201</v>
      </c>
      <c r="I410" s="50">
        <f t="shared" si="20"/>
        <v>1.6233051847831331E-4</v>
      </c>
      <c r="J410" s="51"/>
      <c r="K410" s="51"/>
      <c r="L410" s="51"/>
      <c r="M410" s="51"/>
      <c r="N410"/>
      <c r="O410"/>
      <c r="P410"/>
      <c r="Q410"/>
      <c r="R410"/>
    </row>
    <row r="411" spans="2:18" ht="12.75" customHeight="1" x14ac:dyDescent="0.25">
      <c r="B411" s="35" t="s">
        <v>890</v>
      </c>
      <c r="C411" s="36" t="s">
        <v>891</v>
      </c>
      <c r="D411" s="47">
        <v>33315.934917999999</v>
      </c>
      <c r="E411" s="48">
        <f t="shared" si="18"/>
        <v>1.3424194662636924E-3</v>
      </c>
      <c r="F411" s="52">
        <v>1.1768631813125697E-2</v>
      </c>
      <c r="G411" s="52">
        <v>0.10375</v>
      </c>
      <c r="H411" s="49">
        <f t="shared" si="19"/>
        <v>0.11612912958843158</v>
      </c>
      <c r="I411" s="50">
        <f t="shared" si="20"/>
        <v>1.5589400415976949E-4</v>
      </c>
      <c r="J411" s="51"/>
      <c r="K411" s="51"/>
      <c r="L411" s="51"/>
      <c r="M411" s="51"/>
      <c r="N411"/>
      <c r="O411"/>
      <c r="P411"/>
      <c r="Q411"/>
      <c r="R411"/>
    </row>
    <row r="412" spans="2:18" ht="12.75" customHeight="1" x14ac:dyDescent="0.25">
      <c r="B412" s="35" t="s">
        <v>892</v>
      </c>
      <c r="C412" s="36" t="s">
        <v>893</v>
      </c>
      <c r="D412" s="47">
        <v>25288.628494859997</v>
      </c>
      <c r="E412" s="48">
        <f t="shared" si="18"/>
        <v>1.0189702690369135E-3</v>
      </c>
      <c r="F412" s="52">
        <v>1.9203866208826147E-2</v>
      </c>
      <c r="G412" s="52">
        <v>0.13009999999999999</v>
      </c>
      <c r="H412" s="49">
        <f t="shared" si="19"/>
        <v>0.15055307770571028</v>
      </c>
      <c r="I412" s="50">
        <f t="shared" si="20"/>
        <v>1.5340911009412294E-4</v>
      </c>
      <c r="J412" s="51"/>
      <c r="K412" s="51"/>
      <c r="L412" s="51"/>
      <c r="M412" s="51"/>
      <c r="N412"/>
      <c r="O412"/>
      <c r="P412"/>
      <c r="Q412"/>
      <c r="R412"/>
    </row>
    <row r="413" spans="2:18" ht="12.75" customHeight="1" x14ac:dyDescent="0.25">
      <c r="B413" s="35" t="s">
        <v>894</v>
      </c>
      <c r="C413" s="36" t="s">
        <v>895</v>
      </c>
      <c r="D413" s="47">
        <v>50224.430049999995</v>
      </c>
      <c r="E413" s="48">
        <f t="shared" si="18"/>
        <v>2.0237238650833156E-3</v>
      </c>
      <c r="F413" s="52">
        <v>2.0854172520370896E-2</v>
      </c>
      <c r="G413" s="52">
        <v>9.3670000000000003E-2</v>
      </c>
      <c r="H413" s="49">
        <f t="shared" si="19"/>
        <v>0.11550087769036246</v>
      </c>
      <c r="I413" s="50">
        <f t="shared" si="20"/>
        <v>2.3374188262005561E-4</v>
      </c>
      <c r="J413" s="51"/>
      <c r="K413" s="51"/>
      <c r="L413" s="51"/>
      <c r="M413" s="51"/>
      <c r="N413"/>
      <c r="O413"/>
      <c r="P413"/>
      <c r="Q413"/>
      <c r="R413"/>
    </row>
    <row r="414" spans="2:18" ht="12.75" customHeight="1" x14ac:dyDescent="0.25">
      <c r="B414" s="35" t="s">
        <v>896</v>
      </c>
      <c r="C414" s="36" t="s">
        <v>897</v>
      </c>
      <c r="D414" s="47">
        <v>21498.903348150001</v>
      </c>
      <c r="E414" s="48">
        <f t="shared" si="18"/>
        <v>8.6626854173272509E-4</v>
      </c>
      <c r="F414" s="52">
        <v>0</v>
      </c>
      <c r="G414" s="52">
        <v>0.2505</v>
      </c>
      <c r="H414" s="49">
        <f t="shared" si="19"/>
        <v>0.2505</v>
      </c>
      <c r="I414" s="50">
        <f t="shared" si="20"/>
        <v>2.1700026970404763E-4</v>
      </c>
      <c r="J414" s="51"/>
      <c r="K414" s="51"/>
      <c r="L414" s="51"/>
      <c r="M414" s="51"/>
      <c r="N414"/>
      <c r="O414"/>
      <c r="P414"/>
      <c r="Q414"/>
      <c r="R414"/>
    </row>
    <row r="415" spans="2:18" ht="12.75" customHeight="1" x14ac:dyDescent="0.25">
      <c r="B415" s="35" t="s">
        <v>898</v>
      </c>
      <c r="C415" s="36" t="s">
        <v>899</v>
      </c>
      <c r="D415" s="47">
        <v>87885.212</v>
      </c>
      <c r="E415" s="48">
        <f t="shared" si="18"/>
        <v>3.5412129263636435E-3</v>
      </c>
      <c r="F415" s="52">
        <v>2.1154662515919062E-2</v>
      </c>
      <c r="G415" s="52">
        <v>0.13217000000000001</v>
      </c>
      <c r="H415" s="49">
        <f t="shared" si="19"/>
        <v>0.15472266838828358</v>
      </c>
      <c r="I415" s="50">
        <f t="shared" si="20"/>
        <v>5.4790591329806533E-4</v>
      </c>
      <c r="J415" s="51"/>
      <c r="K415" s="51"/>
      <c r="L415" s="51"/>
      <c r="M415" s="51"/>
      <c r="N415"/>
      <c r="O415"/>
      <c r="P415"/>
      <c r="Q415"/>
      <c r="R415"/>
    </row>
    <row r="416" spans="2:18" ht="12.75" customHeight="1" x14ac:dyDescent="0.25">
      <c r="B416" s="35" t="s">
        <v>900</v>
      </c>
      <c r="C416" s="36" t="s">
        <v>901</v>
      </c>
      <c r="D416" s="47">
        <v>60580.01098395</v>
      </c>
      <c r="E416" s="48">
        <f t="shared" si="18"/>
        <v>2.4409876598535741E-3</v>
      </c>
      <c r="F416" s="52">
        <v>1.3619361936193619E-2</v>
      </c>
      <c r="G416" s="52">
        <v>0.1978</v>
      </c>
      <c r="H416" s="49">
        <f t="shared" si="19"/>
        <v>0.21276631683168318</v>
      </c>
      <c r="I416" s="50">
        <f t="shared" si="20"/>
        <v>5.1935995381863437E-4</v>
      </c>
      <c r="J416" s="51"/>
      <c r="K416" s="51"/>
      <c r="L416" s="51"/>
      <c r="M416" s="51"/>
      <c r="N416"/>
      <c r="O416"/>
      <c r="P416"/>
      <c r="Q416"/>
      <c r="R416"/>
    </row>
    <row r="417" spans="2:18" ht="12.75" customHeight="1" x14ac:dyDescent="0.25">
      <c r="B417" s="35" t="s">
        <v>902</v>
      </c>
      <c r="C417" s="36" t="s">
        <v>903</v>
      </c>
      <c r="D417" s="47">
        <v>7050.1585919999998</v>
      </c>
      <c r="E417" s="48">
        <f t="shared" si="18"/>
        <v>2.840763783889388E-4</v>
      </c>
      <c r="F417" s="52">
        <v>1.4635761589403972E-2</v>
      </c>
      <c r="G417" s="52">
        <v>6.0430000000000005E-2</v>
      </c>
      <c r="H417" s="49">
        <f t="shared" si="19"/>
        <v>7.5507981125827822E-2</v>
      </c>
      <c r="I417" s="50">
        <f t="shared" si="20"/>
        <v>2.1450033817685515E-5</v>
      </c>
      <c r="J417" s="51"/>
      <c r="K417" s="51"/>
      <c r="L417" s="51"/>
      <c r="M417" s="51"/>
      <c r="N417"/>
      <c r="O417"/>
      <c r="P417"/>
      <c r="Q417"/>
      <c r="R417"/>
    </row>
    <row r="418" spans="2:18" ht="12.75" customHeight="1" x14ac:dyDescent="0.25">
      <c r="B418" s="35" t="s">
        <v>904</v>
      </c>
      <c r="C418" s="36" t="s">
        <v>905</v>
      </c>
      <c r="D418" s="47">
        <v>39948.123759329996</v>
      </c>
      <c r="E418" s="48">
        <f t="shared" si="18"/>
        <v>1.6096543322955627E-3</v>
      </c>
      <c r="F418" s="52">
        <v>1.0052664547711296E-2</v>
      </c>
      <c r="G418" s="52">
        <v>0.1099</v>
      </c>
      <c r="H418" s="49">
        <f t="shared" si="19"/>
        <v>0.12050505846460803</v>
      </c>
      <c r="I418" s="50">
        <f t="shared" si="20"/>
        <v>1.9397148942108637E-4</v>
      </c>
      <c r="J418" s="51"/>
      <c r="K418" s="51"/>
      <c r="L418" s="51"/>
      <c r="M418" s="51"/>
      <c r="N418"/>
      <c r="O418"/>
      <c r="P418"/>
      <c r="Q418"/>
      <c r="R418"/>
    </row>
    <row r="419" spans="2:18" ht="12.75" customHeight="1" x14ac:dyDescent="0.25">
      <c r="B419" s="35" t="s">
        <v>906</v>
      </c>
      <c r="C419" s="36" t="s">
        <v>907</v>
      </c>
      <c r="D419" s="47">
        <v>12961.489827030002</v>
      </c>
      <c r="E419" s="48">
        <f t="shared" si="18"/>
        <v>5.2226528531796115E-4</v>
      </c>
      <c r="F419" s="52">
        <v>9.3416189431785865E-5</v>
      </c>
      <c r="G419" s="52">
        <v>0.11</v>
      </c>
      <c r="H419" s="49">
        <f t="shared" si="19"/>
        <v>0.11009855407985053</v>
      </c>
      <c r="I419" s="50">
        <f t="shared" si="20"/>
        <v>5.7500652759608114E-5</v>
      </c>
      <c r="J419" s="51"/>
      <c r="K419" s="51"/>
      <c r="L419" s="51"/>
      <c r="M419" s="51"/>
      <c r="N419"/>
      <c r="O419"/>
      <c r="P419"/>
      <c r="Q419"/>
      <c r="R419"/>
    </row>
    <row r="420" spans="2:18" ht="12.75" customHeight="1" x14ac:dyDescent="0.25">
      <c r="B420" s="35" t="s">
        <v>908</v>
      </c>
      <c r="C420" s="36" t="s">
        <v>909</v>
      </c>
      <c r="D420" s="47">
        <v>12009.362438280001</v>
      </c>
      <c r="E420" s="48">
        <f t="shared" si="18"/>
        <v>4.8390063056140935E-4</v>
      </c>
      <c r="F420" s="52">
        <v>3.141693502557303E-2</v>
      </c>
      <c r="G420" s="52">
        <v>3.2000000000000001E-2</v>
      </c>
      <c r="H420" s="49">
        <f t="shared" si="19"/>
        <v>6.3919605985982203E-2</v>
      </c>
      <c r="I420" s="50">
        <f t="shared" si="20"/>
        <v>3.0930737641853622E-5</v>
      </c>
      <c r="J420" s="51"/>
      <c r="K420" s="51"/>
      <c r="L420" s="51"/>
      <c r="M420" s="51"/>
      <c r="N420"/>
      <c r="O420"/>
      <c r="P420"/>
      <c r="Q420"/>
      <c r="R420"/>
    </row>
    <row r="421" spans="2:18" ht="12.75" customHeight="1" x14ac:dyDescent="0.25">
      <c r="B421" s="35" t="s">
        <v>910</v>
      </c>
      <c r="C421" s="36" t="s">
        <v>911</v>
      </c>
      <c r="D421" s="47">
        <v>58751.37914985</v>
      </c>
      <c r="E421" s="48">
        <f t="shared" si="18"/>
        <v>2.3673054721326755E-3</v>
      </c>
      <c r="F421" s="52">
        <v>4.7157348431233787E-2</v>
      </c>
      <c r="G421" s="52">
        <v>0.33689999999999998</v>
      </c>
      <c r="H421" s="49">
        <f t="shared" si="19"/>
        <v>0.39200100377447511</v>
      </c>
      <c r="I421" s="50">
        <f t="shared" si="20"/>
        <v>9.2798612131681651E-4</v>
      </c>
      <c r="J421" s="51"/>
      <c r="K421" s="51"/>
      <c r="L421" s="51"/>
      <c r="M421" s="51"/>
      <c r="N421"/>
      <c r="O421"/>
      <c r="P421"/>
      <c r="Q421"/>
      <c r="R421"/>
    </row>
    <row r="422" spans="2:18" ht="12.75" customHeight="1" x14ac:dyDescent="0.25">
      <c r="B422" s="35" t="s">
        <v>912</v>
      </c>
      <c r="C422" s="36" t="s">
        <v>913</v>
      </c>
      <c r="D422" s="47">
        <v>7713.784505659999</v>
      </c>
      <c r="E422" s="48">
        <f t="shared" si="18"/>
        <v>3.1081626568331855E-4</v>
      </c>
      <c r="F422" s="52">
        <v>3.7685328612524896E-2</v>
      </c>
      <c r="G422" s="52">
        <v>-5.8499999999999993E-3</v>
      </c>
      <c r="H422" s="49">
        <f t="shared" si="19"/>
        <v>3.1725099026333262E-2</v>
      </c>
      <c r="I422" s="50">
        <f t="shared" si="20"/>
        <v>9.8606768077983893E-6</v>
      </c>
      <c r="J422" s="51"/>
      <c r="K422" s="51"/>
      <c r="L422" s="51"/>
      <c r="M422" s="51"/>
      <c r="N422"/>
      <c r="O422"/>
      <c r="P422"/>
      <c r="Q422"/>
      <c r="R422"/>
    </row>
    <row r="423" spans="2:18" ht="12.75" customHeight="1" x14ac:dyDescent="0.25">
      <c r="B423" s="35" t="s">
        <v>914</v>
      </c>
      <c r="C423" s="36" t="s">
        <v>915</v>
      </c>
      <c r="D423" s="47">
        <v>8653.5408321600007</v>
      </c>
      <c r="E423" s="48">
        <f t="shared" si="18"/>
        <v>3.4868244561622714E-4</v>
      </c>
      <c r="F423" s="52">
        <v>2.4197070914696816E-2</v>
      </c>
      <c r="G423" s="52">
        <v>7.9300000000000009E-2</v>
      </c>
      <c r="H423" s="49">
        <f t="shared" si="19"/>
        <v>0.10445648477646455</v>
      </c>
      <c r="I423" s="50">
        <f t="shared" si="20"/>
        <v>3.6422142572331854E-5</v>
      </c>
      <c r="J423" s="51"/>
      <c r="K423" s="51"/>
      <c r="L423" s="51"/>
      <c r="M423" s="51"/>
      <c r="N423"/>
      <c r="O423"/>
      <c r="P423"/>
      <c r="Q423"/>
      <c r="R423"/>
    </row>
    <row r="424" spans="2:18" ht="12.75" customHeight="1" x14ac:dyDescent="0.25">
      <c r="B424" s="35" t="s">
        <v>916</v>
      </c>
      <c r="C424" s="36" t="s">
        <v>917</v>
      </c>
      <c r="D424" s="47">
        <v>16340.10970608</v>
      </c>
      <c r="E424" s="48">
        <f t="shared" si="18"/>
        <v>6.5840209510299101E-4</v>
      </c>
      <c r="F424" s="52" t="s">
        <v>117</v>
      </c>
      <c r="G424" s="52">
        <v>0.14499999999999999</v>
      </c>
      <c r="H424" s="49">
        <f t="shared" si="19"/>
        <v>0.14499999999999999</v>
      </c>
      <c r="I424" s="50">
        <f t="shared" si="20"/>
        <v>9.5468303789933694E-5</v>
      </c>
      <c r="J424" s="51"/>
      <c r="K424" s="51"/>
      <c r="L424" s="51"/>
      <c r="M424" s="51"/>
      <c r="N424"/>
      <c r="O424"/>
      <c r="P424"/>
      <c r="Q424"/>
      <c r="R424"/>
    </row>
    <row r="425" spans="2:18" ht="12.75" customHeight="1" x14ac:dyDescent="0.25">
      <c r="B425" s="35" t="s">
        <v>918</v>
      </c>
      <c r="C425" s="36" t="s">
        <v>70</v>
      </c>
      <c r="D425" s="47">
        <v>53652.503508939997</v>
      </c>
      <c r="E425" s="48">
        <f t="shared" si="18"/>
        <v>2.1618533383935975E-3</v>
      </c>
      <c r="F425" s="52">
        <v>4.7589664481295799E-2</v>
      </c>
      <c r="G425" s="52">
        <v>3.3750000000000002E-2</v>
      </c>
      <c r="H425" s="49">
        <f t="shared" si="19"/>
        <v>8.2142740069417658E-2</v>
      </c>
      <c r="I425" s="50">
        <f t="shared" si="20"/>
        <v>1.775805568438681E-4</v>
      </c>
      <c r="J425" s="51"/>
      <c r="K425" s="51"/>
      <c r="L425" s="51"/>
      <c r="M425" s="51"/>
      <c r="N425"/>
      <c r="O425"/>
      <c r="P425"/>
      <c r="Q425"/>
      <c r="R425"/>
    </row>
    <row r="426" spans="2:18" ht="12.75" customHeight="1" x14ac:dyDescent="0.25">
      <c r="B426" s="35" t="s">
        <v>919</v>
      </c>
      <c r="C426" s="36" t="s">
        <v>920</v>
      </c>
      <c r="D426" s="47">
        <v>54406.458272720003</v>
      </c>
      <c r="E426" s="48">
        <f t="shared" si="18"/>
        <v>2.1922329016287774E-3</v>
      </c>
      <c r="F426" s="52">
        <v>4.7083877562610031E-2</v>
      </c>
      <c r="G426" s="52">
        <v>5.2049999999999999E-2</v>
      </c>
      <c r="H426" s="49">
        <f t="shared" si="19"/>
        <v>0.10035923547617695</v>
      </c>
      <c r="I426" s="50">
        <f t="shared" si="20"/>
        <v>2.2001081799318513E-4</v>
      </c>
      <c r="J426" s="51"/>
      <c r="K426" s="51"/>
      <c r="L426" s="51"/>
      <c r="M426" s="51"/>
      <c r="N426"/>
      <c r="O426"/>
      <c r="P426"/>
      <c r="Q426"/>
      <c r="R426"/>
    </row>
    <row r="427" spans="2:18" ht="12.75" customHeight="1" x14ac:dyDescent="0.25">
      <c r="B427" s="35" t="s">
        <v>921</v>
      </c>
      <c r="C427" s="36" t="s">
        <v>922</v>
      </c>
      <c r="D427" s="47">
        <v>50510.548000000003</v>
      </c>
      <c r="E427" s="48">
        <f t="shared" si="18"/>
        <v>2.0352525917023594E-3</v>
      </c>
      <c r="F427" s="52">
        <v>1.0995176690619154E-2</v>
      </c>
      <c r="G427" s="52">
        <v>0.1105</v>
      </c>
      <c r="H427" s="49">
        <f t="shared" si="19"/>
        <v>0.12210266020277587</v>
      </c>
      <c r="I427" s="50">
        <f t="shared" si="20"/>
        <v>2.4850975563145211E-4</v>
      </c>
      <c r="J427" s="51"/>
      <c r="K427" s="51"/>
      <c r="L427" s="51"/>
      <c r="M427" s="51"/>
      <c r="N427"/>
      <c r="O427"/>
      <c r="P427"/>
      <c r="Q427"/>
      <c r="R427"/>
    </row>
    <row r="428" spans="2:18" ht="12.75" customHeight="1" x14ac:dyDescent="0.25">
      <c r="B428" s="35" t="s">
        <v>923</v>
      </c>
      <c r="C428" s="36" t="s">
        <v>924</v>
      </c>
      <c r="D428" s="47">
        <v>34150.777067520001</v>
      </c>
      <c r="E428" s="48">
        <f t="shared" si="18"/>
        <v>1.3760582747057025E-3</v>
      </c>
      <c r="F428" s="52">
        <v>3.1222917669715935E-2</v>
      </c>
      <c r="G428" s="52">
        <v>0.10096999999999999</v>
      </c>
      <c r="H428" s="49">
        <f t="shared" si="19"/>
        <v>0.13376920666827152</v>
      </c>
      <c r="I428" s="50">
        <f t="shared" si="20"/>
        <v>1.8407422373669226E-4</v>
      </c>
      <c r="J428" s="51"/>
      <c r="K428" s="51"/>
      <c r="L428" s="51"/>
      <c r="M428" s="51"/>
      <c r="N428"/>
      <c r="O428"/>
      <c r="P428"/>
      <c r="Q428"/>
      <c r="R428"/>
    </row>
    <row r="429" spans="2:18" ht="12.75" customHeight="1" x14ac:dyDescent="0.25">
      <c r="B429" s="35" t="s">
        <v>925</v>
      </c>
      <c r="C429" s="36" t="s">
        <v>926</v>
      </c>
      <c r="D429" s="47">
        <v>28279.674614399999</v>
      </c>
      <c r="E429" s="48">
        <f t="shared" si="18"/>
        <v>1.1394903308405407E-3</v>
      </c>
      <c r="F429" s="52">
        <v>3.3166144200626968E-2</v>
      </c>
      <c r="G429" s="52">
        <v>8.0430000000000015E-2</v>
      </c>
      <c r="H429" s="49">
        <f t="shared" si="19"/>
        <v>0.1149299206896552</v>
      </c>
      <c r="I429" s="50">
        <f t="shared" si="20"/>
        <v>1.3096153335013231E-4</v>
      </c>
      <c r="J429" s="51"/>
      <c r="K429" s="51"/>
      <c r="L429" s="51"/>
      <c r="M429" s="51"/>
      <c r="N429"/>
      <c r="O429"/>
      <c r="P429"/>
      <c r="Q429"/>
      <c r="R429"/>
    </row>
    <row r="430" spans="2:18" ht="12.75" customHeight="1" x14ac:dyDescent="0.25">
      <c r="B430" s="35" t="s">
        <v>927</v>
      </c>
      <c r="C430" s="36" t="s">
        <v>928</v>
      </c>
      <c r="D430" s="47">
        <v>26544.049386299997</v>
      </c>
      <c r="E430" s="48">
        <f t="shared" si="18"/>
        <v>1.0695557155258439E-3</v>
      </c>
      <c r="F430" s="52">
        <v>2.8815977175463626E-2</v>
      </c>
      <c r="G430" s="52">
        <v>8.6929999999999993E-2</v>
      </c>
      <c r="H430" s="49">
        <f t="shared" si="19"/>
        <v>0.11699846362339515</v>
      </c>
      <c r="I430" s="50">
        <f t="shared" si="20"/>
        <v>1.2513637547614481E-4</v>
      </c>
      <c r="J430" s="51"/>
      <c r="K430" s="51"/>
      <c r="L430" s="51"/>
      <c r="M430" s="51"/>
      <c r="N430"/>
      <c r="O430"/>
      <c r="P430"/>
      <c r="Q430"/>
      <c r="R430"/>
    </row>
    <row r="431" spans="2:18" ht="12.75" customHeight="1" x14ac:dyDescent="0.25">
      <c r="B431" s="35" t="s">
        <v>929</v>
      </c>
      <c r="C431" s="36" t="s">
        <v>930</v>
      </c>
      <c r="D431" s="47">
        <v>13314.542208320001</v>
      </c>
      <c r="E431" s="48">
        <f t="shared" si="18"/>
        <v>5.3649104216437588E-4</v>
      </c>
      <c r="F431" s="52">
        <v>5.2831375838926178E-2</v>
      </c>
      <c r="G431" s="52">
        <v>3.3669999999999999E-2</v>
      </c>
      <c r="H431" s="49">
        <f t="shared" si="19"/>
        <v>8.7390792051174504E-2</v>
      </c>
      <c r="I431" s="50">
        <f t="shared" si="20"/>
        <v>4.6884377103104867E-5</v>
      </c>
      <c r="J431" s="51"/>
      <c r="K431" s="51"/>
      <c r="L431" s="51"/>
      <c r="M431" s="51"/>
      <c r="N431"/>
      <c r="O431"/>
      <c r="P431"/>
      <c r="Q431"/>
      <c r="R431"/>
    </row>
    <row r="432" spans="2:18" ht="12.75" customHeight="1" x14ac:dyDescent="0.25">
      <c r="B432" s="35" t="s">
        <v>931</v>
      </c>
      <c r="C432" s="36" t="s">
        <v>932</v>
      </c>
      <c r="D432" s="47">
        <v>32419.291843625</v>
      </c>
      <c r="E432" s="48">
        <f t="shared" si="18"/>
        <v>1.3062904751279462E-3</v>
      </c>
      <c r="F432" s="52">
        <v>1.7365796421237902E-2</v>
      </c>
      <c r="G432" s="52">
        <v>0.11120000000000001</v>
      </c>
      <c r="H432" s="49">
        <f t="shared" si="19"/>
        <v>0.12953133470225875</v>
      </c>
      <c r="I432" s="50">
        <f t="shared" si="20"/>
        <v>1.6920554875217062E-4</v>
      </c>
      <c r="J432" s="51"/>
      <c r="K432" s="51"/>
      <c r="L432" s="51"/>
      <c r="M432" s="51"/>
      <c r="N432"/>
      <c r="O432"/>
      <c r="P432"/>
      <c r="Q432"/>
      <c r="R432"/>
    </row>
    <row r="433" spans="2:18" ht="12.75" customHeight="1" x14ac:dyDescent="0.25">
      <c r="B433" s="35" t="s">
        <v>933</v>
      </c>
      <c r="C433" s="36" t="s">
        <v>934</v>
      </c>
      <c r="D433" s="47">
        <v>19904.957623389997</v>
      </c>
      <c r="E433" s="48">
        <f t="shared" si="18"/>
        <v>8.0204270582711007E-4</v>
      </c>
      <c r="F433" s="52">
        <v>2.0363470458520268E-2</v>
      </c>
      <c r="G433" s="52">
        <v>0.105</v>
      </c>
      <c r="H433" s="49">
        <f t="shared" si="19"/>
        <v>0.12643255265759257</v>
      </c>
      <c r="I433" s="50">
        <f t="shared" si="20"/>
        <v>1.0140430663812412E-4</v>
      </c>
      <c r="J433" s="51"/>
      <c r="K433" s="51"/>
      <c r="L433" s="51"/>
      <c r="M433" s="51"/>
      <c r="N433"/>
      <c r="O433"/>
      <c r="P433"/>
      <c r="Q433"/>
      <c r="R433"/>
    </row>
    <row r="434" spans="2:18" ht="12.75" customHeight="1" x14ac:dyDescent="0.25">
      <c r="B434" s="35" t="s">
        <v>935</v>
      </c>
      <c r="C434" s="36" t="s">
        <v>936</v>
      </c>
      <c r="D434" s="47">
        <v>14579.656926720001</v>
      </c>
      <c r="E434" s="48">
        <f t="shared" si="18"/>
        <v>5.8746708798800072E-4</v>
      </c>
      <c r="F434" s="52">
        <v>1.8541069723018146E-2</v>
      </c>
      <c r="G434" s="52">
        <v>8.8680000000000009E-2</v>
      </c>
      <c r="H434" s="49">
        <f t="shared" si="19"/>
        <v>0.10804318075453678</v>
      </c>
      <c r="I434" s="50">
        <f t="shared" si="20"/>
        <v>6.3471812774828929E-5</v>
      </c>
      <c r="J434" s="51"/>
      <c r="K434" s="51"/>
      <c r="L434" s="51"/>
      <c r="M434" s="51"/>
      <c r="N434"/>
      <c r="O434"/>
      <c r="P434"/>
      <c r="Q434"/>
      <c r="R434"/>
    </row>
    <row r="435" spans="2:18" ht="12.75" customHeight="1" x14ac:dyDescent="0.25">
      <c r="B435" s="35" t="s">
        <v>937</v>
      </c>
      <c r="C435" s="36" t="s">
        <v>938</v>
      </c>
      <c r="D435" s="47">
        <v>23645.514212300004</v>
      </c>
      <c r="E435" s="48">
        <f t="shared" si="18"/>
        <v>9.5276325417650485E-4</v>
      </c>
      <c r="F435" s="52">
        <v>2.7048934253977787E-2</v>
      </c>
      <c r="G435" s="52">
        <v>1.55E-2</v>
      </c>
      <c r="H435" s="49">
        <f t="shared" si="19"/>
        <v>4.2758563494446108E-2</v>
      </c>
      <c r="I435" s="50">
        <f t="shared" si="20"/>
        <v>4.073878809888118E-5</v>
      </c>
      <c r="J435" s="51"/>
      <c r="K435" s="51"/>
      <c r="L435" s="51"/>
      <c r="M435" s="51"/>
      <c r="N435"/>
      <c r="O435"/>
      <c r="P435"/>
      <c r="Q435"/>
      <c r="R435"/>
    </row>
    <row r="436" spans="2:18" ht="12.75" customHeight="1" x14ac:dyDescent="0.25">
      <c r="B436" s="35" t="s">
        <v>939</v>
      </c>
      <c r="C436" s="36" t="s">
        <v>940</v>
      </c>
      <c r="D436" s="47">
        <v>72311.845969439993</v>
      </c>
      <c r="E436" s="48">
        <f t="shared" si="18"/>
        <v>2.913705705986095E-3</v>
      </c>
      <c r="F436" s="52">
        <v>1.1636775922490209E-2</v>
      </c>
      <c r="G436" s="52">
        <v>8.5430000000000006E-2</v>
      </c>
      <c r="H436" s="49">
        <f t="shared" si="19"/>
        <v>9.7563840806019389E-2</v>
      </c>
      <c r="I436" s="50">
        <f t="shared" si="20"/>
        <v>2.842723196544177E-4</v>
      </c>
      <c r="J436" s="51"/>
      <c r="K436" s="51"/>
      <c r="L436" s="51"/>
      <c r="M436" s="51"/>
      <c r="N436"/>
      <c r="O436"/>
      <c r="P436"/>
      <c r="Q436"/>
      <c r="R436"/>
    </row>
    <row r="437" spans="2:18" ht="12.75" customHeight="1" x14ac:dyDescent="0.25">
      <c r="B437" s="35" t="s">
        <v>941</v>
      </c>
      <c r="C437" s="36" t="s">
        <v>942</v>
      </c>
      <c r="D437" s="47">
        <v>14714.778171460001</v>
      </c>
      <c r="E437" s="48">
        <f t="shared" si="18"/>
        <v>5.929116114477568E-4</v>
      </c>
      <c r="F437" s="52">
        <v>1.3249348392701999E-2</v>
      </c>
      <c r="G437" s="52">
        <v>7.4999999999999997E-2</v>
      </c>
      <c r="H437" s="49">
        <f t="shared" si="19"/>
        <v>8.8746198957428329E-2</v>
      </c>
      <c r="I437" s="50">
        <f t="shared" si="20"/>
        <v>5.2618651833712064E-5</v>
      </c>
      <c r="J437" s="51"/>
      <c r="K437" s="51"/>
      <c r="L437" s="51"/>
      <c r="M437" s="51"/>
      <c r="N437"/>
      <c r="O437"/>
      <c r="P437"/>
      <c r="Q437"/>
      <c r="R437"/>
    </row>
    <row r="438" spans="2:18" ht="12.75" customHeight="1" x14ac:dyDescent="0.25">
      <c r="B438" s="35" t="s">
        <v>943</v>
      </c>
      <c r="C438" s="36" t="s">
        <v>944</v>
      </c>
      <c r="D438" s="47">
        <v>34027.170544469998</v>
      </c>
      <c r="E438" s="48">
        <f t="shared" si="18"/>
        <v>1.3710777210124653E-3</v>
      </c>
      <c r="F438" s="52">
        <v>2.2830843518937681E-2</v>
      </c>
      <c r="G438" s="52">
        <v>0.12833</v>
      </c>
      <c r="H438" s="49">
        <f t="shared" si="19"/>
        <v>0.15262578459333032</v>
      </c>
      <c r="I438" s="50">
        <f t="shared" si="20"/>
        <v>2.0926181290796276E-4</v>
      </c>
      <c r="J438" s="51"/>
      <c r="K438" s="51"/>
      <c r="L438" s="51"/>
      <c r="M438" s="51"/>
      <c r="N438"/>
      <c r="O438"/>
      <c r="P438"/>
      <c r="Q438"/>
      <c r="R438"/>
    </row>
    <row r="439" spans="2:18" ht="12.75" customHeight="1" x14ac:dyDescent="0.25">
      <c r="B439" s="35" t="s">
        <v>945</v>
      </c>
      <c r="C439" s="36" t="s">
        <v>946</v>
      </c>
      <c r="D439" s="47">
        <v>223418.37171161</v>
      </c>
      <c r="E439" s="48">
        <f t="shared" si="18"/>
        <v>9.0023339295383469E-3</v>
      </c>
      <c r="F439" s="52">
        <v>6.6677535050537987E-2</v>
      </c>
      <c r="G439" s="52">
        <v>4.9200000000000001E-2</v>
      </c>
      <c r="H439" s="49">
        <f t="shared" si="19"/>
        <v>0.11751780241278123</v>
      </c>
      <c r="I439" s="50">
        <f t="shared" si="20"/>
        <v>1.0579344999853638E-3</v>
      </c>
      <c r="J439" s="51"/>
      <c r="K439" s="51"/>
      <c r="L439" s="51"/>
      <c r="M439" s="51"/>
      <c r="N439"/>
      <c r="O439"/>
      <c r="P439"/>
      <c r="Q439"/>
      <c r="R439"/>
    </row>
    <row r="440" spans="2:18" ht="12.75" customHeight="1" x14ac:dyDescent="0.25">
      <c r="B440" s="35" t="s">
        <v>947</v>
      </c>
      <c r="C440" s="36" t="s">
        <v>948</v>
      </c>
      <c r="D440" s="47">
        <v>13172.053291959999</v>
      </c>
      <c r="E440" s="48">
        <f t="shared" si="18"/>
        <v>5.3074964857841532E-4</v>
      </c>
      <c r="F440" s="52">
        <v>3.3640249917790202E-2</v>
      </c>
      <c r="G440" s="52">
        <v>2.5700000000000002E-3</v>
      </c>
      <c r="H440" s="49">
        <f t="shared" si="19"/>
        <v>3.6253477638934564E-2</v>
      </c>
      <c r="I440" s="50">
        <f t="shared" si="20"/>
        <v>1.9241520516609958E-5</v>
      </c>
      <c r="J440" s="51"/>
      <c r="K440" s="51"/>
      <c r="L440" s="51"/>
      <c r="M440" s="51"/>
      <c r="N440"/>
      <c r="O440"/>
      <c r="P440"/>
      <c r="Q440"/>
      <c r="R440"/>
    </row>
    <row r="441" spans="2:18" ht="12.75" customHeight="1" x14ac:dyDescent="0.25">
      <c r="B441" s="35" t="s">
        <v>949</v>
      </c>
      <c r="C441" s="36" t="s">
        <v>950</v>
      </c>
      <c r="D441" s="47">
        <v>23267.871569849998</v>
      </c>
      <c r="E441" s="48">
        <f t="shared" si="18"/>
        <v>9.375466668058095E-4</v>
      </c>
      <c r="F441" s="52">
        <v>0</v>
      </c>
      <c r="G441" s="52">
        <v>0.11067</v>
      </c>
      <c r="H441" s="49">
        <f t="shared" si="19"/>
        <v>0.11067</v>
      </c>
      <c r="I441" s="50">
        <f t="shared" si="20"/>
        <v>1.0375828961539894E-4</v>
      </c>
      <c r="J441" s="51"/>
      <c r="K441" s="51"/>
      <c r="L441" s="51"/>
      <c r="M441" s="51"/>
      <c r="N441"/>
      <c r="O441"/>
      <c r="P441"/>
      <c r="Q441"/>
      <c r="R441"/>
    </row>
    <row r="442" spans="2:18" ht="12.75" customHeight="1" x14ac:dyDescent="0.25">
      <c r="B442" s="35" t="s">
        <v>951</v>
      </c>
      <c r="C442" s="36" t="s">
        <v>952</v>
      </c>
      <c r="D442" s="47">
        <v>28362.116125800003</v>
      </c>
      <c r="E442" s="48">
        <f t="shared" si="18"/>
        <v>1.1428121973889045E-3</v>
      </c>
      <c r="F442" s="52">
        <v>2.1170848267622458E-2</v>
      </c>
      <c r="G442" s="52">
        <v>0.11183</v>
      </c>
      <c r="H442" s="49">
        <f t="shared" si="19"/>
        <v>0.13418461624850656</v>
      </c>
      <c r="I442" s="50">
        <f t="shared" si="20"/>
        <v>1.5334781615074269E-4</v>
      </c>
      <c r="J442" s="51"/>
      <c r="K442" s="51"/>
      <c r="L442" s="51"/>
      <c r="M442" s="51"/>
      <c r="N442"/>
      <c r="O442"/>
      <c r="P442"/>
      <c r="Q442"/>
      <c r="R442"/>
    </row>
    <row r="443" spans="2:18" ht="12.75" customHeight="1" x14ac:dyDescent="0.25">
      <c r="B443" s="35" t="s">
        <v>953</v>
      </c>
      <c r="C443" s="36" t="s">
        <v>954</v>
      </c>
      <c r="D443" s="47">
        <v>13939.589761499999</v>
      </c>
      <c r="E443" s="48">
        <f t="shared" si="18"/>
        <v>5.6167646784114364E-4</v>
      </c>
      <c r="F443" s="52">
        <v>4.5163420270716414E-3</v>
      </c>
      <c r="G443" s="52">
        <v>0.12450000000000001</v>
      </c>
      <c r="H443" s="49">
        <f t="shared" si="19"/>
        <v>0.12929748431825686</v>
      </c>
      <c r="I443" s="50">
        <f t="shared" si="20"/>
        <v>7.2623354292624168E-5</v>
      </c>
      <c r="J443" s="51"/>
      <c r="K443" s="51"/>
      <c r="L443" s="51"/>
      <c r="M443" s="51"/>
      <c r="N443"/>
      <c r="O443"/>
      <c r="P443"/>
      <c r="Q443"/>
      <c r="R443"/>
    </row>
    <row r="444" spans="2:18" ht="12.75" customHeight="1" x14ac:dyDescent="0.25">
      <c r="B444" s="35" t="s">
        <v>955</v>
      </c>
      <c r="C444" s="36" t="s">
        <v>956</v>
      </c>
      <c r="D444" s="47">
        <v>39582.104108579995</v>
      </c>
      <c r="E444" s="48">
        <f t="shared" si="18"/>
        <v>1.5949060772815222E-3</v>
      </c>
      <c r="F444" s="52">
        <v>3.4385598747717197E-2</v>
      </c>
      <c r="G444" s="52">
        <v>6.4430000000000001E-2</v>
      </c>
      <c r="H444" s="49">
        <f t="shared" si="19"/>
        <v>9.9923330811374916E-2</v>
      </c>
      <c r="I444" s="50">
        <f t="shared" si="20"/>
        <v>1.5936832757327383E-4</v>
      </c>
      <c r="J444" s="51"/>
      <c r="K444" s="51"/>
      <c r="L444" s="51"/>
      <c r="M444" s="51"/>
      <c r="N444"/>
      <c r="O444"/>
      <c r="P444"/>
      <c r="Q444"/>
      <c r="R444"/>
    </row>
    <row r="445" spans="2:18" ht="12.75" customHeight="1" x14ac:dyDescent="0.25">
      <c r="B445" s="35" t="s">
        <v>957</v>
      </c>
      <c r="C445" s="36" t="s">
        <v>958</v>
      </c>
      <c r="D445" s="47">
        <v>11770.3897696</v>
      </c>
      <c r="E445" s="48">
        <f t="shared" si="18"/>
        <v>4.7427155777294942E-4</v>
      </c>
      <c r="F445" s="52">
        <v>2.2183098591549294E-2</v>
      </c>
      <c r="G445" s="52">
        <v>0.10525000000000001</v>
      </c>
      <c r="H445" s="49">
        <f t="shared" si="19"/>
        <v>0.12860048415492958</v>
      </c>
      <c r="I445" s="50">
        <f t="shared" si="20"/>
        <v>6.0991551950513953E-5</v>
      </c>
      <c r="J445" s="51"/>
      <c r="K445" s="51"/>
      <c r="L445" s="51"/>
      <c r="M445" s="51"/>
      <c r="N445"/>
      <c r="O445"/>
      <c r="P445"/>
      <c r="Q445"/>
      <c r="R445"/>
    </row>
    <row r="446" spans="2:18" ht="12.75" customHeight="1" x14ac:dyDescent="0.25">
      <c r="B446" s="35" t="s">
        <v>959</v>
      </c>
      <c r="C446" s="36" t="s">
        <v>960</v>
      </c>
      <c r="D446" s="47">
        <v>63839.929488960006</v>
      </c>
      <c r="E446" s="48">
        <f t="shared" si="18"/>
        <v>2.5723415621327593E-3</v>
      </c>
      <c r="F446" s="52">
        <v>1.680509947846243E-2</v>
      </c>
      <c r="G446" s="52">
        <v>0.11567</v>
      </c>
      <c r="H446" s="49">
        <f t="shared" si="19"/>
        <v>0.13344702240679929</v>
      </c>
      <c r="I446" s="50">
        <f t="shared" si="20"/>
        <v>3.4327132207987143E-4</v>
      </c>
      <c r="J446" s="51"/>
      <c r="K446" s="51"/>
      <c r="L446" s="51"/>
      <c r="M446" s="51"/>
      <c r="N446"/>
      <c r="O446"/>
      <c r="P446"/>
      <c r="Q446"/>
      <c r="R446"/>
    </row>
    <row r="447" spans="2:18" ht="12.75" customHeight="1" x14ac:dyDescent="0.25">
      <c r="B447" s="35" t="s">
        <v>961</v>
      </c>
      <c r="C447" s="36" t="s">
        <v>962</v>
      </c>
      <c r="D447" s="47">
        <v>9161.7386436699999</v>
      </c>
      <c r="E447" s="48">
        <f t="shared" si="18"/>
        <v>3.6915957274961703E-4</v>
      </c>
      <c r="F447" s="52">
        <v>8.1578630730357368E-3</v>
      </c>
      <c r="G447" s="52">
        <v>7.5300000000000006E-2</v>
      </c>
      <c r="H447" s="49">
        <f t="shared" si="19"/>
        <v>8.3765006617735532E-2</v>
      </c>
      <c r="I447" s="50">
        <f t="shared" si="20"/>
        <v>3.0922654054372091E-5</v>
      </c>
      <c r="J447" s="51"/>
      <c r="K447" s="51"/>
      <c r="L447" s="51"/>
      <c r="M447" s="51"/>
      <c r="N447"/>
      <c r="O447"/>
      <c r="P447"/>
      <c r="Q447"/>
      <c r="R447"/>
    </row>
    <row r="448" spans="2:18" ht="12.75" customHeight="1" x14ac:dyDescent="0.25">
      <c r="B448" s="35" t="s">
        <v>963</v>
      </c>
      <c r="C448" s="36" t="s">
        <v>964</v>
      </c>
      <c r="D448" s="47">
        <v>104973.87843428999</v>
      </c>
      <c r="E448" s="48">
        <f t="shared" si="18"/>
        <v>4.2297770783329674E-3</v>
      </c>
      <c r="F448" s="52">
        <v>2.7861188186552133E-3</v>
      </c>
      <c r="G448" s="52">
        <v>0.12</v>
      </c>
      <c r="H448" s="49">
        <f t="shared" si="19"/>
        <v>0.12295328594777452</v>
      </c>
      <c r="I448" s="50">
        <f t="shared" si="20"/>
        <v>5.2006499060761556E-4</v>
      </c>
      <c r="J448" s="51"/>
      <c r="K448" s="51"/>
      <c r="L448" s="51"/>
      <c r="M448" s="51"/>
      <c r="N448"/>
      <c r="O448"/>
      <c r="P448"/>
      <c r="Q448"/>
      <c r="R448"/>
    </row>
    <row r="449" spans="2:18" ht="12.75" customHeight="1" x14ac:dyDescent="0.25">
      <c r="B449" s="35" t="s">
        <v>965</v>
      </c>
      <c r="C449" s="36" t="s">
        <v>966</v>
      </c>
      <c r="D449" s="47">
        <v>9337.2919542</v>
      </c>
      <c r="E449" s="48">
        <f t="shared" si="18"/>
        <v>3.7623325031569912E-4</v>
      </c>
      <c r="F449" s="52">
        <v>4.2173913043478263E-2</v>
      </c>
      <c r="G449" s="52">
        <v>0.10580000000000001</v>
      </c>
      <c r="H449" s="49">
        <f t="shared" si="19"/>
        <v>0.15020491304347827</v>
      </c>
      <c r="I449" s="50">
        <f t="shared" si="20"/>
        <v>5.6512082647734783E-5</v>
      </c>
      <c r="J449" s="51"/>
      <c r="K449" s="51"/>
      <c r="L449" s="51"/>
      <c r="M449" s="51"/>
      <c r="N449"/>
      <c r="O449"/>
      <c r="P449"/>
      <c r="Q449"/>
      <c r="R449"/>
    </row>
    <row r="450" spans="2:18" ht="12.75" customHeight="1" x14ac:dyDescent="0.25">
      <c r="B450" s="35" t="s">
        <v>967</v>
      </c>
      <c r="C450" s="36" t="s">
        <v>968</v>
      </c>
      <c r="D450" s="47">
        <v>7126.4471770800001</v>
      </c>
      <c r="E450" s="48">
        <f t="shared" si="18"/>
        <v>2.8715032129095159E-4</v>
      </c>
      <c r="F450" s="52">
        <v>0</v>
      </c>
      <c r="G450" s="52">
        <v>0.1139</v>
      </c>
      <c r="H450" s="49">
        <f t="shared" si="19"/>
        <v>0.1139</v>
      </c>
      <c r="I450" s="50">
        <f t="shared" si="20"/>
        <v>3.2706421595039385E-5</v>
      </c>
      <c r="J450" s="51"/>
      <c r="K450" s="51"/>
      <c r="L450" s="51"/>
      <c r="M450" s="51"/>
      <c r="N450"/>
      <c r="O450"/>
      <c r="P450"/>
      <c r="Q450"/>
      <c r="R450"/>
    </row>
    <row r="451" spans="2:18" ht="12.75" customHeight="1" x14ac:dyDescent="0.25">
      <c r="B451" s="35" t="s">
        <v>969</v>
      </c>
      <c r="C451" s="36" t="s">
        <v>970</v>
      </c>
      <c r="D451" s="47">
        <v>24248.156698479997</v>
      </c>
      <c r="E451" s="48">
        <f t="shared" si="18"/>
        <v>9.7704589870191731E-4</v>
      </c>
      <c r="F451" s="52">
        <v>2.9265911753221401E-2</v>
      </c>
      <c r="G451" s="52">
        <v>5.4000000000000006E-2</v>
      </c>
      <c r="H451" s="49">
        <f t="shared" si="19"/>
        <v>8.4056091370558389E-2</v>
      </c>
      <c r="I451" s="50">
        <f t="shared" si="20"/>
        <v>8.2126659334517694E-5</v>
      </c>
      <c r="J451" s="51"/>
      <c r="K451" s="51"/>
      <c r="L451" s="51"/>
      <c r="M451" s="51"/>
      <c r="N451"/>
      <c r="O451"/>
      <c r="P451"/>
      <c r="Q451"/>
      <c r="R451"/>
    </row>
    <row r="452" spans="2:18" ht="12.75" customHeight="1" x14ac:dyDescent="0.25">
      <c r="B452" s="35" t="s">
        <v>971</v>
      </c>
      <c r="C452" s="36" t="s">
        <v>972</v>
      </c>
      <c r="D452" s="47">
        <v>35341.808942119998</v>
      </c>
      <c r="E452" s="48">
        <f t="shared" si="18"/>
        <v>1.4240492549179894E-3</v>
      </c>
      <c r="F452" s="52">
        <v>2.3908183037710539E-2</v>
      </c>
      <c r="G452" s="52">
        <v>0.17716999999999999</v>
      </c>
      <c r="H452" s="49">
        <f t="shared" si="19"/>
        <v>0.20319608943210613</v>
      </c>
      <c r="I452" s="50">
        <f t="shared" si="20"/>
        <v>2.8936123975803989E-4</v>
      </c>
      <c r="J452" s="51"/>
      <c r="K452" s="51"/>
      <c r="L452" s="51"/>
      <c r="M452" s="51"/>
      <c r="N452"/>
      <c r="O452"/>
      <c r="P452"/>
      <c r="Q452"/>
      <c r="R452"/>
    </row>
    <row r="453" spans="2:18" ht="12.75" customHeight="1" x14ac:dyDescent="0.25">
      <c r="B453" s="35" t="s">
        <v>973</v>
      </c>
      <c r="C453" s="36" t="s">
        <v>974</v>
      </c>
      <c r="D453" s="47">
        <v>10849.690192319998</v>
      </c>
      <c r="E453" s="48">
        <f t="shared" si="18"/>
        <v>4.3717324316273394E-4</v>
      </c>
      <c r="F453" s="52">
        <v>1.4911692376481111E-2</v>
      </c>
      <c r="G453" s="52">
        <v>0.11062</v>
      </c>
      <c r="H453" s="49">
        <f t="shared" si="19"/>
        <v>0.12635645808182427</v>
      </c>
      <c r="I453" s="50">
        <f t="shared" si="20"/>
        <v>5.5239662574187164E-5</v>
      </c>
      <c r="J453" s="51"/>
      <c r="K453" s="51"/>
      <c r="L453" s="51"/>
      <c r="M453" s="51"/>
      <c r="N453"/>
      <c r="O453"/>
      <c r="P453"/>
      <c r="Q453"/>
      <c r="R453"/>
    </row>
    <row r="454" spans="2:18" ht="12.75" customHeight="1" x14ac:dyDescent="0.25">
      <c r="B454" s="35" t="s">
        <v>975</v>
      </c>
      <c r="C454" s="36" t="s">
        <v>976</v>
      </c>
      <c r="D454" s="47">
        <v>23822.739436680004</v>
      </c>
      <c r="E454" s="48" t="str">
        <f t="shared" si="18"/>
        <v>N/A</v>
      </c>
      <c r="F454" s="52">
        <v>2.4149034038638453E-2</v>
      </c>
      <c r="G454" s="52" t="s">
        <v>104</v>
      </c>
      <c r="H454" s="49" t="str">
        <f t="shared" si="19"/>
        <v>N/A</v>
      </c>
      <c r="I454" s="50" t="str">
        <f t="shared" si="20"/>
        <v>N/A</v>
      </c>
      <c r="J454" s="51"/>
      <c r="K454" s="51"/>
      <c r="L454" s="51"/>
      <c r="M454" s="51"/>
      <c r="N454"/>
      <c r="O454"/>
      <c r="P454"/>
      <c r="Q454"/>
      <c r="R454"/>
    </row>
    <row r="455" spans="2:18" ht="12.75" customHeight="1" x14ac:dyDescent="0.25">
      <c r="B455" s="35" t="s">
        <v>977</v>
      </c>
      <c r="C455" s="36" t="s">
        <v>978</v>
      </c>
      <c r="D455" s="47">
        <v>16691.980255499999</v>
      </c>
      <c r="E455" s="48">
        <f t="shared" si="18"/>
        <v>6.7258023167063991E-4</v>
      </c>
      <c r="F455" s="52">
        <v>5.6385797562268159E-3</v>
      </c>
      <c r="G455" s="52">
        <v>0.12143000000000001</v>
      </c>
      <c r="H455" s="49">
        <f t="shared" si="19"/>
        <v>0.12741092612612614</v>
      </c>
      <c r="I455" s="50">
        <f t="shared" si="20"/>
        <v>8.5694070211280715E-5</v>
      </c>
      <c r="J455" s="51"/>
      <c r="K455" s="51"/>
      <c r="L455" s="51"/>
      <c r="M455" s="51"/>
      <c r="N455"/>
      <c r="O455"/>
      <c r="P455"/>
      <c r="Q455"/>
      <c r="R455"/>
    </row>
    <row r="456" spans="2:18" ht="12.75" customHeight="1" x14ac:dyDescent="0.25">
      <c r="B456" s="35" t="s">
        <v>979</v>
      </c>
      <c r="C456" s="36" t="s">
        <v>980</v>
      </c>
      <c r="D456" s="47">
        <v>10586.2992999</v>
      </c>
      <c r="E456" s="48">
        <f t="shared" si="18"/>
        <v>4.2656027185961922E-4</v>
      </c>
      <c r="F456" s="52">
        <v>3.3137359700694813E-2</v>
      </c>
      <c r="G456" s="52">
        <v>0.10300000000000001</v>
      </c>
      <c r="H456" s="49">
        <f t="shared" si="19"/>
        <v>0.13784393372528062</v>
      </c>
      <c r="I456" s="50">
        <f t="shared" si="20"/>
        <v>5.879874584405503E-5</v>
      </c>
      <c r="J456" s="51"/>
      <c r="K456" s="51"/>
      <c r="L456" s="51"/>
      <c r="M456" s="51"/>
      <c r="N456"/>
      <c r="O456"/>
      <c r="P456"/>
      <c r="Q456"/>
      <c r="R456"/>
    </row>
    <row r="457" spans="2:18" ht="12.75" customHeight="1" x14ac:dyDescent="0.25">
      <c r="B457" s="35" t="s">
        <v>981</v>
      </c>
      <c r="C457" s="36" t="s">
        <v>982</v>
      </c>
      <c r="D457" s="47">
        <v>23940.262451000002</v>
      </c>
      <c r="E457" s="48">
        <f t="shared" si="18"/>
        <v>9.6463972632869531E-4</v>
      </c>
      <c r="F457" s="52">
        <v>0</v>
      </c>
      <c r="G457" s="52">
        <v>0.3735</v>
      </c>
      <c r="H457" s="49">
        <f t="shared" si="19"/>
        <v>0.3735</v>
      </c>
      <c r="I457" s="50">
        <f t="shared" si="20"/>
        <v>3.602929377837677E-4</v>
      </c>
      <c r="J457" s="51"/>
      <c r="K457" s="51"/>
      <c r="L457" s="51"/>
      <c r="M457" s="51"/>
      <c r="N457"/>
      <c r="O457"/>
      <c r="P457"/>
      <c r="Q457"/>
      <c r="R457"/>
    </row>
    <row r="458" spans="2:18" ht="12.75" customHeight="1" x14ac:dyDescent="0.25">
      <c r="B458" s="35" t="s">
        <v>983</v>
      </c>
      <c r="C458" s="36" t="s">
        <v>984</v>
      </c>
      <c r="D458" s="47">
        <v>103942.52011135999</v>
      </c>
      <c r="E458" s="48">
        <f t="shared" si="18"/>
        <v>4.1882199227915723E-3</v>
      </c>
      <c r="F458" s="52">
        <v>2.8336644392270186E-2</v>
      </c>
      <c r="G458" s="52">
        <v>0.10475</v>
      </c>
      <c r="H458" s="49">
        <f t="shared" si="19"/>
        <v>0.13457077614231533</v>
      </c>
      <c r="I458" s="50">
        <f t="shared" si="20"/>
        <v>5.6361200566476988E-4</v>
      </c>
      <c r="J458" s="51"/>
      <c r="K458" s="51"/>
      <c r="L458" s="51"/>
      <c r="M458" s="51"/>
      <c r="N458"/>
      <c r="O458"/>
      <c r="P458"/>
      <c r="Q458"/>
      <c r="R458"/>
    </row>
    <row r="459" spans="2:18" ht="12.75" customHeight="1" x14ac:dyDescent="0.25">
      <c r="B459" s="35" t="s">
        <v>985</v>
      </c>
      <c r="C459" s="36" t="s">
        <v>986</v>
      </c>
      <c r="D459" s="47">
        <v>12108.620650319999</v>
      </c>
      <c r="E459" s="48">
        <f t="shared" si="18"/>
        <v>4.8790010277664151E-4</v>
      </c>
      <c r="F459" s="52">
        <v>1.6029354963306298E-3</v>
      </c>
      <c r="G459" s="52">
        <v>0.11255000000000001</v>
      </c>
      <c r="H459" s="49">
        <f t="shared" si="19"/>
        <v>0.11424314069138665</v>
      </c>
      <c r="I459" s="50">
        <f t="shared" si="20"/>
        <v>5.5739240084853863E-5</v>
      </c>
      <c r="J459" s="51"/>
      <c r="K459" s="51"/>
      <c r="L459" s="51"/>
      <c r="M459" s="51"/>
      <c r="N459"/>
      <c r="O459"/>
      <c r="P459"/>
      <c r="Q459"/>
      <c r="R459"/>
    </row>
    <row r="460" spans="2:18" ht="12.75" customHeight="1" x14ac:dyDescent="0.25">
      <c r="B460" s="35" t="s">
        <v>987</v>
      </c>
      <c r="C460" s="36" t="s">
        <v>988</v>
      </c>
      <c r="D460" s="47">
        <v>9379.4184757799994</v>
      </c>
      <c r="E460" s="48">
        <f t="shared" ref="E460:E511" si="21">IF(OR(H460="N/A",D460="N/A"),"N/A",D460/$D$512)</f>
        <v>3.7793068017183726E-4</v>
      </c>
      <c r="F460" s="52">
        <v>0</v>
      </c>
      <c r="G460" s="52">
        <v>0.33968000000000004</v>
      </c>
      <c r="H460" s="49">
        <f t="shared" ref="H460:H511" si="22">IFERROR(F460*(1+0.5*G460)+G460,"N/A")</f>
        <v>0.33968000000000004</v>
      </c>
      <c r="I460" s="50">
        <f t="shared" ref="I460:I511" si="23">IF(AND(ISNUMBER(D460),ISNUMBER(H460)),E460*H460,"N/A")</f>
        <v>1.2837549344076971E-4</v>
      </c>
      <c r="J460" s="51"/>
      <c r="K460" s="51"/>
      <c r="L460" s="51"/>
      <c r="M460" s="51"/>
      <c r="N460"/>
      <c r="O460"/>
      <c r="P460"/>
      <c r="Q460"/>
      <c r="R460"/>
    </row>
    <row r="461" spans="2:18" ht="12.75" customHeight="1" x14ac:dyDescent="0.25">
      <c r="B461" s="35" t="s">
        <v>989</v>
      </c>
      <c r="C461" s="36" t="s">
        <v>990</v>
      </c>
      <c r="D461" s="47">
        <v>21788.975765129999</v>
      </c>
      <c r="E461" s="48">
        <f t="shared" si="21"/>
        <v>8.779566081231335E-4</v>
      </c>
      <c r="F461" s="52">
        <v>0</v>
      </c>
      <c r="G461" s="52">
        <v>0.14169999999999999</v>
      </c>
      <c r="H461" s="49">
        <f t="shared" si="22"/>
        <v>0.14169999999999999</v>
      </c>
      <c r="I461" s="50">
        <f t="shared" si="23"/>
        <v>1.2440645137104802E-4</v>
      </c>
      <c r="J461" s="51"/>
      <c r="K461" s="51"/>
      <c r="L461" s="51"/>
      <c r="M461" s="51"/>
      <c r="N461"/>
      <c r="O461"/>
      <c r="P461"/>
      <c r="Q461"/>
      <c r="R461"/>
    </row>
    <row r="462" spans="2:18" ht="12.75" customHeight="1" x14ac:dyDescent="0.25">
      <c r="B462" s="35" t="s">
        <v>991</v>
      </c>
      <c r="C462" s="36" t="s">
        <v>992</v>
      </c>
      <c r="D462" s="47">
        <v>12438.32650598</v>
      </c>
      <c r="E462" s="48">
        <f t="shared" si="21"/>
        <v>5.0118514369980587E-4</v>
      </c>
      <c r="F462" s="52">
        <v>3.0157323288278307E-2</v>
      </c>
      <c r="G462" s="52">
        <v>5.5370000000000003E-2</v>
      </c>
      <c r="H462" s="49">
        <f t="shared" si="22"/>
        <v>8.6362228783514294E-2</v>
      </c>
      <c r="I462" s="50">
        <f t="shared" si="23"/>
        <v>4.3283466043101123E-5</v>
      </c>
      <c r="J462" s="51"/>
      <c r="K462" s="51"/>
      <c r="L462" s="51"/>
      <c r="M462" s="51"/>
      <c r="N462"/>
      <c r="O462"/>
      <c r="P462"/>
      <c r="Q462"/>
      <c r="R462"/>
    </row>
    <row r="463" spans="2:18" ht="12.75" customHeight="1" x14ac:dyDescent="0.25">
      <c r="B463" s="35" t="s">
        <v>993</v>
      </c>
      <c r="C463" s="36" t="s">
        <v>994</v>
      </c>
      <c r="D463" s="47">
        <v>12186.945645440002</v>
      </c>
      <c r="E463" s="48">
        <f t="shared" si="21"/>
        <v>4.9105610000147978E-4</v>
      </c>
      <c r="F463" s="52">
        <v>2.9946364719904651E-3</v>
      </c>
      <c r="G463" s="52">
        <v>0.10877000000000001</v>
      </c>
      <c r="H463" s="49">
        <f t="shared" si="22"/>
        <v>0.11192749977651967</v>
      </c>
      <c r="I463" s="50">
        <f t="shared" si="23"/>
        <v>5.4962681523174246E-5</v>
      </c>
      <c r="J463" s="51"/>
      <c r="K463" s="51"/>
      <c r="L463" s="51"/>
      <c r="M463" s="51"/>
      <c r="N463"/>
      <c r="O463"/>
      <c r="P463"/>
      <c r="Q463"/>
      <c r="R463"/>
    </row>
    <row r="464" spans="2:18" ht="12.75" customHeight="1" x14ac:dyDescent="0.25">
      <c r="B464" s="35" t="s">
        <v>995</v>
      </c>
      <c r="C464" s="36" t="s">
        <v>996</v>
      </c>
      <c r="D464" s="47">
        <v>20071.82298945</v>
      </c>
      <c r="E464" s="48">
        <f t="shared" si="21"/>
        <v>8.087663147006266E-4</v>
      </c>
      <c r="F464" s="52">
        <v>0</v>
      </c>
      <c r="G464" s="52">
        <v>0.21199999999999999</v>
      </c>
      <c r="H464" s="49">
        <f t="shared" si="22"/>
        <v>0.21199999999999999</v>
      </c>
      <c r="I464" s="50">
        <f t="shared" si="23"/>
        <v>1.7145845871653284E-4</v>
      </c>
      <c r="J464" s="51"/>
      <c r="K464" s="51"/>
      <c r="L464" s="51"/>
      <c r="M464" s="51"/>
      <c r="N464"/>
      <c r="O464"/>
      <c r="P464"/>
      <c r="Q464"/>
      <c r="R464"/>
    </row>
    <row r="465" spans="2:18" ht="12.75" customHeight="1" x14ac:dyDescent="0.25">
      <c r="B465" s="35" t="s">
        <v>997</v>
      </c>
      <c r="C465" s="36" t="s">
        <v>998</v>
      </c>
      <c r="D465" s="47">
        <v>241227.98267100001</v>
      </c>
      <c r="E465" s="48">
        <f t="shared" si="21"/>
        <v>9.719947542883212E-3</v>
      </c>
      <c r="F465" s="52">
        <v>1.4916467780429593E-2</v>
      </c>
      <c r="G465" s="52">
        <v>0.13989000000000001</v>
      </c>
      <c r="H465" s="49">
        <f t="shared" si="22"/>
        <v>0.15584980011933175</v>
      </c>
      <c r="I465" s="50">
        <f t="shared" si="23"/>
        <v>1.5148518817287384E-3</v>
      </c>
      <c r="J465" s="51"/>
      <c r="K465" s="51"/>
      <c r="L465" s="51"/>
      <c r="M465" s="51"/>
      <c r="N465"/>
      <c r="O465"/>
      <c r="P465"/>
      <c r="Q465"/>
      <c r="R465"/>
    </row>
    <row r="466" spans="2:18" ht="12.75" customHeight="1" x14ac:dyDescent="0.25">
      <c r="B466" s="35" t="s">
        <v>999</v>
      </c>
      <c r="C466" s="36" t="s">
        <v>1000</v>
      </c>
      <c r="D466" s="47">
        <v>7808.0833298000016</v>
      </c>
      <c r="E466" s="48">
        <f t="shared" si="21"/>
        <v>3.1461590623018857E-4</v>
      </c>
      <c r="F466" s="52">
        <v>2.9411764705882349E-2</v>
      </c>
      <c r="G466" s="52">
        <v>0.09</v>
      </c>
      <c r="H466" s="49">
        <f t="shared" si="22"/>
        <v>0.12073529411764705</v>
      </c>
      <c r="I466" s="50">
        <f t="shared" si="23"/>
        <v>3.7985243972791883E-5</v>
      </c>
      <c r="J466" s="51"/>
      <c r="K466" s="51"/>
      <c r="L466" s="51"/>
      <c r="M466" s="51"/>
      <c r="N466"/>
      <c r="O466"/>
      <c r="P466"/>
      <c r="Q466"/>
      <c r="R466"/>
    </row>
    <row r="467" spans="2:18" ht="12.75" customHeight="1" x14ac:dyDescent="0.25">
      <c r="B467" s="35" t="s">
        <v>1001</v>
      </c>
      <c r="C467" s="36" t="s">
        <v>1002</v>
      </c>
      <c r="D467" s="47">
        <v>119274.83980500001</v>
      </c>
      <c r="E467" s="48">
        <f t="shared" si="21"/>
        <v>4.8060145147902572E-3</v>
      </c>
      <c r="F467" s="52">
        <v>2.1357575757575756E-2</v>
      </c>
      <c r="G467" s="52">
        <v>0.1386</v>
      </c>
      <c r="H467" s="49">
        <f t="shared" si="22"/>
        <v>0.16143765575757577</v>
      </c>
      <c r="I467" s="50">
        <f t="shared" si="23"/>
        <v>7.7587171680462209E-4</v>
      </c>
      <c r="J467" s="51"/>
      <c r="K467" s="51"/>
      <c r="L467" s="51"/>
      <c r="M467" s="51"/>
      <c r="N467"/>
      <c r="O467"/>
      <c r="P467"/>
      <c r="Q467"/>
      <c r="R467"/>
    </row>
    <row r="468" spans="2:18" ht="12.75" customHeight="1" x14ac:dyDescent="0.25">
      <c r="B468" s="35" t="s">
        <v>1003</v>
      </c>
      <c r="C468" s="36" t="s">
        <v>1004</v>
      </c>
      <c r="D468" s="47">
        <v>94212.27745152</v>
      </c>
      <c r="E468" s="48">
        <f t="shared" si="21"/>
        <v>3.7961532678954068E-3</v>
      </c>
      <c r="F468" s="52">
        <v>3.4970781592403216E-2</v>
      </c>
      <c r="G468" s="52">
        <v>8.9280000000000012E-2</v>
      </c>
      <c r="H468" s="49">
        <f t="shared" si="22"/>
        <v>0.12581187728268811</v>
      </c>
      <c r="I468" s="50">
        <f t="shared" si="23"/>
        <v>4.7760116908673238E-4</v>
      </c>
      <c r="J468" s="51"/>
      <c r="K468" s="51"/>
      <c r="L468" s="51"/>
      <c r="M468" s="51"/>
      <c r="N468"/>
      <c r="O468"/>
      <c r="P468"/>
      <c r="Q468"/>
      <c r="R468"/>
    </row>
    <row r="469" spans="2:18" ht="12.75" customHeight="1" x14ac:dyDescent="0.25">
      <c r="B469" s="35" t="s">
        <v>1005</v>
      </c>
      <c r="C469" s="36" t="s">
        <v>1006</v>
      </c>
      <c r="D469" s="47">
        <v>9562.0725914799987</v>
      </c>
      <c r="E469" s="48">
        <f t="shared" si="21"/>
        <v>3.8529047485004047E-4</v>
      </c>
      <c r="F469" s="52">
        <v>0</v>
      </c>
      <c r="G469" s="52">
        <v>0.17760000000000001</v>
      </c>
      <c r="H469" s="49">
        <f t="shared" si="22"/>
        <v>0.17760000000000001</v>
      </c>
      <c r="I469" s="50">
        <f t="shared" si="23"/>
        <v>6.8427588333367186E-5</v>
      </c>
      <c r="J469" s="51"/>
      <c r="K469" s="51"/>
      <c r="L469" s="51"/>
      <c r="M469" s="51"/>
      <c r="N469"/>
      <c r="O469"/>
      <c r="P469"/>
      <c r="Q469"/>
      <c r="R469"/>
    </row>
    <row r="470" spans="2:18" ht="12.75" customHeight="1" x14ac:dyDescent="0.25">
      <c r="B470" s="35" t="s">
        <v>1007</v>
      </c>
      <c r="C470" s="36" t="s">
        <v>1008</v>
      </c>
      <c r="D470" s="47">
        <v>83325.507791120006</v>
      </c>
      <c r="E470" s="48">
        <f t="shared" si="21"/>
        <v>3.3574859589088624E-3</v>
      </c>
      <c r="F470" s="52">
        <v>3.036297292106779E-2</v>
      </c>
      <c r="G470" s="52">
        <v>6.7000000000000004E-2</v>
      </c>
      <c r="H470" s="49">
        <f t="shared" si="22"/>
        <v>9.8380132513923566E-2</v>
      </c>
      <c r="I470" s="50">
        <f t="shared" si="23"/>
        <v>3.3030991355109158E-4</v>
      </c>
      <c r="J470" s="51"/>
      <c r="K470" s="51"/>
      <c r="L470" s="51"/>
      <c r="M470" s="51"/>
      <c r="N470"/>
      <c r="O470"/>
      <c r="P470"/>
      <c r="Q470"/>
      <c r="R470"/>
    </row>
    <row r="471" spans="2:18" ht="12.75" customHeight="1" x14ac:dyDescent="0.25">
      <c r="B471" s="35" t="s">
        <v>1009</v>
      </c>
      <c r="C471" s="36" t="s">
        <v>1010</v>
      </c>
      <c r="D471" s="47">
        <v>108584.88283824001</v>
      </c>
      <c r="E471" s="48">
        <f t="shared" si="21"/>
        <v>4.3752775007751847E-3</v>
      </c>
      <c r="F471" s="52">
        <v>2.3673761118170263E-2</v>
      </c>
      <c r="G471" s="52">
        <v>9.8000000000000004E-2</v>
      </c>
      <c r="H471" s="49">
        <f t="shared" si="22"/>
        <v>0.12283377541296062</v>
      </c>
      <c r="I471" s="50">
        <f t="shared" si="23"/>
        <v>5.3743185389959871E-4</v>
      </c>
      <c r="J471" s="51"/>
      <c r="K471" s="51"/>
      <c r="L471" s="51"/>
      <c r="M471" s="51"/>
      <c r="N471"/>
      <c r="O471"/>
      <c r="P471"/>
      <c r="Q471"/>
      <c r="R471"/>
    </row>
    <row r="472" spans="2:18" ht="12.75" customHeight="1" x14ac:dyDescent="0.25">
      <c r="B472" s="35" t="s">
        <v>1011</v>
      </c>
      <c r="C472" s="36" t="s">
        <v>1012</v>
      </c>
      <c r="D472" s="47">
        <v>312066.80168088002</v>
      </c>
      <c r="E472" s="48">
        <f t="shared" si="21"/>
        <v>1.2574299667175996E-2</v>
      </c>
      <c r="F472" s="52">
        <v>6.4067927441142413E-3</v>
      </c>
      <c r="G472" s="52">
        <v>0.15593000000000001</v>
      </c>
      <c r="H472" s="49">
        <f t="shared" si="22"/>
        <v>0.16283629834040914</v>
      </c>
      <c r="I472" s="50">
        <f t="shared" si="23"/>
        <v>2.0475524120259778E-3</v>
      </c>
      <c r="J472" s="51"/>
      <c r="K472" s="51"/>
      <c r="L472" s="51"/>
      <c r="M472" s="51"/>
      <c r="N472"/>
      <c r="O472"/>
      <c r="P472"/>
      <c r="Q472"/>
      <c r="R472"/>
    </row>
    <row r="473" spans="2:18" ht="12.75" customHeight="1" x14ac:dyDescent="0.25">
      <c r="B473" s="35" t="s">
        <v>1013</v>
      </c>
      <c r="C473" s="36" t="s">
        <v>1014</v>
      </c>
      <c r="D473" s="47">
        <v>12400.207456199998</v>
      </c>
      <c r="E473" s="48">
        <f t="shared" si="21"/>
        <v>4.9964918937086102E-4</v>
      </c>
      <c r="F473" s="52">
        <v>0</v>
      </c>
      <c r="G473" s="52">
        <v>0.161</v>
      </c>
      <c r="H473" s="49">
        <f t="shared" si="22"/>
        <v>0.161</v>
      </c>
      <c r="I473" s="50">
        <f t="shared" si="23"/>
        <v>8.0443519488708631E-5</v>
      </c>
      <c r="J473" s="51"/>
      <c r="K473" s="51"/>
      <c r="L473" s="51"/>
      <c r="M473" s="51"/>
      <c r="N473"/>
      <c r="O473"/>
      <c r="P473"/>
      <c r="Q473"/>
      <c r="R473"/>
    </row>
    <row r="474" spans="2:18" ht="12.75" customHeight="1" x14ac:dyDescent="0.25">
      <c r="B474" s="35" t="s">
        <v>1015</v>
      </c>
      <c r="C474" s="36" t="s">
        <v>1016</v>
      </c>
      <c r="D474" s="47">
        <v>33539.429542320002</v>
      </c>
      <c r="E474" s="48">
        <f t="shared" si="21"/>
        <v>1.3514248726865022E-3</v>
      </c>
      <c r="F474" s="52">
        <v>2.1278603444208542E-2</v>
      </c>
      <c r="G474" s="52">
        <v>-0.25523000000000001</v>
      </c>
      <c r="H474" s="49">
        <f t="shared" si="22"/>
        <v>-0.23666686553432414</v>
      </c>
      <c r="I474" s="50">
        <f t="shared" si="23"/>
        <v>-3.1983748862383753E-4</v>
      </c>
      <c r="J474" s="51"/>
      <c r="K474" s="51"/>
      <c r="L474" s="51"/>
      <c r="M474" s="51"/>
      <c r="N474"/>
      <c r="O474"/>
      <c r="P474"/>
      <c r="Q474"/>
      <c r="R474"/>
    </row>
    <row r="475" spans="2:18" ht="12.75" customHeight="1" x14ac:dyDescent="0.25">
      <c r="B475" s="35" t="s">
        <v>1017</v>
      </c>
      <c r="C475" s="36" t="s">
        <v>1018</v>
      </c>
      <c r="D475" s="47">
        <v>11572.100332709999</v>
      </c>
      <c r="E475" s="48">
        <f t="shared" si="21"/>
        <v>4.6628175947700584E-4</v>
      </c>
      <c r="F475" s="52">
        <v>2.8795998570918191E-2</v>
      </c>
      <c r="G475" s="52">
        <v>4.9299999999999997E-2</v>
      </c>
      <c r="H475" s="49">
        <f t="shared" si="22"/>
        <v>7.8805819935691329E-2</v>
      </c>
      <c r="I475" s="50">
        <f t="shared" si="23"/>
        <v>3.6745716376642253E-5</v>
      </c>
      <c r="J475" s="51"/>
      <c r="K475" s="51"/>
      <c r="L475" s="51"/>
      <c r="M475" s="51"/>
      <c r="N475"/>
      <c r="O475"/>
      <c r="P475"/>
      <c r="Q475"/>
      <c r="R475"/>
    </row>
    <row r="476" spans="2:18" ht="12.75" customHeight="1" x14ac:dyDescent="0.25">
      <c r="B476" s="35" t="s">
        <v>1019</v>
      </c>
      <c r="C476" s="36" t="s">
        <v>1020</v>
      </c>
      <c r="D476" s="47">
        <v>35530.640553960002</v>
      </c>
      <c r="E476" s="48">
        <f t="shared" si="21"/>
        <v>1.4316579632494195E-3</v>
      </c>
      <c r="F476" s="52">
        <v>4.2230841560883879E-2</v>
      </c>
      <c r="G476" s="52">
        <v>0.19167000000000001</v>
      </c>
      <c r="H476" s="49">
        <f t="shared" si="22"/>
        <v>0.23794803426187119</v>
      </c>
      <c r="I476" s="50">
        <f t="shared" si="23"/>
        <v>3.4066019809055363E-4</v>
      </c>
      <c r="J476" s="51"/>
      <c r="K476" s="51"/>
      <c r="L476" s="51"/>
      <c r="M476" s="51"/>
      <c r="N476"/>
      <c r="O476"/>
      <c r="P476"/>
      <c r="Q476"/>
      <c r="R476"/>
    </row>
    <row r="477" spans="2:18" ht="12.75" customHeight="1" x14ac:dyDescent="0.25">
      <c r="B477" s="35" t="s">
        <v>1021</v>
      </c>
      <c r="C477" s="36" t="s">
        <v>1022</v>
      </c>
      <c r="D477" s="47">
        <v>14842.837428120001</v>
      </c>
      <c r="E477" s="48">
        <f t="shared" si="21"/>
        <v>5.9807158187628472E-4</v>
      </c>
      <c r="F477" s="52">
        <v>1.0897948308020251E-2</v>
      </c>
      <c r="G477" s="52">
        <v>0.15134</v>
      </c>
      <c r="H477" s="49">
        <f t="shared" si="22"/>
        <v>0.16306259605648815</v>
      </c>
      <c r="I477" s="50">
        <f t="shared" si="23"/>
        <v>9.752310476835749E-5</v>
      </c>
      <c r="J477" s="51"/>
      <c r="K477" s="51"/>
      <c r="L477" s="51"/>
      <c r="M477" s="51"/>
      <c r="N477"/>
      <c r="O477"/>
      <c r="P477"/>
      <c r="Q477"/>
      <c r="R477"/>
    </row>
    <row r="478" spans="2:18" ht="12.75" customHeight="1" x14ac:dyDescent="0.25">
      <c r="B478" s="35" t="s">
        <v>1023</v>
      </c>
      <c r="C478" s="36" t="s">
        <v>1024</v>
      </c>
      <c r="D478" s="47">
        <v>12821.133727710001</v>
      </c>
      <c r="E478" s="48">
        <f t="shared" si="21"/>
        <v>5.1660983064140008E-4</v>
      </c>
      <c r="F478" s="52">
        <v>3.8579283697429037E-2</v>
      </c>
      <c r="G478" s="52">
        <v>7.4000000000000003E-3</v>
      </c>
      <c r="H478" s="49">
        <f t="shared" si="22"/>
        <v>4.6122027047109521E-2</v>
      </c>
      <c r="I478" s="50">
        <f t="shared" si="23"/>
        <v>2.3827092581645323E-5</v>
      </c>
      <c r="J478" s="51"/>
      <c r="K478" s="51"/>
      <c r="L478" s="51"/>
      <c r="M478" s="51"/>
      <c r="N478"/>
      <c r="O478"/>
      <c r="P478"/>
      <c r="Q478"/>
      <c r="R478"/>
    </row>
    <row r="479" spans="2:18" ht="12.75" customHeight="1" x14ac:dyDescent="0.25">
      <c r="B479" s="35" t="s">
        <v>1025</v>
      </c>
      <c r="C479" s="36" t="s">
        <v>1026</v>
      </c>
      <c r="D479" s="47">
        <v>20999.528937900002</v>
      </c>
      <c r="E479" s="48">
        <f t="shared" si="21"/>
        <v>8.4614694133569232E-4</v>
      </c>
      <c r="F479" s="52">
        <v>6.649536712606088E-3</v>
      </c>
      <c r="G479" s="52">
        <v>9.5670000000000005E-2</v>
      </c>
      <c r="H479" s="49">
        <f t="shared" si="22"/>
        <v>0.10263761730125361</v>
      </c>
      <c r="I479" s="50">
        <f t="shared" si="23"/>
        <v>8.684650594543907E-5</v>
      </c>
      <c r="J479" s="51"/>
      <c r="K479" s="51"/>
      <c r="L479" s="51"/>
      <c r="M479" s="51"/>
      <c r="N479"/>
      <c r="O479"/>
      <c r="P479"/>
      <c r="Q479"/>
      <c r="R479"/>
    </row>
    <row r="480" spans="2:18" ht="12.75" customHeight="1" x14ac:dyDescent="0.25">
      <c r="B480" s="35" t="s">
        <v>1027</v>
      </c>
      <c r="C480" s="36" t="s">
        <v>1028</v>
      </c>
      <c r="D480" s="47">
        <v>21742.62903738</v>
      </c>
      <c r="E480" s="48">
        <f t="shared" si="21"/>
        <v>8.7608913090292775E-4</v>
      </c>
      <c r="F480" s="52">
        <v>0</v>
      </c>
      <c r="G480" s="52">
        <v>8.8000000000000009E-2</v>
      </c>
      <c r="H480" s="49">
        <f t="shared" si="22"/>
        <v>8.8000000000000009E-2</v>
      </c>
      <c r="I480" s="50">
        <f t="shared" si="23"/>
        <v>7.7095843519457645E-5</v>
      </c>
      <c r="J480" s="51"/>
      <c r="K480" s="51"/>
      <c r="L480" s="51"/>
      <c r="M480" s="51"/>
      <c r="N480"/>
      <c r="O480"/>
      <c r="P480"/>
      <c r="Q480"/>
      <c r="R480"/>
    </row>
    <row r="481" spans="2:18" ht="12.75" customHeight="1" x14ac:dyDescent="0.25">
      <c r="B481" s="35" t="s">
        <v>1029</v>
      </c>
      <c r="C481" s="36" t="s">
        <v>1030</v>
      </c>
      <c r="D481" s="47">
        <v>48086.504252010003</v>
      </c>
      <c r="E481" s="48">
        <f t="shared" si="21"/>
        <v>1.937579105354586E-3</v>
      </c>
      <c r="F481" s="52">
        <v>0</v>
      </c>
      <c r="G481" s="52">
        <v>0.49404999999999999</v>
      </c>
      <c r="H481" s="49">
        <f t="shared" si="22"/>
        <v>0.49404999999999999</v>
      </c>
      <c r="I481" s="50">
        <f t="shared" si="23"/>
        <v>9.5726095700043314E-4</v>
      </c>
      <c r="J481" s="51"/>
      <c r="K481" s="51"/>
      <c r="L481" s="51"/>
      <c r="M481" s="51"/>
      <c r="N481"/>
      <c r="O481"/>
      <c r="P481"/>
      <c r="Q481"/>
      <c r="R481"/>
    </row>
    <row r="482" spans="2:18" ht="12.75" customHeight="1" x14ac:dyDescent="0.25">
      <c r="B482" s="35" t="s">
        <v>1031</v>
      </c>
      <c r="C482" s="36" t="s">
        <v>1032</v>
      </c>
      <c r="D482" s="47">
        <v>22322.54975016</v>
      </c>
      <c r="E482" s="48">
        <f t="shared" si="21"/>
        <v>8.9945623303112833E-4</v>
      </c>
      <c r="F482" s="52">
        <v>5.1158332001917231E-2</v>
      </c>
      <c r="G482" s="52">
        <v>2.0799999999999999E-2</v>
      </c>
      <c r="H482" s="49">
        <f t="shared" si="22"/>
        <v>7.2490378654737175E-2</v>
      </c>
      <c r="I482" s="50">
        <f t="shared" si="23"/>
        <v>6.5201922915790017E-5</v>
      </c>
      <c r="J482" s="51"/>
      <c r="K482" s="51"/>
      <c r="L482" s="51"/>
      <c r="M482" s="51"/>
      <c r="N482"/>
      <c r="O482"/>
      <c r="P482"/>
      <c r="Q482"/>
      <c r="R482"/>
    </row>
    <row r="483" spans="2:18" ht="12.75" customHeight="1" x14ac:dyDescent="0.25">
      <c r="B483" s="35" t="s">
        <v>1033</v>
      </c>
      <c r="C483" s="36" t="s">
        <v>1034</v>
      </c>
      <c r="D483" s="47">
        <v>241270.15910836999</v>
      </c>
      <c r="E483" s="48">
        <f t="shared" si="21"/>
        <v>9.7216469840269906E-3</v>
      </c>
      <c r="F483" s="52">
        <v>4.1753724952902901E-2</v>
      </c>
      <c r="G483" s="52">
        <v>2.3000000000000003E-2</v>
      </c>
      <c r="H483" s="49">
        <f t="shared" si="22"/>
        <v>6.5233892789861289E-2</v>
      </c>
      <c r="I483" s="50">
        <f t="shared" si="23"/>
        <v>6.3418087709689504E-4</v>
      </c>
      <c r="J483" s="51"/>
      <c r="K483" s="51"/>
      <c r="L483" s="51"/>
      <c r="M483" s="51"/>
      <c r="N483"/>
      <c r="O483"/>
      <c r="P483"/>
      <c r="Q483"/>
      <c r="R483"/>
    </row>
    <row r="484" spans="2:18" ht="12.75" customHeight="1" x14ac:dyDescent="0.25">
      <c r="B484" s="35" t="s">
        <v>1035</v>
      </c>
      <c r="C484" s="36" t="s">
        <v>1036</v>
      </c>
      <c r="D484" s="47">
        <v>11549.56739104</v>
      </c>
      <c r="E484" s="48">
        <f t="shared" si="21"/>
        <v>4.6537382579288616E-4</v>
      </c>
      <c r="F484" s="52" t="s">
        <v>117</v>
      </c>
      <c r="G484" s="52">
        <v>0.14000000000000001</v>
      </c>
      <c r="H484" s="49">
        <f t="shared" si="22"/>
        <v>0.14000000000000001</v>
      </c>
      <c r="I484" s="50">
        <f t="shared" si="23"/>
        <v>6.5152335611004064E-5</v>
      </c>
      <c r="J484" s="51"/>
      <c r="K484" s="51"/>
      <c r="L484" s="51"/>
      <c r="M484" s="51"/>
      <c r="N484"/>
      <c r="O484"/>
      <c r="P484"/>
      <c r="Q484"/>
      <c r="R484"/>
    </row>
    <row r="485" spans="2:18" ht="12.75" customHeight="1" x14ac:dyDescent="0.25">
      <c r="B485" s="35" t="s">
        <v>1037</v>
      </c>
      <c r="C485" s="36" t="s">
        <v>1038</v>
      </c>
      <c r="D485" s="47">
        <v>17518.390423269997</v>
      </c>
      <c r="E485" s="48">
        <f t="shared" si="21"/>
        <v>7.0587928508346516E-4</v>
      </c>
      <c r="F485" s="52">
        <v>0</v>
      </c>
      <c r="G485" s="52">
        <v>0.1148</v>
      </c>
      <c r="H485" s="49">
        <f t="shared" si="22"/>
        <v>0.1148</v>
      </c>
      <c r="I485" s="50">
        <f t="shared" si="23"/>
        <v>8.1034941927581801E-5</v>
      </c>
      <c r="J485" s="51"/>
      <c r="K485" s="51"/>
      <c r="L485" s="51"/>
      <c r="M485" s="51"/>
      <c r="N485"/>
      <c r="O485"/>
      <c r="P485"/>
      <c r="Q485"/>
      <c r="R485"/>
    </row>
    <row r="486" spans="2:18" ht="12.75" customHeight="1" x14ac:dyDescent="0.25">
      <c r="B486" s="35" t="s">
        <v>1039</v>
      </c>
      <c r="C486" s="36" t="s">
        <v>1040</v>
      </c>
      <c r="D486" s="47">
        <v>59087.943815680002</v>
      </c>
      <c r="E486" s="48">
        <f t="shared" si="21"/>
        <v>2.3808668793145167E-3</v>
      </c>
      <c r="F486" s="52">
        <v>2.8532652083665976E-2</v>
      </c>
      <c r="G486" s="52">
        <v>9.4329999999999997E-2</v>
      </c>
      <c r="H486" s="49">
        <f t="shared" si="22"/>
        <v>0.12420839461919207</v>
      </c>
      <c r="I486" s="50">
        <f t="shared" si="23"/>
        <v>2.9572365288166183E-4</v>
      </c>
      <c r="J486" s="51"/>
      <c r="K486" s="51"/>
      <c r="L486" s="51"/>
      <c r="M486" s="51"/>
      <c r="N486"/>
      <c r="O486"/>
      <c r="P486"/>
      <c r="Q486"/>
      <c r="R486"/>
    </row>
    <row r="487" spans="2:18" ht="12.75" customHeight="1" x14ac:dyDescent="0.25">
      <c r="B487" s="35" t="s">
        <v>1041</v>
      </c>
      <c r="C487" s="36" t="s">
        <v>1042</v>
      </c>
      <c r="D487" s="47">
        <v>12002.73189744</v>
      </c>
      <c r="E487" s="48">
        <f t="shared" si="21"/>
        <v>4.8363346209930914E-4</v>
      </c>
      <c r="F487" s="52" t="s">
        <v>117</v>
      </c>
      <c r="G487" s="52">
        <v>0.17080000000000001</v>
      </c>
      <c r="H487" s="49">
        <f t="shared" si="22"/>
        <v>0.17080000000000001</v>
      </c>
      <c r="I487" s="50">
        <f t="shared" si="23"/>
        <v>8.2604595326562011E-5</v>
      </c>
      <c r="J487" s="51"/>
      <c r="K487" s="51"/>
      <c r="L487" s="51"/>
      <c r="M487" s="51"/>
      <c r="N487"/>
      <c r="O487"/>
      <c r="P487"/>
      <c r="Q487"/>
      <c r="R487"/>
    </row>
    <row r="488" spans="2:18" ht="12.75" customHeight="1" x14ac:dyDescent="0.25">
      <c r="B488" s="35" t="s">
        <v>1043</v>
      </c>
      <c r="C488" s="36" t="s">
        <v>1044</v>
      </c>
      <c r="D488" s="47">
        <v>13989.930117800001</v>
      </c>
      <c r="E488" s="48">
        <f t="shared" si="21"/>
        <v>5.6370486279395233E-4</v>
      </c>
      <c r="F488" s="52">
        <v>4.1580041580041582E-2</v>
      </c>
      <c r="G488" s="52">
        <v>2.7179999999999999E-2</v>
      </c>
      <c r="H488" s="49">
        <f t="shared" si="22"/>
        <v>6.9325114345114347E-2</v>
      </c>
      <c r="I488" s="50">
        <f t="shared" si="23"/>
        <v>3.9078904070087742E-5</v>
      </c>
      <c r="J488" s="51"/>
      <c r="K488" s="51"/>
      <c r="L488" s="51"/>
      <c r="M488" s="51"/>
      <c r="N488"/>
      <c r="O488"/>
      <c r="P488"/>
      <c r="Q488"/>
      <c r="R488"/>
    </row>
    <row r="489" spans="2:18" ht="12.75" customHeight="1" x14ac:dyDescent="0.25">
      <c r="B489" s="35" t="s">
        <v>1045</v>
      </c>
      <c r="C489" s="36" t="s">
        <v>72</v>
      </c>
      <c r="D489" s="47">
        <v>24883.115878240002</v>
      </c>
      <c r="E489" s="48">
        <f t="shared" si="21"/>
        <v>1.0026306996474893E-3</v>
      </c>
      <c r="F489" s="52">
        <v>2.9804766734279918E-2</v>
      </c>
      <c r="G489" s="52">
        <v>4.8930000000000001E-2</v>
      </c>
      <c r="H489" s="49">
        <f t="shared" si="22"/>
        <v>7.9463940352434079E-2</v>
      </c>
      <c r="I489" s="50">
        <f t="shared" si="23"/>
        <v>7.9672986112307336E-5</v>
      </c>
      <c r="J489" s="51"/>
      <c r="K489" s="51"/>
      <c r="L489" s="51"/>
      <c r="M489" s="51"/>
      <c r="N489"/>
      <c r="O489"/>
      <c r="P489"/>
      <c r="Q489"/>
      <c r="R489"/>
    </row>
    <row r="490" spans="2:18" ht="12.75" customHeight="1" x14ac:dyDescent="0.25">
      <c r="B490" s="35" t="s">
        <v>1046</v>
      </c>
      <c r="C490" s="36" t="s">
        <v>1047</v>
      </c>
      <c r="D490" s="47">
        <v>30276.579675420002</v>
      </c>
      <c r="E490" s="48">
        <f t="shared" si="21"/>
        <v>1.2199528552389004E-3</v>
      </c>
      <c r="F490" s="52">
        <v>4.5646267304955357E-2</v>
      </c>
      <c r="G490" s="52">
        <v>6.7250000000000004E-2</v>
      </c>
      <c r="H490" s="49">
        <f t="shared" si="22"/>
        <v>0.11443112304308448</v>
      </c>
      <c r="I490" s="50">
        <f t="shared" si="23"/>
        <v>1.3960057528460484E-4</v>
      </c>
      <c r="J490" s="51"/>
      <c r="K490" s="51"/>
      <c r="L490" s="51"/>
      <c r="M490" s="51"/>
      <c r="N490"/>
      <c r="O490"/>
      <c r="P490"/>
      <c r="Q490"/>
      <c r="R490"/>
    </row>
    <row r="491" spans="2:18" ht="12.75" customHeight="1" x14ac:dyDescent="0.25">
      <c r="B491" s="35" t="s">
        <v>1048</v>
      </c>
      <c r="C491" s="36" t="s">
        <v>1049</v>
      </c>
      <c r="D491" s="47">
        <v>230095.2792012</v>
      </c>
      <c r="E491" s="48">
        <f t="shared" si="21"/>
        <v>9.2713706715817114E-3</v>
      </c>
      <c r="F491" s="52">
        <v>3.5945519147256216E-2</v>
      </c>
      <c r="G491" s="52">
        <v>0.11255000000000001</v>
      </c>
      <c r="H491" s="49">
        <f t="shared" si="22"/>
        <v>0.15051835323726809</v>
      </c>
      <c r="I491" s="50">
        <f t="shared" si="23"/>
        <v>1.3955114457387834E-3</v>
      </c>
      <c r="J491" s="51"/>
      <c r="K491" s="51"/>
      <c r="L491" s="51"/>
      <c r="M491" s="51"/>
      <c r="N491"/>
      <c r="O491"/>
      <c r="P491"/>
      <c r="Q491"/>
      <c r="R491"/>
    </row>
    <row r="492" spans="2:18" ht="12.75" customHeight="1" x14ac:dyDescent="0.25">
      <c r="B492" s="35" t="s">
        <v>1050</v>
      </c>
      <c r="C492" s="36" t="s">
        <v>1051</v>
      </c>
      <c r="D492" s="47">
        <v>8473.0739464200014</v>
      </c>
      <c r="E492" s="48">
        <f t="shared" si="21"/>
        <v>3.4141078234069136E-4</v>
      </c>
      <c r="F492" s="52">
        <v>3.5666015918306052E-2</v>
      </c>
      <c r="G492" s="52">
        <v>5.7500000000000002E-2</v>
      </c>
      <c r="H492" s="49">
        <f t="shared" si="22"/>
        <v>9.4191413875957364E-2</v>
      </c>
      <c r="I492" s="50">
        <f t="shared" si="23"/>
        <v>3.2157964301166455E-5</v>
      </c>
      <c r="J492" s="51"/>
      <c r="K492" s="51"/>
      <c r="L492" s="51"/>
      <c r="M492" s="51"/>
      <c r="N492"/>
      <c r="O492"/>
      <c r="P492"/>
      <c r="Q492"/>
      <c r="R492"/>
    </row>
    <row r="493" spans="2:18" ht="12.75" customHeight="1" x14ac:dyDescent="0.25">
      <c r="B493" s="35" t="s">
        <v>1052</v>
      </c>
      <c r="C493" s="36" t="s">
        <v>1053</v>
      </c>
      <c r="D493" s="47">
        <v>22418.540246450004</v>
      </c>
      <c r="E493" s="48">
        <f t="shared" si="21"/>
        <v>9.0332403716489112E-4</v>
      </c>
      <c r="F493" s="52">
        <v>1.4529225453498416E-2</v>
      </c>
      <c r="G493" s="52">
        <v>0.13967000000000002</v>
      </c>
      <c r="H493" s="49">
        <f t="shared" si="22"/>
        <v>0.1552138739130435</v>
      </c>
      <c r="I493" s="50">
        <f t="shared" si="23"/>
        <v>1.4020842320713284E-4</v>
      </c>
      <c r="J493" s="51"/>
      <c r="K493" s="51"/>
      <c r="L493" s="51"/>
      <c r="M493" s="51"/>
      <c r="N493"/>
      <c r="O493"/>
      <c r="P493"/>
      <c r="Q493"/>
      <c r="R493"/>
    </row>
    <row r="494" spans="2:18" ht="12.75" customHeight="1" x14ac:dyDescent="0.25">
      <c r="B494" s="35" t="s">
        <v>1054</v>
      </c>
      <c r="C494" s="36" t="s">
        <v>1055</v>
      </c>
      <c r="D494" s="47">
        <v>42789.020153799996</v>
      </c>
      <c r="E494" s="48">
        <f t="shared" si="21"/>
        <v>1.7241243188338784E-3</v>
      </c>
      <c r="F494" s="52">
        <v>2.0005942359116569E-2</v>
      </c>
      <c r="G494" s="52">
        <v>7.6870000000000008E-2</v>
      </c>
      <c r="H494" s="49">
        <f t="shared" si="22"/>
        <v>9.7644870753689217E-2</v>
      </c>
      <c r="I494" s="50">
        <f t="shared" si="23"/>
        <v>1.6835189627582652E-4</v>
      </c>
      <c r="J494" s="51"/>
      <c r="K494" s="51"/>
      <c r="L494" s="51"/>
      <c r="M494" s="51"/>
      <c r="N494"/>
      <c r="O494"/>
      <c r="P494"/>
      <c r="Q494"/>
      <c r="R494"/>
    </row>
    <row r="495" spans="2:18" ht="12.75" customHeight="1" x14ac:dyDescent="0.25">
      <c r="B495" s="35" t="s">
        <v>1056</v>
      </c>
      <c r="C495" s="36" t="s">
        <v>1057</v>
      </c>
      <c r="D495" s="47">
        <v>33374.643608279999</v>
      </c>
      <c r="E495" s="48">
        <f t="shared" si="21"/>
        <v>1.3447850516469242E-3</v>
      </c>
      <c r="F495" s="52">
        <v>5.5297532656023225E-2</v>
      </c>
      <c r="G495" s="52">
        <v>3.9E-2</v>
      </c>
      <c r="H495" s="49">
        <f t="shared" si="22"/>
        <v>9.5375834542815674E-2</v>
      </c>
      <c r="I495" s="50">
        <f t="shared" si="23"/>
        <v>1.2825999658152887E-4</v>
      </c>
      <c r="J495" s="51"/>
      <c r="K495" s="51"/>
      <c r="L495" s="51"/>
      <c r="M495" s="51"/>
      <c r="N495"/>
      <c r="O495"/>
      <c r="P495"/>
      <c r="Q495"/>
      <c r="R495"/>
    </row>
    <row r="496" spans="2:18" ht="12.75" customHeight="1" x14ac:dyDescent="0.25">
      <c r="B496" s="35" t="s">
        <v>1058</v>
      </c>
      <c r="C496" s="36" t="s">
        <v>1059</v>
      </c>
      <c r="D496" s="47">
        <v>285935.69500678004</v>
      </c>
      <c r="E496" s="48">
        <f t="shared" si="21"/>
        <v>1.1521382906452814E-2</v>
      </c>
      <c r="F496" s="52">
        <v>2.1652103231050601E-2</v>
      </c>
      <c r="G496" s="52">
        <v>4.0730000000000002E-2</v>
      </c>
      <c r="H496" s="49">
        <f t="shared" si="22"/>
        <v>6.2823048313350949E-2</v>
      </c>
      <c r="I496" s="50">
        <f t="shared" si="23"/>
        <v>7.2380839496870091E-4</v>
      </c>
      <c r="J496" s="51"/>
      <c r="K496" s="51"/>
      <c r="L496" s="51"/>
      <c r="M496" s="51"/>
      <c r="N496"/>
      <c r="O496"/>
      <c r="P496"/>
      <c r="Q496"/>
      <c r="R496"/>
    </row>
    <row r="497" spans="2:18" ht="12.75" customHeight="1" x14ac:dyDescent="0.25">
      <c r="B497" s="35" t="s">
        <v>1060</v>
      </c>
      <c r="C497" s="36" t="s">
        <v>1061</v>
      </c>
      <c r="D497" s="47">
        <v>9589.2471004499985</v>
      </c>
      <c r="E497" s="48">
        <f t="shared" si="21"/>
        <v>3.8638543406151904E-4</v>
      </c>
      <c r="F497" s="52">
        <v>4.828229027962716E-2</v>
      </c>
      <c r="G497" s="52">
        <v>4.7250000000000007E-2</v>
      </c>
      <c r="H497" s="49">
        <f t="shared" si="22"/>
        <v>9.6672959387483354E-2</v>
      </c>
      <c r="I497" s="50">
        <f t="shared" si="23"/>
        <v>3.7353023374944354E-5</v>
      </c>
      <c r="J497" s="51"/>
      <c r="K497" s="51"/>
      <c r="L497" s="51"/>
      <c r="M497" s="51"/>
      <c r="N497"/>
      <c r="O497"/>
      <c r="P497"/>
      <c r="Q497"/>
      <c r="R497"/>
    </row>
    <row r="498" spans="2:18" ht="12.75" customHeight="1" x14ac:dyDescent="0.25">
      <c r="B498" s="35" t="s">
        <v>1062</v>
      </c>
      <c r="C498" s="36" t="s">
        <v>1063</v>
      </c>
      <c r="D498" s="47">
        <v>7998.5965286500013</v>
      </c>
      <c r="E498" s="48">
        <f t="shared" si="21"/>
        <v>3.2229237178175952E-4</v>
      </c>
      <c r="F498" s="52">
        <v>4.2397820163487726E-2</v>
      </c>
      <c r="G498" s="52">
        <v>3.8900000000000004E-2</v>
      </c>
      <c r="H498" s="49">
        <f t="shared" si="22"/>
        <v>8.2122457765667567E-2</v>
      </c>
      <c r="I498" s="50">
        <f t="shared" si="23"/>
        <v>2.6467441689844377E-5</v>
      </c>
      <c r="J498" s="51"/>
      <c r="K498" s="51"/>
      <c r="L498" s="51"/>
      <c r="M498" s="51"/>
      <c r="N498"/>
      <c r="O498"/>
      <c r="P498"/>
      <c r="Q498"/>
      <c r="R498"/>
    </row>
    <row r="499" spans="2:18" ht="12.75" customHeight="1" x14ac:dyDescent="0.25">
      <c r="B499" s="35" t="s">
        <v>1064</v>
      </c>
      <c r="C499" s="36" t="s">
        <v>1065</v>
      </c>
      <c r="D499" s="47">
        <v>19058.757720000001</v>
      </c>
      <c r="E499" s="48">
        <f t="shared" si="21"/>
        <v>7.6794625241954114E-4</v>
      </c>
      <c r="F499" s="52">
        <v>5.3035644339992166E-2</v>
      </c>
      <c r="G499" s="52">
        <v>8.7000000000000008E-2</v>
      </c>
      <c r="H499" s="49">
        <f t="shared" si="22"/>
        <v>0.14234269486878184</v>
      </c>
      <c r="I499" s="50">
        <f t="shared" si="23"/>
        <v>1.0931153908377927E-4</v>
      </c>
      <c r="J499" s="51"/>
      <c r="K499" s="51"/>
      <c r="L499" s="51"/>
      <c r="M499" s="51"/>
      <c r="N499"/>
      <c r="O499"/>
      <c r="P499"/>
      <c r="Q499"/>
      <c r="R499"/>
    </row>
    <row r="500" spans="2:18" ht="12.75" customHeight="1" x14ac:dyDescent="0.25">
      <c r="B500" s="35" t="s">
        <v>1066</v>
      </c>
      <c r="C500" s="36" t="s">
        <v>1067</v>
      </c>
      <c r="D500" s="47">
        <v>12463.107134440001</v>
      </c>
      <c r="E500" s="48">
        <f t="shared" si="21"/>
        <v>5.0218364481084568E-4</v>
      </c>
      <c r="F500" s="52">
        <v>2.6107608601779086E-2</v>
      </c>
      <c r="G500" s="52">
        <v>0.311</v>
      </c>
      <c r="H500" s="49">
        <f t="shared" si="22"/>
        <v>0.34116734173935576</v>
      </c>
      <c r="I500" s="50">
        <f t="shared" si="23"/>
        <v>1.7132865916509704E-4</v>
      </c>
      <c r="J500" s="51"/>
      <c r="K500" s="51"/>
      <c r="L500" s="51"/>
      <c r="M500" s="51"/>
      <c r="N500"/>
      <c r="O500"/>
      <c r="P500"/>
      <c r="Q500"/>
      <c r="R500"/>
    </row>
    <row r="501" spans="2:18" ht="12.75" customHeight="1" x14ac:dyDescent="0.25">
      <c r="B501" s="35" t="s">
        <v>1068</v>
      </c>
      <c r="C501" s="36" t="s">
        <v>1069</v>
      </c>
      <c r="D501" s="47">
        <v>7104.7396214800001</v>
      </c>
      <c r="E501" s="48">
        <f t="shared" si="21"/>
        <v>2.8627564539564308E-4</v>
      </c>
      <c r="F501" s="52">
        <v>1.0862118184413358E-2</v>
      </c>
      <c r="G501" s="52">
        <v>0.66370000000000007</v>
      </c>
      <c r="H501" s="49">
        <f t="shared" si="22"/>
        <v>0.678166712103911</v>
      </c>
      <c r="I501" s="50">
        <f t="shared" si="23"/>
        <v>1.9414261319338839E-4</v>
      </c>
      <c r="J501" s="51"/>
      <c r="K501" s="51"/>
      <c r="L501" s="51"/>
      <c r="M501" s="51"/>
      <c r="N501"/>
      <c r="O501"/>
      <c r="P501"/>
      <c r="Q501"/>
      <c r="R501"/>
    </row>
    <row r="502" spans="2:18" ht="12.75" customHeight="1" x14ac:dyDescent="0.25">
      <c r="B502" s="35" t="s">
        <v>1070</v>
      </c>
      <c r="C502" s="36" t="s">
        <v>74</v>
      </c>
      <c r="D502" s="47">
        <v>29052.942292</v>
      </c>
      <c r="E502" s="48">
        <f t="shared" si="21"/>
        <v>1.1706480811962698E-3</v>
      </c>
      <c r="F502" s="52">
        <v>2.8495575221238939E-2</v>
      </c>
      <c r="G502" s="52">
        <v>5.892E-2</v>
      </c>
      <c r="H502" s="49">
        <f t="shared" si="22"/>
        <v>8.8255054867256641E-2</v>
      </c>
      <c r="I502" s="50">
        <f t="shared" si="23"/>
        <v>1.033156106362255E-4</v>
      </c>
      <c r="J502" s="51"/>
      <c r="K502" s="51"/>
      <c r="L502" s="51"/>
      <c r="M502" s="51"/>
      <c r="N502"/>
      <c r="O502"/>
      <c r="P502"/>
      <c r="Q502"/>
      <c r="R502"/>
    </row>
    <row r="503" spans="2:18" ht="12.75" customHeight="1" x14ac:dyDescent="0.25">
      <c r="B503" s="35" t="s">
        <v>1071</v>
      </c>
      <c r="C503" s="36" t="s">
        <v>1072</v>
      </c>
      <c r="D503" s="47">
        <v>31435.360842149999</v>
      </c>
      <c r="E503" s="48">
        <f t="shared" si="21"/>
        <v>1.266644337833845E-3</v>
      </c>
      <c r="F503" s="52">
        <v>1.1597004107272289E-2</v>
      </c>
      <c r="G503" s="52">
        <v>9.3250000000000013E-2</v>
      </c>
      <c r="H503" s="49">
        <f t="shared" si="22"/>
        <v>0.10538771442377387</v>
      </c>
      <c r="I503" s="50">
        <f t="shared" si="23"/>
        <v>1.3348875175212341E-4</v>
      </c>
      <c r="J503" s="51"/>
      <c r="K503" s="51"/>
      <c r="L503" s="51"/>
      <c r="M503" s="51"/>
      <c r="N503"/>
      <c r="O503"/>
      <c r="P503"/>
      <c r="Q503"/>
      <c r="R503"/>
    </row>
    <row r="504" spans="2:18" ht="12.75" customHeight="1" x14ac:dyDescent="0.25">
      <c r="B504" s="35" t="s">
        <v>1073</v>
      </c>
      <c r="C504" s="36" t="s">
        <v>1074</v>
      </c>
      <c r="D504" s="47">
        <v>339419.41484465002</v>
      </c>
      <c r="E504" s="48">
        <f t="shared" si="21"/>
        <v>1.3676435340528717E-2</v>
      </c>
      <c r="F504" s="52">
        <v>4.2096069868995639E-2</v>
      </c>
      <c r="G504" s="52">
        <v>0.15807000000000002</v>
      </c>
      <c r="H504" s="49">
        <f t="shared" si="22"/>
        <v>0.20349313275109171</v>
      </c>
      <c r="I504" s="50">
        <f t="shared" si="23"/>
        <v>2.7830606723119322E-3</v>
      </c>
      <c r="J504" s="51"/>
      <c r="K504" s="51"/>
      <c r="L504" s="51"/>
      <c r="M504" s="51"/>
      <c r="N504"/>
      <c r="O504"/>
      <c r="P504"/>
      <c r="Q504"/>
      <c r="R504"/>
    </row>
    <row r="505" spans="2:18" ht="12.75" customHeight="1" x14ac:dyDescent="0.25">
      <c r="B505" s="35" t="s">
        <v>1075</v>
      </c>
      <c r="C505" s="36" t="s">
        <v>1076</v>
      </c>
      <c r="D505" s="47">
        <v>10957.778394420002</v>
      </c>
      <c r="E505" s="48">
        <f t="shared" si="21"/>
        <v>4.4152850760089605E-4</v>
      </c>
      <c r="F505" s="52">
        <v>7.1297616622530043E-3</v>
      </c>
      <c r="G505" s="52">
        <v>8.5669999999999996E-2</v>
      </c>
      <c r="H505" s="49">
        <f t="shared" si="22"/>
        <v>9.3105165003055601E-2</v>
      </c>
      <c r="I505" s="50">
        <f t="shared" si="23"/>
        <v>4.1108584553734316E-5</v>
      </c>
      <c r="J505" s="51"/>
      <c r="K505" s="51"/>
      <c r="L505" s="51"/>
      <c r="M505" s="51"/>
      <c r="N505"/>
      <c r="O505"/>
      <c r="P505"/>
      <c r="Q505"/>
      <c r="R505"/>
    </row>
    <row r="506" spans="2:18" ht="12.75" customHeight="1" x14ac:dyDescent="0.25">
      <c r="B506" s="35" t="s">
        <v>1077</v>
      </c>
      <c r="C506" s="36" t="s">
        <v>1078</v>
      </c>
      <c r="D506" s="47">
        <v>7261.6542856799997</v>
      </c>
      <c r="E506" s="48">
        <f t="shared" si="21"/>
        <v>2.9259830451605401E-4</v>
      </c>
      <c r="F506" s="52">
        <v>3.2426447326795317E-2</v>
      </c>
      <c r="G506" s="52">
        <v>-1E-3</v>
      </c>
      <c r="H506" s="49">
        <f t="shared" si="22"/>
        <v>3.1410234103131922E-2</v>
      </c>
      <c r="I506" s="50">
        <f t="shared" si="23"/>
        <v>9.1905812430287394E-6</v>
      </c>
      <c r="J506" s="51"/>
      <c r="K506" s="51"/>
      <c r="L506" s="51"/>
      <c r="M506" s="51"/>
      <c r="N506"/>
      <c r="O506"/>
      <c r="P506"/>
      <c r="Q506"/>
      <c r="R506"/>
    </row>
    <row r="507" spans="2:18" ht="12.75" customHeight="1" x14ac:dyDescent="0.25">
      <c r="B507" s="35" t="s">
        <v>1079</v>
      </c>
      <c r="C507" s="36" t="s">
        <v>1080</v>
      </c>
      <c r="D507" s="47">
        <v>13778.874044519998</v>
      </c>
      <c r="E507" s="48">
        <f t="shared" si="21"/>
        <v>5.5520065056213004E-4</v>
      </c>
      <c r="F507" s="52">
        <v>1.252280427417253E-2</v>
      </c>
      <c r="G507" s="52">
        <v>0.14000000000000001</v>
      </c>
      <c r="H507" s="49">
        <f t="shared" si="22"/>
        <v>0.15339940057336462</v>
      </c>
      <c r="I507" s="50">
        <f t="shared" si="23"/>
        <v>8.5167446994172829E-5</v>
      </c>
      <c r="J507" s="51"/>
      <c r="K507" s="51"/>
      <c r="L507" s="51"/>
      <c r="M507" s="51"/>
      <c r="N507"/>
      <c r="O507"/>
      <c r="P507"/>
      <c r="Q507"/>
      <c r="R507"/>
    </row>
    <row r="508" spans="2:18" ht="12.75" customHeight="1" x14ac:dyDescent="0.25">
      <c r="B508" s="35" t="s">
        <v>1081</v>
      </c>
      <c r="C508" s="36" t="s">
        <v>1082</v>
      </c>
      <c r="D508" s="47">
        <v>30917.190257500002</v>
      </c>
      <c r="E508" s="48">
        <f t="shared" si="21"/>
        <v>1.2457653716156833E-3</v>
      </c>
      <c r="F508" s="52">
        <v>1.6650148662041623E-2</v>
      </c>
      <c r="G508" s="52">
        <v>0.13117000000000001</v>
      </c>
      <c r="H508" s="49">
        <f t="shared" si="22"/>
        <v>0.14891214866204164</v>
      </c>
      <c r="I508" s="50">
        <f t="shared" si="23"/>
        <v>1.8550959821605819E-4</v>
      </c>
      <c r="J508" s="51"/>
      <c r="K508" s="51"/>
      <c r="L508" s="51"/>
      <c r="M508" s="51"/>
      <c r="N508"/>
      <c r="O508"/>
      <c r="P508"/>
      <c r="Q508"/>
      <c r="R508"/>
    </row>
    <row r="509" spans="2:18" ht="12.75" customHeight="1" x14ac:dyDescent="0.25">
      <c r="B509" s="35" t="s">
        <v>1083</v>
      </c>
      <c r="C509" s="36" t="s">
        <v>1084</v>
      </c>
      <c r="D509" s="47">
        <v>25742.246424640005</v>
      </c>
      <c r="E509" s="48">
        <f t="shared" si="21"/>
        <v>1.0372481754105966E-3</v>
      </c>
      <c r="F509" s="52">
        <v>7.9336086404066079E-3</v>
      </c>
      <c r="G509" s="52">
        <v>4.743E-2</v>
      </c>
      <c r="H509" s="49">
        <f t="shared" si="22"/>
        <v>5.5551754169313849E-2</v>
      </c>
      <c r="I509" s="50">
        <f t="shared" si="23"/>
        <v>5.762095565297879E-5</v>
      </c>
      <c r="J509" s="51"/>
      <c r="K509" s="51"/>
      <c r="L509" s="51"/>
      <c r="M509" s="51"/>
      <c r="N509"/>
      <c r="O509"/>
      <c r="P509"/>
      <c r="Q509"/>
      <c r="R509"/>
    </row>
    <row r="510" spans="2:18" ht="12.75" customHeight="1" x14ac:dyDescent="0.25">
      <c r="B510" s="35" t="s">
        <v>1085</v>
      </c>
      <c r="C510" s="36" t="s">
        <v>1086</v>
      </c>
      <c r="D510" s="47">
        <v>9151.6085906399985</v>
      </c>
      <c r="E510" s="48">
        <f t="shared" si="21"/>
        <v>3.6875139628945682E-4</v>
      </c>
      <c r="F510" s="52">
        <v>2.668836452400326E-2</v>
      </c>
      <c r="G510" s="52">
        <v>6.7750000000000005E-2</v>
      </c>
      <c r="H510" s="49">
        <f t="shared" si="22"/>
        <v>9.5342432872253885E-2</v>
      </c>
      <c r="I510" s="50">
        <f t="shared" si="23"/>
        <v>3.5157655247277426E-5</v>
      </c>
      <c r="J510" s="51"/>
      <c r="K510" s="51"/>
      <c r="L510" s="51"/>
      <c r="M510" s="51"/>
      <c r="N510"/>
      <c r="O510"/>
      <c r="P510"/>
      <c r="Q510"/>
      <c r="R510"/>
    </row>
    <row r="511" spans="2:18" ht="12.75" customHeight="1" x14ac:dyDescent="0.25">
      <c r="B511" s="35" t="s">
        <v>1087</v>
      </c>
      <c r="C511" s="36" t="s">
        <v>1088</v>
      </c>
      <c r="D511" s="47">
        <v>46397.786282649999</v>
      </c>
      <c r="E511" s="48">
        <f t="shared" si="21"/>
        <v>1.8695345530801918E-3</v>
      </c>
      <c r="F511" s="52">
        <v>6.2945000515942625E-3</v>
      </c>
      <c r="G511" s="52">
        <v>0.15362999999999999</v>
      </c>
      <c r="H511" s="49">
        <f t="shared" si="22"/>
        <v>0.16040801207305747</v>
      </c>
      <c r="I511" s="50">
        <f t="shared" si="23"/>
        <v>2.9988832116148548E-4</v>
      </c>
      <c r="J511" s="51"/>
      <c r="K511" s="51"/>
      <c r="L511" s="51"/>
      <c r="M511" s="51"/>
      <c r="N511"/>
      <c r="O511"/>
      <c r="P511"/>
      <c r="Q511"/>
      <c r="R511"/>
    </row>
    <row r="512" spans="2:18" ht="12.75" customHeight="1" x14ac:dyDescent="0.25">
      <c r="B512" s="42"/>
      <c r="C512" s="53" t="s">
        <v>1089</v>
      </c>
      <c r="D512" s="54">
        <f>SUMIF(H12:H511,"&lt;&gt;n/a",D12:D511)</f>
        <v>24817827.627847973</v>
      </c>
      <c r="E512" s="55"/>
      <c r="F512" s="55"/>
      <c r="G512" s="55"/>
      <c r="H512" s="56"/>
      <c r="I512" s="57">
        <f>SUM(I12:I511)</f>
        <v>0.13639001883424154</v>
      </c>
      <c r="J512" s="51"/>
      <c r="K512" s="51"/>
      <c r="L512" s="51"/>
      <c r="M512"/>
      <c r="N512"/>
      <c r="O512"/>
      <c r="P512"/>
      <c r="Q512"/>
      <c r="R512"/>
    </row>
    <row r="513" spans="2:18" ht="12.75" customHeight="1" x14ac:dyDescent="0.25">
      <c r="B513" s="35"/>
      <c r="C513" s="58"/>
      <c r="D513" s="59"/>
      <c r="E513" s="60"/>
      <c r="F513" s="60"/>
      <c r="G513" s="60"/>
      <c r="H513" s="61"/>
      <c r="I513" s="62"/>
      <c r="J513" s="51"/>
      <c r="K513"/>
      <c r="L513"/>
      <c r="M513"/>
      <c r="N513"/>
      <c r="O513"/>
      <c r="P513"/>
      <c r="Q513"/>
      <c r="R513"/>
    </row>
    <row r="514" spans="2:18" ht="12.75" customHeight="1" x14ac:dyDescent="0.25">
      <c r="B514" s="35" t="s">
        <v>77</v>
      </c>
      <c r="C514" s="35"/>
      <c r="D514" s="63"/>
      <c r="E514" s="35"/>
      <c r="G514" s="64"/>
      <c r="H514" s="64"/>
      <c r="I514" s="62"/>
      <c r="J514" s="51"/>
      <c r="K514"/>
      <c r="L514"/>
      <c r="M514"/>
      <c r="N514"/>
      <c r="O514"/>
      <c r="P514"/>
      <c r="Q514"/>
      <c r="R514"/>
    </row>
    <row r="515" spans="2:18" ht="12.75" customHeight="1" x14ac:dyDescent="0.25">
      <c r="B515" s="35" t="s">
        <v>1090</v>
      </c>
      <c r="C515" s="35"/>
      <c r="D515" s="35"/>
      <c r="E515" s="35"/>
      <c r="G515" s="35"/>
      <c r="H515" s="35"/>
      <c r="J515" s="51"/>
      <c r="K515"/>
      <c r="L515"/>
      <c r="M515"/>
      <c r="N515"/>
      <c r="O515"/>
      <c r="P515"/>
      <c r="Q515"/>
      <c r="R515"/>
    </row>
    <row r="516" spans="2:18" ht="12.75" customHeight="1" x14ac:dyDescent="0.25">
      <c r="B516" s="35" t="s">
        <v>1091</v>
      </c>
      <c r="C516" s="35"/>
      <c r="D516" s="35"/>
      <c r="E516" s="35"/>
      <c r="F516" s="35"/>
      <c r="G516" s="35"/>
      <c r="H516" s="35"/>
      <c r="J516" s="51"/>
      <c r="K516"/>
      <c r="L516"/>
      <c r="M516"/>
      <c r="N516"/>
      <c r="O516"/>
      <c r="P516"/>
      <c r="Q516"/>
      <c r="R516"/>
    </row>
    <row r="517" spans="2:18" ht="12.75" customHeight="1" x14ac:dyDescent="0.2">
      <c r="B517" s="35" t="s">
        <v>1092</v>
      </c>
      <c r="C517" s="35"/>
      <c r="D517" s="35"/>
      <c r="E517" s="35"/>
      <c r="F517" s="35"/>
      <c r="G517" s="35"/>
      <c r="H517" s="35"/>
      <c r="J517" s="51"/>
      <c r="K517" s="51"/>
      <c r="L517" s="51"/>
      <c r="M517" s="51"/>
      <c r="N517" s="51"/>
      <c r="O517" s="51"/>
      <c r="P517" s="51"/>
    </row>
    <row r="518" spans="2:18" ht="12.75" customHeight="1" x14ac:dyDescent="0.2">
      <c r="B518" s="35" t="s">
        <v>1093</v>
      </c>
      <c r="C518" s="35"/>
      <c r="D518" s="35"/>
      <c r="E518" s="35"/>
      <c r="F518" s="35"/>
      <c r="G518" s="35"/>
      <c r="H518" s="35"/>
      <c r="J518" s="51"/>
      <c r="K518" s="51"/>
      <c r="L518" s="51"/>
      <c r="M518" s="51"/>
      <c r="N518" s="51"/>
      <c r="O518" s="51"/>
      <c r="P518" s="51"/>
    </row>
    <row r="519" spans="2:18" ht="12.75" customHeight="1" x14ac:dyDescent="0.2">
      <c r="B519" s="35" t="s">
        <v>1094</v>
      </c>
      <c r="C519" s="35"/>
      <c r="D519" s="35"/>
      <c r="E519" s="35"/>
      <c r="F519" s="35"/>
      <c r="G519" s="35"/>
      <c r="H519" s="35"/>
      <c r="J519" s="51"/>
      <c r="K519" s="51"/>
      <c r="L519" s="51"/>
      <c r="M519" s="51"/>
      <c r="N519" s="51"/>
      <c r="O519" s="51"/>
      <c r="P519" s="51"/>
    </row>
    <row r="520" spans="2:18" ht="12.75" customHeight="1" x14ac:dyDescent="0.2">
      <c r="B520" s="35" t="s">
        <v>1095</v>
      </c>
      <c r="C520" s="35"/>
      <c r="D520" s="35"/>
      <c r="E520" s="35"/>
      <c r="F520" s="35"/>
      <c r="G520" s="35"/>
      <c r="H520" s="35"/>
      <c r="J520" s="51"/>
      <c r="K520" s="51"/>
      <c r="L520" s="51"/>
      <c r="M520" s="51"/>
      <c r="N520" s="51"/>
      <c r="O520" s="51"/>
      <c r="P520" s="51"/>
    </row>
    <row r="521" spans="2:18" ht="12.75" customHeight="1" x14ac:dyDescent="0.2">
      <c r="B521" s="35" t="s">
        <v>1096</v>
      </c>
      <c r="C521" s="35"/>
      <c r="D521" s="35"/>
      <c r="E521" s="35"/>
      <c r="F521" s="35"/>
      <c r="G521" s="35"/>
      <c r="H521" s="35"/>
      <c r="J521" s="51"/>
      <c r="K521" s="51"/>
      <c r="L521" s="51"/>
      <c r="M521" s="51"/>
      <c r="N521" s="51"/>
      <c r="O521" s="51"/>
      <c r="P521" s="51"/>
    </row>
    <row r="522" spans="2:18" ht="12.75" customHeight="1" x14ac:dyDescent="0.2">
      <c r="B522" s="35" t="s">
        <v>1097</v>
      </c>
      <c r="C522" s="35"/>
      <c r="D522" s="35"/>
      <c r="E522" s="35"/>
      <c r="F522" s="35"/>
      <c r="G522" s="35"/>
      <c r="H522" s="35"/>
      <c r="J522" s="51"/>
      <c r="K522" s="51"/>
      <c r="L522" s="51"/>
      <c r="M522" s="51"/>
      <c r="N522" s="51"/>
      <c r="O522" s="51"/>
      <c r="P522" s="51"/>
    </row>
    <row r="523" spans="2:18" ht="12.75" customHeight="1" x14ac:dyDescent="0.2">
      <c r="B523" s="35" t="s">
        <v>1098</v>
      </c>
      <c r="C523" s="35"/>
      <c r="D523" s="35"/>
      <c r="E523" s="35"/>
      <c r="F523" s="35"/>
      <c r="G523" s="35"/>
      <c r="H523" s="35"/>
      <c r="J523" s="51"/>
      <c r="K523" s="51"/>
      <c r="L523" s="51"/>
      <c r="M523" s="51"/>
      <c r="N523" s="51"/>
      <c r="O523" s="51"/>
      <c r="P523" s="51"/>
    </row>
    <row r="524" spans="2:18" x14ac:dyDescent="0.2">
      <c r="K524" s="51"/>
      <c r="L524" s="51"/>
      <c r="M524" s="51"/>
      <c r="N524" s="51"/>
      <c r="O524" s="51"/>
      <c r="P524" s="51"/>
    </row>
    <row r="525" spans="2:18" x14ac:dyDescent="0.2">
      <c r="K525" s="51"/>
      <c r="L525" s="51"/>
      <c r="M525" s="51"/>
      <c r="N525" s="51"/>
      <c r="O525" s="51"/>
      <c r="P525" s="51"/>
    </row>
    <row r="526" spans="2:18" x14ac:dyDescent="0.2">
      <c r="K526" s="51"/>
      <c r="L526" s="51"/>
      <c r="M526" s="51"/>
      <c r="N526" s="51"/>
      <c r="O526" s="51"/>
      <c r="P526" s="51"/>
    </row>
    <row r="527" spans="2:18" x14ac:dyDescent="0.2">
      <c r="K527" s="51"/>
      <c r="L527" s="51"/>
      <c r="M527" s="51"/>
      <c r="N527" s="51"/>
      <c r="O527" s="51"/>
      <c r="P527" s="51"/>
    </row>
    <row r="528" spans="2:18" x14ac:dyDescent="0.2">
      <c r="K528" s="51"/>
      <c r="L528" s="51"/>
      <c r="M528" s="51"/>
      <c r="N528" s="51"/>
      <c r="O528" s="51"/>
      <c r="P528" s="51"/>
    </row>
    <row r="529" spans="11:16" x14ac:dyDescent="0.2">
      <c r="K529" s="51"/>
      <c r="L529" s="51"/>
      <c r="M529" s="51"/>
      <c r="N529" s="51"/>
      <c r="O529" s="51"/>
      <c r="P529" s="51"/>
    </row>
    <row r="530" spans="11:16" x14ac:dyDescent="0.2">
      <c r="K530" s="51"/>
      <c r="L530" s="51"/>
      <c r="M530" s="51"/>
      <c r="N530" s="51"/>
      <c r="O530" s="51"/>
      <c r="P530" s="51"/>
    </row>
    <row r="531" spans="11:16" x14ac:dyDescent="0.2">
      <c r="K531" s="51"/>
      <c r="L531" s="51"/>
      <c r="M531" s="51"/>
      <c r="N531" s="51"/>
      <c r="O531" s="51"/>
      <c r="P531" s="51"/>
    </row>
    <row r="532" spans="11:16" x14ac:dyDescent="0.2">
      <c r="K532" s="51"/>
      <c r="L532" s="51"/>
      <c r="M532" s="51"/>
      <c r="N532" s="51"/>
      <c r="O532" s="51"/>
      <c r="P532" s="51"/>
    </row>
    <row r="533" spans="11:16" x14ac:dyDescent="0.2">
      <c r="K533" s="51"/>
      <c r="L533" s="51"/>
      <c r="M533" s="51"/>
      <c r="N533" s="51"/>
      <c r="O533" s="51"/>
      <c r="P533" s="51"/>
    </row>
    <row r="534" spans="11:16" x14ac:dyDescent="0.2">
      <c r="K534" s="51"/>
      <c r="L534" s="51"/>
      <c r="M534" s="51"/>
      <c r="N534" s="51"/>
      <c r="O534" s="51"/>
      <c r="P534" s="51"/>
    </row>
    <row r="535" spans="11:16" x14ac:dyDescent="0.2">
      <c r="K535" s="51"/>
      <c r="L535" s="51"/>
      <c r="M535" s="51"/>
      <c r="N535" s="51"/>
      <c r="O535" s="51"/>
      <c r="P535" s="51"/>
    </row>
    <row r="536" spans="11:16" x14ac:dyDescent="0.2">
      <c r="K536" s="51"/>
      <c r="L536" s="51"/>
      <c r="M536" s="51"/>
      <c r="N536" s="51"/>
      <c r="O536" s="51"/>
      <c r="P536" s="51"/>
    </row>
    <row r="537" spans="11:16" x14ac:dyDescent="0.2">
      <c r="K537" s="51"/>
      <c r="L537" s="51"/>
      <c r="M537" s="51"/>
      <c r="N537" s="51"/>
      <c r="O537" s="51"/>
      <c r="P537" s="51"/>
    </row>
    <row r="538" spans="11:16" x14ac:dyDescent="0.2">
      <c r="K538" s="51"/>
      <c r="L538" s="51"/>
      <c r="M538" s="51"/>
      <c r="N538" s="51"/>
      <c r="O538" s="51"/>
      <c r="P538" s="51"/>
    </row>
    <row r="539" spans="11:16" x14ac:dyDescent="0.2">
      <c r="K539" s="51"/>
      <c r="L539" s="51"/>
      <c r="M539" s="51"/>
      <c r="N539" s="51"/>
      <c r="O539" s="51"/>
      <c r="P539" s="51"/>
    </row>
    <row r="540" spans="11:16" x14ac:dyDescent="0.2">
      <c r="K540" s="51"/>
      <c r="L540" s="51"/>
      <c r="M540" s="51"/>
      <c r="N540" s="51"/>
      <c r="O540" s="51"/>
      <c r="P540" s="51"/>
    </row>
    <row r="541" spans="11:16" x14ac:dyDescent="0.2">
      <c r="K541" s="51"/>
      <c r="L541" s="51"/>
      <c r="M541" s="51"/>
      <c r="N541" s="51"/>
      <c r="O541" s="51"/>
      <c r="P541" s="51"/>
    </row>
    <row r="542" spans="11:16" x14ac:dyDescent="0.2">
      <c r="K542" s="51"/>
      <c r="L542" s="51"/>
      <c r="M542" s="51"/>
      <c r="N542" s="51"/>
      <c r="O542" s="51"/>
      <c r="P542" s="51"/>
    </row>
    <row r="543" spans="11:16" x14ac:dyDescent="0.2">
      <c r="K543" s="51"/>
      <c r="L543" s="51"/>
      <c r="M543" s="51"/>
      <c r="N543" s="51"/>
      <c r="O543" s="51"/>
      <c r="P543" s="51"/>
    </row>
    <row r="544" spans="11:16" x14ac:dyDescent="0.2">
      <c r="K544" s="51"/>
      <c r="L544" s="51"/>
      <c r="M544" s="51"/>
      <c r="N544" s="51"/>
      <c r="O544" s="51"/>
      <c r="P544" s="51"/>
    </row>
    <row r="545" spans="11:16" x14ac:dyDescent="0.2">
      <c r="K545" s="51"/>
      <c r="L545" s="51"/>
      <c r="M545" s="51"/>
      <c r="N545" s="51"/>
      <c r="O545" s="51"/>
      <c r="P545" s="51"/>
    </row>
    <row r="546" spans="11:16" x14ac:dyDescent="0.2">
      <c r="K546" s="51"/>
      <c r="L546" s="51"/>
      <c r="M546" s="51"/>
      <c r="N546" s="51"/>
      <c r="O546" s="51"/>
      <c r="P546" s="51"/>
    </row>
    <row r="547" spans="11:16" x14ac:dyDescent="0.2">
      <c r="K547" s="51"/>
      <c r="L547" s="51"/>
      <c r="M547" s="51"/>
      <c r="N547" s="51"/>
      <c r="O547" s="51"/>
      <c r="P547" s="51"/>
    </row>
    <row r="548" spans="11:16" x14ac:dyDescent="0.2">
      <c r="K548" s="51"/>
      <c r="L548" s="51"/>
      <c r="M548" s="51"/>
      <c r="N548" s="51"/>
      <c r="O548" s="51"/>
      <c r="P548" s="51"/>
    </row>
    <row r="549" spans="11:16" x14ac:dyDescent="0.2">
      <c r="K549" s="51"/>
      <c r="L549" s="51"/>
      <c r="M549" s="51"/>
      <c r="N549" s="51"/>
      <c r="O549" s="51"/>
      <c r="P549" s="51"/>
    </row>
    <row r="550" spans="11:16" x14ac:dyDescent="0.2">
      <c r="K550" s="51"/>
      <c r="L550" s="51"/>
      <c r="M550" s="51"/>
      <c r="N550" s="51"/>
      <c r="O550" s="51"/>
      <c r="P550" s="51"/>
    </row>
    <row r="551" spans="11:16" x14ac:dyDescent="0.2">
      <c r="K551" s="51"/>
      <c r="L551" s="51"/>
      <c r="M551" s="51"/>
      <c r="N551" s="51"/>
      <c r="O551" s="51"/>
      <c r="P551" s="51"/>
    </row>
    <row r="552" spans="11:16" x14ac:dyDescent="0.2">
      <c r="K552" s="51"/>
      <c r="L552" s="51"/>
      <c r="M552" s="51"/>
      <c r="N552" s="51"/>
      <c r="O552" s="51"/>
      <c r="P552" s="51"/>
    </row>
    <row r="553" spans="11:16" x14ac:dyDescent="0.2">
      <c r="K553" s="51"/>
      <c r="L553" s="51"/>
      <c r="M553" s="51"/>
      <c r="N553" s="51"/>
      <c r="O553" s="51"/>
      <c r="P553" s="51"/>
    </row>
    <row r="554" spans="11:16" x14ac:dyDescent="0.2">
      <c r="K554" s="51"/>
      <c r="L554" s="51"/>
      <c r="M554" s="51"/>
      <c r="N554" s="51"/>
      <c r="O554" s="51"/>
      <c r="P554" s="51"/>
    </row>
    <row r="555" spans="11:16" x14ac:dyDescent="0.2">
      <c r="K555" s="51"/>
      <c r="L555" s="51"/>
      <c r="M555" s="51"/>
      <c r="N555" s="51"/>
      <c r="O555" s="51"/>
      <c r="P555" s="51"/>
    </row>
    <row r="556" spans="11:16" x14ac:dyDescent="0.2">
      <c r="K556" s="51"/>
      <c r="L556" s="51"/>
      <c r="M556" s="51"/>
      <c r="N556" s="51"/>
      <c r="O556" s="51"/>
      <c r="P556" s="51"/>
    </row>
    <row r="557" spans="11:16" x14ac:dyDescent="0.2">
      <c r="K557" s="51"/>
      <c r="L557" s="51"/>
      <c r="M557" s="51"/>
      <c r="N557" s="51"/>
      <c r="O557" s="51"/>
      <c r="P557" s="51"/>
    </row>
    <row r="558" spans="11:16" x14ac:dyDescent="0.2">
      <c r="K558" s="51"/>
      <c r="L558" s="51"/>
      <c r="M558" s="51"/>
      <c r="N558" s="51"/>
      <c r="O558" s="51"/>
      <c r="P558" s="51"/>
    </row>
    <row r="559" spans="11:16" x14ac:dyDescent="0.2">
      <c r="K559" s="51"/>
      <c r="L559" s="51"/>
      <c r="M559" s="51"/>
      <c r="N559" s="51"/>
      <c r="O559" s="51"/>
      <c r="P559" s="51"/>
    </row>
    <row r="560" spans="11:16" x14ac:dyDescent="0.2">
      <c r="K560" s="51"/>
      <c r="L560" s="51"/>
      <c r="M560" s="51"/>
      <c r="N560" s="51"/>
      <c r="O560" s="51"/>
      <c r="P560" s="51"/>
    </row>
    <row r="561" spans="11:16" x14ac:dyDescent="0.2">
      <c r="K561" s="51"/>
      <c r="L561" s="51"/>
      <c r="M561" s="51"/>
      <c r="N561" s="51"/>
      <c r="O561" s="51"/>
      <c r="P561" s="51"/>
    </row>
    <row r="562" spans="11:16" x14ac:dyDescent="0.2">
      <c r="K562" s="51"/>
      <c r="L562" s="51"/>
      <c r="M562" s="51"/>
      <c r="N562" s="51"/>
      <c r="O562" s="51"/>
      <c r="P562" s="51"/>
    </row>
    <row r="563" spans="11:16" x14ac:dyDescent="0.2">
      <c r="K563" s="51"/>
      <c r="L563" s="51"/>
      <c r="M563" s="51"/>
      <c r="N563" s="51"/>
      <c r="O563" s="51"/>
      <c r="P563" s="51"/>
    </row>
    <row r="564" spans="11:16" x14ac:dyDescent="0.2">
      <c r="K564" s="51"/>
      <c r="L564" s="51"/>
      <c r="M564" s="51"/>
      <c r="N564" s="51"/>
      <c r="O564" s="51"/>
      <c r="P564" s="51"/>
    </row>
    <row r="565" spans="11:16" x14ac:dyDescent="0.2">
      <c r="K565" s="51"/>
      <c r="L565" s="51"/>
      <c r="M565" s="51"/>
      <c r="N565" s="51"/>
      <c r="O565" s="51"/>
      <c r="P565" s="51"/>
    </row>
    <row r="566" spans="11:16" x14ac:dyDescent="0.2">
      <c r="K566" s="51"/>
      <c r="L566" s="51"/>
      <c r="M566" s="51"/>
      <c r="N566" s="51"/>
      <c r="O566" s="51"/>
      <c r="P566" s="51"/>
    </row>
    <row r="567" spans="11:16" x14ac:dyDescent="0.2">
      <c r="K567" s="51"/>
      <c r="L567" s="51"/>
      <c r="M567" s="51"/>
      <c r="N567" s="51"/>
      <c r="O567" s="51"/>
      <c r="P567" s="51"/>
    </row>
    <row r="568" spans="11:16" x14ac:dyDescent="0.2">
      <c r="K568" s="51"/>
      <c r="L568" s="51"/>
      <c r="M568" s="51"/>
      <c r="N568" s="51"/>
      <c r="O568" s="51"/>
      <c r="P568" s="51"/>
    </row>
    <row r="569" spans="11:16" x14ac:dyDescent="0.2">
      <c r="K569" s="51"/>
      <c r="L569" s="51"/>
      <c r="M569" s="51"/>
      <c r="N569" s="51"/>
      <c r="O569" s="51"/>
      <c r="P569" s="51"/>
    </row>
    <row r="570" spans="11:16" x14ac:dyDescent="0.2">
      <c r="K570" s="51"/>
      <c r="L570" s="51"/>
      <c r="M570" s="51"/>
      <c r="N570" s="51"/>
      <c r="O570" s="51"/>
      <c r="P570" s="51"/>
    </row>
    <row r="571" spans="11:16" x14ac:dyDescent="0.2">
      <c r="K571" s="51"/>
      <c r="L571" s="51"/>
      <c r="M571" s="51"/>
      <c r="N571" s="51"/>
      <c r="O571" s="51"/>
      <c r="P571" s="51"/>
    </row>
    <row r="572" spans="11:16" x14ac:dyDescent="0.2">
      <c r="K572" s="51"/>
      <c r="L572" s="51"/>
      <c r="M572" s="51"/>
      <c r="N572" s="51"/>
      <c r="O572" s="51"/>
      <c r="P572" s="51"/>
    </row>
    <row r="573" spans="11:16" x14ac:dyDescent="0.2">
      <c r="K573" s="51"/>
      <c r="L573" s="51"/>
      <c r="M573" s="51"/>
      <c r="N573" s="51"/>
      <c r="O573" s="51"/>
      <c r="P573" s="51"/>
    </row>
    <row r="574" spans="11:16" x14ac:dyDescent="0.2">
      <c r="K574" s="51"/>
      <c r="L574" s="51"/>
      <c r="M574" s="51"/>
      <c r="N574" s="51"/>
      <c r="O574" s="51"/>
      <c r="P574" s="51"/>
    </row>
    <row r="575" spans="11:16" x14ac:dyDescent="0.2">
      <c r="K575" s="51"/>
      <c r="L575" s="51"/>
      <c r="M575" s="51"/>
      <c r="N575" s="51"/>
      <c r="O575" s="51"/>
      <c r="P575" s="51"/>
    </row>
    <row r="576" spans="11:16" x14ac:dyDescent="0.2">
      <c r="K576" s="51"/>
      <c r="L576" s="51"/>
      <c r="M576" s="51"/>
      <c r="N576" s="51"/>
      <c r="O576" s="51"/>
      <c r="P576" s="51"/>
    </row>
    <row r="577" spans="11:16" x14ac:dyDescent="0.2">
      <c r="K577" s="51"/>
      <c r="L577" s="51"/>
      <c r="M577" s="51"/>
      <c r="N577" s="51"/>
      <c r="O577" s="51"/>
      <c r="P577" s="51"/>
    </row>
    <row r="578" spans="11:16" x14ac:dyDescent="0.2">
      <c r="K578" s="51"/>
      <c r="L578" s="51"/>
      <c r="M578" s="51"/>
      <c r="N578" s="51"/>
      <c r="O578" s="51"/>
      <c r="P578" s="51"/>
    </row>
    <row r="579" spans="11:16" x14ac:dyDescent="0.2">
      <c r="K579" s="51"/>
      <c r="L579" s="51"/>
      <c r="M579" s="51"/>
      <c r="N579" s="51"/>
      <c r="O579" s="51"/>
      <c r="P579" s="51"/>
    </row>
    <row r="580" spans="11:16" x14ac:dyDescent="0.2">
      <c r="K580" s="51"/>
      <c r="L580" s="51"/>
      <c r="M580" s="51"/>
      <c r="N580" s="51"/>
      <c r="O580" s="51"/>
      <c r="P580" s="51"/>
    </row>
    <row r="581" spans="11:16" x14ac:dyDescent="0.2">
      <c r="K581" s="51"/>
      <c r="L581" s="51"/>
      <c r="M581" s="51"/>
      <c r="N581" s="51"/>
      <c r="O581" s="51"/>
      <c r="P581" s="51"/>
    </row>
    <row r="582" spans="11:16" x14ac:dyDescent="0.2">
      <c r="K582" s="51"/>
      <c r="L582" s="51"/>
      <c r="M582" s="51"/>
      <c r="N582" s="51"/>
      <c r="O582" s="51"/>
      <c r="P582" s="51"/>
    </row>
    <row r="583" spans="11:16" x14ac:dyDescent="0.2">
      <c r="K583" s="51"/>
      <c r="L583" s="51"/>
      <c r="M583" s="51"/>
      <c r="N583" s="51"/>
      <c r="O583" s="51"/>
      <c r="P583" s="51"/>
    </row>
    <row r="584" spans="11:16" x14ac:dyDescent="0.2">
      <c r="K584" s="51"/>
      <c r="L584" s="51"/>
      <c r="M584" s="51"/>
      <c r="N584" s="51"/>
      <c r="O584" s="51"/>
      <c r="P584" s="51"/>
    </row>
    <row r="585" spans="11:16" x14ac:dyDescent="0.2">
      <c r="K585" s="51"/>
      <c r="L585" s="51"/>
      <c r="M585" s="51"/>
      <c r="N585" s="51"/>
      <c r="O585" s="51"/>
      <c r="P585" s="51"/>
    </row>
    <row r="586" spans="11:16" x14ac:dyDescent="0.2">
      <c r="K586" s="51"/>
      <c r="L586" s="51"/>
      <c r="M586" s="51"/>
      <c r="N586" s="51"/>
      <c r="O586" s="51"/>
      <c r="P586" s="51"/>
    </row>
    <row r="587" spans="11:16" x14ac:dyDescent="0.2">
      <c r="K587" s="51"/>
      <c r="L587" s="51"/>
      <c r="M587" s="51"/>
      <c r="N587" s="51"/>
      <c r="O587" s="51"/>
      <c r="P587" s="51"/>
    </row>
    <row r="588" spans="11:16" x14ac:dyDescent="0.2">
      <c r="K588" s="51"/>
      <c r="L588" s="51"/>
      <c r="M588" s="51"/>
      <c r="N588" s="51"/>
      <c r="O588" s="51"/>
      <c r="P588" s="51"/>
    </row>
    <row r="589" spans="11:16" x14ac:dyDescent="0.2">
      <c r="K589" s="51"/>
      <c r="L589" s="51"/>
      <c r="M589" s="51"/>
      <c r="N589" s="51"/>
      <c r="O589" s="51"/>
      <c r="P589" s="51"/>
    </row>
    <row r="590" spans="11:16" x14ac:dyDescent="0.2">
      <c r="K590" s="51"/>
      <c r="L590" s="51"/>
      <c r="M590" s="51"/>
      <c r="N590" s="51"/>
      <c r="O590" s="51"/>
      <c r="P590" s="51"/>
    </row>
    <row r="591" spans="11:16" x14ac:dyDescent="0.2">
      <c r="K591" s="51"/>
      <c r="L591" s="51"/>
      <c r="M591" s="51"/>
      <c r="N591" s="51"/>
      <c r="O591" s="51"/>
      <c r="P591" s="51"/>
    </row>
    <row r="592" spans="11:16" x14ac:dyDescent="0.2">
      <c r="K592" s="51"/>
      <c r="L592" s="51"/>
      <c r="M592" s="51"/>
      <c r="N592" s="51"/>
      <c r="O592" s="51"/>
      <c r="P592" s="51"/>
    </row>
    <row r="593" spans="11:16" x14ac:dyDescent="0.2">
      <c r="K593" s="51"/>
      <c r="L593" s="51"/>
      <c r="M593" s="51"/>
      <c r="N593" s="51"/>
      <c r="O593" s="51"/>
      <c r="P593" s="51"/>
    </row>
    <row r="594" spans="11:16" x14ac:dyDescent="0.2">
      <c r="K594" s="51"/>
      <c r="L594" s="51"/>
      <c r="M594" s="51"/>
      <c r="N594" s="51"/>
      <c r="O594" s="51"/>
      <c r="P594" s="51"/>
    </row>
    <row r="595" spans="11:16" x14ac:dyDescent="0.2">
      <c r="K595" s="51"/>
      <c r="L595" s="51"/>
      <c r="M595" s="51"/>
      <c r="N595" s="51"/>
      <c r="O595" s="51"/>
      <c r="P595" s="51"/>
    </row>
    <row r="596" spans="11:16" x14ac:dyDescent="0.2">
      <c r="K596" s="51"/>
      <c r="L596" s="51"/>
      <c r="M596" s="51"/>
      <c r="N596" s="51"/>
      <c r="O596" s="51"/>
      <c r="P596" s="51"/>
    </row>
    <row r="597" spans="11:16" x14ac:dyDescent="0.2">
      <c r="K597" s="51"/>
      <c r="L597" s="51"/>
      <c r="M597" s="51"/>
      <c r="N597" s="51"/>
      <c r="O597" s="51"/>
      <c r="P597" s="51"/>
    </row>
    <row r="598" spans="11:16" x14ac:dyDescent="0.2">
      <c r="K598" s="51"/>
      <c r="L598" s="51"/>
      <c r="M598" s="51"/>
      <c r="N598" s="51"/>
      <c r="O598" s="51"/>
      <c r="P598" s="51"/>
    </row>
    <row r="599" spans="11:16" x14ac:dyDescent="0.2">
      <c r="K599" s="51"/>
      <c r="L599" s="51"/>
      <c r="M599" s="51"/>
      <c r="N599" s="51"/>
      <c r="O599" s="51"/>
      <c r="P599" s="51"/>
    </row>
    <row r="600" spans="11:16" x14ac:dyDescent="0.2">
      <c r="K600" s="51"/>
      <c r="L600" s="51"/>
      <c r="M600" s="51"/>
      <c r="N600" s="51"/>
      <c r="O600" s="51"/>
      <c r="P600" s="51"/>
    </row>
    <row r="601" spans="11:16" x14ac:dyDescent="0.2">
      <c r="K601" s="51"/>
      <c r="L601" s="51"/>
      <c r="M601" s="51"/>
      <c r="N601" s="51"/>
      <c r="O601" s="51"/>
      <c r="P601" s="51"/>
    </row>
    <row r="602" spans="11:16" x14ac:dyDescent="0.2">
      <c r="K602" s="51"/>
      <c r="L602" s="51"/>
      <c r="M602" s="51"/>
      <c r="N602" s="51"/>
      <c r="O602" s="51"/>
      <c r="P602" s="51"/>
    </row>
    <row r="603" spans="11:16" x14ac:dyDescent="0.2">
      <c r="K603" s="51"/>
      <c r="L603" s="51"/>
      <c r="M603" s="51"/>
      <c r="N603" s="51"/>
      <c r="O603" s="51"/>
      <c r="P603" s="51"/>
    </row>
    <row r="604" spans="11:16" x14ac:dyDescent="0.2">
      <c r="K604" s="51"/>
      <c r="L604" s="51"/>
      <c r="M604" s="51"/>
      <c r="N604" s="51"/>
      <c r="O604" s="51"/>
      <c r="P604" s="51"/>
    </row>
    <row r="605" spans="11:16" x14ac:dyDescent="0.2">
      <c r="K605" s="51"/>
      <c r="L605" s="51"/>
      <c r="M605" s="51"/>
      <c r="N605" s="51"/>
      <c r="O605" s="51"/>
      <c r="P605" s="51"/>
    </row>
    <row r="606" spans="11:16" x14ac:dyDescent="0.2">
      <c r="K606" s="51"/>
      <c r="L606" s="51"/>
      <c r="M606" s="51"/>
      <c r="N606" s="51"/>
      <c r="O606" s="51"/>
      <c r="P606" s="51"/>
    </row>
    <row r="607" spans="11:16" x14ac:dyDescent="0.2">
      <c r="K607" s="51"/>
      <c r="L607" s="51"/>
      <c r="M607" s="51"/>
      <c r="N607" s="51"/>
      <c r="O607" s="51"/>
      <c r="P607" s="51"/>
    </row>
    <row r="608" spans="11:16" x14ac:dyDescent="0.2">
      <c r="K608" s="51"/>
      <c r="L608" s="51"/>
      <c r="M608" s="51"/>
      <c r="N608" s="51"/>
      <c r="O608" s="51"/>
      <c r="P608" s="51"/>
    </row>
    <row r="609" spans="11:16" x14ac:dyDescent="0.2">
      <c r="K609" s="51"/>
      <c r="L609" s="51"/>
      <c r="M609" s="51"/>
      <c r="N609" s="51"/>
      <c r="O609" s="51"/>
      <c r="P609" s="51"/>
    </row>
    <row r="610" spans="11:16" x14ac:dyDescent="0.2">
      <c r="K610" s="51"/>
      <c r="L610" s="51"/>
      <c r="M610" s="51"/>
      <c r="N610" s="51"/>
      <c r="O610" s="51"/>
      <c r="P610" s="51"/>
    </row>
    <row r="611" spans="11:16" x14ac:dyDescent="0.2">
      <c r="K611" s="51"/>
      <c r="L611" s="51"/>
      <c r="M611" s="51"/>
      <c r="N611" s="51"/>
      <c r="O611" s="51"/>
      <c r="P611" s="51"/>
    </row>
    <row r="612" spans="11:16" x14ac:dyDescent="0.2">
      <c r="K612" s="51"/>
      <c r="L612" s="51"/>
      <c r="M612" s="51"/>
      <c r="N612" s="51"/>
      <c r="O612" s="51"/>
      <c r="P612" s="51"/>
    </row>
    <row r="613" spans="11:16" x14ac:dyDescent="0.2">
      <c r="K613" s="51"/>
      <c r="L613" s="51"/>
      <c r="M613" s="51"/>
      <c r="N613" s="51"/>
      <c r="O613" s="51"/>
      <c r="P613" s="51"/>
    </row>
    <row r="614" spans="11:16" x14ac:dyDescent="0.2">
      <c r="K614" s="51"/>
      <c r="L614" s="51"/>
      <c r="M614" s="51"/>
      <c r="N614" s="51"/>
      <c r="O614" s="51"/>
      <c r="P614" s="51"/>
    </row>
    <row r="615" spans="11:16" x14ac:dyDescent="0.2">
      <c r="K615" s="51"/>
      <c r="L615" s="51"/>
      <c r="M615" s="51"/>
      <c r="N615" s="51"/>
      <c r="O615" s="51"/>
      <c r="P615" s="51"/>
    </row>
    <row r="616" spans="11:16" x14ac:dyDescent="0.2">
      <c r="K616" s="51"/>
      <c r="L616" s="51"/>
      <c r="M616" s="51"/>
      <c r="N616" s="51"/>
      <c r="O616" s="51"/>
      <c r="P616" s="51"/>
    </row>
    <row r="617" spans="11:16" x14ac:dyDescent="0.2">
      <c r="K617" s="51"/>
      <c r="L617" s="51"/>
      <c r="M617" s="51"/>
      <c r="N617" s="51"/>
      <c r="O617" s="51"/>
      <c r="P617" s="51"/>
    </row>
    <row r="618" spans="11:16" x14ac:dyDescent="0.2">
      <c r="K618" s="51"/>
      <c r="L618" s="51"/>
      <c r="M618" s="51"/>
      <c r="N618" s="51"/>
      <c r="O618" s="51"/>
      <c r="P618" s="51"/>
    </row>
    <row r="619" spans="11:16" x14ac:dyDescent="0.2">
      <c r="K619" s="51"/>
      <c r="L619" s="51"/>
      <c r="M619" s="51"/>
      <c r="N619" s="51"/>
      <c r="O619" s="51"/>
      <c r="P619" s="51"/>
    </row>
    <row r="620" spans="11:16" x14ac:dyDescent="0.2">
      <c r="K620" s="51"/>
      <c r="L620" s="51"/>
      <c r="M620" s="51"/>
      <c r="N620" s="51"/>
      <c r="O620" s="51"/>
      <c r="P620" s="51"/>
    </row>
    <row r="621" spans="11:16" x14ac:dyDescent="0.2">
      <c r="K621" s="51"/>
      <c r="L621" s="51"/>
      <c r="M621" s="51"/>
      <c r="N621" s="51"/>
      <c r="O621" s="51"/>
      <c r="P621" s="51"/>
    </row>
    <row r="622" spans="11:16" x14ac:dyDescent="0.2">
      <c r="K622" s="51"/>
      <c r="L622" s="51"/>
      <c r="M622" s="51"/>
      <c r="N622" s="51"/>
      <c r="O622" s="51"/>
      <c r="P622" s="51"/>
    </row>
    <row r="623" spans="11:16" x14ac:dyDescent="0.2">
      <c r="K623" s="51"/>
      <c r="L623" s="51"/>
      <c r="M623" s="51"/>
      <c r="N623" s="51"/>
      <c r="O623" s="51"/>
      <c r="P623" s="51"/>
    </row>
    <row r="624" spans="11:16" x14ac:dyDescent="0.2">
      <c r="K624" s="51"/>
      <c r="L624" s="51"/>
      <c r="M624" s="51"/>
      <c r="N624" s="51"/>
      <c r="O624" s="51"/>
      <c r="P624" s="51"/>
    </row>
    <row r="625" spans="11:16" x14ac:dyDescent="0.2">
      <c r="K625" s="51"/>
      <c r="L625" s="51"/>
      <c r="M625" s="51"/>
      <c r="N625" s="51"/>
      <c r="O625" s="51"/>
      <c r="P625" s="51"/>
    </row>
    <row r="626" spans="11:16" x14ac:dyDescent="0.2">
      <c r="K626" s="51"/>
      <c r="L626" s="51"/>
      <c r="M626" s="51"/>
      <c r="N626" s="51"/>
      <c r="O626" s="51"/>
      <c r="P626" s="51"/>
    </row>
    <row r="627" spans="11:16" x14ac:dyDescent="0.2">
      <c r="K627" s="51"/>
      <c r="L627" s="51"/>
      <c r="M627" s="51"/>
      <c r="N627" s="51"/>
      <c r="O627" s="51"/>
      <c r="P627" s="51"/>
    </row>
    <row r="628" spans="11:16" x14ac:dyDescent="0.2">
      <c r="K628" s="51"/>
      <c r="L628" s="51"/>
      <c r="M628" s="51"/>
      <c r="N628" s="51"/>
      <c r="O628" s="51"/>
      <c r="P628" s="51"/>
    </row>
    <row r="629" spans="11:16" x14ac:dyDescent="0.2">
      <c r="K629" s="51"/>
      <c r="L629" s="51"/>
      <c r="M629" s="51"/>
      <c r="N629" s="51"/>
      <c r="O629" s="51"/>
      <c r="P629" s="51"/>
    </row>
    <row r="630" spans="11:16" x14ac:dyDescent="0.2">
      <c r="K630" s="51"/>
      <c r="L630" s="51"/>
      <c r="M630" s="51"/>
      <c r="N630" s="51"/>
      <c r="O630" s="51"/>
      <c r="P630" s="51"/>
    </row>
    <row r="631" spans="11:16" x14ac:dyDescent="0.2">
      <c r="K631" s="51"/>
      <c r="L631" s="51"/>
      <c r="M631" s="51"/>
      <c r="N631" s="51"/>
      <c r="O631" s="51"/>
      <c r="P631" s="51"/>
    </row>
    <row r="632" spans="11:16" x14ac:dyDescent="0.2">
      <c r="K632" s="51"/>
      <c r="L632" s="51"/>
      <c r="M632" s="51"/>
      <c r="N632" s="51"/>
      <c r="O632" s="51"/>
      <c r="P632" s="51"/>
    </row>
    <row r="633" spans="11:16" x14ac:dyDescent="0.2">
      <c r="K633" s="51"/>
      <c r="L633" s="51"/>
      <c r="M633" s="51"/>
      <c r="N633" s="51"/>
      <c r="O633" s="51"/>
      <c r="P633" s="51"/>
    </row>
    <row r="634" spans="11:16" x14ac:dyDescent="0.2">
      <c r="K634" s="51"/>
      <c r="L634" s="51"/>
      <c r="M634" s="51"/>
      <c r="N634" s="51"/>
      <c r="O634" s="51"/>
      <c r="P634" s="51"/>
    </row>
    <row r="635" spans="11:16" x14ac:dyDescent="0.2">
      <c r="K635" s="51"/>
      <c r="L635" s="51"/>
      <c r="M635" s="51"/>
      <c r="N635" s="51"/>
      <c r="O635" s="51"/>
      <c r="P635" s="51"/>
    </row>
    <row r="636" spans="11:16" x14ac:dyDescent="0.2">
      <c r="K636" s="51"/>
      <c r="L636" s="51"/>
      <c r="M636" s="51"/>
      <c r="N636" s="51"/>
      <c r="O636" s="51"/>
      <c r="P636" s="51"/>
    </row>
    <row r="637" spans="11:16" x14ac:dyDescent="0.2">
      <c r="K637" s="51"/>
      <c r="L637" s="51"/>
      <c r="M637" s="51"/>
      <c r="N637" s="51"/>
      <c r="O637" s="51"/>
      <c r="P637" s="51"/>
    </row>
    <row r="638" spans="11:16" x14ac:dyDescent="0.2">
      <c r="K638" s="51"/>
      <c r="L638" s="51"/>
      <c r="M638" s="51"/>
      <c r="N638" s="51"/>
      <c r="O638" s="51"/>
      <c r="P638" s="51"/>
    </row>
    <row r="639" spans="11:16" x14ac:dyDescent="0.2">
      <c r="K639" s="51"/>
      <c r="L639" s="51"/>
      <c r="M639" s="51"/>
      <c r="N639" s="51"/>
      <c r="O639" s="51"/>
      <c r="P639" s="51"/>
    </row>
    <row r="640" spans="11:16" x14ac:dyDescent="0.2">
      <c r="K640" s="51"/>
      <c r="L640" s="51"/>
      <c r="M640" s="51"/>
      <c r="N640" s="51"/>
      <c r="O640" s="51"/>
      <c r="P640" s="51"/>
    </row>
    <row r="641" spans="11:16" x14ac:dyDescent="0.2">
      <c r="K641" s="51"/>
      <c r="L641" s="51"/>
      <c r="M641" s="51"/>
      <c r="N641" s="51"/>
      <c r="O641" s="51"/>
      <c r="P641" s="51"/>
    </row>
    <row r="642" spans="11:16" x14ac:dyDescent="0.2">
      <c r="K642" s="51"/>
      <c r="L642" s="51"/>
      <c r="M642" s="51"/>
      <c r="N642" s="51"/>
      <c r="O642" s="51"/>
      <c r="P642" s="51"/>
    </row>
    <row r="643" spans="11:16" x14ac:dyDescent="0.2">
      <c r="K643" s="51"/>
      <c r="L643" s="51"/>
      <c r="M643" s="51"/>
      <c r="N643" s="51"/>
      <c r="O643" s="51"/>
      <c r="P643" s="51"/>
    </row>
    <row r="644" spans="11:16" x14ac:dyDescent="0.2">
      <c r="K644" s="51"/>
      <c r="L644" s="51"/>
      <c r="M644" s="51"/>
      <c r="N644" s="51"/>
      <c r="O644" s="51"/>
      <c r="P644" s="51"/>
    </row>
    <row r="645" spans="11:16" x14ac:dyDescent="0.2">
      <c r="K645" s="51"/>
      <c r="L645" s="51"/>
      <c r="M645" s="51"/>
      <c r="N645" s="51"/>
      <c r="O645" s="51"/>
      <c r="P645" s="51"/>
    </row>
    <row r="646" spans="11:16" x14ac:dyDescent="0.2">
      <c r="K646" s="51"/>
      <c r="L646" s="51"/>
      <c r="M646" s="51"/>
      <c r="N646" s="51"/>
      <c r="O646" s="51"/>
      <c r="P646" s="51"/>
    </row>
    <row r="647" spans="11:16" x14ac:dyDescent="0.2">
      <c r="K647" s="51"/>
      <c r="L647" s="51"/>
      <c r="M647" s="51"/>
      <c r="N647" s="51"/>
      <c r="O647" s="51"/>
      <c r="P647" s="51"/>
    </row>
    <row r="648" spans="11:16" x14ac:dyDescent="0.2">
      <c r="K648" s="51"/>
      <c r="L648" s="51"/>
      <c r="M648" s="51"/>
      <c r="N648" s="51"/>
      <c r="O648" s="51"/>
      <c r="P648" s="51"/>
    </row>
    <row r="649" spans="11:16" x14ac:dyDescent="0.2">
      <c r="K649" s="51"/>
      <c r="L649" s="51"/>
      <c r="M649" s="51"/>
      <c r="N649" s="51"/>
      <c r="O649" s="51"/>
      <c r="P649" s="51"/>
    </row>
    <row r="650" spans="11:16" x14ac:dyDescent="0.2">
      <c r="K650" s="51"/>
      <c r="L650" s="51"/>
      <c r="M650" s="51"/>
      <c r="N650" s="51"/>
      <c r="O650" s="51"/>
      <c r="P650" s="51"/>
    </row>
    <row r="651" spans="11:16" x14ac:dyDescent="0.2">
      <c r="K651" s="51"/>
      <c r="L651" s="51"/>
      <c r="M651" s="51"/>
      <c r="N651" s="51"/>
      <c r="O651" s="51"/>
      <c r="P651" s="51"/>
    </row>
    <row r="652" spans="11:16" x14ac:dyDescent="0.2">
      <c r="K652" s="51"/>
      <c r="L652" s="51"/>
      <c r="M652" s="51"/>
      <c r="N652" s="51"/>
      <c r="O652" s="51"/>
      <c r="P652" s="51"/>
    </row>
    <row r="653" spans="11:16" x14ac:dyDescent="0.2">
      <c r="K653" s="51"/>
      <c r="L653" s="51"/>
      <c r="M653" s="51"/>
      <c r="N653" s="51"/>
      <c r="O653" s="51"/>
      <c r="P653" s="51"/>
    </row>
    <row r="654" spans="11:16" x14ac:dyDescent="0.2">
      <c r="K654" s="51"/>
      <c r="L654" s="51"/>
      <c r="M654" s="51"/>
      <c r="N654" s="51"/>
      <c r="O654" s="51"/>
      <c r="P654" s="51"/>
    </row>
    <row r="655" spans="11:16" x14ac:dyDescent="0.2">
      <c r="K655" s="51"/>
      <c r="L655" s="51"/>
      <c r="M655" s="51"/>
      <c r="N655" s="51"/>
      <c r="O655" s="51"/>
      <c r="P655" s="51"/>
    </row>
    <row r="656" spans="11:16" x14ac:dyDescent="0.2">
      <c r="K656" s="51"/>
      <c r="L656" s="51"/>
      <c r="M656" s="51"/>
      <c r="N656" s="51"/>
      <c r="O656" s="51"/>
      <c r="P656" s="51"/>
    </row>
    <row r="657" spans="11:16" x14ac:dyDescent="0.2">
      <c r="K657" s="51"/>
      <c r="L657" s="51"/>
      <c r="M657" s="51"/>
      <c r="N657" s="51"/>
      <c r="O657" s="51"/>
      <c r="P657" s="51"/>
    </row>
    <row r="658" spans="11:16" x14ac:dyDescent="0.2">
      <c r="K658" s="51"/>
      <c r="L658" s="51"/>
      <c r="M658" s="51"/>
      <c r="N658" s="51"/>
      <c r="O658" s="51"/>
      <c r="P658" s="51"/>
    </row>
    <row r="659" spans="11:16" x14ac:dyDescent="0.2">
      <c r="K659" s="51"/>
      <c r="L659" s="51"/>
      <c r="M659" s="51"/>
      <c r="N659" s="51"/>
      <c r="O659" s="51"/>
      <c r="P659" s="51"/>
    </row>
    <row r="660" spans="11:16" x14ac:dyDescent="0.2">
      <c r="K660" s="51"/>
      <c r="L660" s="51"/>
      <c r="M660" s="51"/>
      <c r="N660" s="51"/>
      <c r="O660" s="51"/>
      <c r="P660" s="51"/>
    </row>
    <row r="661" spans="11:16" x14ac:dyDescent="0.2">
      <c r="K661" s="51"/>
      <c r="L661" s="51"/>
      <c r="M661" s="51"/>
      <c r="N661" s="51"/>
      <c r="O661" s="51"/>
      <c r="P661" s="51"/>
    </row>
    <row r="662" spans="11:16" x14ac:dyDescent="0.2">
      <c r="K662" s="51"/>
      <c r="L662" s="51"/>
      <c r="M662" s="51"/>
      <c r="N662" s="51"/>
      <c r="O662" s="51"/>
      <c r="P662" s="51"/>
    </row>
    <row r="663" spans="11:16" x14ac:dyDescent="0.2">
      <c r="K663" s="51"/>
      <c r="L663" s="51"/>
      <c r="M663" s="51"/>
      <c r="N663" s="51"/>
      <c r="O663" s="51"/>
      <c r="P663" s="51"/>
    </row>
    <row r="664" spans="11:16" x14ac:dyDescent="0.2">
      <c r="K664" s="51"/>
      <c r="L664" s="51"/>
      <c r="M664" s="51"/>
      <c r="N664" s="51"/>
      <c r="O664" s="51"/>
      <c r="P664" s="51"/>
    </row>
    <row r="665" spans="11:16" x14ac:dyDescent="0.2">
      <c r="K665" s="51"/>
      <c r="L665" s="51"/>
      <c r="M665" s="51"/>
      <c r="N665" s="51"/>
      <c r="O665" s="51"/>
      <c r="P665" s="51"/>
    </row>
    <row r="666" spans="11:16" x14ac:dyDescent="0.2">
      <c r="K666" s="51"/>
      <c r="L666" s="51"/>
      <c r="M666" s="51"/>
      <c r="N666" s="51"/>
      <c r="O666" s="51"/>
      <c r="P666" s="51"/>
    </row>
    <row r="667" spans="11:16" x14ac:dyDescent="0.2">
      <c r="K667" s="51"/>
      <c r="L667" s="51"/>
      <c r="M667" s="51"/>
      <c r="N667" s="51"/>
      <c r="O667" s="51"/>
      <c r="P667" s="51"/>
    </row>
    <row r="668" spans="11:16" x14ac:dyDescent="0.2">
      <c r="K668" s="51"/>
      <c r="L668" s="51"/>
      <c r="M668" s="51"/>
      <c r="N668" s="51"/>
      <c r="O668" s="51"/>
      <c r="P668" s="51"/>
    </row>
    <row r="669" spans="11:16" x14ac:dyDescent="0.2">
      <c r="K669" s="51"/>
      <c r="L669" s="51"/>
      <c r="M669" s="51"/>
      <c r="N669" s="51"/>
      <c r="O669" s="51"/>
      <c r="P669" s="51"/>
    </row>
    <row r="670" spans="11:16" x14ac:dyDescent="0.2">
      <c r="K670" s="51"/>
      <c r="L670" s="51"/>
      <c r="M670" s="51"/>
      <c r="N670" s="51"/>
      <c r="O670" s="51"/>
      <c r="P670" s="51"/>
    </row>
    <row r="671" spans="11:16" x14ac:dyDescent="0.2">
      <c r="K671" s="51"/>
      <c r="L671" s="51"/>
      <c r="M671" s="51"/>
      <c r="N671" s="51"/>
      <c r="O671" s="51"/>
      <c r="P671" s="51"/>
    </row>
    <row r="672" spans="11:16" x14ac:dyDescent="0.2">
      <c r="K672" s="51"/>
      <c r="L672" s="51"/>
      <c r="M672" s="51"/>
      <c r="N672" s="51"/>
      <c r="O672" s="51"/>
      <c r="P672" s="51"/>
    </row>
    <row r="673" spans="11:16" x14ac:dyDescent="0.2">
      <c r="K673" s="51"/>
      <c r="L673" s="51"/>
      <c r="M673" s="51"/>
      <c r="N673" s="51"/>
      <c r="O673" s="51"/>
      <c r="P673" s="51"/>
    </row>
    <row r="674" spans="11:16" x14ac:dyDescent="0.2">
      <c r="K674" s="51"/>
      <c r="L674" s="51"/>
      <c r="M674" s="51"/>
      <c r="N674" s="51"/>
      <c r="O674" s="51"/>
      <c r="P674" s="51"/>
    </row>
    <row r="675" spans="11:16" x14ac:dyDescent="0.2">
      <c r="K675" s="51"/>
      <c r="L675" s="51"/>
      <c r="M675" s="51"/>
      <c r="N675" s="51"/>
      <c r="O675" s="51"/>
      <c r="P675" s="51"/>
    </row>
    <row r="676" spans="11:16" x14ac:dyDescent="0.2">
      <c r="K676" s="51"/>
      <c r="L676" s="51"/>
      <c r="M676" s="51"/>
      <c r="N676" s="51"/>
      <c r="O676" s="51"/>
      <c r="P676" s="51"/>
    </row>
    <row r="677" spans="11:16" x14ac:dyDescent="0.2">
      <c r="K677" s="51"/>
      <c r="L677" s="51"/>
      <c r="M677" s="51"/>
      <c r="N677" s="51"/>
      <c r="O677" s="51"/>
      <c r="P677" s="51"/>
    </row>
    <row r="678" spans="11:16" x14ac:dyDescent="0.2">
      <c r="K678" s="51"/>
      <c r="L678" s="51"/>
      <c r="M678" s="51"/>
      <c r="N678" s="51"/>
      <c r="O678" s="51"/>
      <c r="P678" s="51"/>
    </row>
    <row r="679" spans="11:16" x14ac:dyDescent="0.2">
      <c r="K679" s="51"/>
      <c r="L679" s="51"/>
      <c r="M679" s="51"/>
      <c r="N679" s="51"/>
      <c r="O679" s="51"/>
      <c r="P679" s="51"/>
    </row>
    <row r="680" spans="11:16" x14ac:dyDescent="0.2">
      <c r="K680" s="51"/>
      <c r="L680" s="51"/>
      <c r="M680" s="51"/>
      <c r="N680" s="51"/>
      <c r="O680" s="51"/>
      <c r="P680" s="51"/>
    </row>
    <row r="681" spans="11:16" x14ac:dyDescent="0.2">
      <c r="K681" s="51"/>
      <c r="L681" s="51"/>
      <c r="M681" s="51"/>
      <c r="N681" s="51"/>
      <c r="O681" s="51"/>
      <c r="P681" s="51"/>
    </row>
    <row r="682" spans="11:16" x14ac:dyDescent="0.2">
      <c r="K682" s="51"/>
      <c r="L682" s="51"/>
      <c r="M682" s="51"/>
      <c r="N682" s="51"/>
      <c r="O682" s="51"/>
      <c r="P682" s="51"/>
    </row>
    <row r="683" spans="11:16" x14ac:dyDescent="0.2">
      <c r="K683" s="51"/>
      <c r="L683" s="51"/>
      <c r="M683" s="51"/>
      <c r="N683" s="51"/>
      <c r="O683" s="51"/>
      <c r="P683" s="51"/>
    </row>
    <row r="684" spans="11:16" x14ac:dyDescent="0.2">
      <c r="K684" s="51"/>
      <c r="L684" s="51"/>
      <c r="M684" s="51"/>
      <c r="N684" s="51"/>
      <c r="O684" s="51"/>
      <c r="P684" s="51"/>
    </row>
    <row r="685" spans="11:16" x14ac:dyDescent="0.2">
      <c r="K685" s="51"/>
      <c r="L685" s="51"/>
      <c r="M685" s="51"/>
      <c r="N685" s="51"/>
      <c r="O685" s="51"/>
      <c r="P685" s="51"/>
    </row>
    <row r="686" spans="11:16" x14ac:dyDescent="0.2">
      <c r="K686" s="51"/>
      <c r="L686" s="51"/>
      <c r="M686" s="51"/>
      <c r="N686" s="51"/>
      <c r="O686" s="51"/>
      <c r="P686" s="51"/>
    </row>
    <row r="687" spans="11:16" x14ac:dyDescent="0.2">
      <c r="K687" s="51"/>
      <c r="L687" s="51"/>
      <c r="M687" s="51"/>
      <c r="N687" s="51"/>
      <c r="O687" s="51"/>
      <c r="P687" s="51"/>
    </row>
    <row r="688" spans="11:16" x14ac:dyDescent="0.2">
      <c r="K688" s="51"/>
      <c r="L688" s="51"/>
      <c r="M688" s="51"/>
      <c r="N688" s="51"/>
      <c r="O688" s="51"/>
      <c r="P688" s="51"/>
    </row>
    <row r="689" spans="11:16" x14ac:dyDescent="0.2">
      <c r="K689" s="51"/>
      <c r="L689" s="51"/>
      <c r="M689" s="51"/>
      <c r="N689" s="51"/>
      <c r="O689" s="51"/>
      <c r="P689" s="51"/>
    </row>
    <row r="690" spans="11:16" x14ac:dyDescent="0.2">
      <c r="K690" s="51"/>
      <c r="L690" s="51"/>
      <c r="M690" s="51"/>
      <c r="N690" s="51"/>
      <c r="O690" s="51"/>
      <c r="P690" s="51"/>
    </row>
    <row r="691" spans="11:16" x14ac:dyDescent="0.2">
      <c r="K691" s="51"/>
      <c r="L691" s="51"/>
      <c r="M691" s="51"/>
      <c r="N691" s="51"/>
      <c r="O691" s="51"/>
      <c r="P691" s="51"/>
    </row>
    <row r="692" spans="11:16" x14ac:dyDescent="0.2">
      <c r="K692" s="51"/>
      <c r="L692" s="51"/>
      <c r="M692" s="51"/>
      <c r="N692" s="51"/>
      <c r="O692" s="51"/>
      <c r="P692" s="51"/>
    </row>
    <row r="693" spans="11:16" x14ac:dyDescent="0.2">
      <c r="K693" s="51"/>
      <c r="L693" s="51"/>
      <c r="M693" s="51"/>
      <c r="N693" s="51"/>
      <c r="O693" s="51"/>
      <c r="P693" s="51"/>
    </row>
    <row r="694" spans="11:16" x14ac:dyDescent="0.2">
      <c r="K694" s="51"/>
      <c r="L694" s="51"/>
      <c r="M694" s="51"/>
      <c r="N694" s="51"/>
      <c r="O694" s="51"/>
      <c r="P694" s="51"/>
    </row>
    <row r="695" spans="11:16" x14ac:dyDescent="0.2">
      <c r="K695" s="51"/>
      <c r="L695" s="51"/>
      <c r="M695" s="51"/>
      <c r="N695" s="51"/>
      <c r="O695" s="51"/>
      <c r="P695" s="51"/>
    </row>
    <row r="696" spans="11:16" x14ac:dyDescent="0.2">
      <c r="K696" s="51"/>
      <c r="L696" s="51"/>
      <c r="M696" s="51"/>
      <c r="N696" s="51"/>
      <c r="O696" s="51"/>
      <c r="P696" s="51"/>
    </row>
    <row r="697" spans="11:16" x14ac:dyDescent="0.2">
      <c r="K697" s="51"/>
      <c r="L697" s="51"/>
      <c r="M697" s="51"/>
      <c r="N697" s="51"/>
      <c r="O697" s="51"/>
      <c r="P697" s="51"/>
    </row>
    <row r="698" spans="11:16" x14ac:dyDescent="0.2">
      <c r="K698" s="51"/>
      <c r="L698" s="51"/>
      <c r="M698" s="51"/>
      <c r="N698" s="51"/>
      <c r="O698" s="51"/>
      <c r="P698" s="51"/>
    </row>
    <row r="699" spans="11:16" x14ac:dyDescent="0.2">
      <c r="K699" s="51"/>
      <c r="L699" s="51"/>
      <c r="M699" s="51"/>
      <c r="N699" s="51"/>
      <c r="O699" s="51"/>
      <c r="P699" s="51"/>
    </row>
    <row r="700" spans="11:16" x14ac:dyDescent="0.2">
      <c r="K700" s="51"/>
      <c r="L700" s="51"/>
      <c r="M700" s="51"/>
      <c r="N700" s="51"/>
      <c r="O700" s="51"/>
      <c r="P700" s="51"/>
    </row>
    <row r="701" spans="11:16" x14ac:dyDescent="0.2">
      <c r="K701" s="51"/>
      <c r="L701" s="51"/>
      <c r="M701" s="51"/>
      <c r="N701" s="51"/>
      <c r="O701" s="51"/>
      <c r="P701" s="51"/>
    </row>
    <row r="702" spans="11:16" x14ac:dyDescent="0.2">
      <c r="K702" s="51"/>
      <c r="L702" s="51"/>
      <c r="M702" s="51"/>
      <c r="N702" s="51"/>
      <c r="O702" s="51"/>
      <c r="P702" s="51"/>
    </row>
    <row r="703" spans="11:16" x14ac:dyDescent="0.2">
      <c r="K703" s="51"/>
      <c r="L703" s="51"/>
      <c r="M703" s="51"/>
      <c r="N703" s="51"/>
      <c r="O703" s="51"/>
      <c r="P703" s="51"/>
    </row>
    <row r="704" spans="11:16" x14ac:dyDescent="0.2">
      <c r="K704" s="51"/>
      <c r="L704" s="51"/>
      <c r="M704" s="51"/>
      <c r="N704" s="51"/>
      <c r="O704" s="51"/>
      <c r="P704" s="51"/>
    </row>
    <row r="705" spans="11:16" x14ac:dyDescent="0.2">
      <c r="K705" s="51"/>
      <c r="L705" s="51"/>
      <c r="M705" s="51"/>
      <c r="N705" s="51"/>
      <c r="O705" s="51"/>
      <c r="P705" s="51"/>
    </row>
    <row r="706" spans="11:16" x14ac:dyDescent="0.2">
      <c r="K706" s="51"/>
      <c r="L706" s="51"/>
      <c r="M706" s="51"/>
      <c r="N706" s="51"/>
      <c r="O706" s="51"/>
      <c r="P706" s="51"/>
    </row>
    <row r="707" spans="11:16" x14ac:dyDescent="0.2">
      <c r="K707" s="51"/>
      <c r="L707" s="51"/>
      <c r="M707" s="51"/>
      <c r="N707" s="51"/>
      <c r="O707" s="51"/>
      <c r="P707" s="51"/>
    </row>
    <row r="708" spans="11:16" x14ac:dyDescent="0.2">
      <c r="K708" s="51"/>
      <c r="L708" s="51"/>
      <c r="M708" s="51"/>
      <c r="N708" s="51"/>
      <c r="O708" s="51"/>
      <c r="P708" s="51"/>
    </row>
    <row r="709" spans="11:16" x14ac:dyDescent="0.2">
      <c r="K709" s="51"/>
      <c r="L709" s="51"/>
      <c r="M709" s="51"/>
      <c r="N709" s="51"/>
      <c r="O709" s="51"/>
      <c r="P709" s="51"/>
    </row>
    <row r="710" spans="11:16" x14ac:dyDescent="0.2">
      <c r="K710" s="51"/>
      <c r="L710" s="51"/>
      <c r="M710" s="51"/>
      <c r="N710" s="51"/>
      <c r="O710" s="51"/>
      <c r="P710" s="51"/>
    </row>
    <row r="711" spans="11:16" x14ac:dyDescent="0.2">
      <c r="K711" s="51"/>
      <c r="L711" s="51"/>
      <c r="M711" s="51"/>
      <c r="N711" s="51"/>
      <c r="O711" s="51"/>
      <c r="P711" s="51"/>
    </row>
    <row r="712" spans="11:16" x14ac:dyDescent="0.2">
      <c r="K712" s="51"/>
      <c r="L712" s="51"/>
      <c r="M712" s="51"/>
      <c r="N712" s="51"/>
      <c r="O712" s="51"/>
      <c r="P712" s="51"/>
    </row>
    <row r="713" spans="11:16" x14ac:dyDescent="0.2">
      <c r="K713" s="51"/>
      <c r="L713" s="51"/>
      <c r="M713" s="51"/>
      <c r="N713" s="51"/>
      <c r="O713" s="51"/>
      <c r="P713" s="51"/>
    </row>
    <row r="714" spans="11:16" x14ac:dyDescent="0.2">
      <c r="K714" s="51"/>
      <c r="L714" s="51"/>
      <c r="M714" s="51"/>
      <c r="N714" s="51"/>
      <c r="O714" s="51"/>
      <c r="P714" s="51"/>
    </row>
    <row r="715" spans="11:16" x14ac:dyDescent="0.2">
      <c r="K715" s="51"/>
      <c r="L715" s="51"/>
      <c r="M715" s="51"/>
      <c r="N715" s="51"/>
      <c r="O715" s="51"/>
      <c r="P715" s="51"/>
    </row>
    <row r="716" spans="11:16" x14ac:dyDescent="0.2">
      <c r="K716" s="51"/>
      <c r="L716" s="51"/>
      <c r="M716" s="51"/>
      <c r="N716" s="51"/>
      <c r="O716" s="51"/>
      <c r="P716" s="51"/>
    </row>
    <row r="717" spans="11:16" x14ac:dyDescent="0.2">
      <c r="K717" s="51"/>
      <c r="L717" s="51"/>
      <c r="M717" s="51"/>
      <c r="N717" s="51"/>
      <c r="O717" s="51"/>
      <c r="P717" s="51"/>
    </row>
    <row r="718" spans="11:16" x14ac:dyDescent="0.2">
      <c r="K718" s="51"/>
      <c r="L718" s="51"/>
      <c r="M718" s="51"/>
      <c r="N718" s="51"/>
      <c r="O718" s="51"/>
      <c r="P718" s="51"/>
    </row>
    <row r="719" spans="11:16" x14ac:dyDescent="0.2">
      <c r="K719" s="51"/>
      <c r="L719" s="51"/>
      <c r="M719" s="51"/>
      <c r="N719" s="51"/>
      <c r="O719" s="51"/>
      <c r="P719" s="51"/>
    </row>
    <row r="720" spans="11:16" x14ac:dyDescent="0.2">
      <c r="K720" s="51"/>
      <c r="L720" s="51"/>
      <c r="M720" s="51"/>
      <c r="N720" s="51"/>
      <c r="O720" s="51"/>
      <c r="P720" s="51"/>
    </row>
    <row r="721" spans="11:16" x14ac:dyDescent="0.2">
      <c r="K721" s="51"/>
      <c r="L721" s="51"/>
      <c r="M721" s="51"/>
      <c r="N721" s="51"/>
      <c r="O721" s="51"/>
      <c r="P721" s="51"/>
    </row>
    <row r="722" spans="11:16" x14ac:dyDescent="0.2">
      <c r="K722" s="51"/>
      <c r="L722" s="51"/>
      <c r="M722" s="51"/>
      <c r="N722" s="51"/>
      <c r="O722" s="51"/>
      <c r="P722" s="51"/>
    </row>
    <row r="723" spans="11:16" x14ac:dyDescent="0.2">
      <c r="K723" s="51"/>
      <c r="L723" s="51"/>
      <c r="M723" s="51"/>
      <c r="N723" s="51"/>
      <c r="O723" s="51"/>
      <c r="P723" s="51"/>
    </row>
    <row r="724" spans="11:16" x14ac:dyDescent="0.2">
      <c r="K724" s="51"/>
      <c r="L724" s="51"/>
      <c r="M724" s="51"/>
      <c r="N724" s="51"/>
      <c r="O724" s="51"/>
      <c r="P724" s="51"/>
    </row>
    <row r="725" spans="11:16" x14ac:dyDescent="0.2">
      <c r="K725" s="51"/>
      <c r="L725" s="51"/>
      <c r="M725" s="51"/>
      <c r="N725" s="51"/>
      <c r="O725" s="51"/>
      <c r="P725" s="51"/>
    </row>
    <row r="726" spans="11:16" x14ac:dyDescent="0.2">
      <c r="K726" s="51"/>
      <c r="L726" s="51"/>
      <c r="M726" s="51"/>
      <c r="N726" s="51"/>
      <c r="O726" s="51"/>
      <c r="P726" s="51"/>
    </row>
    <row r="727" spans="11:16" x14ac:dyDescent="0.2">
      <c r="K727" s="51"/>
      <c r="L727" s="51"/>
      <c r="M727" s="51"/>
      <c r="N727" s="51"/>
      <c r="O727" s="51"/>
      <c r="P727" s="51"/>
    </row>
    <row r="728" spans="11:16" x14ac:dyDescent="0.2">
      <c r="K728" s="51"/>
      <c r="L728" s="51"/>
      <c r="M728" s="51"/>
      <c r="N728" s="51"/>
      <c r="O728" s="51"/>
      <c r="P728" s="51"/>
    </row>
    <row r="729" spans="11:16" x14ac:dyDescent="0.2">
      <c r="K729" s="51"/>
      <c r="L729" s="51"/>
      <c r="M729" s="51"/>
      <c r="N729" s="51"/>
      <c r="O729" s="51"/>
      <c r="P729" s="51"/>
    </row>
    <row r="730" spans="11:16" x14ac:dyDescent="0.2">
      <c r="K730" s="51"/>
      <c r="L730" s="51"/>
      <c r="M730" s="51"/>
      <c r="N730" s="51"/>
      <c r="O730" s="51"/>
      <c r="P730" s="51"/>
    </row>
    <row r="731" spans="11:16" x14ac:dyDescent="0.2">
      <c r="K731" s="51"/>
      <c r="L731" s="51"/>
      <c r="M731" s="51"/>
      <c r="N731" s="51"/>
      <c r="O731" s="51"/>
      <c r="P731" s="51"/>
    </row>
    <row r="732" spans="11:16" x14ac:dyDescent="0.2">
      <c r="K732" s="51"/>
      <c r="L732" s="51"/>
      <c r="M732" s="51"/>
      <c r="N732" s="51"/>
      <c r="O732" s="51"/>
      <c r="P732" s="51"/>
    </row>
    <row r="733" spans="11:16" x14ac:dyDescent="0.2">
      <c r="K733" s="51"/>
      <c r="L733" s="51"/>
      <c r="M733" s="51"/>
      <c r="N733" s="51"/>
      <c r="O733" s="51"/>
      <c r="P733" s="51"/>
    </row>
    <row r="734" spans="11:16" x14ac:dyDescent="0.2">
      <c r="K734" s="51"/>
      <c r="L734" s="51"/>
      <c r="M734" s="51"/>
      <c r="N734" s="51"/>
      <c r="O734" s="51"/>
      <c r="P734" s="51"/>
    </row>
    <row r="735" spans="11:16" x14ac:dyDescent="0.2">
      <c r="K735" s="51"/>
      <c r="L735" s="51"/>
      <c r="M735" s="51"/>
      <c r="N735" s="51"/>
      <c r="O735" s="51"/>
      <c r="P735" s="51"/>
    </row>
    <row r="736" spans="11:16" x14ac:dyDescent="0.2">
      <c r="K736" s="51"/>
      <c r="L736" s="51"/>
      <c r="M736" s="51"/>
      <c r="N736" s="51"/>
      <c r="O736" s="51"/>
      <c r="P736" s="51"/>
    </row>
    <row r="737" spans="11:16" x14ac:dyDescent="0.2">
      <c r="K737" s="51"/>
      <c r="L737" s="51"/>
      <c r="M737" s="51"/>
      <c r="N737" s="51"/>
      <c r="O737" s="51"/>
      <c r="P737" s="51"/>
    </row>
    <row r="738" spans="11:16" x14ac:dyDescent="0.2">
      <c r="K738" s="51"/>
      <c r="L738" s="51"/>
      <c r="M738" s="51"/>
      <c r="N738" s="51"/>
      <c r="O738" s="51"/>
      <c r="P738" s="51"/>
    </row>
    <row r="739" spans="11:16" x14ac:dyDescent="0.2">
      <c r="K739" s="51"/>
      <c r="L739" s="51"/>
      <c r="M739" s="51"/>
      <c r="N739" s="51"/>
      <c r="O739" s="51"/>
      <c r="P739" s="51"/>
    </row>
    <row r="740" spans="11:16" x14ac:dyDescent="0.2">
      <c r="K740" s="51"/>
      <c r="L740" s="51"/>
      <c r="M740" s="51"/>
      <c r="N740" s="51"/>
      <c r="O740" s="51"/>
      <c r="P740" s="51"/>
    </row>
    <row r="741" spans="11:16" x14ac:dyDescent="0.2">
      <c r="K741" s="51"/>
      <c r="L741" s="51"/>
      <c r="M741" s="51"/>
      <c r="N741" s="51"/>
      <c r="O741" s="51"/>
      <c r="P741" s="51"/>
    </row>
    <row r="742" spans="11:16" x14ac:dyDescent="0.2">
      <c r="K742" s="51"/>
      <c r="L742" s="51"/>
      <c r="M742" s="51"/>
      <c r="N742" s="51"/>
      <c r="O742" s="51"/>
      <c r="P742" s="51"/>
    </row>
    <row r="743" spans="11:16" x14ac:dyDescent="0.2">
      <c r="K743" s="51"/>
      <c r="L743" s="51"/>
      <c r="M743" s="51"/>
      <c r="N743" s="51"/>
      <c r="O743" s="51"/>
      <c r="P743" s="51"/>
    </row>
    <row r="744" spans="11:16" x14ac:dyDescent="0.2">
      <c r="K744" s="51"/>
      <c r="L744" s="51"/>
      <c r="M744" s="51"/>
      <c r="N744" s="51"/>
      <c r="O744" s="51"/>
      <c r="P744" s="51"/>
    </row>
    <row r="745" spans="11:16" x14ac:dyDescent="0.2">
      <c r="K745" s="51"/>
      <c r="L745" s="51"/>
      <c r="M745" s="51"/>
      <c r="N745" s="51"/>
      <c r="O745" s="51"/>
      <c r="P745" s="51"/>
    </row>
    <row r="746" spans="11:16" x14ac:dyDescent="0.2">
      <c r="K746" s="51"/>
      <c r="L746" s="51"/>
      <c r="M746" s="51"/>
      <c r="N746" s="51"/>
      <c r="O746" s="51"/>
      <c r="P746" s="51"/>
    </row>
    <row r="747" spans="11:16" x14ac:dyDescent="0.2">
      <c r="K747" s="51"/>
      <c r="L747" s="51"/>
      <c r="M747" s="51"/>
      <c r="N747" s="51"/>
      <c r="O747" s="51"/>
      <c r="P747" s="51"/>
    </row>
    <row r="748" spans="11:16" x14ac:dyDescent="0.2">
      <c r="K748" s="51"/>
      <c r="L748" s="51"/>
      <c r="M748" s="51"/>
      <c r="N748" s="51"/>
      <c r="O748" s="51"/>
      <c r="P748" s="51"/>
    </row>
    <row r="749" spans="11:16" x14ac:dyDescent="0.2">
      <c r="K749" s="51"/>
      <c r="L749" s="51"/>
      <c r="M749" s="51"/>
      <c r="N749" s="51"/>
      <c r="O749" s="51"/>
      <c r="P749" s="51"/>
    </row>
    <row r="750" spans="11:16" x14ac:dyDescent="0.2">
      <c r="K750" s="51"/>
      <c r="L750" s="51"/>
      <c r="M750" s="51"/>
      <c r="N750" s="51"/>
      <c r="O750" s="51"/>
      <c r="P750" s="51"/>
    </row>
    <row r="751" spans="11:16" x14ac:dyDescent="0.2">
      <c r="K751" s="51"/>
      <c r="L751" s="51"/>
      <c r="M751" s="51"/>
      <c r="N751" s="51"/>
      <c r="O751" s="51"/>
      <c r="P751" s="51"/>
    </row>
    <row r="752" spans="11:16" x14ac:dyDescent="0.2">
      <c r="K752" s="51"/>
      <c r="L752" s="51"/>
      <c r="M752" s="51"/>
      <c r="N752" s="51"/>
      <c r="O752" s="51"/>
      <c r="P752" s="51"/>
    </row>
    <row r="753" spans="11:16" x14ac:dyDescent="0.2">
      <c r="K753" s="51"/>
      <c r="L753" s="51"/>
      <c r="M753" s="51"/>
      <c r="N753" s="51"/>
      <c r="O753" s="51"/>
      <c r="P753" s="51"/>
    </row>
    <row r="754" spans="11:16" x14ac:dyDescent="0.2">
      <c r="K754" s="51"/>
      <c r="L754" s="51"/>
      <c r="M754" s="51"/>
      <c r="N754" s="51"/>
      <c r="O754" s="51"/>
      <c r="P754" s="51"/>
    </row>
    <row r="755" spans="11:16" x14ac:dyDescent="0.2">
      <c r="K755" s="51"/>
      <c r="L755" s="51"/>
      <c r="M755" s="51"/>
      <c r="N755" s="51"/>
      <c r="O755" s="51"/>
      <c r="P755" s="51"/>
    </row>
    <row r="756" spans="11:16" x14ac:dyDescent="0.2">
      <c r="K756" s="51"/>
      <c r="L756" s="51"/>
      <c r="M756" s="51"/>
      <c r="N756" s="51"/>
      <c r="O756" s="51"/>
      <c r="P756" s="51"/>
    </row>
    <row r="757" spans="11:16" x14ac:dyDescent="0.2">
      <c r="K757" s="51"/>
      <c r="L757" s="51"/>
      <c r="M757" s="51"/>
      <c r="N757" s="51"/>
      <c r="O757" s="51"/>
      <c r="P757" s="51"/>
    </row>
    <row r="758" spans="11:16" x14ac:dyDescent="0.2">
      <c r="K758" s="51"/>
      <c r="L758" s="51"/>
      <c r="M758" s="51"/>
      <c r="N758" s="51"/>
      <c r="O758" s="51"/>
      <c r="P758" s="51"/>
    </row>
    <row r="759" spans="11:16" x14ac:dyDescent="0.2">
      <c r="K759" s="51"/>
      <c r="L759" s="51"/>
      <c r="M759" s="51"/>
      <c r="N759" s="51"/>
      <c r="O759" s="51"/>
      <c r="P759" s="51"/>
    </row>
    <row r="760" spans="11:16" x14ac:dyDescent="0.2">
      <c r="K760" s="51"/>
      <c r="L760" s="51"/>
      <c r="M760" s="51"/>
      <c r="N760" s="51"/>
      <c r="O760" s="51"/>
      <c r="P760" s="51"/>
    </row>
    <row r="761" spans="11:16" x14ac:dyDescent="0.2">
      <c r="K761" s="51"/>
      <c r="L761" s="51"/>
      <c r="M761" s="51"/>
      <c r="N761" s="51"/>
      <c r="O761" s="51"/>
      <c r="P761" s="51"/>
    </row>
    <row r="762" spans="11:16" x14ac:dyDescent="0.2">
      <c r="K762" s="51"/>
      <c r="L762" s="51"/>
      <c r="M762" s="51"/>
      <c r="N762" s="51"/>
      <c r="O762" s="51"/>
      <c r="P762" s="51"/>
    </row>
    <row r="763" spans="11:16" x14ac:dyDescent="0.2">
      <c r="K763" s="51"/>
      <c r="L763" s="51"/>
      <c r="M763" s="51"/>
      <c r="N763" s="51"/>
      <c r="O763" s="51"/>
      <c r="P763" s="51"/>
    </row>
    <row r="764" spans="11:16" x14ac:dyDescent="0.2">
      <c r="K764" s="51"/>
      <c r="L764" s="51"/>
      <c r="M764" s="51"/>
      <c r="N764" s="51"/>
      <c r="O764" s="51"/>
      <c r="P764" s="51"/>
    </row>
    <row r="765" spans="11:16" x14ac:dyDescent="0.2">
      <c r="K765" s="51"/>
      <c r="L765" s="51"/>
      <c r="M765" s="51"/>
      <c r="N765" s="51"/>
      <c r="O765" s="51"/>
      <c r="P765" s="51"/>
    </row>
    <row r="766" spans="11:16" x14ac:dyDescent="0.2">
      <c r="K766" s="51"/>
      <c r="L766" s="51"/>
      <c r="M766" s="51"/>
      <c r="N766" s="51"/>
      <c r="O766" s="51"/>
      <c r="P766" s="51"/>
    </row>
    <row r="767" spans="11:16" x14ac:dyDescent="0.2">
      <c r="K767" s="51"/>
      <c r="L767" s="51"/>
      <c r="M767" s="51"/>
      <c r="N767" s="51"/>
      <c r="O767" s="51"/>
      <c r="P767" s="51"/>
    </row>
    <row r="768" spans="11:16" x14ac:dyDescent="0.2">
      <c r="K768" s="51"/>
      <c r="L768" s="51"/>
      <c r="M768" s="51"/>
      <c r="N768" s="51"/>
      <c r="O768" s="51"/>
      <c r="P768" s="51"/>
    </row>
    <row r="769" spans="11:16" x14ac:dyDescent="0.2">
      <c r="K769" s="51"/>
      <c r="L769" s="51"/>
      <c r="M769" s="51"/>
      <c r="N769" s="51"/>
      <c r="O769" s="51"/>
      <c r="P769" s="51"/>
    </row>
    <row r="770" spans="11:16" x14ac:dyDescent="0.2">
      <c r="K770" s="51"/>
      <c r="L770" s="51"/>
      <c r="M770" s="51"/>
      <c r="N770" s="51"/>
      <c r="O770" s="51"/>
      <c r="P770" s="51"/>
    </row>
    <row r="771" spans="11:16" x14ac:dyDescent="0.2">
      <c r="K771" s="51"/>
      <c r="L771" s="51"/>
      <c r="M771" s="51"/>
      <c r="N771" s="51"/>
      <c r="O771" s="51"/>
      <c r="P771" s="51"/>
    </row>
    <row r="772" spans="11:16" x14ac:dyDescent="0.2">
      <c r="K772" s="51"/>
      <c r="L772" s="51"/>
      <c r="M772" s="51"/>
      <c r="N772" s="51"/>
      <c r="O772" s="51"/>
      <c r="P772" s="51"/>
    </row>
    <row r="773" spans="11:16" x14ac:dyDescent="0.2">
      <c r="K773" s="51"/>
      <c r="L773" s="51"/>
      <c r="M773" s="51"/>
      <c r="N773" s="51"/>
      <c r="O773" s="51"/>
      <c r="P773" s="51"/>
    </row>
    <row r="774" spans="11:16" x14ac:dyDescent="0.2">
      <c r="K774" s="51"/>
      <c r="L774" s="51"/>
      <c r="M774" s="51"/>
      <c r="N774" s="51"/>
      <c r="O774" s="51"/>
      <c r="P774" s="51"/>
    </row>
    <row r="775" spans="11:16" x14ac:dyDescent="0.2">
      <c r="K775" s="51"/>
      <c r="L775" s="51"/>
      <c r="M775" s="51"/>
      <c r="N775" s="51"/>
      <c r="O775" s="51"/>
      <c r="P775" s="51"/>
    </row>
    <row r="776" spans="11:16" x14ac:dyDescent="0.2">
      <c r="K776" s="51"/>
      <c r="L776" s="51"/>
      <c r="M776" s="51"/>
      <c r="N776" s="51"/>
      <c r="O776" s="51"/>
      <c r="P776" s="51"/>
    </row>
    <row r="777" spans="11:16" x14ac:dyDescent="0.2">
      <c r="K777" s="51"/>
      <c r="L777" s="51"/>
      <c r="M777" s="51"/>
      <c r="N777" s="51"/>
      <c r="O777" s="51"/>
      <c r="P777" s="51"/>
    </row>
    <row r="778" spans="11:16" x14ac:dyDescent="0.2">
      <c r="K778" s="51"/>
      <c r="L778" s="51"/>
      <c r="M778" s="51"/>
      <c r="N778" s="51"/>
      <c r="O778" s="51"/>
      <c r="P778" s="51"/>
    </row>
    <row r="779" spans="11:16" x14ac:dyDescent="0.2">
      <c r="K779" s="51"/>
      <c r="L779" s="51"/>
      <c r="M779" s="51"/>
      <c r="N779" s="51"/>
      <c r="O779" s="51"/>
      <c r="P779" s="51"/>
    </row>
    <row r="780" spans="11:16" x14ac:dyDescent="0.2">
      <c r="K780" s="51"/>
      <c r="L780" s="51"/>
      <c r="M780" s="51"/>
      <c r="N780" s="51"/>
      <c r="O780" s="51"/>
      <c r="P780" s="51"/>
    </row>
    <row r="781" spans="11:16" x14ac:dyDescent="0.2">
      <c r="K781" s="51"/>
      <c r="L781" s="51"/>
      <c r="M781" s="51"/>
      <c r="N781" s="51"/>
      <c r="O781" s="51"/>
      <c r="P781" s="51"/>
    </row>
    <row r="782" spans="11:16" x14ac:dyDescent="0.2">
      <c r="K782" s="51"/>
      <c r="L782" s="51"/>
      <c r="M782" s="51"/>
      <c r="N782" s="51"/>
      <c r="O782" s="51"/>
      <c r="P782" s="51"/>
    </row>
    <row r="783" spans="11:16" x14ac:dyDescent="0.2">
      <c r="K783" s="51"/>
      <c r="L783" s="51"/>
      <c r="M783" s="51"/>
      <c r="N783" s="51"/>
      <c r="O783" s="51"/>
      <c r="P783" s="51"/>
    </row>
    <row r="784" spans="11:16" x14ac:dyDescent="0.2">
      <c r="K784" s="51"/>
      <c r="L784" s="51"/>
      <c r="M784" s="51"/>
      <c r="N784" s="51"/>
      <c r="O784" s="51"/>
      <c r="P784" s="51"/>
    </row>
    <row r="785" spans="11:16" x14ac:dyDescent="0.2">
      <c r="K785" s="51"/>
      <c r="L785" s="51"/>
      <c r="M785" s="51"/>
      <c r="N785" s="51"/>
      <c r="O785" s="51"/>
      <c r="P785" s="51"/>
    </row>
    <row r="786" spans="11:16" x14ac:dyDescent="0.2">
      <c r="K786" s="51"/>
      <c r="L786" s="51"/>
      <c r="M786" s="51"/>
      <c r="N786" s="51"/>
      <c r="O786" s="51"/>
      <c r="P786" s="51"/>
    </row>
    <row r="787" spans="11:16" x14ac:dyDescent="0.2">
      <c r="K787" s="51"/>
      <c r="L787" s="51"/>
      <c r="M787" s="51"/>
      <c r="N787" s="51"/>
      <c r="O787" s="51"/>
      <c r="P787" s="51"/>
    </row>
    <row r="788" spans="11:16" x14ac:dyDescent="0.2">
      <c r="K788" s="51"/>
      <c r="L788" s="51"/>
      <c r="M788" s="51"/>
      <c r="N788" s="51"/>
      <c r="O788" s="51"/>
      <c r="P788" s="51"/>
    </row>
    <row r="789" spans="11:16" x14ac:dyDescent="0.2">
      <c r="K789" s="51"/>
      <c r="L789" s="51"/>
      <c r="M789" s="51"/>
      <c r="N789" s="51"/>
      <c r="O789" s="51"/>
      <c r="P789" s="51"/>
    </row>
    <row r="790" spans="11:16" x14ac:dyDescent="0.2">
      <c r="K790" s="51"/>
      <c r="L790" s="51"/>
      <c r="M790" s="51"/>
      <c r="N790" s="51"/>
      <c r="O790" s="51"/>
      <c r="P790" s="51"/>
    </row>
    <row r="791" spans="11:16" x14ac:dyDescent="0.2">
      <c r="K791" s="51"/>
      <c r="L791" s="51"/>
      <c r="M791" s="51"/>
      <c r="N791" s="51"/>
      <c r="O791" s="51"/>
      <c r="P791" s="51"/>
    </row>
    <row r="792" spans="11:16" x14ac:dyDescent="0.2">
      <c r="K792" s="51"/>
      <c r="L792" s="51"/>
      <c r="M792" s="51"/>
      <c r="N792" s="51"/>
      <c r="O792" s="51"/>
      <c r="P792" s="51"/>
    </row>
    <row r="793" spans="11:16" x14ac:dyDescent="0.2">
      <c r="K793" s="51"/>
      <c r="L793" s="51"/>
      <c r="M793" s="51"/>
      <c r="N793" s="51"/>
      <c r="O793" s="51"/>
      <c r="P793" s="51"/>
    </row>
    <row r="794" spans="11:16" x14ac:dyDescent="0.2">
      <c r="K794" s="51"/>
      <c r="L794" s="51"/>
      <c r="M794" s="51"/>
      <c r="N794" s="51"/>
      <c r="O794" s="51"/>
      <c r="P794" s="51"/>
    </row>
    <row r="795" spans="11:16" x14ac:dyDescent="0.2">
      <c r="K795" s="51"/>
      <c r="L795" s="51"/>
      <c r="M795" s="51"/>
      <c r="N795" s="51"/>
      <c r="O795" s="51"/>
      <c r="P795" s="51"/>
    </row>
    <row r="796" spans="11:16" x14ac:dyDescent="0.2">
      <c r="K796" s="51"/>
      <c r="L796" s="51"/>
      <c r="M796" s="51"/>
      <c r="N796" s="51"/>
      <c r="O796" s="51"/>
      <c r="P796" s="51"/>
    </row>
    <row r="797" spans="11:16" x14ac:dyDescent="0.2">
      <c r="K797" s="51"/>
      <c r="L797" s="51"/>
      <c r="M797" s="51"/>
      <c r="N797" s="51"/>
      <c r="O797" s="51"/>
      <c r="P797" s="51"/>
    </row>
    <row r="798" spans="11:16" x14ac:dyDescent="0.2">
      <c r="K798" s="51"/>
      <c r="L798" s="51"/>
      <c r="M798" s="51"/>
      <c r="N798" s="51"/>
      <c r="O798" s="51"/>
      <c r="P798" s="51"/>
    </row>
    <row r="799" spans="11:16" x14ac:dyDescent="0.2">
      <c r="K799" s="51"/>
      <c r="L799" s="51"/>
      <c r="M799" s="51"/>
      <c r="N799" s="51"/>
      <c r="O799" s="51"/>
      <c r="P799" s="51"/>
    </row>
    <row r="800" spans="11:16" x14ac:dyDescent="0.2">
      <c r="K800" s="51"/>
      <c r="L800" s="51"/>
      <c r="M800" s="51"/>
      <c r="N800" s="51"/>
      <c r="O800" s="51"/>
      <c r="P800" s="51"/>
    </row>
    <row r="801" spans="11:16" x14ac:dyDescent="0.2">
      <c r="K801" s="51"/>
      <c r="L801" s="51"/>
      <c r="M801" s="51"/>
      <c r="N801" s="51"/>
      <c r="O801" s="51"/>
      <c r="P801" s="51"/>
    </row>
    <row r="802" spans="11:16" x14ac:dyDescent="0.2">
      <c r="K802" s="51"/>
      <c r="L802" s="51"/>
      <c r="M802" s="51"/>
      <c r="N802" s="51"/>
      <c r="O802" s="51"/>
      <c r="P802" s="51"/>
    </row>
    <row r="803" spans="11:16" x14ac:dyDescent="0.2">
      <c r="K803" s="51"/>
      <c r="L803" s="51"/>
      <c r="M803" s="51"/>
      <c r="N803" s="51"/>
      <c r="O803" s="51"/>
      <c r="P803" s="51"/>
    </row>
    <row r="804" spans="11:16" x14ac:dyDescent="0.2">
      <c r="K804" s="51"/>
      <c r="L804" s="51"/>
      <c r="M804" s="51"/>
      <c r="N804" s="51"/>
      <c r="O804" s="51"/>
      <c r="P804" s="51"/>
    </row>
    <row r="805" spans="11:16" x14ac:dyDescent="0.2">
      <c r="K805" s="51"/>
      <c r="L805" s="51"/>
      <c r="M805" s="51"/>
      <c r="N805" s="51"/>
      <c r="O805" s="51"/>
      <c r="P805" s="51"/>
    </row>
    <row r="806" spans="11:16" x14ac:dyDescent="0.2">
      <c r="K806" s="51"/>
      <c r="L806" s="51"/>
      <c r="M806" s="51"/>
      <c r="N806" s="51"/>
      <c r="O806" s="51"/>
      <c r="P806" s="51"/>
    </row>
    <row r="807" spans="11:16" x14ac:dyDescent="0.2">
      <c r="K807" s="51"/>
      <c r="L807" s="51"/>
      <c r="M807" s="51"/>
      <c r="N807" s="51"/>
      <c r="O807" s="51"/>
      <c r="P807" s="51"/>
    </row>
    <row r="808" spans="11:16" x14ac:dyDescent="0.2">
      <c r="K808" s="51"/>
      <c r="L808" s="51"/>
      <c r="M808" s="51"/>
      <c r="N808" s="51"/>
      <c r="O808" s="51"/>
      <c r="P808" s="51"/>
    </row>
    <row r="809" spans="11:16" x14ac:dyDescent="0.2">
      <c r="K809" s="51"/>
      <c r="L809" s="51"/>
      <c r="M809" s="51"/>
      <c r="N809" s="51"/>
      <c r="O809" s="51"/>
      <c r="P809" s="51"/>
    </row>
    <row r="810" spans="11:16" x14ac:dyDescent="0.2">
      <c r="K810" s="51"/>
      <c r="L810" s="51"/>
      <c r="M810" s="51"/>
      <c r="N810" s="51"/>
      <c r="O810" s="51"/>
      <c r="P810" s="51"/>
    </row>
    <row r="811" spans="11:16" x14ac:dyDescent="0.2">
      <c r="K811" s="51"/>
      <c r="L811" s="51"/>
      <c r="M811" s="51"/>
      <c r="N811" s="51"/>
      <c r="O811" s="51"/>
      <c r="P811" s="51"/>
    </row>
    <row r="812" spans="11:16" x14ac:dyDescent="0.2">
      <c r="K812" s="51"/>
      <c r="L812" s="51"/>
      <c r="M812" s="51"/>
      <c r="N812" s="51"/>
      <c r="O812" s="51"/>
      <c r="P812" s="51"/>
    </row>
    <row r="813" spans="11:16" x14ac:dyDescent="0.2">
      <c r="K813" s="51"/>
      <c r="L813" s="51"/>
      <c r="M813" s="51"/>
      <c r="N813" s="51"/>
      <c r="O813" s="51"/>
      <c r="P813" s="51"/>
    </row>
    <row r="814" spans="11:16" x14ac:dyDescent="0.2">
      <c r="K814" s="51"/>
      <c r="L814" s="51"/>
      <c r="M814" s="51"/>
      <c r="N814" s="51"/>
      <c r="O814" s="51"/>
      <c r="P814" s="51"/>
    </row>
    <row r="815" spans="11:16" x14ac:dyDescent="0.2">
      <c r="K815" s="51"/>
      <c r="L815" s="51"/>
      <c r="M815" s="51"/>
      <c r="N815" s="51"/>
      <c r="O815" s="51"/>
      <c r="P815" s="51"/>
    </row>
    <row r="816" spans="11:16" x14ac:dyDescent="0.2">
      <c r="K816" s="51"/>
      <c r="L816" s="51"/>
      <c r="M816" s="51"/>
      <c r="N816" s="51"/>
      <c r="O816" s="51"/>
      <c r="P816" s="51"/>
    </row>
    <row r="817" spans="11:16" x14ac:dyDescent="0.2">
      <c r="K817" s="51"/>
      <c r="L817" s="51"/>
      <c r="M817" s="51"/>
      <c r="N817" s="51"/>
      <c r="O817" s="51"/>
      <c r="P817" s="51"/>
    </row>
    <row r="818" spans="11:16" x14ac:dyDescent="0.2">
      <c r="K818" s="51"/>
      <c r="L818" s="51"/>
      <c r="M818" s="51"/>
      <c r="N818" s="51"/>
      <c r="O818" s="51"/>
      <c r="P818" s="51"/>
    </row>
    <row r="819" spans="11:16" x14ac:dyDescent="0.2">
      <c r="K819" s="51"/>
      <c r="L819" s="51"/>
      <c r="M819" s="51"/>
      <c r="N819" s="51"/>
      <c r="O819" s="51"/>
      <c r="P819" s="51"/>
    </row>
    <row r="820" spans="11:16" x14ac:dyDescent="0.2">
      <c r="K820" s="51"/>
      <c r="L820" s="51"/>
      <c r="M820" s="51"/>
      <c r="N820" s="51"/>
      <c r="O820" s="51"/>
      <c r="P820" s="51"/>
    </row>
    <row r="821" spans="11:16" x14ac:dyDescent="0.2">
      <c r="K821" s="51"/>
      <c r="L821" s="51"/>
      <c r="M821" s="51"/>
      <c r="N821" s="51"/>
      <c r="O821" s="51"/>
      <c r="P821" s="51"/>
    </row>
    <row r="822" spans="11:16" x14ac:dyDescent="0.2">
      <c r="K822" s="51"/>
      <c r="L822" s="51"/>
      <c r="M822" s="51"/>
      <c r="N822" s="51"/>
      <c r="O822" s="51"/>
      <c r="P822" s="51"/>
    </row>
    <row r="823" spans="11:16" x14ac:dyDescent="0.2">
      <c r="K823" s="51"/>
      <c r="L823" s="51"/>
      <c r="M823" s="51"/>
      <c r="N823" s="51"/>
      <c r="O823" s="51"/>
      <c r="P823" s="51"/>
    </row>
    <row r="824" spans="11:16" x14ac:dyDescent="0.2">
      <c r="K824" s="51"/>
      <c r="L824" s="51"/>
      <c r="M824" s="51"/>
      <c r="N824" s="51"/>
      <c r="O824" s="51"/>
      <c r="P824" s="51"/>
    </row>
    <row r="825" spans="11:16" x14ac:dyDescent="0.2">
      <c r="K825" s="51"/>
      <c r="L825" s="51"/>
      <c r="M825" s="51"/>
      <c r="N825" s="51"/>
      <c r="O825" s="51"/>
      <c r="P825" s="51"/>
    </row>
    <row r="826" spans="11:16" x14ac:dyDescent="0.2">
      <c r="K826" s="51"/>
      <c r="L826" s="51"/>
      <c r="M826" s="51"/>
      <c r="N826" s="51"/>
      <c r="O826" s="51"/>
      <c r="P826" s="51"/>
    </row>
    <row r="827" spans="11:16" x14ac:dyDescent="0.2">
      <c r="K827" s="51"/>
      <c r="L827" s="51"/>
      <c r="M827" s="51"/>
      <c r="N827" s="51"/>
      <c r="O827" s="51"/>
      <c r="P827" s="51"/>
    </row>
    <row r="828" spans="11:16" x14ac:dyDescent="0.2">
      <c r="K828" s="51"/>
      <c r="L828" s="51"/>
      <c r="M828" s="51"/>
      <c r="N828" s="51"/>
      <c r="O828" s="51"/>
      <c r="P828" s="51"/>
    </row>
    <row r="829" spans="11:16" x14ac:dyDescent="0.2">
      <c r="K829" s="51"/>
      <c r="L829" s="51"/>
      <c r="M829" s="51"/>
      <c r="N829" s="51"/>
      <c r="O829" s="51"/>
      <c r="P829" s="51"/>
    </row>
    <row r="830" spans="11:16" x14ac:dyDescent="0.2">
      <c r="K830" s="51"/>
      <c r="L830" s="51"/>
      <c r="M830" s="51"/>
      <c r="N830" s="51"/>
      <c r="O830" s="51"/>
      <c r="P830" s="51"/>
    </row>
    <row r="831" spans="11:16" x14ac:dyDescent="0.2">
      <c r="K831" s="51"/>
      <c r="L831" s="51"/>
      <c r="M831" s="51"/>
      <c r="N831" s="51"/>
      <c r="O831" s="51"/>
      <c r="P831" s="51"/>
    </row>
    <row r="832" spans="11:16" x14ac:dyDescent="0.2">
      <c r="K832" s="51"/>
      <c r="L832" s="51"/>
      <c r="M832" s="51"/>
      <c r="N832" s="51"/>
      <c r="O832" s="51"/>
      <c r="P832" s="51"/>
    </row>
    <row r="833" spans="11:16" x14ac:dyDescent="0.2">
      <c r="K833" s="51"/>
      <c r="L833" s="51"/>
      <c r="M833" s="51"/>
      <c r="N833" s="51"/>
      <c r="O833" s="51"/>
      <c r="P833" s="51"/>
    </row>
    <row r="834" spans="11:16" x14ac:dyDescent="0.2">
      <c r="K834" s="51"/>
      <c r="L834" s="51"/>
      <c r="M834" s="51"/>
      <c r="N834" s="51"/>
      <c r="O834" s="51"/>
      <c r="P834" s="51"/>
    </row>
    <row r="835" spans="11:16" x14ac:dyDescent="0.2">
      <c r="K835" s="51"/>
      <c r="L835" s="51"/>
      <c r="M835" s="51"/>
      <c r="N835" s="51"/>
      <c r="O835" s="51"/>
      <c r="P835" s="51"/>
    </row>
    <row r="836" spans="11:16" x14ac:dyDescent="0.2">
      <c r="K836" s="51"/>
      <c r="L836" s="51"/>
      <c r="M836" s="51"/>
      <c r="N836" s="51"/>
      <c r="O836" s="51"/>
      <c r="P836" s="51"/>
    </row>
    <row r="837" spans="11:16" x14ac:dyDescent="0.2">
      <c r="K837" s="51"/>
      <c r="L837" s="51"/>
      <c r="M837" s="51"/>
      <c r="N837" s="51"/>
      <c r="O837" s="51"/>
      <c r="P837" s="51"/>
    </row>
    <row r="838" spans="11:16" x14ac:dyDescent="0.2">
      <c r="K838" s="51"/>
      <c r="L838" s="51"/>
      <c r="M838" s="51"/>
      <c r="N838" s="51"/>
      <c r="O838" s="51"/>
      <c r="P838" s="51"/>
    </row>
    <row r="839" spans="11:16" x14ac:dyDescent="0.2">
      <c r="K839" s="51"/>
      <c r="L839" s="51"/>
      <c r="M839" s="51"/>
      <c r="N839" s="51"/>
      <c r="O839" s="51"/>
      <c r="P839" s="51"/>
    </row>
    <row r="840" spans="11:16" x14ac:dyDescent="0.2">
      <c r="K840" s="51"/>
      <c r="L840" s="51"/>
      <c r="M840" s="51"/>
      <c r="N840" s="51"/>
      <c r="O840" s="51"/>
      <c r="P840" s="51"/>
    </row>
    <row r="841" spans="11:16" x14ac:dyDescent="0.2">
      <c r="K841" s="51"/>
      <c r="L841" s="51"/>
      <c r="M841" s="51"/>
      <c r="N841" s="51"/>
      <c r="O841" s="51"/>
      <c r="P841" s="51"/>
    </row>
    <row r="842" spans="11:16" x14ac:dyDescent="0.2">
      <c r="K842" s="51"/>
      <c r="L842" s="51"/>
      <c r="M842" s="51"/>
      <c r="N842" s="51"/>
      <c r="O842" s="51"/>
      <c r="P842" s="51"/>
    </row>
    <row r="843" spans="11:16" x14ac:dyDescent="0.2">
      <c r="K843" s="51"/>
      <c r="L843" s="51"/>
      <c r="M843" s="51"/>
      <c r="N843" s="51"/>
      <c r="O843" s="51"/>
      <c r="P843" s="51"/>
    </row>
    <row r="844" spans="11:16" x14ac:dyDescent="0.2">
      <c r="K844" s="51"/>
      <c r="L844" s="51"/>
      <c r="M844" s="51"/>
      <c r="N844" s="51"/>
      <c r="O844" s="51"/>
      <c r="P844" s="51"/>
    </row>
    <row r="845" spans="11:16" x14ac:dyDescent="0.2">
      <c r="K845" s="51"/>
      <c r="L845" s="51"/>
      <c r="M845" s="51"/>
      <c r="N845" s="51"/>
      <c r="O845" s="51"/>
      <c r="P845" s="51"/>
    </row>
    <row r="846" spans="11:16" x14ac:dyDescent="0.2">
      <c r="K846" s="51"/>
      <c r="L846" s="51"/>
      <c r="M846" s="51"/>
      <c r="N846" s="51"/>
      <c r="O846" s="51"/>
      <c r="P846" s="51"/>
    </row>
    <row r="847" spans="11:16" x14ac:dyDescent="0.2">
      <c r="K847" s="51"/>
      <c r="L847" s="51"/>
      <c r="M847" s="51"/>
      <c r="N847" s="51"/>
      <c r="O847" s="51"/>
      <c r="P847" s="51"/>
    </row>
    <row r="848" spans="11:16" x14ac:dyDescent="0.2">
      <c r="K848" s="51"/>
      <c r="L848" s="51"/>
      <c r="M848" s="51"/>
      <c r="N848" s="51"/>
      <c r="O848" s="51"/>
      <c r="P848" s="51"/>
    </row>
    <row r="849" spans="11:16" x14ac:dyDescent="0.2">
      <c r="K849" s="51"/>
      <c r="L849" s="51"/>
      <c r="M849" s="51"/>
      <c r="N849" s="51"/>
      <c r="O849" s="51"/>
      <c r="P849" s="51"/>
    </row>
    <row r="850" spans="11:16" x14ac:dyDescent="0.2">
      <c r="K850" s="51"/>
      <c r="L850" s="51"/>
      <c r="M850" s="51"/>
      <c r="N850" s="51"/>
      <c r="O850" s="51"/>
      <c r="P850" s="51"/>
    </row>
    <row r="851" spans="11:16" x14ac:dyDescent="0.2">
      <c r="K851" s="51"/>
      <c r="L851" s="51"/>
      <c r="M851" s="51"/>
      <c r="N851" s="51"/>
      <c r="O851" s="51"/>
      <c r="P851" s="51"/>
    </row>
    <row r="852" spans="11:16" x14ac:dyDescent="0.2">
      <c r="K852" s="51"/>
      <c r="L852" s="51"/>
      <c r="M852" s="51"/>
      <c r="N852" s="51"/>
      <c r="O852" s="51"/>
      <c r="P852" s="51"/>
    </row>
    <row r="853" spans="11:16" x14ac:dyDescent="0.2">
      <c r="K853" s="51"/>
      <c r="L853" s="51"/>
      <c r="M853" s="51"/>
      <c r="N853" s="51"/>
      <c r="O853" s="51"/>
      <c r="P853" s="51"/>
    </row>
    <row r="854" spans="11:16" x14ac:dyDescent="0.2">
      <c r="K854" s="51"/>
      <c r="L854" s="51"/>
      <c r="M854" s="51"/>
      <c r="N854" s="51"/>
      <c r="O854" s="51"/>
      <c r="P854" s="51"/>
    </row>
    <row r="855" spans="11:16" x14ac:dyDescent="0.2">
      <c r="K855" s="51"/>
      <c r="L855" s="51"/>
      <c r="M855" s="51"/>
      <c r="N855" s="51"/>
      <c r="O855" s="51"/>
      <c r="P855" s="51"/>
    </row>
    <row r="856" spans="11:16" x14ac:dyDescent="0.2">
      <c r="K856" s="51"/>
      <c r="L856" s="51"/>
      <c r="M856" s="51"/>
      <c r="N856" s="51"/>
      <c r="O856" s="51"/>
      <c r="P856" s="51"/>
    </row>
    <row r="857" spans="11:16" x14ac:dyDescent="0.2">
      <c r="K857" s="51"/>
      <c r="L857" s="51"/>
      <c r="M857" s="51"/>
      <c r="N857" s="51"/>
      <c r="O857" s="51"/>
      <c r="P857" s="51"/>
    </row>
    <row r="858" spans="11:16" x14ac:dyDescent="0.2">
      <c r="K858" s="51"/>
      <c r="L858" s="51"/>
      <c r="M858" s="51"/>
      <c r="N858" s="51"/>
      <c r="O858" s="51"/>
      <c r="P858" s="51"/>
    </row>
    <row r="859" spans="11:16" x14ac:dyDescent="0.2">
      <c r="K859" s="51"/>
      <c r="L859" s="51"/>
      <c r="M859" s="51"/>
      <c r="N859" s="51"/>
      <c r="O859" s="51"/>
      <c r="P859" s="51"/>
    </row>
    <row r="860" spans="11:16" x14ac:dyDescent="0.2">
      <c r="K860" s="51"/>
      <c r="L860" s="51"/>
      <c r="M860" s="51"/>
      <c r="N860" s="51"/>
      <c r="O860" s="51"/>
      <c r="P860" s="51"/>
    </row>
    <row r="861" spans="11:16" x14ac:dyDescent="0.2">
      <c r="K861" s="51"/>
      <c r="L861" s="51"/>
      <c r="M861" s="51"/>
      <c r="N861" s="51"/>
      <c r="O861" s="51"/>
      <c r="P861" s="51"/>
    </row>
    <row r="862" spans="11:16" x14ac:dyDescent="0.2">
      <c r="K862" s="51"/>
      <c r="L862" s="51"/>
      <c r="M862" s="51"/>
      <c r="N862" s="51"/>
      <c r="O862" s="51"/>
      <c r="P862" s="51"/>
    </row>
    <row r="863" spans="11:16" x14ac:dyDescent="0.2">
      <c r="K863" s="51"/>
      <c r="L863" s="51"/>
      <c r="M863" s="51"/>
      <c r="N863" s="51"/>
      <c r="O863" s="51"/>
      <c r="P863" s="51"/>
    </row>
    <row r="864" spans="11:16" x14ac:dyDescent="0.2">
      <c r="K864" s="51"/>
      <c r="L864" s="51"/>
      <c r="M864" s="51"/>
      <c r="N864" s="51"/>
      <c r="O864" s="51"/>
      <c r="P864" s="51"/>
    </row>
    <row r="865" spans="11:16" x14ac:dyDescent="0.2">
      <c r="K865" s="51"/>
      <c r="L865" s="51"/>
      <c r="M865" s="51"/>
      <c r="N865" s="51"/>
      <c r="O865" s="51"/>
      <c r="P865" s="51"/>
    </row>
    <row r="866" spans="11:16" x14ac:dyDescent="0.2">
      <c r="K866" s="51"/>
      <c r="L866" s="51"/>
      <c r="M866" s="51"/>
      <c r="N866" s="51"/>
      <c r="O866" s="51"/>
      <c r="P866" s="51"/>
    </row>
    <row r="867" spans="11:16" x14ac:dyDescent="0.2">
      <c r="K867" s="51"/>
      <c r="L867" s="51"/>
      <c r="M867" s="51"/>
      <c r="N867" s="51"/>
      <c r="O867" s="51"/>
      <c r="P867" s="51"/>
    </row>
    <row r="868" spans="11:16" x14ac:dyDescent="0.2">
      <c r="K868" s="51"/>
      <c r="L868" s="51"/>
      <c r="M868" s="51"/>
      <c r="N868" s="51"/>
      <c r="O868" s="51"/>
      <c r="P868" s="51"/>
    </row>
    <row r="869" spans="11:16" x14ac:dyDescent="0.2">
      <c r="K869" s="51"/>
      <c r="L869" s="51"/>
      <c r="M869" s="51"/>
      <c r="N869" s="51"/>
      <c r="O869" s="51"/>
      <c r="P869" s="51"/>
    </row>
    <row r="870" spans="11:16" x14ac:dyDescent="0.2">
      <c r="K870" s="51"/>
      <c r="L870" s="51"/>
      <c r="M870" s="51"/>
      <c r="N870" s="51"/>
      <c r="O870" s="51"/>
      <c r="P870" s="51"/>
    </row>
    <row r="871" spans="11:16" x14ac:dyDescent="0.2">
      <c r="K871" s="51"/>
      <c r="L871" s="51"/>
      <c r="M871" s="51"/>
      <c r="N871" s="51"/>
      <c r="O871" s="51"/>
      <c r="P871" s="51"/>
    </row>
    <row r="872" spans="11:16" x14ac:dyDescent="0.2">
      <c r="K872" s="51"/>
      <c r="L872" s="51"/>
      <c r="M872" s="51"/>
      <c r="N872" s="51"/>
      <c r="O872" s="51"/>
      <c r="P872" s="51"/>
    </row>
    <row r="873" spans="11:16" x14ac:dyDescent="0.2">
      <c r="K873" s="51"/>
      <c r="L873" s="51"/>
      <c r="M873" s="51"/>
      <c r="N873" s="51"/>
      <c r="O873" s="51"/>
      <c r="P873" s="51"/>
    </row>
    <row r="874" spans="11:16" x14ac:dyDescent="0.2">
      <c r="K874" s="51"/>
      <c r="L874" s="51"/>
      <c r="M874" s="51"/>
      <c r="N874" s="51"/>
      <c r="O874" s="51"/>
      <c r="P874" s="51"/>
    </row>
    <row r="875" spans="11:16" x14ac:dyDescent="0.2">
      <c r="K875" s="51"/>
      <c r="L875" s="51"/>
      <c r="M875" s="51"/>
      <c r="N875" s="51"/>
      <c r="O875" s="51"/>
      <c r="P875" s="51"/>
    </row>
    <row r="876" spans="11:16" x14ac:dyDescent="0.2">
      <c r="K876" s="51"/>
      <c r="L876" s="51"/>
      <c r="M876" s="51"/>
      <c r="N876" s="51"/>
      <c r="O876" s="51"/>
      <c r="P876" s="51"/>
    </row>
    <row r="877" spans="11:16" x14ac:dyDescent="0.2">
      <c r="K877" s="51"/>
      <c r="L877" s="51"/>
      <c r="M877" s="51"/>
      <c r="N877" s="51"/>
      <c r="O877" s="51"/>
      <c r="P877" s="51"/>
    </row>
    <row r="878" spans="11:16" x14ac:dyDescent="0.2">
      <c r="K878" s="51"/>
      <c r="L878" s="51"/>
      <c r="M878" s="51"/>
      <c r="N878" s="51"/>
      <c r="O878" s="51"/>
      <c r="P878" s="51"/>
    </row>
    <row r="879" spans="11:16" x14ac:dyDescent="0.2">
      <c r="K879" s="51"/>
      <c r="L879" s="51"/>
      <c r="M879" s="51"/>
      <c r="N879" s="51"/>
      <c r="O879" s="51"/>
      <c r="P879" s="51"/>
    </row>
    <row r="880" spans="11:16" x14ac:dyDescent="0.2">
      <c r="K880" s="51"/>
      <c r="L880" s="51"/>
      <c r="M880" s="51"/>
      <c r="N880" s="51"/>
      <c r="O880" s="51"/>
      <c r="P880" s="51"/>
    </row>
    <row r="881" spans="11:16" x14ac:dyDescent="0.2">
      <c r="K881" s="51"/>
      <c r="L881" s="51"/>
      <c r="M881" s="51"/>
      <c r="N881" s="51"/>
      <c r="O881" s="51"/>
      <c r="P881" s="51"/>
    </row>
    <row r="882" spans="11:16" x14ac:dyDescent="0.2">
      <c r="K882" s="51"/>
      <c r="L882" s="51"/>
      <c r="M882" s="51"/>
      <c r="N882" s="51"/>
      <c r="O882" s="51"/>
      <c r="P882" s="51"/>
    </row>
    <row r="883" spans="11:16" x14ac:dyDescent="0.2">
      <c r="K883" s="51"/>
      <c r="L883" s="51"/>
      <c r="M883" s="51"/>
      <c r="N883" s="51"/>
      <c r="O883" s="51"/>
      <c r="P883" s="51"/>
    </row>
    <row r="884" spans="11:16" x14ac:dyDescent="0.2">
      <c r="K884" s="51"/>
      <c r="L884" s="51"/>
      <c r="M884" s="51"/>
      <c r="N884" s="51"/>
      <c r="O884" s="51"/>
      <c r="P884" s="51"/>
    </row>
    <row r="885" spans="11:16" x14ac:dyDescent="0.2">
      <c r="K885" s="51"/>
      <c r="L885" s="51"/>
      <c r="M885" s="51"/>
      <c r="N885" s="51"/>
      <c r="O885" s="51"/>
      <c r="P885" s="51"/>
    </row>
    <row r="886" spans="11:16" x14ac:dyDescent="0.2">
      <c r="K886" s="51"/>
      <c r="L886" s="51"/>
      <c r="M886" s="51"/>
      <c r="N886" s="51"/>
      <c r="O886" s="51"/>
      <c r="P886" s="51"/>
    </row>
    <row r="887" spans="11:16" x14ac:dyDescent="0.2">
      <c r="K887" s="51"/>
      <c r="L887" s="51"/>
      <c r="M887" s="51"/>
      <c r="N887" s="51"/>
      <c r="O887" s="51"/>
      <c r="P887" s="51"/>
    </row>
    <row r="888" spans="11:16" x14ac:dyDescent="0.2">
      <c r="K888" s="51"/>
      <c r="L888" s="51"/>
      <c r="M888" s="51"/>
      <c r="N888" s="51"/>
      <c r="O888" s="51"/>
      <c r="P888" s="51"/>
    </row>
    <row r="889" spans="11:16" x14ac:dyDescent="0.2">
      <c r="K889" s="51"/>
      <c r="L889" s="51"/>
      <c r="M889" s="51"/>
      <c r="N889" s="51"/>
      <c r="O889" s="51"/>
      <c r="P889" s="51"/>
    </row>
    <row r="890" spans="11:16" x14ac:dyDescent="0.2">
      <c r="K890" s="51"/>
      <c r="L890" s="51"/>
      <c r="M890" s="51"/>
      <c r="N890" s="51"/>
      <c r="O890" s="51"/>
      <c r="P890" s="51"/>
    </row>
    <row r="891" spans="11:16" x14ac:dyDescent="0.2">
      <c r="K891" s="51"/>
      <c r="L891" s="51"/>
      <c r="M891" s="51"/>
      <c r="N891" s="51"/>
      <c r="O891" s="51"/>
      <c r="P891" s="51"/>
    </row>
    <row r="892" spans="11:16" x14ac:dyDescent="0.2">
      <c r="K892" s="51"/>
      <c r="L892" s="51"/>
      <c r="M892" s="51"/>
      <c r="N892" s="51"/>
      <c r="O892" s="51"/>
      <c r="P892" s="51"/>
    </row>
    <row r="893" spans="11:16" x14ac:dyDescent="0.2">
      <c r="K893" s="51"/>
      <c r="L893" s="51"/>
      <c r="M893" s="51"/>
      <c r="N893" s="51"/>
      <c r="O893" s="51"/>
      <c r="P893" s="51"/>
    </row>
    <row r="894" spans="11:16" x14ac:dyDescent="0.2">
      <c r="K894" s="51"/>
      <c r="L894" s="51"/>
      <c r="M894" s="51"/>
      <c r="N894" s="51"/>
      <c r="O894" s="51"/>
      <c r="P894" s="51"/>
    </row>
    <row r="895" spans="11:16" x14ac:dyDescent="0.2">
      <c r="K895" s="51"/>
      <c r="L895" s="51"/>
      <c r="M895" s="51"/>
      <c r="N895" s="51"/>
      <c r="O895" s="51"/>
      <c r="P895" s="51"/>
    </row>
    <row r="896" spans="11:16" x14ac:dyDescent="0.2">
      <c r="K896" s="51"/>
      <c r="L896" s="51"/>
      <c r="M896" s="51"/>
      <c r="N896" s="51"/>
      <c r="O896" s="51"/>
      <c r="P896" s="51"/>
    </row>
    <row r="897" spans="11:16" x14ac:dyDescent="0.2">
      <c r="K897" s="51"/>
      <c r="L897" s="51"/>
      <c r="M897" s="51"/>
      <c r="N897" s="51"/>
      <c r="O897" s="51"/>
      <c r="P897" s="51"/>
    </row>
    <row r="898" spans="11:16" x14ac:dyDescent="0.2">
      <c r="K898" s="51"/>
      <c r="L898" s="51"/>
      <c r="M898" s="51"/>
      <c r="N898" s="51"/>
      <c r="O898" s="51"/>
      <c r="P898" s="51"/>
    </row>
    <row r="899" spans="11:16" x14ac:dyDescent="0.2">
      <c r="K899" s="51"/>
      <c r="L899" s="51"/>
      <c r="M899" s="51"/>
      <c r="N899" s="51"/>
      <c r="O899" s="51"/>
      <c r="P899" s="51"/>
    </row>
    <row r="900" spans="11:16" x14ac:dyDescent="0.2">
      <c r="K900" s="51"/>
      <c r="L900" s="51"/>
      <c r="M900" s="51"/>
      <c r="N900" s="51"/>
      <c r="O900" s="51"/>
      <c r="P900" s="51"/>
    </row>
    <row r="901" spans="11:16" x14ac:dyDescent="0.2">
      <c r="K901" s="51"/>
      <c r="L901" s="51"/>
      <c r="M901" s="51"/>
      <c r="N901" s="51"/>
      <c r="O901" s="51"/>
      <c r="P901" s="51"/>
    </row>
    <row r="902" spans="11:16" x14ac:dyDescent="0.2">
      <c r="K902" s="51"/>
      <c r="L902" s="51"/>
      <c r="M902" s="51"/>
      <c r="N902" s="51"/>
      <c r="O902" s="51"/>
      <c r="P902" s="51"/>
    </row>
    <row r="903" spans="11:16" x14ac:dyDescent="0.2">
      <c r="K903" s="51"/>
      <c r="L903" s="51"/>
      <c r="M903" s="51"/>
      <c r="N903" s="51"/>
      <c r="O903" s="51"/>
      <c r="P903" s="51"/>
    </row>
    <row r="904" spans="11:16" x14ac:dyDescent="0.2">
      <c r="K904" s="51"/>
      <c r="L904" s="51"/>
      <c r="M904" s="51"/>
      <c r="N904" s="51"/>
      <c r="O904" s="51"/>
      <c r="P904" s="51"/>
    </row>
    <row r="905" spans="11:16" x14ac:dyDescent="0.2">
      <c r="K905" s="51"/>
      <c r="L905" s="51"/>
      <c r="M905" s="51"/>
      <c r="N905" s="51"/>
      <c r="O905" s="51"/>
      <c r="P905" s="51"/>
    </row>
    <row r="906" spans="11:16" x14ac:dyDescent="0.2">
      <c r="K906" s="51"/>
      <c r="L906" s="51"/>
      <c r="M906" s="51"/>
      <c r="N906" s="51"/>
      <c r="O906" s="51"/>
      <c r="P906" s="51"/>
    </row>
    <row r="907" spans="11:16" x14ac:dyDescent="0.2">
      <c r="K907" s="51"/>
      <c r="L907" s="51"/>
      <c r="M907" s="51"/>
      <c r="N907" s="51"/>
      <c r="O907" s="51"/>
      <c r="P907" s="51"/>
    </row>
    <row r="908" spans="11:16" x14ac:dyDescent="0.2">
      <c r="K908" s="51"/>
      <c r="L908" s="51"/>
      <c r="M908" s="51"/>
      <c r="N908" s="51"/>
      <c r="O908" s="51"/>
      <c r="P908" s="51"/>
    </row>
    <row r="909" spans="11:16" x14ac:dyDescent="0.2">
      <c r="K909" s="51"/>
      <c r="L909" s="51"/>
      <c r="M909" s="51"/>
      <c r="N909" s="51"/>
      <c r="O909" s="51"/>
      <c r="P909" s="51"/>
    </row>
    <row r="910" spans="11:16" x14ac:dyDescent="0.2">
      <c r="K910" s="51"/>
      <c r="L910" s="51"/>
      <c r="M910" s="51"/>
      <c r="N910" s="51"/>
      <c r="O910" s="51"/>
      <c r="P910" s="51"/>
    </row>
    <row r="911" spans="11:16" x14ac:dyDescent="0.2">
      <c r="K911" s="51"/>
      <c r="L911" s="51"/>
      <c r="M911" s="51"/>
      <c r="N911" s="51"/>
      <c r="O911" s="51"/>
      <c r="P911" s="51"/>
    </row>
    <row r="912" spans="11:16" x14ac:dyDescent="0.2">
      <c r="K912" s="51"/>
      <c r="L912" s="51"/>
      <c r="M912" s="51"/>
      <c r="N912" s="51"/>
      <c r="O912" s="51"/>
      <c r="P912" s="51"/>
    </row>
    <row r="913" spans="11:16" x14ac:dyDescent="0.2">
      <c r="K913" s="51"/>
      <c r="L913" s="51"/>
      <c r="M913" s="51"/>
      <c r="N913" s="51"/>
      <c r="O913" s="51"/>
      <c r="P913" s="51"/>
    </row>
    <row r="914" spans="11:16" x14ac:dyDescent="0.2">
      <c r="K914" s="51"/>
      <c r="L914" s="51"/>
      <c r="M914" s="51"/>
      <c r="N914" s="51"/>
      <c r="O914" s="51"/>
      <c r="P914" s="51"/>
    </row>
    <row r="915" spans="11:16" x14ac:dyDescent="0.2">
      <c r="K915" s="51"/>
      <c r="L915" s="51"/>
      <c r="M915" s="51"/>
      <c r="N915" s="51"/>
      <c r="O915" s="51"/>
      <c r="P915" s="51"/>
    </row>
    <row r="916" spans="11:16" x14ac:dyDescent="0.2">
      <c r="K916" s="51"/>
      <c r="L916" s="51"/>
      <c r="M916" s="51"/>
      <c r="N916" s="51"/>
      <c r="O916" s="51"/>
      <c r="P916" s="51"/>
    </row>
    <row r="917" spans="11:16" x14ac:dyDescent="0.2">
      <c r="K917" s="51"/>
      <c r="L917" s="51"/>
      <c r="M917" s="51"/>
      <c r="N917" s="51"/>
      <c r="O917" s="51"/>
      <c r="P917" s="51"/>
    </row>
    <row r="918" spans="11:16" x14ac:dyDescent="0.2">
      <c r="K918" s="51"/>
      <c r="L918" s="51"/>
      <c r="M918" s="51"/>
      <c r="N918" s="51"/>
      <c r="O918" s="51"/>
      <c r="P918" s="51"/>
    </row>
    <row r="919" spans="11:16" x14ac:dyDescent="0.2">
      <c r="K919" s="51"/>
      <c r="L919" s="51"/>
      <c r="M919" s="51"/>
      <c r="N919" s="51"/>
      <c r="O919" s="51"/>
      <c r="P919" s="51"/>
    </row>
    <row r="920" spans="11:16" x14ac:dyDescent="0.2">
      <c r="K920" s="51"/>
      <c r="L920" s="51"/>
      <c r="M920" s="51"/>
      <c r="N920" s="51"/>
      <c r="O920" s="51"/>
      <c r="P920" s="51"/>
    </row>
    <row r="921" spans="11:16" x14ac:dyDescent="0.2">
      <c r="K921" s="51"/>
      <c r="L921" s="51"/>
      <c r="M921" s="51"/>
      <c r="N921" s="51"/>
      <c r="O921" s="51"/>
      <c r="P921" s="51"/>
    </row>
    <row r="922" spans="11:16" x14ac:dyDescent="0.2">
      <c r="K922" s="51"/>
      <c r="L922" s="51"/>
      <c r="M922" s="51"/>
      <c r="N922" s="51"/>
      <c r="O922" s="51"/>
      <c r="P922" s="51"/>
    </row>
    <row r="923" spans="11:16" x14ac:dyDescent="0.2">
      <c r="K923" s="51"/>
      <c r="L923" s="51"/>
      <c r="M923" s="51"/>
      <c r="N923" s="51"/>
      <c r="O923" s="51"/>
      <c r="P923" s="51"/>
    </row>
    <row r="924" spans="11:16" x14ac:dyDescent="0.2">
      <c r="K924" s="51"/>
      <c r="L924" s="51"/>
      <c r="M924" s="51"/>
      <c r="N924" s="51"/>
      <c r="O924" s="51"/>
      <c r="P924" s="51"/>
    </row>
    <row r="925" spans="11:16" x14ac:dyDescent="0.2">
      <c r="K925" s="51"/>
      <c r="L925" s="51"/>
      <c r="M925" s="51"/>
      <c r="N925" s="51"/>
      <c r="O925" s="51"/>
      <c r="P925" s="51"/>
    </row>
    <row r="926" spans="11:16" x14ac:dyDescent="0.2">
      <c r="K926" s="51"/>
      <c r="L926" s="51"/>
      <c r="M926" s="51"/>
      <c r="N926" s="51"/>
      <c r="O926" s="51"/>
      <c r="P926" s="51"/>
    </row>
    <row r="927" spans="11:16" x14ac:dyDescent="0.2">
      <c r="K927" s="51"/>
      <c r="L927" s="51"/>
      <c r="M927" s="51"/>
      <c r="N927" s="51"/>
      <c r="O927" s="51"/>
      <c r="P927" s="51"/>
    </row>
    <row r="928" spans="11:16" x14ac:dyDescent="0.2">
      <c r="K928" s="51"/>
      <c r="L928" s="51"/>
      <c r="M928" s="51"/>
      <c r="N928" s="51"/>
      <c r="O928" s="51"/>
      <c r="P928" s="51"/>
    </row>
    <row r="929" spans="11:16" x14ac:dyDescent="0.2">
      <c r="K929" s="51"/>
      <c r="L929" s="51"/>
      <c r="M929" s="51"/>
      <c r="N929" s="51"/>
      <c r="O929" s="51"/>
      <c r="P929" s="51"/>
    </row>
    <row r="930" spans="11:16" x14ac:dyDescent="0.2">
      <c r="K930" s="51"/>
      <c r="L930" s="51"/>
      <c r="M930" s="51"/>
      <c r="N930" s="51"/>
      <c r="O930" s="51"/>
      <c r="P930" s="51"/>
    </row>
    <row r="931" spans="11:16" x14ac:dyDescent="0.2">
      <c r="K931" s="51"/>
      <c r="L931" s="51"/>
      <c r="M931" s="51"/>
      <c r="N931" s="51"/>
      <c r="O931" s="51"/>
      <c r="P931" s="51"/>
    </row>
    <row r="932" spans="11:16" x14ac:dyDescent="0.2">
      <c r="K932" s="51"/>
      <c r="L932" s="51"/>
      <c r="M932" s="51"/>
      <c r="N932" s="51"/>
      <c r="O932" s="51"/>
      <c r="P932" s="51"/>
    </row>
    <row r="933" spans="11:16" x14ac:dyDescent="0.2">
      <c r="K933" s="51"/>
      <c r="L933" s="51"/>
      <c r="M933" s="51"/>
      <c r="N933" s="51"/>
      <c r="O933" s="51"/>
      <c r="P933" s="51"/>
    </row>
    <row r="934" spans="11:16" x14ac:dyDescent="0.2">
      <c r="K934" s="51"/>
      <c r="L934" s="51"/>
      <c r="M934" s="51"/>
      <c r="N934" s="51"/>
      <c r="O934" s="51"/>
      <c r="P934" s="51"/>
    </row>
    <row r="935" spans="11:16" x14ac:dyDescent="0.2">
      <c r="K935" s="51"/>
      <c r="L935" s="51"/>
      <c r="M935" s="51"/>
      <c r="N935" s="51"/>
      <c r="O935" s="51"/>
      <c r="P935" s="51"/>
    </row>
    <row r="936" spans="11:16" x14ac:dyDescent="0.2">
      <c r="K936" s="51"/>
      <c r="L936" s="51"/>
      <c r="M936" s="51"/>
      <c r="N936" s="51"/>
      <c r="O936" s="51"/>
      <c r="P936" s="51"/>
    </row>
    <row r="937" spans="11:16" x14ac:dyDescent="0.2">
      <c r="K937" s="51"/>
      <c r="L937" s="51"/>
      <c r="M937" s="51"/>
      <c r="N937" s="51"/>
      <c r="O937" s="51"/>
      <c r="P937" s="51"/>
    </row>
    <row r="938" spans="11:16" x14ac:dyDescent="0.2">
      <c r="K938" s="51"/>
      <c r="L938" s="51"/>
      <c r="M938" s="51"/>
      <c r="N938" s="51"/>
      <c r="O938" s="51"/>
      <c r="P938" s="51"/>
    </row>
    <row r="939" spans="11:16" x14ac:dyDescent="0.2">
      <c r="K939" s="51"/>
      <c r="L939" s="51"/>
      <c r="M939" s="51"/>
      <c r="N939" s="51"/>
      <c r="O939" s="51"/>
      <c r="P939" s="51"/>
    </row>
    <row r="940" spans="11:16" x14ac:dyDescent="0.2">
      <c r="K940" s="51"/>
      <c r="L940" s="51"/>
      <c r="M940" s="51"/>
      <c r="N940" s="51"/>
      <c r="O940" s="51"/>
      <c r="P940" s="51"/>
    </row>
    <row r="941" spans="11:16" x14ac:dyDescent="0.2">
      <c r="K941" s="51"/>
      <c r="L941" s="51"/>
      <c r="M941" s="51"/>
      <c r="N941" s="51"/>
      <c r="O941" s="51"/>
      <c r="P941" s="51"/>
    </row>
    <row r="942" spans="11:16" x14ac:dyDescent="0.2">
      <c r="K942" s="51"/>
      <c r="L942" s="51"/>
      <c r="M942" s="51"/>
      <c r="N942" s="51"/>
      <c r="O942" s="51"/>
      <c r="P942" s="51"/>
    </row>
    <row r="943" spans="11:16" x14ac:dyDescent="0.2">
      <c r="K943" s="51"/>
      <c r="L943" s="51"/>
      <c r="M943" s="51"/>
      <c r="N943" s="51"/>
      <c r="O943" s="51"/>
      <c r="P943" s="51"/>
    </row>
    <row r="944" spans="11:16" x14ac:dyDescent="0.2">
      <c r="K944" s="51"/>
      <c r="L944" s="51"/>
      <c r="M944" s="51"/>
      <c r="N944" s="51"/>
      <c r="O944" s="51"/>
      <c r="P944" s="51"/>
    </row>
    <row r="945" spans="11:16" x14ac:dyDescent="0.2">
      <c r="K945" s="51"/>
      <c r="L945" s="51"/>
      <c r="M945" s="51"/>
      <c r="N945" s="51"/>
      <c r="O945" s="51"/>
      <c r="P945" s="51"/>
    </row>
    <row r="946" spans="11:16" x14ac:dyDescent="0.2">
      <c r="K946" s="51"/>
      <c r="L946" s="51"/>
      <c r="M946" s="51"/>
      <c r="N946" s="51"/>
      <c r="O946" s="51"/>
      <c r="P946" s="51"/>
    </row>
    <row r="947" spans="11:16" x14ac:dyDescent="0.2">
      <c r="K947" s="51"/>
      <c r="L947" s="51"/>
      <c r="M947" s="51"/>
      <c r="N947" s="51"/>
      <c r="O947" s="51"/>
      <c r="P947" s="51"/>
    </row>
    <row r="948" spans="11:16" x14ac:dyDescent="0.2">
      <c r="K948" s="51"/>
      <c r="L948" s="51"/>
      <c r="M948" s="51"/>
      <c r="N948" s="51"/>
      <c r="O948" s="51"/>
      <c r="P948" s="51"/>
    </row>
    <row r="949" spans="11:16" x14ac:dyDescent="0.2">
      <c r="K949" s="51"/>
      <c r="L949" s="51"/>
      <c r="M949" s="51"/>
      <c r="N949" s="51"/>
      <c r="O949" s="51"/>
      <c r="P949" s="51"/>
    </row>
    <row r="950" spans="11:16" x14ac:dyDescent="0.2">
      <c r="K950" s="51"/>
      <c r="L950" s="51"/>
      <c r="M950" s="51"/>
      <c r="N950" s="51"/>
      <c r="O950" s="51"/>
      <c r="P950" s="51"/>
    </row>
    <row r="951" spans="11:16" x14ac:dyDescent="0.2">
      <c r="K951" s="51"/>
      <c r="L951" s="51"/>
      <c r="M951" s="51"/>
      <c r="N951" s="51"/>
      <c r="O951" s="51"/>
      <c r="P951" s="51"/>
    </row>
    <row r="952" spans="11:16" x14ac:dyDescent="0.2">
      <c r="K952" s="51"/>
      <c r="L952" s="51"/>
      <c r="M952" s="51"/>
      <c r="N952" s="51"/>
      <c r="O952" s="51"/>
      <c r="P952" s="51"/>
    </row>
    <row r="953" spans="11:16" x14ac:dyDescent="0.2">
      <c r="K953" s="51"/>
      <c r="L953" s="51"/>
      <c r="M953" s="51"/>
      <c r="N953" s="51"/>
      <c r="O953" s="51"/>
      <c r="P953" s="51"/>
    </row>
    <row r="954" spans="11:16" x14ac:dyDescent="0.2">
      <c r="K954" s="51"/>
      <c r="L954" s="51"/>
      <c r="M954" s="51"/>
      <c r="N954" s="51"/>
      <c r="O954" s="51"/>
      <c r="P954" s="51"/>
    </row>
    <row r="955" spans="11:16" x14ac:dyDescent="0.2">
      <c r="K955" s="51"/>
      <c r="L955" s="51"/>
      <c r="M955" s="51"/>
      <c r="N955" s="51"/>
      <c r="O955" s="51"/>
      <c r="P955" s="51"/>
    </row>
    <row r="956" spans="11:16" x14ac:dyDescent="0.2">
      <c r="K956" s="51"/>
      <c r="L956" s="51"/>
      <c r="M956" s="51"/>
      <c r="N956" s="51"/>
      <c r="O956" s="51"/>
      <c r="P956" s="51"/>
    </row>
    <row r="957" spans="11:16" x14ac:dyDescent="0.2">
      <c r="K957" s="51"/>
      <c r="L957" s="51"/>
      <c r="M957" s="51"/>
      <c r="N957" s="51"/>
      <c r="O957" s="51"/>
      <c r="P957" s="51"/>
    </row>
    <row r="958" spans="11:16" x14ac:dyDescent="0.2">
      <c r="K958" s="51"/>
      <c r="L958" s="51"/>
      <c r="M958" s="51"/>
      <c r="N958" s="51"/>
      <c r="O958" s="51"/>
      <c r="P958" s="51"/>
    </row>
    <row r="959" spans="11:16" x14ac:dyDescent="0.2">
      <c r="K959" s="51"/>
      <c r="L959" s="51"/>
      <c r="M959" s="51"/>
      <c r="N959" s="51"/>
      <c r="O959" s="51"/>
      <c r="P959" s="51"/>
    </row>
    <row r="960" spans="11:16" x14ac:dyDescent="0.2">
      <c r="K960" s="51"/>
      <c r="L960" s="51"/>
      <c r="M960" s="51"/>
      <c r="N960" s="51"/>
      <c r="O960" s="51"/>
      <c r="P960" s="51"/>
    </row>
    <row r="961" spans="11:16" x14ac:dyDescent="0.2">
      <c r="K961" s="51"/>
      <c r="L961" s="51"/>
      <c r="M961" s="51"/>
      <c r="N961" s="51"/>
      <c r="O961" s="51"/>
      <c r="P961" s="51"/>
    </row>
    <row r="962" spans="11:16" x14ac:dyDescent="0.2">
      <c r="K962" s="51"/>
      <c r="L962" s="51"/>
      <c r="M962" s="51"/>
      <c r="N962" s="51"/>
      <c r="O962" s="51"/>
      <c r="P962" s="51"/>
    </row>
    <row r="963" spans="11:16" x14ac:dyDescent="0.2">
      <c r="K963" s="51"/>
      <c r="L963" s="51"/>
      <c r="M963" s="51"/>
      <c r="N963" s="51"/>
      <c r="O963" s="51"/>
      <c r="P963" s="51"/>
    </row>
    <row r="964" spans="11:16" x14ac:dyDescent="0.2">
      <c r="K964" s="51"/>
      <c r="L964" s="51"/>
      <c r="M964" s="51"/>
      <c r="N964" s="51"/>
      <c r="O964" s="51"/>
      <c r="P964" s="51"/>
    </row>
    <row r="965" spans="11:16" x14ac:dyDescent="0.2">
      <c r="K965" s="51"/>
      <c r="L965" s="51"/>
      <c r="M965" s="51"/>
      <c r="N965" s="51"/>
      <c r="O965" s="51"/>
      <c r="P965" s="51"/>
    </row>
    <row r="966" spans="11:16" x14ac:dyDescent="0.2">
      <c r="K966" s="51"/>
      <c r="L966" s="51"/>
      <c r="M966" s="51"/>
      <c r="N966" s="51"/>
      <c r="O966" s="51"/>
      <c r="P966" s="51"/>
    </row>
    <row r="967" spans="11:16" x14ac:dyDescent="0.2">
      <c r="K967" s="51"/>
      <c r="L967" s="51"/>
      <c r="M967" s="51"/>
      <c r="N967" s="51"/>
      <c r="O967" s="51"/>
      <c r="P967" s="51"/>
    </row>
    <row r="968" spans="11:16" x14ac:dyDescent="0.2">
      <c r="K968" s="51"/>
      <c r="L968" s="51"/>
      <c r="M968" s="51"/>
      <c r="N968" s="51"/>
      <c r="O968" s="51"/>
      <c r="P968" s="51"/>
    </row>
    <row r="969" spans="11:16" x14ac:dyDescent="0.2">
      <c r="K969" s="51"/>
      <c r="L969" s="51"/>
      <c r="M969" s="51"/>
      <c r="N969" s="51"/>
      <c r="O969" s="51"/>
      <c r="P969" s="51"/>
    </row>
    <row r="970" spans="11:16" x14ac:dyDescent="0.2">
      <c r="K970" s="51"/>
      <c r="L970" s="51"/>
      <c r="M970" s="51"/>
      <c r="N970" s="51"/>
      <c r="O970" s="51"/>
      <c r="P970" s="51"/>
    </row>
    <row r="971" spans="11:16" x14ac:dyDescent="0.2">
      <c r="K971" s="51"/>
      <c r="L971" s="51"/>
      <c r="M971" s="51"/>
      <c r="N971" s="51"/>
      <c r="O971" s="51"/>
      <c r="P971" s="51"/>
    </row>
    <row r="972" spans="11:16" x14ac:dyDescent="0.2">
      <c r="K972" s="51"/>
      <c r="L972" s="51"/>
      <c r="M972" s="51"/>
      <c r="N972" s="51"/>
      <c r="O972" s="51"/>
      <c r="P972" s="51"/>
    </row>
    <row r="973" spans="11:16" x14ac:dyDescent="0.2">
      <c r="K973" s="51"/>
      <c r="L973" s="51"/>
      <c r="M973" s="51"/>
      <c r="N973" s="51"/>
      <c r="O973" s="51"/>
      <c r="P973" s="51"/>
    </row>
    <row r="974" spans="11:16" x14ac:dyDescent="0.2">
      <c r="K974" s="51"/>
      <c r="L974" s="51"/>
      <c r="M974" s="51"/>
      <c r="N974" s="51"/>
      <c r="O974" s="51"/>
      <c r="P974" s="51"/>
    </row>
    <row r="975" spans="11:16" x14ac:dyDescent="0.2">
      <c r="K975" s="51"/>
      <c r="L975" s="51"/>
      <c r="M975" s="51"/>
      <c r="N975" s="51"/>
      <c r="O975" s="51"/>
      <c r="P975" s="51"/>
    </row>
    <row r="976" spans="11:16" x14ac:dyDescent="0.2">
      <c r="K976" s="51"/>
      <c r="L976" s="51"/>
      <c r="M976" s="51"/>
      <c r="N976" s="51"/>
      <c r="O976" s="51"/>
      <c r="P976" s="51"/>
    </row>
    <row r="977" spans="11:16" x14ac:dyDescent="0.2">
      <c r="K977" s="51"/>
      <c r="L977" s="51"/>
      <c r="M977" s="51"/>
      <c r="N977" s="51"/>
      <c r="O977" s="51"/>
      <c r="P977" s="51"/>
    </row>
    <row r="978" spans="11:16" x14ac:dyDescent="0.2">
      <c r="K978" s="51"/>
      <c r="L978" s="51"/>
      <c r="M978" s="51"/>
      <c r="N978" s="51"/>
      <c r="O978" s="51"/>
      <c r="P978" s="51"/>
    </row>
    <row r="979" spans="11:16" x14ac:dyDescent="0.2">
      <c r="K979" s="51"/>
      <c r="L979" s="51"/>
      <c r="M979" s="51"/>
      <c r="N979" s="51"/>
      <c r="O979" s="51"/>
      <c r="P979" s="51"/>
    </row>
    <row r="980" spans="11:16" x14ac:dyDescent="0.2">
      <c r="K980" s="51"/>
      <c r="L980" s="51"/>
      <c r="M980" s="51"/>
      <c r="N980" s="51"/>
      <c r="O980" s="51"/>
      <c r="P980" s="51"/>
    </row>
    <row r="981" spans="11:16" x14ac:dyDescent="0.2">
      <c r="K981" s="51"/>
      <c r="L981" s="51"/>
      <c r="M981" s="51"/>
      <c r="N981" s="51"/>
      <c r="O981" s="51"/>
      <c r="P981" s="51"/>
    </row>
    <row r="982" spans="11:16" x14ac:dyDescent="0.2">
      <c r="K982" s="51"/>
      <c r="L982" s="51"/>
      <c r="M982" s="51"/>
      <c r="N982" s="51"/>
      <c r="O982" s="51"/>
      <c r="P982" s="51"/>
    </row>
    <row r="983" spans="11:16" x14ac:dyDescent="0.2">
      <c r="K983" s="51"/>
      <c r="L983" s="51"/>
      <c r="M983" s="51"/>
      <c r="N983" s="51"/>
      <c r="O983" s="51"/>
      <c r="P983" s="51"/>
    </row>
    <row r="984" spans="11:16" x14ac:dyDescent="0.2">
      <c r="K984" s="51"/>
      <c r="L984" s="51"/>
      <c r="M984" s="51"/>
      <c r="N984" s="51"/>
      <c r="O984" s="51"/>
      <c r="P984" s="51"/>
    </row>
    <row r="985" spans="11:16" x14ac:dyDescent="0.2">
      <c r="K985" s="51"/>
      <c r="L985" s="51"/>
      <c r="M985" s="51"/>
      <c r="N985" s="51"/>
      <c r="O985" s="51"/>
      <c r="P985" s="51"/>
    </row>
    <row r="986" spans="11:16" x14ac:dyDescent="0.2">
      <c r="K986" s="51"/>
      <c r="L986" s="51"/>
      <c r="M986" s="51"/>
      <c r="N986" s="51"/>
      <c r="O986" s="51"/>
      <c r="P986" s="51"/>
    </row>
    <row r="987" spans="11:16" x14ac:dyDescent="0.2">
      <c r="K987" s="51"/>
      <c r="L987" s="51"/>
      <c r="M987" s="51"/>
      <c r="N987" s="51"/>
      <c r="O987" s="51"/>
      <c r="P987" s="51"/>
    </row>
    <row r="988" spans="11:16" x14ac:dyDescent="0.2">
      <c r="K988" s="51"/>
      <c r="L988" s="51"/>
      <c r="M988" s="51"/>
      <c r="N988" s="51"/>
      <c r="O988" s="51"/>
      <c r="P988" s="51"/>
    </row>
    <row r="989" spans="11:16" x14ac:dyDescent="0.2">
      <c r="K989" s="51"/>
      <c r="L989" s="51"/>
      <c r="M989" s="51"/>
      <c r="N989" s="51"/>
      <c r="O989" s="51"/>
      <c r="P989" s="51"/>
    </row>
    <row r="990" spans="11:16" x14ac:dyDescent="0.2">
      <c r="K990" s="51"/>
      <c r="L990" s="51"/>
      <c r="M990" s="51"/>
      <c r="N990" s="51"/>
      <c r="O990" s="51"/>
      <c r="P990" s="51"/>
    </row>
    <row r="991" spans="11:16" x14ac:dyDescent="0.2">
      <c r="K991" s="51"/>
      <c r="L991" s="51"/>
      <c r="M991" s="51"/>
      <c r="N991" s="51"/>
      <c r="O991" s="51"/>
      <c r="P991" s="51"/>
    </row>
    <row r="992" spans="11:16" x14ac:dyDescent="0.2">
      <c r="K992" s="51"/>
      <c r="L992" s="51"/>
      <c r="M992" s="51"/>
      <c r="N992" s="51"/>
      <c r="O992" s="51"/>
      <c r="P992" s="51"/>
    </row>
    <row r="993" spans="11:16" x14ac:dyDescent="0.2">
      <c r="K993" s="51"/>
      <c r="L993" s="51"/>
      <c r="M993" s="51"/>
      <c r="N993" s="51"/>
      <c r="O993" s="51"/>
      <c r="P993" s="51"/>
    </row>
    <row r="994" spans="11:16" x14ac:dyDescent="0.2">
      <c r="K994" s="51"/>
      <c r="L994" s="51"/>
      <c r="M994" s="51"/>
      <c r="N994" s="51"/>
      <c r="O994" s="51"/>
      <c r="P994" s="51"/>
    </row>
    <row r="995" spans="11:16" x14ac:dyDescent="0.2">
      <c r="K995" s="51"/>
      <c r="L995" s="51"/>
      <c r="M995" s="51"/>
      <c r="N995" s="51"/>
      <c r="O995" s="51"/>
      <c r="P995" s="51"/>
    </row>
    <row r="996" spans="11:16" x14ac:dyDescent="0.2">
      <c r="K996" s="51"/>
      <c r="L996" s="51"/>
      <c r="M996" s="51"/>
      <c r="N996" s="51"/>
      <c r="O996" s="51"/>
      <c r="P996" s="51"/>
    </row>
    <row r="997" spans="11:16" x14ac:dyDescent="0.2">
      <c r="K997" s="51"/>
      <c r="L997" s="51"/>
      <c r="M997" s="51"/>
      <c r="N997" s="51"/>
      <c r="O997" s="51"/>
      <c r="P997" s="51"/>
    </row>
    <row r="998" spans="11:16" x14ac:dyDescent="0.2">
      <c r="K998" s="51"/>
      <c r="L998" s="51"/>
      <c r="M998" s="51"/>
      <c r="N998" s="51"/>
      <c r="O998" s="51"/>
      <c r="P998" s="51"/>
    </row>
    <row r="999" spans="11:16" x14ac:dyDescent="0.2">
      <c r="K999" s="51"/>
      <c r="L999" s="51"/>
      <c r="M999" s="51"/>
      <c r="N999" s="51"/>
      <c r="O999" s="51"/>
      <c r="P999" s="51"/>
    </row>
    <row r="1000" spans="11:16" x14ac:dyDescent="0.2">
      <c r="K1000" s="51"/>
      <c r="L1000" s="51"/>
      <c r="M1000" s="51"/>
      <c r="N1000" s="51"/>
      <c r="O1000" s="51"/>
      <c r="P1000" s="51"/>
    </row>
    <row r="1001" spans="11:16" x14ac:dyDescent="0.2">
      <c r="K1001" s="51"/>
      <c r="L1001" s="51"/>
      <c r="M1001" s="51"/>
      <c r="N1001" s="51"/>
      <c r="O1001" s="51"/>
      <c r="P1001" s="51"/>
    </row>
    <row r="1002" spans="11:16" x14ac:dyDescent="0.2">
      <c r="K1002" s="51"/>
      <c r="L1002" s="51"/>
      <c r="M1002" s="51"/>
      <c r="N1002" s="51"/>
      <c r="O1002" s="51"/>
      <c r="P1002" s="51"/>
    </row>
    <row r="1003" spans="11:16" x14ac:dyDescent="0.2">
      <c r="K1003" s="51"/>
      <c r="L1003" s="51"/>
      <c r="M1003" s="51"/>
      <c r="N1003" s="51"/>
      <c r="O1003" s="51"/>
      <c r="P1003" s="51"/>
    </row>
  </sheetData>
  <printOptions horizontalCentered="1"/>
  <pageMargins left="0.7" right="0.7" top="0.75" bottom="0.75" header="0.3" footer="0.3"/>
  <pageSetup scale="61" fitToHeight="6" orientation="portrait" useFirstPageNumber="1" r:id="rId1"/>
  <headerFooter scaleWithDoc="0">
    <oddHeader>&amp;R&amp;"Arial,Regular"&amp;10EXHIBIT RBH-2
Page &amp;P of 12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I524"/>
  <sheetViews>
    <sheetView view="pageLayout" zoomScaleNormal="100" zoomScaleSheetLayoutView="85" workbookViewId="0">
      <selection activeCell="P3" sqref="P3"/>
    </sheetView>
  </sheetViews>
  <sheetFormatPr defaultColWidth="10.42578125" defaultRowHeight="12.75" x14ac:dyDescent="0.2"/>
  <cols>
    <col min="1" max="1" width="4.7109375" style="29" customWidth="1"/>
    <col min="2" max="2" width="39.85546875" style="32" customWidth="1"/>
    <col min="3" max="3" width="13.42578125" style="87" customWidth="1"/>
    <col min="4" max="4" width="16.140625" style="32" customWidth="1"/>
    <col min="5" max="5" width="15.5703125" style="32" customWidth="1"/>
    <col min="6" max="6" width="13.28515625" style="32" bestFit="1" customWidth="1"/>
    <col min="7" max="7" width="10.85546875" style="32" bestFit="1" customWidth="1"/>
    <col min="8" max="8" width="10.5703125" style="32" bestFit="1" customWidth="1"/>
    <col min="9" max="10" width="14.42578125" style="32" customWidth="1"/>
    <col min="11" max="16384" width="10.42578125" style="32"/>
  </cols>
  <sheetData>
    <row r="1" spans="1:9" x14ac:dyDescent="0.2">
      <c r="B1" s="33"/>
      <c r="C1" s="33"/>
      <c r="D1" s="33"/>
      <c r="E1" s="33"/>
      <c r="F1" s="33"/>
      <c r="G1" s="33"/>
      <c r="H1" s="33"/>
      <c r="I1" s="33"/>
    </row>
    <row r="2" spans="1:9" x14ac:dyDescent="0.2">
      <c r="B2" s="30" t="s">
        <v>91</v>
      </c>
      <c r="C2" s="30"/>
      <c r="D2" s="30"/>
      <c r="E2" s="30"/>
      <c r="F2" s="30"/>
      <c r="G2" s="30"/>
      <c r="H2" s="30"/>
      <c r="I2" s="31"/>
    </row>
    <row r="3" spans="1:9" x14ac:dyDescent="0.2">
      <c r="B3" s="30" t="s">
        <v>1099</v>
      </c>
      <c r="C3" s="30"/>
      <c r="D3" s="30"/>
      <c r="E3" s="30"/>
      <c r="F3" s="30"/>
      <c r="G3" s="30"/>
      <c r="H3" s="30"/>
      <c r="I3" s="31"/>
    </row>
    <row r="4" spans="1:9" x14ac:dyDescent="0.2">
      <c r="B4" s="33"/>
      <c r="C4" s="33"/>
      <c r="D4" s="33"/>
      <c r="E4" s="33"/>
      <c r="F4" s="33"/>
      <c r="G4" s="33"/>
      <c r="H4" s="33"/>
      <c r="I4" s="33"/>
    </row>
    <row r="5" spans="1:9" x14ac:dyDescent="0.2">
      <c r="B5" s="35"/>
      <c r="C5" s="33"/>
      <c r="D5" s="36" t="s">
        <v>2</v>
      </c>
      <c r="E5" s="36" t="s">
        <v>3</v>
      </c>
      <c r="F5" s="36" t="s">
        <v>4</v>
      </c>
      <c r="G5" s="33"/>
      <c r="H5" s="33"/>
      <c r="I5" s="33"/>
    </row>
    <row r="6" spans="1:9" ht="39" customHeight="1" x14ac:dyDescent="0.2">
      <c r="B6" s="35"/>
      <c r="C6" s="33"/>
      <c r="D6" s="38" t="s">
        <v>93</v>
      </c>
      <c r="E6" s="38" t="s">
        <v>94</v>
      </c>
      <c r="F6" s="38" t="s">
        <v>95</v>
      </c>
      <c r="G6" s="33"/>
      <c r="H6" s="33"/>
      <c r="I6" s="33"/>
    </row>
    <row r="7" spans="1:9" x14ac:dyDescent="0.2">
      <c r="B7" s="35"/>
      <c r="C7" s="33"/>
      <c r="D7" s="39">
        <f>I512</f>
        <v>0.16747388687658851</v>
      </c>
      <c r="E7" s="323">
        <f>'RBH-4 CAPM'!C10</f>
        <v>3.0316666666666669E-2</v>
      </c>
      <c r="F7" s="39">
        <f>D7-E7</f>
        <v>0.13715722020992185</v>
      </c>
      <c r="G7" s="33"/>
      <c r="H7" s="33"/>
      <c r="I7" s="33"/>
    </row>
    <row r="8" spans="1:9" x14ac:dyDescent="0.2">
      <c r="B8" s="40"/>
      <c r="C8" s="35"/>
      <c r="D8" s="41"/>
      <c r="E8" s="42"/>
      <c r="F8" s="40"/>
      <c r="G8" s="35"/>
      <c r="H8" s="33"/>
      <c r="I8" s="33"/>
    </row>
    <row r="9" spans="1:9" x14ac:dyDescent="0.2">
      <c r="B9" s="35"/>
      <c r="C9" s="35"/>
      <c r="D9" s="35"/>
      <c r="E9" s="35"/>
      <c r="F9" s="35"/>
      <c r="G9" s="35"/>
      <c r="H9" s="35"/>
      <c r="I9" s="33"/>
    </row>
    <row r="10" spans="1:9" x14ac:dyDescent="0.2">
      <c r="B10" s="35"/>
      <c r="C10" s="35"/>
      <c r="D10" s="36" t="s">
        <v>5</v>
      </c>
      <c r="E10" s="36" t="s">
        <v>6</v>
      </c>
      <c r="F10" s="36" t="s">
        <v>7</v>
      </c>
      <c r="G10" s="36" t="s">
        <v>8</v>
      </c>
      <c r="H10" s="36" t="s">
        <v>9</v>
      </c>
      <c r="I10" s="43" t="s">
        <v>10</v>
      </c>
    </row>
    <row r="11" spans="1:9" s="46" customFormat="1" ht="25.5" x14ac:dyDescent="0.2">
      <c r="A11" s="44"/>
      <c r="B11" s="45" t="s">
        <v>13</v>
      </c>
      <c r="C11" s="45" t="s">
        <v>14</v>
      </c>
      <c r="D11" s="45" t="s">
        <v>96</v>
      </c>
      <c r="E11" s="45" t="s">
        <v>97</v>
      </c>
      <c r="F11" s="45" t="s">
        <v>98</v>
      </c>
      <c r="G11" s="45" t="s">
        <v>99</v>
      </c>
      <c r="H11" s="45" t="s">
        <v>100</v>
      </c>
      <c r="I11" s="45" t="s">
        <v>101</v>
      </c>
    </row>
    <row r="12" spans="1:9" ht="12.75" customHeight="1" x14ac:dyDescent="0.2">
      <c r="B12" s="65" t="s">
        <v>102</v>
      </c>
      <c r="C12" s="66" t="s">
        <v>103</v>
      </c>
      <c r="D12" s="67">
        <v>25036.14</v>
      </c>
      <c r="E12" s="68">
        <f t="shared" ref="E12:E75" si="0">IF(OR(H12="N/A",D12="N/A"),"N/A",D12/$D$512)</f>
        <v>1.1363596828983255E-3</v>
      </c>
      <c r="F12" s="68">
        <v>8.3999999999999995E-3</v>
      </c>
      <c r="G12" s="68">
        <v>9.5000000000000001E-2</v>
      </c>
      <c r="H12" s="49">
        <f t="shared" ref="H12:H75" si="1">IFERROR(F12*(1+0.5*G12)+G12,"N/A")</f>
        <v>0.103799</v>
      </c>
      <c r="I12" s="50">
        <f t="shared" ref="I12:I75" si="2">IF(AND(ISNUMBER(D12),ISNUMBER(H12)),E12*H12,"N/A")</f>
        <v>1.1795299872516329E-4</v>
      </c>
    </row>
    <row r="13" spans="1:9" x14ac:dyDescent="0.2">
      <c r="B13" s="65" t="s">
        <v>105</v>
      </c>
      <c r="C13" s="66" t="s">
        <v>106</v>
      </c>
      <c r="D13" s="67">
        <v>14839.21</v>
      </c>
      <c r="E13" s="68">
        <f t="shared" si="0"/>
        <v>6.735335387188945E-4</v>
      </c>
      <c r="F13" s="68">
        <v>1.24E-2</v>
      </c>
      <c r="G13" s="68">
        <v>0.01</v>
      </c>
      <c r="H13" s="49">
        <f t="shared" si="1"/>
        <v>2.2461999999999996E-2</v>
      </c>
      <c r="I13" s="50">
        <f t="shared" si="2"/>
        <v>1.5128910346703805E-5</v>
      </c>
    </row>
    <row r="14" spans="1:9" x14ac:dyDescent="0.2">
      <c r="B14" s="65" t="s">
        <v>107</v>
      </c>
      <c r="C14" s="66" t="s">
        <v>108</v>
      </c>
      <c r="D14" s="67">
        <v>11235.15</v>
      </c>
      <c r="E14" s="68">
        <f t="shared" si="0"/>
        <v>5.0994967640040053E-4</v>
      </c>
      <c r="F14" s="68">
        <v>1.6000000000000001E-3</v>
      </c>
      <c r="G14" s="68">
        <v>0.13</v>
      </c>
      <c r="H14" s="49">
        <f t="shared" si="1"/>
        <v>0.13170400000000002</v>
      </c>
      <c r="I14" s="50">
        <f t="shared" si="2"/>
        <v>6.7162412180638353E-5</v>
      </c>
    </row>
    <row r="15" spans="1:9" x14ac:dyDescent="0.2">
      <c r="B15" s="65" t="s">
        <v>109</v>
      </c>
      <c r="C15" s="66" t="s">
        <v>110</v>
      </c>
      <c r="D15" s="67">
        <v>815891</v>
      </c>
      <c r="E15" s="68">
        <f t="shared" si="0"/>
        <v>3.7032291640787987E-2</v>
      </c>
      <c r="F15" s="68">
        <v>1.8700000000000001E-2</v>
      </c>
      <c r="G15" s="68">
        <v>0.17499999999999999</v>
      </c>
      <c r="H15" s="49">
        <f t="shared" si="1"/>
        <v>0.19533624999999999</v>
      </c>
      <c r="I15" s="50">
        <f t="shared" si="2"/>
        <v>7.2337489780178723E-3</v>
      </c>
    </row>
    <row r="16" spans="1:9" x14ac:dyDescent="0.2">
      <c r="B16" s="65" t="s">
        <v>111</v>
      </c>
      <c r="C16" s="66" t="s">
        <v>112</v>
      </c>
      <c r="D16" s="67">
        <v>117685.5</v>
      </c>
      <c r="E16" s="68">
        <f t="shared" si="0"/>
        <v>5.3416004808141716E-3</v>
      </c>
      <c r="F16" s="68">
        <v>5.4699999999999999E-2</v>
      </c>
      <c r="G16" s="68">
        <v>0.14499999999999999</v>
      </c>
      <c r="H16" s="49">
        <f t="shared" si="1"/>
        <v>0.20366574999999998</v>
      </c>
      <c r="I16" s="50">
        <f t="shared" si="2"/>
        <v>1.0879010681253787E-3</v>
      </c>
    </row>
    <row r="17" spans="2:9" x14ac:dyDescent="0.2">
      <c r="B17" s="65" t="s">
        <v>113</v>
      </c>
      <c r="C17" s="66" t="s">
        <v>114</v>
      </c>
      <c r="D17" s="67">
        <v>16107.54</v>
      </c>
      <c r="E17" s="68">
        <f t="shared" si="0"/>
        <v>7.3110148156513332E-4</v>
      </c>
      <c r="F17" s="68">
        <v>2.1000000000000001E-2</v>
      </c>
      <c r="G17" s="68">
        <v>0.08</v>
      </c>
      <c r="H17" s="49">
        <f t="shared" si="1"/>
        <v>0.10184</v>
      </c>
      <c r="I17" s="50">
        <f t="shared" si="2"/>
        <v>7.445537488259318E-5</v>
      </c>
    </row>
    <row r="18" spans="2:9" x14ac:dyDescent="0.2">
      <c r="B18" s="65" t="s">
        <v>115</v>
      </c>
      <c r="C18" s="66" t="s">
        <v>116</v>
      </c>
      <c r="D18" s="67">
        <v>14302.31</v>
      </c>
      <c r="E18" s="68">
        <f t="shared" si="0"/>
        <v>6.4916430633130953E-4</v>
      </c>
      <c r="F18" s="68">
        <v>0</v>
      </c>
      <c r="G18" s="68">
        <v>0.245</v>
      </c>
      <c r="H18" s="49">
        <f t="shared" si="1"/>
        <v>0.245</v>
      </c>
      <c r="I18" s="50">
        <f t="shared" si="2"/>
        <v>1.5904525505117082E-4</v>
      </c>
    </row>
    <row r="19" spans="2:9" x14ac:dyDescent="0.2">
      <c r="B19" s="65" t="s">
        <v>118</v>
      </c>
      <c r="C19" s="66" t="s">
        <v>119</v>
      </c>
      <c r="D19" s="67">
        <v>134886.39999999999</v>
      </c>
      <c r="E19" s="68">
        <f t="shared" si="0"/>
        <v>6.1223282315603245E-3</v>
      </c>
      <c r="F19" s="68">
        <v>1.67E-2</v>
      </c>
      <c r="G19" s="68">
        <v>0.1</v>
      </c>
      <c r="H19" s="49">
        <f t="shared" si="1"/>
        <v>0.117535</v>
      </c>
      <c r="I19" s="50">
        <f t="shared" si="2"/>
        <v>7.1958784869644271E-4</v>
      </c>
    </row>
    <row r="20" spans="2:9" x14ac:dyDescent="0.2">
      <c r="B20" s="65" t="s">
        <v>120</v>
      </c>
      <c r="C20" s="66" t="s">
        <v>121</v>
      </c>
      <c r="D20" s="67">
        <v>103264.5</v>
      </c>
      <c r="E20" s="68">
        <f t="shared" si="0"/>
        <v>4.6870489809792623E-3</v>
      </c>
      <c r="F20" s="68">
        <v>1.89E-2</v>
      </c>
      <c r="G20" s="68">
        <v>9.5000000000000001E-2</v>
      </c>
      <c r="H20" s="49">
        <f t="shared" si="1"/>
        <v>0.11479775</v>
      </c>
      <c r="I20" s="50">
        <f t="shared" si="2"/>
        <v>5.3806267715621214E-4</v>
      </c>
    </row>
    <row r="21" spans="2:9" x14ac:dyDescent="0.2">
      <c r="B21" s="65" t="s">
        <v>122</v>
      </c>
      <c r="C21" s="66" t="s">
        <v>123</v>
      </c>
      <c r="D21" s="67">
        <v>124578.4</v>
      </c>
      <c r="E21" s="68">
        <f t="shared" si="0"/>
        <v>5.6544607563298798E-3</v>
      </c>
      <c r="F21" s="68">
        <v>0</v>
      </c>
      <c r="G21" s="68">
        <v>0.22</v>
      </c>
      <c r="H21" s="49">
        <f t="shared" si="1"/>
        <v>0.22</v>
      </c>
      <c r="I21" s="50">
        <f t="shared" si="2"/>
        <v>1.2439813663925735E-3</v>
      </c>
    </row>
    <row r="22" spans="2:9" x14ac:dyDescent="0.2">
      <c r="B22" s="65" t="s">
        <v>124</v>
      </c>
      <c r="C22" s="66" t="s">
        <v>125</v>
      </c>
      <c r="D22" s="67">
        <v>38923.42</v>
      </c>
      <c r="E22" s="68">
        <f t="shared" si="0"/>
        <v>1.7666862866447602E-3</v>
      </c>
      <c r="F22" s="68">
        <v>2.0400000000000001E-2</v>
      </c>
      <c r="G22" s="68">
        <v>0.105</v>
      </c>
      <c r="H22" s="49">
        <f t="shared" si="1"/>
        <v>0.126471</v>
      </c>
      <c r="I22" s="50">
        <f t="shared" si="2"/>
        <v>2.2343458135824947E-4</v>
      </c>
    </row>
    <row r="23" spans="2:9" x14ac:dyDescent="0.2">
      <c r="B23" s="65" t="s">
        <v>126</v>
      </c>
      <c r="C23" s="66" t="s">
        <v>127</v>
      </c>
      <c r="D23" s="67">
        <v>23615.200000000001</v>
      </c>
      <c r="E23" s="68">
        <f t="shared" si="0"/>
        <v>1.0718649593579738E-3</v>
      </c>
      <c r="F23" s="68">
        <v>3.32E-2</v>
      </c>
      <c r="G23" s="68">
        <v>9.5000000000000001E-2</v>
      </c>
      <c r="H23" s="49">
        <f t="shared" si="1"/>
        <v>0.129777</v>
      </c>
      <c r="I23" s="50">
        <f t="shared" si="2"/>
        <v>1.3910341883059977E-4</v>
      </c>
    </row>
    <row r="24" spans="2:9" x14ac:dyDescent="0.2">
      <c r="B24" s="65" t="s">
        <v>128</v>
      </c>
      <c r="C24" s="66" t="s">
        <v>129</v>
      </c>
      <c r="D24" s="67">
        <v>65613.210000000006</v>
      </c>
      <c r="E24" s="68">
        <f t="shared" si="0"/>
        <v>2.9781031145193013E-3</v>
      </c>
      <c r="F24" s="68">
        <v>2.23E-2</v>
      </c>
      <c r="G24" s="68">
        <v>0.15</v>
      </c>
      <c r="H24" s="49">
        <f t="shared" si="1"/>
        <v>0.1739725</v>
      </c>
      <c r="I24" s="50">
        <f t="shared" si="2"/>
        <v>5.1810804409070915E-4</v>
      </c>
    </row>
    <row r="25" spans="2:9" x14ac:dyDescent="0.2">
      <c r="B25" s="65" t="s">
        <v>130</v>
      </c>
      <c r="C25" s="66" t="s">
        <v>131</v>
      </c>
      <c r="D25" s="67">
        <v>9043.9500000000007</v>
      </c>
      <c r="E25" s="68">
        <f t="shared" si="0"/>
        <v>4.1049379633395218E-4</v>
      </c>
      <c r="F25" s="68">
        <v>1.52E-2</v>
      </c>
      <c r="G25" s="68">
        <v>0.13500000000000001</v>
      </c>
      <c r="H25" s="49">
        <f t="shared" si="1"/>
        <v>0.151226</v>
      </c>
      <c r="I25" s="50">
        <f t="shared" si="2"/>
        <v>6.2077334844398257E-5</v>
      </c>
    </row>
    <row r="26" spans="2:9" x14ac:dyDescent="0.2">
      <c r="B26" s="69" t="s">
        <v>132</v>
      </c>
      <c r="C26" s="70" t="s">
        <v>133</v>
      </c>
      <c r="D26" s="71">
        <v>33458</v>
      </c>
      <c r="E26" s="68" t="str">
        <f t="shared" si="0"/>
        <v>N/A</v>
      </c>
      <c r="F26" s="72">
        <v>0</v>
      </c>
      <c r="G26" s="72" t="s">
        <v>104</v>
      </c>
      <c r="H26" s="49" t="str">
        <f t="shared" si="1"/>
        <v>N/A</v>
      </c>
      <c r="I26" s="50" t="str">
        <f t="shared" si="2"/>
        <v>N/A</v>
      </c>
    </row>
    <row r="27" spans="2:9" x14ac:dyDescent="0.2">
      <c r="B27" s="69" t="s">
        <v>134</v>
      </c>
      <c r="C27" s="70" t="s">
        <v>32</v>
      </c>
      <c r="D27" s="71">
        <v>17413.29</v>
      </c>
      <c r="E27" s="68">
        <f t="shared" si="0"/>
        <v>7.9036787230845435E-4</v>
      </c>
      <c r="F27" s="72">
        <v>2.75E-2</v>
      </c>
      <c r="G27" s="72">
        <v>6.5000000000000002E-2</v>
      </c>
      <c r="H27" s="49">
        <f t="shared" si="1"/>
        <v>9.3393749999999998E-2</v>
      </c>
      <c r="I27" s="50">
        <f t="shared" si="2"/>
        <v>7.3815419474407707E-5</v>
      </c>
    </row>
    <row r="28" spans="2:9" x14ac:dyDescent="0.2">
      <c r="B28" s="69" t="s">
        <v>135</v>
      </c>
      <c r="C28" s="70" t="s">
        <v>33</v>
      </c>
      <c r="D28" s="71">
        <v>40174.800000000003</v>
      </c>
      <c r="E28" s="68">
        <f t="shared" si="0"/>
        <v>1.8234848897834754E-3</v>
      </c>
      <c r="F28" s="72">
        <v>3.39E-2</v>
      </c>
      <c r="G28" s="72">
        <v>0.04</v>
      </c>
      <c r="H28" s="49">
        <f t="shared" si="1"/>
        <v>7.4578000000000005E-2</v>
      </c>
      <c r="I28" s="50">
        <f t="shared" si="2"/>
        <v>1.3599185611027205E-4</v>
      </c>
    </row>
    <row r="29" spans="2:9" x14ac:dyDescent="0.2">
      <c r="B29" s="69" t="s">
        <v>136</v>
      </c>
      <c r="C29" s="70" t="s">
        <v>137</v>
      </c>
      <c r="D29" s="71">
        <v>11702.79</v>
      </c>
      <c r="E29" s="68" t="str">
        <f t="shared" si="0"/>
        <v>N/A</v>
      </c>
      <c r="F29" s="72">
        <v>3.1099999999999999E-2</v>
      </c>
      <c r="G29" s="72" t="s">
        <v>104</v>
      </c>
      <c r="H29" s="49" t="str">
        <f t="shared" si="1"/>
        <v>N/A</v>
      </c>
      <c r="I29" s="50" t="str">
        <f t="shared" si="2"/>
        <v>N/A</v>
      </c>
    </row>
    <row r="30" spans="2:9" x14ac:dyDescent="0.2">
      <c r="B30" s="69" t="s">
        <v>138</v>
      </c>
      <c r="C30" s="70" t="s">
        <v>139</v>
      </c>
      <c r="D30" s="71">
        <v>36729.550000000003</v>
      </c>
      <c r="E30" s="68">
        <f t="shared" si="0"/>
        <v>1.6671092185535871E-3</v>
      </c>
      <c r="F30" s="72">
        <v>2.3E-2</v>
      </c>
      <c r="G30" s="72">
        <v>8.5000000000000006E-2</v>
      </c>
      <c r="H30" s="49">
        <f t="shared" si="1"/>
        <v>0.1089775</v>
      </c>
      <c r="I30" s="50">
        <f t="shared" si="2"/>
        <v>1.8167739486492354E-4</v>
      </c>
    </row>
    <row r="31" spans="2:9" x14ac:dyDescent="0.2">
      <c r="B31" s="69" t="s">
        <v>140</v>
      </c>
      <c r="C31" s="70" t="s">
        <v>141</v>
      </c>
      <c r="D31" s="71">
        <v>48219.6</v>
      </c>
      <c r="E31" s="68">
        <f t="shared" si="0"/>
        <v>2.1886284932694936E-3</v>
      </c>
      <c r="F31" s="72">
        <v>2.07E-2</v>
      </c>
      <c r="G31" s="72">
        <v>4.4999999999999998E-2</v>
      </c>
      <c r="H31" s="49">
        <f t="shared" si="1"/>
        <v>6.6165749999999995E-2</v>
      </c>
      <c r="I31" s="50">
        <f t="shared" si="2"/>
        <v>1.4481224572854599E-4</v>
      </c>
    </row>
    <row r="32" spans="2:9" x14ac:dyDescent="0.2">
      <c r="B32" s="69" t="s">
        <v>142</v>
      </c>
      <c r="C32" s="70" t="s">
        <v>143</v>
      </c>
      <c r="D32" s="71">
        <v>36987.129999999997</v>
      </c>
      <c r="E32" s="68">
        <f t="shared" si="0"/>
        <v>1.6788004587815512E-3</v>
      </c>
      <c r="F32" s="72">
        <v>3.0600000000000002E-2</v>
      </c>
      <c r="G32" s="72">
        <v>0.52</v>
      </c>
      <c r="H32" s="49">
        <f t="shared" si="1"/>
        <v>0.55855600000000005</v>
      </c>
      <c r="I32" s="50">
        <f t="shared" si="2"/>
        <v>9.3770406905518825E-4</v>
      </c>
    </row>
    <row r="33" spans="2:9" x14ac:dyDescent="0.2">
      <c r="B33" s="69" t="s">
        <v>144</v>
      </c>
      <c r="C33" s="70" t="s">
        <v>145</v>
      </c>
      <c r="D33" s="71">
        <v>7526.18</v>
      </c>
      <c r="E33" s="68">
        <f t="shared" si="0"/>
        <v>3.4160407787445354E-4</v>
      </c>
      <c r="F33" s="72">
        <v>3.2599999999999997E-2</v>
      </c>
      <c r="G33" s="72">
        <v>5.5E-2</v>
      </c>
      <c r="H33" s="49">
        <f t="shared" si="1"/>
        <v>8.8496500000000006E-2</v>
      </c>
      <c r="I33" s="50">
        <f t="shared" si="2"/>
        <v>3.0230765277616579E-5</v>
      </c>
    </row>
    <row r="34" spans="2:9" x14ac:dyDescent="0.2">
      <c r="B34" s="69" t="s">
        <v>146</v>
      </c>
      <c r="C34" s="70" t="s">
        <v>147</v>
      </c>
      <c r="D34" s="71">
        <v>6259.43</v>
      </c>
      <c r="E34" s="68">
        <f t="shared" si="0"/>
        <v>2.8410784929003703E-4</v>
      </c>
      <c r="F34" s="72">
        <v>2.3900000000000001E-2</v>
      </c>
      <c r="G34" s="72">
        <v>7.4999999999999997E-2</v>
      </c>
      <c r="H34" s="49">
        <f t="shared" si="1"/>
        <v>9.9796250000000003E-2</v>
      </c>
      <c r="I34" s="50">
        <f t="shared" si="2"/>
        <v>2.8352897954710858E-5</v>
      </c>
    </row>
    <row r="35" spans="2:9" x14ac:dyDescent="0.2">
      <c r="B35" s="69" t="s">
        <v>148</v>
      </c>
      <c r="C35" s="70" t="s">
        <v>149</v>
      </c>
      <c r="D35" s="71">
        <v>14372.69</v>
      </c>
      <c r="E35" s="68">
        <f t="shared" si="0"/>
        <v>6.5235876819653255E-4</v>
      </c>
      <c r="F35" s="72">
        <v>2.2000000000000002E-2</v>
      </c>
      <c r="G35" s="72">
        <v>0.17</v>
      </c>
      <c r="H35" s="49">
        <f t="shared" si="1"/>
        <v>0.19387000000000001</v>
      </c>
      <c r="I35" s="50">
        <f t="shared" si="2"/>
        <v>1.2647279439026177E-4</v>
      </c>
    </row>
    <row r="36" spans="2:9" x14ac:dyDescent="0.2">
      <c r="B36" s="69" t="s">
        <v>150</v>
      </c>
      <c r="C36" s="70" t="s">
        <v>151</v>
      </c>
      <c r="D36" s="71">
        <v>11972.36</v>
      </c>
      <c r="E36" s="68">
        <f t="shared" si="0"/>
        <v>5.4341073396875874E-4</v>
      </c>
      <c r="F36" s="72">
        <v>0</v>
      </c>
      <c r="G36" s="72">
        <v>0.17499999999999999</v>
      </c>
      <c r="H36" s="49">
        <f t="shared" si="1"/>
        <v>0.17499999999999999</v>
      </c>
      <c r="I36" s="50">
        <f t="shared" si="2"/>
        <v>9.5096878444532771E-5</v>
      </c>
    </row>
    <row r="37" spans="2:9" x14ac:dyDescent="0.2">
      <c r="B37" s="69" t="s">
        <v>152</v>
      </c>
      <c r="C37" s="70" t="s">
        <v>153</v>
      </c>
      <c r="D37" s="71">
        <v>8983.42</v>
      </c>
      <c r="E37" s="68">
        <f t="shared" si="0"/>
        <v>4.0774641388578579E-4</v>
      </c>
      <c r="F37" s="72">
        <v>1.7399999999999999E-2</v>
      </c>
      <c r="G37" s="72">
        <v>8.5000000000000006E-2</v>
      </c>
      <c r="H37" s="49">
        <f t="shared" si="1"/>
        <v>0.10313950000000001</v>
      </c>
      <c r="I37" s="50">
        <f t="shared" si="2"/>
        <v>4.2054761254973007E-5</v>
      </c>
    </row>
    <row r="38" spans="2:9" x14ac:dyDescent="0.2">
      <c r="B38" s="69" t="s">
        <v>154</v>
      </c>
      <c r="C38" s="70" t="s">
        <v>155</v>
      </c>
      <c r="D38" s="71">
        <v>18773.59</v>
      </c>
      <c r="E38" s="68">
        <f t="shared" si="0"/>
        <v>8.5211022063557632E-4</v>
      </c>
      <c r="F38" s="72">
        <v>0</v>
      </c>
      <c r="G38" s="72">
        <v>0.28499999999999998</v>
      </c>
      <c r="H38" s="49">
        <f t="shared" si="1"/>
        <v>0.28499999999999998</v>
      </c>
      <c r="I38" s="50">
        <f t="shared" si="2"/>
        <v>2.4285141288113923E-4</v>
      </c>
    </row>
    <row r="39" spans="2:9" x14ac:dyDescent="0.2">
      <c r="B39" s="69" t="s">
        <v>156</v>
      </c>
      <c r="C39" s="70" t="s">
        <v>157</v>
      </c>
      <c r="D39" s="71">
        <v>6902.05</v>
      </c>
      <c r="E39" s="68">
        <f t="shared" si="0"/>
        <v>3.1327558279145221E-4</v>
      </c>
      <c r="F39" s="72">
        <v>2.5000000000000001E-2</v>
      </c>
      <c r="G39" s="72">
        <v>3.5000000000000003E-2</v>
      </c>
      <c r="H39" s="49">
        <f t="shared" si="1"/>
        <v>6.0437500000000005E-2</v>
      </c>
      <c r="I39" s="50">
        <f t="shared" si="2"/>
        <v>1.8933593034958393E-5</v>
      </c>
    </row>
    <row r="40" spans="2:9" x14ac:dyDescent="0.2">
      <c r="B40" s="69" t="s">
        <v>158</v>
      </c>
      <c r="C40" s="70" t="s">
        <v>159</v>
      </c>
      <c r="D40" s="71">
        <v>32167.8</v>
      </c>
      <c r="E40" s="68">
        <f t="shared" si="0"/>
        <v>1.4600569819283947E-3</v>
      </c>
      <c r="F40" s="72">
        <v>2.1499999999999998E-2</v>
      </c>
      <c r="G40" s="72">
        <v>0.115</v>
      </c>
      <c r="H40" s="49">
        <f t="shared" si="1"/>
        <v>0.13773625</v>
      </c>
      <c r="I40" s="50">
        <f t="shared" si="2"/>
        <v>2.0110277347713487E-4</v>
      </c>
    </row>
    <row r="41" spans="2:9" x14ac:dyDescent="0.2">
      <c r="B41" s="69" t="s">
        <v>160</v>
      </c>
      <c r="C41" s="70" t="s">
        <v>161</v>
      </c>
      <c r="D41" s="71">
        <v>8325.2199999999993</v>
      </c>
      <c r="E41" s="68">
        <f t="shared" si="0"/>
        <v>3.778715232962748E-4</v>
      </c>
      <c r="F41" s="72">
        <v>1.23E-2</v>
      </c>
      <c r="G41" s="72">
        <v>0.105</v>
      </c>
      <c r="H41" s="49">
        <f t="shared" si="1"/>
        <v>0.11794575</v>
      </c>
      <c r="I41" s="50">
        <f t="shared" si="2"/>
        <v>4.4568340218821605E-5</v>
      </c>
    </row>
    <row r="42" spans="2:9" x14ac:dyDescent="0.2">
      <c r="B42" s="69" t="s">
        <v>162</v>
      </c>
      <c r="C42" s="70" t="s">
        <v>163</v>
      </c>
      <c r="D42" s="71">
        <v>28594.73</v>
      </c>
      <c r="E42" s="68">
        <f t="shared" si="0"/>
        <v>1.2978797176946303E-3</v>
      </c>
      <c r="F42" s="72">
        <v>0</v>
      </c>
      <c r="G42" s="72">
        <v>0.245</v>
      </c>
      <c r="H42" s="49">
        <f t="shared" si="1"/>
        <v>0.245</v>
      </c>
      <c r="I42" s="50">
        <f t="shared" si="2"/>
        <v>3.1798053083518444E-4</v>
      </c>
    </row>
    <row r="43" spans="2:9" x14ac:dyDescent="0.2">
      <c r="B43" s="69" t="s">
        <v>164</v>
      </c>
      <c r="C43" s="70" t="s">
        <v>165</v>
      </c>
      <c r="D43" s="71">
        <v>35668.699999999997</v>
      </c>
      <c r="E43" s="68">
        <f t="shared" si="0"/>
        <v>1.6189585383927197E-3</v>
      </c>
      <c r="F43" s="72">
        <v>2.1299999999999999E-2</v>
      </c>
      <c r="G43" s="72">
        <v>0.19</v>
      </c>
      <c r="H43" s="49">
        <f t="shared" si="1"/>
        <v>0.2133235</v>
      </c>
      <c r="I43" s="50">
        <f t="shared" si="2"/>
        <v>3.4536190176481937E-4</v>
      </c>
    </row>
    <row r="44" spans="2:9" x14ac:dyDescent="0.2">
      <c r="B44" s="69" t="s">
        <v>166</v>
      </c>
      <c r="C44" s="70" t="s">
        <v>167</v>
      </c>
      <c r="D44" s="71">
        <v>22190.400000000001</v>
      </c>
      <c r="E44" s="68" t="str">
        <f t="shared" si="0"/>
        <v>N/A</v>
      </c>
      <c r="F44" s="72">
        <v>0</v>
      </c>
      <c r="G44" s="72" t="s">
        <v>104</v>
      </c>
      <c r="H44" s="49" t="str">
        <f t="shared" si="1"/>
        <v>N/A</v>
      </c>
      <c r="I44" s="50" t="str">
        <f t="shared" si="2"/>
        <v>N/A</v>
      </c>
    </row>
    <row r="45" spans="2:9" x14ac:dyDescent="0.2">
      <c r="B45" s="69" t="s">
        <v>168</v>
      </c>
      <c r="C45" s="70" t="s">
        <v>169</v>
      </c>
      <c r="D45" s="71">
        <v>18320.91</v>
      </c>
      <c r="E45" s="68">
        <f t="shared" si="0"/>
        <v>8.3156363073575898E-4</v>
      </c>
      <c r="F45" s="72">
        <v>7.0999999999999995E-3</v>
      </c>
      <c r="G45" s="72">
        <v>0.105</v>
      </c>
      <c r="H45" s="49">
        <f t="shared" si="1"/>
        <v>0.11247275</v>
      </c>
      <c r="I45" s="50">
        <f t="shared" si="2"/>
        <v>9.3528248348835328E-5</v>
      </c>
    </row>
    <row r="46" spans="2:9" x14ac:dyDescent="0.2">
      <c r="B46" s="69" t="s">
        <v>170</v>
      </c>
      <c r="C46" s="70" t="s">
        <v>171</v>
      </c>
      <c r="D46" s="71">
        <v>6061.77</v>
      </c>
      <c r="E46" s="68">
        <f t="shared" si="0"/>
        <v>2.7513630435852269E-4</v>
      </c>
      <c r="F46" s="72">
        <v>1.54E-2</v>
      </c>
      <c r="G46" s="72">
        <v>6.5000000000000002E-2</v>
      </c>
      <c r="H46" s="49">
        <f t="shared" si="1"/>
        <v>8.09005E-2</v>
      </c>
      <c r="I46" s="50">
        <f t="shared" si="2"/>
        <v>2.2258664590756667E-5</v>
      </c>
    </row>
    <row r="47" spans="2:9" x14ac:dyDescent="0.2">
      <c r="B47" s="69" t="s">
        <v>172</v>
      </c>
      <c r="C47" s="70" t="s">
        <v>173</v>
      </c>
      <c r="D47" s="71">
        <v>114247.2</v>
      </c>
      <c r="E47" s="68">
        <f t="shared" si="0"/>
        <v>5.1855402615587545E-3</v>
      </c>
      <c r="F47" s="72">
        <v>3.2199999999999999E-2</v>
      </c>
      <c r="G47" s="72">
        <v>7.0000000000000007E-2</v>
      </c>
      <c r="H47" s="49">
        <f t="shared" si="1"/>
        <v>0.103327</v>
      </c>
      <c r="I47" s="50">
        <f t="shared" si="2"/>
        <v>5.358063186060814E-4</v>
      </c>
    </row>
    <row r="48" spans="2:9" x14ac:dyDescent="0.2">
      <c r="B48" s="69" t="s">
        <v>174</v>
      </c>
      <c r="C48" s="70" t="s">
        <v>175</v>
      </c>
      <c r="D48" s="71">
        <v>17464.919999999998</v>
      </c>
      <c r="E48" s="68">
        <f t="shared" si="0"/>
        <v>7.9271129467420396E-4</v>
      </c>
      <c r="F48" s="72">
        <v>2.8799999999999999E-2</v>
      </c>
      <c r="G48" s="72">
        <v>0.16</v>
      </c>
      <c r="H48" s="49">
        <f t="shared" si="1"/>
        <v>0.191104</v>
      </c>
      <c r="I48" s="50">
        <f t="shared" si="2"/>
        <v>1.5149029925741906E-4</v>
      </c>
    </row>
    <row r="49" spans="2:9" x14ac:dyDescent="0.2">
      <c r="B49" s="69" t="s">
        <v>176</v>
      </c>
      <c r="C49" s="70" t="s">
        <v>177</v>
      </c>
      <c r="D49" s="71">
        <v>80110.86</v>
      </c>
      <c r="E49" s="68">
        <f t="shared" si="0"/>
        <v>3.6361336638280565E-3</v>
      </c>
      <c r="F49" s="72">
        <v>1.9599999999999999E-2</v>
      </c>
      <c r="G49" s="72">
        <v>9.5000000000000001E-2</v>
      </c>
      <c r="H49" s="49">
        <f t="shared" si="1"/>
        <v>0.11553099999999999</v>
      </c>
      <c r="I49" s="50">
        <f t="shared" si="2"/>
        <v>4.2008615831571917E-4</v>
      </c>
    </row>
    <row r="50" spans="2:9" x14ac:dyDescent="0.2">
      <c r="B50" s="69" t="s">
        <v>178</v>
      </c>
      <c r="C50" s="70" t="s">
        <v>179</v>
      </c>
      <c r="D50" s="71">
        <v>795089.5</v>
      </c>
      <c r="E50" s="68">
        <f t="shared" si="0"/>
        <v>3.608813707287898E-2</v>
      </c>
      <c r="F50" s="72">
        <v>0</v>
      </c>
      <c r="G50" s="72">
        <v>0.56999999999999995</v>
      </c>
      <c r="H50" s="49">
        <f t="shared" si="1"/>
        <v>0.56999999999999995</v>
      </c>
      <c r="I50" s="50">
        <f t="shared" si="2"/>
        <v>2.0570238131541015E-2</v>
      </c>
    </row>
    <row r="51" spans="2:9" x14ac:dyDescent="0.2">
      <c r="B51" s="69" t="s">
        <v>180</v>
      </c>
      <c r="C51" s="70" t="s">
        <v>181</v>
      </c>
      <c r="D51" s="71">
        <v>20825.810000000001</v>
      </c>
      <c r="E51" s="68">
        <f t="shared" si="0"/>
        <v>9.4525796898806212E-4</v>
      </c>
      <c r="F51" s="72">
        <v>0</v>
      </c>
      <c r="G51" s="72">
        <v>0.19</v>
      </c>
      <c r="H51" s="49">
        <f t="shared" si="1"/>
        <v>0.19</v>
      </c>
      <c r="I51" s="50">
        <f t="shared" si="2"/>
        <v>1.7959901410773181E-4</v>
      </c>
    </row>
    <row r="52" spans="2:9" x14ac:dyDescent="0.2">
      <c r="B52" s="69" t="s">
        <v>182</v>
      </c>
      <c r="C52" s="70" t="s">
        <v>183</v>
      </c>
      <c r="D52" s="71">
        <v>15022.29</v>
      </c>
      <c r="E52" s="68">
        <f t="shared" si="0"/>
        <v>6.8184331533561841E-4</v>
      </c>
      <c r="F52" s="72">
        <v>0</v>
      </c>
      <c r="G52" s="72">
        <v>0.13</v>
      </c>
      <c r="H52" s="49">
        <f t="shared" si="1"/>
        <v>0.13</v>
      </c>
      <c r="I52" s="50">
        <f t="shared" si="2"/>
        <v>8.8639630993630396E-5</v>
      </c>
    </row>
    <row r="53" spans="2:9" x14ac:dyDescent="0.2">
      <c r="B53" s="69" t="s">
        <v>184</v>
      </c>
      <c r="C53" s="70" t="s">
        <v>185</v>
      </c>
      <c r="D53" s="71">
        <v>75010.34</v>
      </c>
      <c r="E53" s="68">
        <f t="shared" si="0"/>
        <v>3.4046273178091986E-3</v>
      </c>
      <c r="F53" s="72">
        <v>1.1000000000000001E-2</v>
      </c>
      <c r="G53" s="72">
        <v>0.18</v>
      </c>
      <c r="H53" s="49">
        <f t="shared" si="1"/>
        <v>0.19198999999999999</v>
      </c>
      <c r="I53" s="50">
        <f t="shared" si="2"/>
        <v>6.5365439874618802E-4</v>
      </c>
    </row>
    <row r="54" spans="2:9" x14ac:dyDescent="0.2">
      <c r="B54" s="69" t="s">
        <v>186</v>
      </c>
      <c r="C54" s="70" t="s">
        <v>187</v>
      </c>
      <c r="D54" s="71">
        <v>39207.06</v>
      </c>
      <c r="E54" s="68">
        <f t="shared" si="0"/>
        <v>1.7795603583050591E-3</v>
      </c>
      <c r="F54" s="72">
        <v>9.7999999999999997E-3</v>
      </c>
      <c r="G54" s="72">
        <v>9.5000000000000001E-2</v>
      </c>
      <c r="H54" s="49">
        <f t="shared" si="1"/>
        <v>0.1052655</v>
      </c>
      <c r="I54" s="50">
        <f t="shared" si="2"/>
        <v>1.8732631089716121E-4</v>
      </c>
    </row>
    <row r="55" spans="2:9" x14ac:dyDescent="0.2">
      <c r="B55" s="69" t="s">
        <v>188</v>
      </c>
      <c r="C55" s="70" t="s">
        <v>189</v>
      </c>
      <c r="D55" s="71">
        <v>8529.0300000000007</v>
      </c>
      <c r="E55" s="68">
        <f t="shared" si="0"/>
        <v>3.8712220918361644E-4</v>
      </c>
      <c r="F55" s="72">
        <v>1.7399999999999999E-2</v>
      </c>
      <c r="G55" s="72">
        <v>0.125</v>
      </c>
      <c r="H55" s="49">
        <f t="shared" si="1"/>
        <v>0.14348749999999999</v>
      </c>
      <c r="I55" s="50">
        <f t="shared" si="2"/>
        <v>5.5547197990234161E-5</v>
      </c>
    </row>
    <row r="56" spans="2:9" x14ac:dyDescent="0.2">
      <c r="B56" s="69" t="s">
        <v>190</v>
      </c>
      <c r="C56" s="70" t="s">
        <v>191</v>
      </c>
      <c r="D56" s="71">
        <v>12694.77</v>
      </c>
      <c r="E56" s="68" t="str">
        <f t="shared" si="0"/>
        <v>N/A</v>
      </c>
      <c r="F56" s="72">
        <v>3.0099999999999998E-2</v>
      </c>
      <c r="G56" s="72" t="s">
        <v>104</v>
      </c>
      <c r="H56" s="49" t="str">
        <f t="shared" si="1"/>
        <v>N/A</v>
      </c>
      <c r="I56" s="50" t="str">
        <f t="shared" si="2"/>
        <v>N/A</v>
      </c>
    </row>
    <row r="57" spans="2:9" x14ac:dyDescent="0.2">
      <c r="B57" s="69" t="s">
        <v>192</v>
      </c>
      <c r="C57" s="70" t="s">
        <v>193</v>
      </c>
      <c r="D57" s="71">
        <v>21356.23</v>
      </c>
      <c r="E57" s="68" t="str">
        <f t="shared" si="0"/>
        <v>N/A</v>
      </c>
      <c r="F57" s="72">
        <v>2.7799999999999998E-2</v>
      </c>
      <c r="G57" s="72" t="s">
        <v>104</v>
      </c>
      <c r="H57" s="49" t="str">
        <f t="shared" si="1"/>
        <v>N/A</v>
      </c>
      <c r="I57" s="50" t="str">
        <f t="shared" si="2"/>
        <v>N/A</v>
      </c>
    </row>
    <row r="58" spans="2:9" x14ac:dyDescent="0.2">
      <c r="B58" s="69" t="s">
        <v>194</v>
      </c>
      <c r="C58" s="70" t="s">
        <v>195</v>
      </c>
      <c r="D58" s="71">
        <v>39456.71</v>
      </c>
      <c r="E58" s="68">
        <f t="shared" si="0"/>
        <v>1.7908916655607133E-3</v>
      </c>
      <c r="F58" s="72">
        <v>2.58E-2</v>
      </c>
      <c r="G58" s="72">
        <v>9.5000000000000001E-2</v>
      </c>
      <c r="H58" s="49">
        <f t="shared" si="1"/>
        <v>0.12202550000000001</v>
      </c>
      <c r="I58" s="50">
        <f t="shared" si="2"/>
        <v>2.1853445093587883E-4</v>
      </c>
    </row>
    <row r="59" spans="2:9" x14ac:dyDescent="0.2">
      <c r="B59" s="69" t="s">
        <v>196</v>
      </c>
      <c r="C59" s="70" t="s">
        <v>197</v>
      </c>
      <c r="D59" s="71">
        <v>28135.39</v>
      </c>
      <c r="E59" s="68">
        <f t="shared" si="0"/>
        <v>1.2770308385645999E-3</v>
      </c>
      <c r="F59" s="72">
        <v>9.8999999999999991E-3</v>
      </c>
      <c r="G59" s="72">
        <v>0.1</v>
      </c>
      <c r="H59" s="49">
        <f t="shared" si="1"/>
        <v>0.11039500000000001</v>
      </c>
      <c r="I59" s="50">
        <f t="shared" si="2"/>
        <v>1.4097781942333903E-4</v>
      </c>
    </row>
    <row r="60" spans="2:9" x14ac:dyDescent="0.2">
      <c r="B60" s="69" t="s">
        <v>198</v>
      </c>
      <c r="C60" s="70" t="s">
        <v>199</v>
      </c>
      <c r="D60" s="71">
        <v>21355.66</v>
      </c>
      <c r="E60" s="68">
        <f t="shared" si="0"/>
        <v>9.6930721052384508E-4</v>
      </c>
      <c r="F60" s="72">
        <v>1.0700000000000001E-2</v>
      </c>
      <c r="G60" s="72">
        <v>0.11</v>
      </c>
      <c r="H60" s="49">
        <f t="shared" si="1"/>
        <v>0.12128849999999999</v>
      </c>
      <c r="I60" s="50">
        <f t="shared" si="2"/>
        <v>1.1756581760362138E-4</v>
      </c>
    </row>
    <row r="61" spans="2:9" x14ac:dyDescent="0.2">
      <c r="B61" s="69" t="s">
        <v>200</v>
      </c>
      <c r="C61" s="70" t="s">
        <v>201</v>
      </c>
      <c r="D61" s="71">
        <v>13640.47</v>
      </c>
      <c r="E61" s="68" t="str">
        <f t="shared" si="0"/>
        <v>N/A</v>
      </c>
      <c r="F61" s="72">
        <v>2.8399999999999998E-2</v>
      </c>
      <c r="G61" s="72" t="s">
        <v>104</v>
      </c>
      <c r="H61" s="49" t="str">
        <f t="shared" si="1"/>
        <v>N/A</v>
      </c>
      <c r="I61" s="50" t="str">
        <f t="shared" si="2"/>
        <v>N/A</v>
      </c>
    </row>
    <row r="62" spans="2:9" x14ac:dyDescent="0.2">
      <c r="B62" s="69" t="s">
        <v>202</v>
      </c>
      <c r="C62" s="70" t="s">
        <v>203</v>
      </c>
      <c r="D62" s="71">
        <v>8852.99</v>
      </c>
      <c r="E62" s="68" t="str">
        <f t="shared" si="0"/>
        <v>N/A</v>
      </c>
      <c r="F62" s="72">
        <v>1.3100000000000001E-2</v>
      </c>
      <c r="G62" s="72" t="s">
        <v>104</v>
      </c>
      <c r="H62" s="49" t="str">
        <f t="shared" si="1"/>
        <v>N/A</v>
      </c>
      <c r="I62" s="50" t="str">
        <f t="shared" si="2"/>
        <v>N/A</v>
      </c>
    </row>
    <row r="63" spans="2:9" x14ac:dyDescent="0.2">
      <c r="B63" s="69" t="s">
        <v>204</v>
      </c>
      <c r="C63" s="70" t="s">
        <v>205</v>
      </c>
      <c r="D63" s="71">
        <v>11626.18</v>
      </c>
      <c r="E63" s="68">
        <f t="shared" si="0"/>
        <v>5.2769804842594972E-4</v>
      </c>
      <c r="F63" s="72">
        <v>2.18E-2</v>
      </c>
      <c r="G63" s="72">
        <v>7.4999999999999997E-2</v>
      </c>
      <c r="H63" s="49">
        <f t="shared" si="1"/>
        <v>9.7617499999999996E-2</v>
      </c>
      <c r="I63" s="50">
        <f t="shared" si="2"/>
        <v>5.1512564242220144E-5</v>
      </c>
    </row>
    <row r="64" spans="2:9" x14ac:dyDescent="0.2">
      <c r="B64" s="69" t="s">
        <v>206</v>
      </c>
      <c r="C64" s="70" t="s">
        <v>207</v>
      </c>
      <c r="D64" s="71">
        <v>31603</v>
      </c>
      <c r="E64" s="68">
        <f t="shared" si="0"/>
        <v>1.4344214027655934E-3</v>
      </c>
      <c r="F64" s="72">
        <v>9.1999999999999998E-3</v>
      </c>
      <c r="G64" s="72">
        <v>0.14499999999999999</v>
      </c>
      <c r="H64" s="49">
        <f t="shared" si="1"/>
        <v>0.15486699999999998</v>
      </c>
      <c r="I64" s="50">
        <f t="shared" si="2"/>
        <v>2.2214453938209912E-4</v>
      </c>
    </row>
    <row r="65" spans="2:9" x14ac:dyDescent="0.2">
      <c r="B65" s="69" t="s">
        <v>208</v>
      </c>
      <c r="C65" s="70" t="s">
        <v>209</v>
      </c>
      <c r="D65" s="71">
        <v>26997.38</v>
      </c>
      <c r="E65" s="68">
        <f t="shared" si="0"/>
        <v>1.2253779606555004E-3</v>
      </c>
      <c r="F65" s="72">
        <v>3.1200000000000002E-2</v>
      </c>
      <c r="G65" s="72">
        <v>5.5E-2</v>
      </c>
      <c r="H65" s="49">
        <f t="shared" si="1"/>
        <v>8.7057999999999996E-2</v>
      </c>
      <c r="I65" s="50">
        <f t="shared" si="2"/>
        <v>1.0667895449874655E-4</v>
      </c>
    </row>
    <row r="66" spans="2:9" x14ac:dyDescent="0.2">
      <c r="B66" s="69" t="s">
        <v>210</v>
      </c>
      <c r="C66" s="70" t="s">
        <v>211</v>
      </c>
      <c r="D66" s="71">
        <v>109655.6</v>
      </c>
      <c r="E66" s="68">
        <f t="shared" si="0"/>
        <v>4.9771331700504007E-3</v>
      </c>
      <c r="F66" s="72">
        <v>3.9900000000000005E-2</v>
      </c>
      <c r="G66" s="72">
        <v>0.47499999999999998</v>
      </c>
      <c r="H66" s="49">
        <f t="shared" si="1"/>
        <v>0.52437624999999999</v>
      </c>
      <c r="I66" s="50">
        <f t="shared" si="2"/>
        <v>2.6098904274616413E-3</v>
      </c>
    </row>
    <row r="67" spans="2:9" x14ac:dyDescent="0.2">
      <c r="B67" s="69" t="s">
        <v>212</v>
      </c>
      <c r="C67" s="70" t="s">
        <v>213</v>
      </c>
      <c r="D67" s="71">
        <v>9379.1299999999992</v>
      </c>
      <c r="E67" s="68">
        <f t="shared" si="0"/>
        <v>4.2570720537040346E-4</v>
      </c>
      <c r="F67" s="72">
        <v>2.0400000000000001E-2</v>
      </c>
      <c r="G67" s="72">
        <v>0.115</v>
      </c>
      <c r="H67" s="49">
        <f t="shared" si="1"/>
        <v>0.136573</v>
      </c>
      <c r="I67" s="50">
        <f t="shared" si="2"/>
        <v>5.814011015905211E-5</v>
      </c>
    </row>
    <row r="68" spans="2:9" x14ac:dyDescent="0.2">
      <c r="B68" s="69" t="s">
        <v>214</v>
      </c>
      <c r="C68" s="70" t="s">
        <v>215</v>
      </c>
      <c r="D68" s="71">
        <v>18357.580000000002</v>
      </c>
      <c r="E68" s="68">
        <f t="shared" si="0"/>
        <v>8.3322803705286228E-4</v>
      </c>
      <c r="F68" s="72">
        <v>1.9099999999999999E-2</v>
      </c>
      <c r="G68" s="72">
        <v>0.1</v>
      </c>
      <c r="H68" s="49">
        <f t="shared" si="1"/>
        <v>0.12005500000000001</v>
      </c>
      <c r="I68" s="50">
        <f t="shared" si="2"/>
        <v>1.0003319198838139E-4</v>
      </c>
    </row>
    <row r="69" spans="2:9" x14ac:dyDescent="0.2">
      <c r="B69" s="69" t="s">
        <v>216</v>
      </c>
      <c r="C69" s="70" t="s">
        <v>217</v>
      </c>
      <c r="D69" s="71">
        <v>92112.44</v>
      </c>
      <c r="E69" s="68">
        <f t="shared" si="0"/>
        <v>4.1808706577527947E-3</v>
      </c>
      <c r="F69" s="72">
        <v>1.5300000000000001E-2</v>
      </c>
      <c r="G69" s="72">
        <v>0.09</v>
      </c>
      <c r="H69" s="49">
        <f t="shared" si="1"/>
        <v>0.1059885</v>
      </c>
      <c r="I69" s="50">
        <f t="shared" si="2"/>
        <v>4.4312420970923206E-4</v>
      </c>
    </row>
    <row r="70" spans="2:9" x14ac:dyDescent="0.2">
      <c r="B70" s="69" t="s">
        <v>218</v>
      </c>
      <c r="C70" s="70" t="s">
        <v>219</v>
      </c>
      <c r="D70" s="71">
        <v>23716.91</v>
      </c>
      <c r="E70" s="68">
        <f t="shared" si="0"/>
        <v>1.0764814514908499E-3</v>
      </c>
      <c r="F70" s="72">
        <v>0</v>
      </c>
      <c r="G70" s="72">
        <v>0.125</v>
      </c>
      <c r="H70" s="49">
        <f t="shared" si="1"/>
        <v>0.125</v>
      </c>
      <c r="I70" s="50">
        <f t="shared" si="2"/>
        <v>1.3456018143635624E-4</v>
      </c>
    </row>
    <row r="71" spans="2:9" x14ac:dyDescent="0.2">
      <c r="B71" s="69" t="s">
        <v>220</v>
      </c>
      <c r="C71" s="70" t="s">
        <v>221</v>
      </c>
      <c r="D71" s="71">
        <v>239862.39999999999</v>
      </c>
      <c r="E71" s="68">
        <f t="shared" si="0"/>
        <v>1.088706009805151E-2</v>
      </c>
      <c r="F71" s="72">
        <v>1.95E-2</v>
      </c>
      <c r="G71" s="72">
        <v>0.17499999999999999</v>
      </c>
      <c r="H71" s="49">
        <f t="shared" si="1"/>
        <v>0.19620625</v>
      </c>
      <c r="I71" s="50">
        <f t="shared" si="2"/>
        <v>2.1361092353633193E-3</v>
      </c>
    </row>
    <row r="72" spans="2:9" x14ac:dyDescent="0.2">
      <c r="B72" s="69" t="s">
        <v>222</v>
      </c>
      <c r="C72" s="70" t="s">
        <v>223</v>
      </c>
      <c r="D72" s="71">
        <v>281453.09999999998</v>
      </c>
      <c r="E72" s="68">
        <f t="shared" si="0"/>
        <v>1.2774810951957878E-2</v>
      </c>
      <c r="F72" s="72">
        <v>2.1000000000000001E-2</v>
      </c>
      <c r="G72" s="72">
        <v>0.13</v>
      </c>
      <c r="H72" s="49">
        <f t="shared" si="1"/>
        <v>0.152365</v>
      </c>
      <c r="I72" s="50">
        <f t="shared" si="2"/>
        <v>1.9464340706950621E-3</v>
      </c>
    </row>
    <row r="73" spans="2:9" x14ac:dyDescent="0.2">
      <c r="B73" s="69" t="s">
        <v>224</v>
      </c>
      <c r="C73" s="70" t="s">
        <v>225</v>
      </c>
      <c r="D73" s="71">
        <v>39846.76</v>
      </c>
      <c r="E73" s="68">
        <f t="shared" si="0"/>
        <v>1.8085955565884234E-3</v>
      </c>
      <c r="F73" s="72">
        <v>1.0200000000000001E-2</v>
      </c>
      <c r="G73" s="72">
        <v>0.125</v>
      </c>
      <c r="H73" s="49">
        <f t="shared" si="1"/>
        <v>0.1358375</v>
      </c>
      <c r="I73" s="50">
        <f t="shared" si="2"/>
        <v>2.4567509891807999E-4</v>
      </c>
    </row>
    <row r="74" spans="2:9" x14ac:dyDescent="0.2">
      <c r="B74" s="69" t="s">
        <v>226</v>
      </c>
      <c r="C74" s="70" t="s">
        <v>227</v>
      </c>
      <c r="D74" s="71">
        <v>37807.54</v>
      </c>
      <c r="E74" s="68">
        <f t="shared" si="0"/>
        <v>1.7160378622889058E-3</v>
      </c>
      <c r="F74" s="72">
        <v>3.27E-2</v>
      </c>
      <c r="G74" s="72">
        <v>0.1</v>
      </c>
      <c r="H74" s="49">
        <f t="shared" si="1"/>
        <v>0.13433500000000001</v>
      </c>
      <c r="I74" s="50">
        <f t="shared" si="2"/>
        <v>2.3052394623058017E-4</v>
      </c>
    </row>
    <row r="75" spans="2:9" x14ac:dyDescent="0.2">
      <c r="B75" s="69" t="s">
        <v>228</v>
      </c>
      <c r="C75" s="70" t="s">
        <v>229</v>
      </c>
      <c r="D75" s="71">
        <v>18398.080000000002</v>
      </c>
      <c r="E75" s="68">
        <f t="shared" si="0"/>
        <v>8.3506628237172461E-4</v>
      </c>
      <c r="F75" s="72">
        <v>3.2500000000000001E-2</v>
      </c>
      <c r="G75" s="72">
        <v>0.12</v>
      </c>
      <c r="H75" s="49">
        <f t="shared" si="1"/>
        <v>0.15445</v>
      </c>
      <c r="I75" s="50">
        <f t="shared" si="2"/>
        <v>1.2897598731231286E-4</v>
      </c>
    </row>
    <row r="76" spans="2:9" x14ac:dyDescent="0.2">
      <c r="B76" s="69" t="s">
        <v>230</v>
      </c>
      <c r="C76" s="70" t="s">
        <v>231</v>
      </c>
      <c r="D76" s="71">
        <v>66369.77</v>
      </c>
      <c r="E76" s="68">
        <f t="shared" ref="E76:E139" si="3">IF(OR(H76="N/A",D76="N/A"),"N/A",D76/$D$512)</f>
        <v>3.0124424448511157E-3</v>
      </c>
      <c r="F76" s="72">
        <v>1.2699999999999999E-2</v>
      </c>
      <c r="G76" s="72">
        <v>0.1</v>
      </c>
      <c r="H76" s="49">
        <f t="shared" ref="H76:H139" si="4">IFERROR(F76*(1+0.5*G76)+G76,"N/A")</f>
        <v>0.11333500000000001</v>
      </c>
      <c r="I76" s="50">
        <f t="shared" ref="I76:I139" si="5">IF(AND(ISNUMBER(D76),ISNUMBER(H76)),E76*H76,"N/A")</f>
        <v>3.4141516448720123E-4</v>
      </c>
    </row>
    <row r="77" spans="2:9" x14ac:dyDescent="0.2">
      <c r="B77" s="69" t="s">
        <v>232</v>
      </c>
      <c r="C77" s="70" t="s">
        <v>233</v>
      </c>
      <c r="D77" s="71">
        <v>15978.7</v>
      </c>
      <c r="E77" s="68">
        <f t="shared" si="3"/>
        <v>7.2525359201248583E-4</v>
      </c>
      <c r="F77" s="72">
        <v>3.4300000000000004E-2</v>
      </c>
      <c r="G77" s="72">
        <v>0.09</v>
      </c>
      <c r="H77" s="49">
        <f t="shared" si="4"/>
        <v>0.1258435</v>
      </c>
      <c r="I77" s="50">
        <f t="shared" si="5"/>
        <v>9.1268450406423252E-5</v>
      </c>
    </row>
    <row r="78" spans="2:9" x14ac:dyDescent="0.2">
      <c r="B78" s="69" t="s">
        <v>234</v>
      </c>
      <c r="C78" s="70" t="s">
        <v>235</v>
      </c>
      <c r="D78" s="71">
        <v>23939.42</v>
      </c>
      <c r="E78" s="68">
        <f t="shared" si="3"/>
        <v>1.0865809074389996E-3</v>
      </c>
      <c r="F78" s="72">
        <v>1.3300000000000001E-2</v>
      </c>
      <c r="G78" s="72">
        <v>0.155</v>
      </c>
      <c r="H78" s="49">
        <f t="shared" si="4"/>
        <v>0.16933075</v>
      </c>
      <c r="I78" s="50">
        <f t="shared" si="5"/>
        <v>1.8399155999232638E-4</v>
      </c>
    </row>
    <row r="79" spans="2:9" x14ac:dyDescent="0.2">
      <c r="B79" s="69" t="s">
        <v>236</v>
      </c>
      <c r="C79" s="70" t="s">
        <v>237</v>
      </c>
      <c r="D79" s="71" t="s">
        <v>104</v>
      </c>
      <c r="E79" s="68" t="str">
        <f t="shared" si="3"/>
        <v>N/A</v>
      </c>
      <c r="F79" s="72">
        <v>0</v>
      </c>
      <c r="G79" s="72" t="s">
        <v>104</v>
      </c>
      <c r="H79" s="49" t="str">
        <f t="shared" si="4"/>
        <v>N/A</v>
      </c>
      <c r="I79" s="50" t="str">
        <f t="shared" si="5"/>
        <v>N/A</v>
      </c>
    </row>
    <row r="80" spans="2:9" x14ac:dyDescent="0.2">
      <c r="B80" s="69" t="s">
        <v>238</v>
      </c>
      <c r="C80" s="70" t="s">
        <v>239</v>
      </c>
      <c r="D80" s="71">
        <v>10732.6</v>
      </c>
      <c r="E80" s="68" t="str">
        <f t="shared" si="3"/>
        <v>N/A</v>
      </c>
      <c r="F80" s="72">
        <v>2.76E-2</v>
      </c>
      <c r="G80" s="72" t="s">
        <v>104</v>
      </c>
      <c r="H80" s="49" t="str">
        <f t="shared" si="4"/>
        <v>N/A</v>
      </c>
      <c r="I80" s="50" t="str">
        <f t="shared" si="5"/>
        <v>N/A</v>
      </c>
    </row>
    <row r="81" spans="2:9" x14ac:dyDescent="0.2">
      <c r="B81" s="69" t="s">
        <v>240</v>
      </c>
      <c r="C81" s="70" t="s">
        <v>241</v>
      </c>
      <c r="D81" s="71">
        <v>63525.57</v>
      </c>
      <c r="E81" s="68">
        <f t="shared" si="3"/>
        <v>2.8833476958163434E-3</v>
      </c>
      <c r="F81" s="72">
        <v>0</v>
      </c>
      <c r="G81" s="72">
        <v>6.5000000000000002E-2</v>
      </c>
      <c r="H81" s="49">
        <f t="shared" si="4"/>
        <v>6.5000000000000002E-2</v>
      </c>
      <c r="I81" s="50">
        <f t="shared" si="5"/>
        <v>1.8741760022806232E-4</v>
      </c>
    </row>
    <row r="82" spans="2:9" x14ac:dyDescent="0.2">
      <c r="B82" s="69" t="s">
        <v>242</v>
      </c>
      <c r="C82" s="70" t="s">
        <v>243</v>
      </c>
      <c r="D82" s="71">
        <v>50655.05</v>
      </c>
      <c r="E82" s="68">
        <f t="shared" si="3"/>
        <v>2.299170581215748E-3</v>
      </c>
      <c r="F82" s="72">
        <v>2.1899999999999999E-2</v>
      </c>
      <c r="G82" s="72">
        <v>0.09</v>
      </c>
      <c r="H82" s="49">
        <f t="shared" si="4"/>
        <v>0.1128855</v>
      </c>
      <c r="I82" s="50">
        <f t="shared" si="5"/>
        <v>2.5954302064583031E-4</v>
      </c>
    </row>
    <row r="83" spans="2:9" x14ac:dyDescent="0.2">
      <c r="B83" s="69" t="s">
        <v>244</v>
      </c>
      <c r="C83" s="70" t="s">
        <v>245</v>
      </c>
      <c r="D83" s="71">
        <v>80430.320000000007</v>
      </c>
      <c r="E83" s="68">
        <f t="shared" si="3"/>
        <v>3.6506335613481497E-3</v>
      </c>
      <c r="F83" s="72">
        <v>0</v>
      </c>
      <c r="G83" s="72">
        <v>0.14000000000000001</v>
      </c>
      <c r="H83" s="49">
        <f t="shared" si="4"/>
        <v>0.14000000000000001</v>
      </c>
      <c r="I83" s="50">
        <f t="shared" si="5"/>
        <v>5.1108869858874104E-4</v>
      </c>
    </row>
    <row r="84" spans="2:9" x14ac:dyDescent="0.2">
      <c r="B84" s="69" t="s">
        <v>246</v>
      </c>
      <c r="C84" s="70" t="s">
        <v>247</v>
      </c>
      <c r="D84" s="71">
        <v>67218.66</v>
      </c>
      <c r="E84" s="68">
        <f t="shared" si="3"/>
        <v>3.0509725206222032E-3</v>
      </c>
      <c r="F84" s="72">
        <v>3.1200000000000002E-2</v>
      </c>
      <c r="G84" s="72">
        <v>0.09</v>
      </c>
      <c r="H84" s="49">
        <f t="shared" si="4"/>
        <v>0.12260399999999999</v>
      </c>
      <c r="I84" s="50">
        <f t="shared" si="5"/>
        <v>3.7406143491836458E-4</v>
      </c>
    </row>
    <row r="85" spans="2:9" x14ac:dyDescent="0.2">
      <c r="B85" s="69" t="s">
        <v>248</v>
      </c>
      <c r="C85" s="70" t="s">
        <v>249</v>
      </c>
      <c r="D85" s="71">
        <v>18331.91</v>
      </c>
      <c r="E85" s="68">
        <f t="shared" si="3"/>
        <v>8.3206290724211656E-4</v>
      </c>
      <c r="F85" s="72">
        <v>7.3000000000000001E-3</v>
      </c>
      <c r="G85" s="72">
        <v>0.22</v>
      </c>
      <c r="H85" s="49">
        <f t="shared" si="4"/>
        <v>0.228103</v>
      </c>
      <c r="I85" s="50">
        <f t="shared" si="5"/>
        <v>1.8979604533064852E-4</v>
      </c>
    </row>
    <row r="86" spans="2:9" x14ac:dyDescent="0.2">
      <c r="B86" s="69" t="s">
        <v>250</v>
      </c>
      <c r="C86" s="70" t="s">
        <v>251</v>
      </c>
      <c r="D86" s="71">
        <v>84074.57</v>
      </c>
      <c r="E86" s="68">
        <f t="shared" si="3"/>
        <v>3.8160415984657818E-3</v>
      </c>
      <c r="F86" s="72">
        <v>3.1800000000000002E-2</v>
      </c>
      <c r="G86" s="72">
        <v>0.13500000000000001</v>
      </c>
      <c r="H86" s="49">
        <f t="shared" si="4"/>
        <v>0.1689465</v>
      </c>
      <c r="I86" s="50">
        <f t="shared" si="5"/>
        <v>6.4470687191519921E-4</v>
      </c>
    </row>
    <row r="87" spans="2:9" x14ac:dyDescent="0.2">
      <c r="B87" s="69" t="s">
        <v>252</v>
      </c>
      <c r="C87" s="70" t="s">
        <v>253</v>
      </c>
      <c r="D87" s="71">
        <v>11410.33</v>
      </c>
      <c r="E87" s="68">
        <f t="shared" si="3"/>
        <v>5.1790088170801298E-4</v>
      </c>
      <c r="F87" s="72">
        <v>2.0400000000000001E-2</v>
      </c>
      <c r="G87" s="72">
        <v>0.11</v>
      </c>
      <c r="H87" s="49">
        <f t="shared" si="4"/>
        <v>0.131522</v>
      </c>
      <c r="I87" s="50">
        <f t="shared" si="5"/>
        <v>6.8115359764001285E-5</v>
      </c>
    </row>
    <row r="88" spans="2:9" x14ac:dyDescent="0.2">
      <c r="B88" s="69" t="s">
        <v>254</v>
      </c>
      <c r="C88" s="70" t="s">
        <v>255</v>
      </c>
      <c r="D88" s="71">
        <v>0</v>
      </c>
      <c r="E88" s="68" t="str">
        <f t="shared" si="3"/>
        <v>N/A</v>
      </c>
      <c r="F88" s="72">
        <v>0</v>
      </c>
      <c r="G88" s="72" t="s">
        <v>104</v>
      </c>
      <c r="H88" s="49" t="str">
        <f t="shared" si="4"/>
        <v>N/A</v>
      </c>
      <c r="I88" s="50" t="str">
        <f t="shared" si="5"/>
        <v>N/A</v>
      </c>
    </row>
    <row r="89" spans="2:9" x14ac:dyDescent="0.2">
      <c r="B89" s="69" t="s">
        <v>256</v>
      </c>
      <c r="C89" s="70" t="s">
        <v>257</v>
      </c>
      <c r="D89" s="71">
        <v>54780.88</v>
      </c>
      <c r="E89" s="68">
        <f t="shared" si="3"/>
        <v>2.4864369437817184E-3</v>
      </c>
      <c r="F89" s="72">
        <v>0</v>
      </c>
      <c r="G89" s="72">
        <v>0.17</v>
      </c>
      <c r="H89" s="49">
        <f t="shared" si="4"/>
        <v>0.17</v>
      </c>
      <c r="I89" s="50">
        <f t="shared" si="5"/>
        <v>4.2269428044289215E-4</v>
      </c>
    </row>
    <row r="90" spans="2:9" x14ac:dyDescent="0.2">
      <c r="B90" s="69" t="s">
        <v>258</v>
      </c>
      <c r="C90" s="70" t="s">
        <v>259</v>
      </c>
      <c r="D90" s="71">
        <v>8043.5</v>
      </c>
      <c r="E90" s="68">
        <f t="shared" si="3"/>
        <v>3.6508459808072183E-4</v>
      </c>
      <c r="F90" s="72">
        <v>1.7600000000000001E-2</v>
      </c>
      <c r="G90" s="72">
        <v>0.08</v>
      </c>
      <c r="H90" s="49">
        <f t="shared" si="4"/>
        <v>9.8304000000000002E-2</v>
      </c>
      <c r="I90" s="50">
        <f t="shared" si="5"/>
        <v>3.5889276329727283E-5</v>
      </c>
    </row>
    <row r="91" spans="2:9" x14ac:dyDescent="0.2">
      <c r="B91" s="69" t="s">
        <v>260</v>
      </c>
      <c r="C91" s="70" t="s">
        <v>261</v>
      </c>
      <c r="D91" s="71">
        <v>20441.89</v>
      </c>
      <c r="E91" s="68">
        <f t="shared" si="3"/>
        <v>9.2783231114071309E-4</v>
      </c>
      <c r="F91" s="72">
        <v>2.9399999999999999E-2</v>
      </c>
      <c r="G91" s="72">
        <v>3.5000000000000003E-2</v>
      </c>
      <c r="H91" s="49">
        <f t="shared" si="4"/>
        <v>6.49145E-2</v>
      </c>
      <c r="I91" s="50">
        <f t="shared" si="5"/>
        <v>6.0229770561543821E-5</v>
      </c>
    </row>
    <row r="92" spans="2:9" x14ac:dyDescent="0.2">
      <c r="B92" s="69" t="s">
        <v>262</v>
      </c>
      <c r="C92" s="70" t="s">
        <v>263</v>
      </c>
      <c r="D92" s="71">
        <v>151168.29999999999</v>
      </c>
      <c r="E92" s="68">
        <f t="shared" si="3"/>
        <v>6.8613436996389603E-3</v>
      </c>
      <c r="F92" s="72">
        <v>3.2000000000000001E-2</v>
      </c>
      <c r="G92" s="72">
        <v>8.5000000000000006E-2</v>
      </c>
      <c r="H92" s="49">
        <f t="shared" si="4"/>
        <v>0.11836000000000001</v>
      </c>
      <c r="I92" s="50">
        <f t="shared" si="5"/>
        <v>8.1210864028926743E-4</v>
      </c>
    </row>
    <row r="93" spans="2:9" x14ac:dyDescent="0.2">
      <c r="B93" s="69" t="s">
        <v>264</v>
      </c>
      <c r="C93" s="70" t="s">
        <v>265</v>
      </c>
      <c r="D93" s="71">
        <v>10863.81</v>
      </c>
      <c r="E93" s="68">
        <f t="shared" si="3"/>
        <v>4.9309500932123154E-4</v>
      </c>
      <c r="F93" s="72">
        <v>3.7999999999999999E-2</v>
      </c>
      <c r="G93" s="72">
        <v>4.4999999999999998E-2</v>
      </c>
      <c r="H93" s="49">
        <f t="shared" si="4"/>
        <v>8.3854999999999999E-2</v>
      </c>
      <c r="I93" s="50">
        <f t="shared" si="5"/>
        <v>4.1348482006631871E-5</v>
      </c>
    </row>
    <row r="94" spans="2:9" x14ac:dyDescent="0.2">
      <c r="B94" s="69" t="s">
        <v>266</v>
      </c>
      <c r="C94" s="70" t="s">
        <v>267</v>
      </c>
      <c r="D94" s="71">
        <v>14155</v>
      </c>
      <c r="E94" s="68">
        <f t="shared" si="3"/>
        <v>6.4247808613571416E-4</v>
      </c>
      <c r="F94" s="72">
        <v>4.1100000000000005E-2</v>
      </c>
      <c r="G94" s="72">
        <v>0.1</v>
      </c>
      <c r="H94" s="49">
        <f t="shared" si="4"/>
        <v>0.143155</v>
      </c>
      <c r="I94" s="50">
        <f t="shared" si="5"/>
        <v>9.1973950420758162E-5</v>
      </c>
    </row>
    <row r="95" spans="2:9" x14ac:dyDescent="0.2">
      <c r="B95" s="69" t="s">
        <v>268</v>
      </c>
      <c r="C95" s="70" t="s">
        <v>269</v>
      </c>
      <c r="D95" s="71">
        <v>78366.2</v>
      </c>
      <c r="E95" s="68">
        <f t="shared" si="3"/>
        <v>3.5569456865933314E-3</v>
      </c>
      <c r="F95" s="72">
        <v>2.5899999999999999E-2</v>
      </c>
      <c r="G95" s="72">
        <v>0.17</v>
      </c>
      <c r="H95" s="49">
        <f t="shared" si="4"/>
        <v>0.19810150000000001</v>
      </c>
      <c r="I95" s="50">
        <f t="shared" si="5"/>
        <v>7.0463627593266888E-4</v>
      </c>
    </row>
    <row r="96" spans="2:9" x14ac:dyDescent="0.2">
      <c r="B96" s="69" t="s">
        <v>270</v>
      </c>
      <c r="C96" s="70" t="s">
        <v>271</v>
      </c>
      <c r="D96" s="71">
        <v>61178.879999999997</v>
      </c>
      <c r="E96" s="68">
        <f t="shared" si="3"/>
        <v>2.7768343153886628E-3</v>
      </c>
      <c r="F96" s="72">
        <v>2.2000000000000002E-2</v>
      </c>
      <c r="G96" s="72">
        <v>8.5000000000000006E-2</v>
      </c>
      <c r="H96" s="49">
        <f t="shared" si="4"/>
        <v>0.107935</v>
      </c>
      <c r="I96" s="50">
        <f t="shared" si="5"/>
        <v>2.9971761183147531E-4</v>
      </c>
    </row>
    <row r="97" spans="2:9" x14ac:dyDescent="0.2">
      <c r="B97" s="69" t="s">
        <v>272</v>
      </c>
      <c r="C97" s="70" t="s">
        <v>273</v>
      </c>
      <c r="D97" s="71">
        <v>10351.08</v>
      </c>
      <c r="E97" s="68">
        <f t="shared" si="3"/>
        <v>4.6982282358443438E-4</v>
      </c>
      <c r="F97" s="72">
        <v>1.34E-2</v>
      </c>
      <c r="G97" s="72">
        <v>0.17</v>
      </c>
      <c r="H97" s="49">
        <f t="shared" si="4"/>
        <v>0.18453900000000001</v>
      </c>
      <c r="I97" s="50">
        <f t="shared" si="5"/>
        <v>8.6700634041447946E-5</v>
      </c>
    </row>
    <row r="98" spans="2:9" x14ac:dyDescent="0.2">
      <c r="B98" s="69" t="s">
        <v>274</v>
      </c>
      <c r="C98" s="70" t="s">
        <v>275</v>
      </c>
      <c r="D98" s="71">
        <v>16996.28</v>
      </c>
      <c r="E98" s="68">
        <f t="shared" si="3"/>
        <v>7.7144029995243493E-4</v>
      </c>
      <c r="F98" s="72">
        <v>0</v>
      </c>
      <c r="G98" s="72">
        <v>0.105</v>
      </c>
      <c r="H98" s="49">
        <f t="shared" si="4"/>
        <v>0.105</v>
      </c>
      <c r="I98" s="50">
        <f t="shared" si="5"/>
        <v>8.1001231495005666E-5</v>
      </c>
    </row>
    <row r="99" spans="2:9" x14ac:dyDescent="0.2">
      <c r="B99" s="69" t="s">
        <v>276</v>
      </c>
      <c r="C99" s="70" t="s">
        <v>277</v>
      </c>
      <c r="D99" s="71">
        <v>18427.5</v>
      </c>
      <c r="E99" s="68">
        <f t="shared" si="3"/>
        <v>8.3640162008236476E-4</v>
      </c>
      <c r="F99" s="72">
        <v>1.47E-2</v>
      </c>
      <c r="G99" s="72">
        <v>0.105</v>
      </c>
      <c r="H99" s="49">
        <f t="shared" si="4"/>
        <v>0.12047174999999999</v>
      </c>
      <c r="I99" s="50">
        <f t="shared" si="5"/>
        <v>1.0076276687415762E-4</v>
      </c>
    </row>
    <row r="100" spans="2:9" x14ac:dyDescent="0.2">
      <c r="B100" s="69" t="s">
        <v>278</v>
      </c>
      <c r="C100" s="70" t="s">
        <v>279</v>
      </c>
      <c r="D100" s="71">
        <v>50107.1</v>
      </c>
      <c r="E100" s="68">
        <f t="shared" si="3"/>
        <v>2.2742998028831398E-3</v>
      </c>
      <c r="F100" s="72">
        <v>3.8100000000000002E-2</v>
      </c>
      <c r="G100" s="72">
        <v>0.105</v>
      </c>
      <c r="H100" s="49">
        <f t="shared" si="4"/>
        <v>0.14510024999999999</v>
      </c>
      <c r="I100" s="50">
        <f t="shared" si="5"/>
        <v>3.3000146997329429E-4</v>
      </c>
    </row>
    <row r="101" spans="2:9" x14ac:dyDescent="0.2">
      <c r="B101" s="69" t="s">
        <v>280</v>
      </c>
      <c r="C101" s="70" t="s">
        <v>281</v>
      </c>
      <c r="D101" s="71">
        <v>38766</v>
      </c>
      <c r="E101" s="68">
        <f t="shared" si="3"/>
        <v>1.7595411859510489E-3</v>
      </c>
      <c r="F101" s="72">
        <v>3.61E-2</v>
      </c>
      <c r="G101" s="72">
        <v>0.13500000000000001</v>
      </c>
      <c r="H101" s="49">
        <f t="shared" si="4"/>
        <v>0.17353675000000002</v>
      </c>
      <c r="I101" s="50">
        <f t="shared" si="5"/>
        <v>3.0534505890109071E-4</v>
      </c>
    </row>
    <row r="102" spans="2:9" x14ac:dyDescent="0.2">
      <c r="B102" s="69" t="s">
        <v>282</v>
      </c>
      <c r="C102" s="70" t="s">
        <v>283</v>
      </c>
      <c r="D102" s="71">
        <v>16581.48</v>
      </c>
      <c r="E102" s="68">
        <f t="shared" si="3"/>
        <v>7.5261303678542015E-4</v>
      </c>
      <c r="F102" s="72">
        <v>0</v>
      </c>
      <c r="G102" s="72">
        <v>0.125</v>
      </c>
      <c r="H102" s="49">
        <f t="shared" si="4"/>
        <v>0.125</v>
      </c>
      <c r="I102" s="50">
        <f t="shared" si="5"/>
        <v>9.4076629598177519E-5</v>
      </c>
    </row>
    <row r="103" spans="2:9" x14ac:dyDescent="0.2">
      <c r="B103" s="69" t="s">
        <v>284</v>
      </c>
      <c r="C103" s="70" t="s">
        <v>285</v>
      </c>
      <c r="D103" s="71">
        <v>13763.99</v>
      </c>
      <c r="E103" s="68">
        <f t="shared" si="3"/>
        <v>6.247306218856312E-4</v>
      </c>
      <c r="F103" s="72">
        <v>2.3599999999999999E-2</v>
      </c>
      <c r="G103" s="72">
        <v>0.1</v>
      </c>
      <c r="H103" s="49">
        <f t="shared" si="4"/>
        <v>0.12478</v>
      </c>
      <c r="I103" s="50">
        <f t="shared" si="5"/>
        <v>7.7953886998889056E-5</v>
      </c>
    </row>
    <row r="104" spans="2:9" x14ac:dyDescent="0.2">
      <c r="B104" s="69" t="s">
        <v>286</v>
      </c>
      <c r="C104" s="70" t="s">
        <v>287</v>
      </c>
      <c r="D104" s="71">
        <v>59909.71</v>
      </c>
      <c r="E104" s="68">
        <f t="shared" si="3"/>
        <v>2.7192282459728477E-3</v>
      </c>
      <c r="F104" s="72">
        <v>0</v>
      </c>
      <c r="G104" s="72">
        <v>0.14499999999999999</v>
      </c>
      <c r="H104" s="49">
        <f t="shared" si="4"/>
        <v>0.14499999999999999</v>
      </c>
      <c r="I104" s="50">
        <f t="shared" si="5"/>
        <v>3.9428809566606287E-4</v>
      </c>
    </row>
    <row r="105" spans="2:9" x14ac:dyDescent="0.2">
      <c r="B105" s="69" t="s">
        <v>288</v>
      </c>
      <c r="C105" s="70" t="s">
        <v>289</v>
      </c>
      <c r="D105" s="71">
        <v>18250.419999999998</v>
      </c>
      <c r="E105" s="68">
        <f t="shared" si="3"/>
        <v>8.2836417610547227E-4</v>
      </c>
      <c r="F105" s="72">
        <v>0</v>
      </c>
      <c r="G105" s="72">
        <v>7.4999999999999997E-2</v>
      </c>
      <c r="H105" s="49">
        <f t="shared" si="4"/>
        <v>7.4999999999999997E-2</v>
      </c>
      <c r="I105" s="50">
        <f t="shared" si="5"/>
        <v>6.2127313207910423E-5</v>
      </c>
    </row>
    <row r="106" spans="2:9" x14ac:dyDescent="0.2">
      <c r="B106" s="69" t="s">
        <v>290</v>
      </c>
      <c r="C106" s="70" t="s">
        <v>291</v>
      </c>
      <c r="D106" s="71">
        <v>9336.2800000000007</v>
      </c>
      <c r="E106" s="68">
        <f t="shared" si="3"/>
        <v>4.2376229643427383E-4</v>
      </c>
      <c r="F106" s="72">
        <v>3.2300000000000002E-2</v>
      </c>
      <c r="G106" s="72">
        <v>0.48499999999999999</v>
      </c>
      <c r="H106" s="49">
        <f t="shared" si="4"/>
        <v>0.52513275000000004</v>
      </c>
      <c r="I106" s="50">
        <f t="shared" si="5"/>
        <v>2.2253146007284542E-4</v>
      </c>
    </row>
    <row r="107" spans="2:9" x14ac:dyDescent="0.2">
      <c r="B107" s="69" t="s">
        <v>292</v>
      </c>
      <c r="C107" s="70" t="s">
        <v>293</v>
      </c>
      <c r="D107" s="71">
        <v>16556.3</v>
      </c>
      <c r="E107" s="68">
        <f t="shared" si="3"/>
        <v>7.5147014747359406E-4</v>
      </c>
      <c r="F107" s="72">
        <v>3.6699999999999997E-2</v>
      </c>
      <c r="G107" s="72">
        <v>0.125</v>
      </c>
      <c r="H107" s="49">
        <f t="shared" si="4"/>
        <v>0.16399374999999999</v>
      </c>
      <c r="I107" s="50">
        <f t="shared" si="5"/>
        <v>1.2323640749724771E-4</v>
      </c>
    </row>
    <row r="108" spans="2:9" x14ac:dyDescent="0.2">
      <c r="B108" s="69" t="s">
        <v>294</v>
      </c>
      <c r="C108" s="70" t="s">
        <v>295</v>
      </c>
      <c r="D108" s="71">
        <v>16203.06</v>
      </c>
      <c r="E108" s="68">
        <f t="shared" si="3"/>
        <v>7.3543701719125008E-4</v>
      </c>
      <c r="F108" s="72">
        <v>1.3899999999999999E-2</v>
      </c>
      <c r="G108" s="72">
        <v>0.1</v>
      </c>
      <c r="H108" s="49">
        <f t="shared" si="4"/>
        <v>0.114595</v>
      </c>
      <c r="I108" s="50">
        <f t="shared" si="5"/>
        <v>8.4277404985031302E-5</v>
      </c>
    </row>
    <row r="109" spans="2:9" x14ac:dyDescent="0.2">
      <c r="B109" s="69" t="s">
        <v>296</v>
      </c>
      <c r="C109" s="70" t="s">
        <v>297</v>
      </c>
      <c r="D109" s="71">
        <v>12070.86</v>
      </c>
      <c r="E109" s="68">
        <f t="shared" si="3"/>
        <v>5.478815281393252E-4</v>
      </c>
      <c r="F109" s="72">
        <v>2.29E-2</v>
      </c>
      <c r="G109" s="72">
        <v>9.5000000000000001E-2</v>
      </c>
      <c r="H109" s="49">
        <f t="shared" si="4"/>
        <v>0.11898775</v>
      </c>
      <c r="I109" s="50">
        <f t="shared" si="5"/>
        <v>6.5191190299859997E-5</v>
      </c>
    </row>
    <row r="110" spans="2:9" x14ac:dyDescent="0.2">
      <c r="B110" s="69" t="s">
        <v>298</v>
      </c>
      <c r="C110" s="70" t="s">
        <v>299</v>
      </c>
      <c r="D110" s="71">
        <v>76626.789999999994</v>
      </c>
      <c r="E110" s="68">
        <f t="shared" si="3"/>
        <v>3.4779960004184584E-3</v>
      </c>
      <c r="F110" s="72">
        <v>0</v>
      </c>
      <c r="G110" s="72">
        <v>0.16</v>
      </c>
      <c r="H110" s="49">
        <f t="shared" si="4"/>
        <v>0.16</v>
      </c>
      <c r="I110" s="50">
        <f t="shared" si="5"/>
        <v>5.5647936006695338E-4</v>
      </c>
    </row>
    <row r="111" spans="2:9" x14ac:dyDescent="0.2">
      <c r="B111" s="69" t="s">
        <v>300</v>
      </c>
      <c r="C111" s="70" t="s">
        <v>301</v>
      </c>
      <c r="D111" s="71">
        <v>39893.300000000003</v>
      </c>
      <c r="E111" s="68">
        <f t="shared" si="3"/>
        <v>1.8107079500980494E-3</v>
      </c>
      <c r="F111" s="72">
        <v>2.0000000000000001E-4</v>
      </c>
      <c r="G111" s="72">
        <v>0.155</v>
      </c>
      <c r="H111" s="49">
        <f t="shared" si="4"/>
        <v>0.15521550000000001</v>
      </c>
      <c r="I111" s="50">
        <f t="shared" si="5"/>
        <v>2.8104993982844381E-4</v>
      </c>
    </row>
    <row r="112" spans="2:9" x14ac:dyDescent="0.2">
      <c r="B112" s="69" t="s">
        <v>302</v>
      </c>
      <c r="C112" s="70" t="s">
        <v>303</v>
      </c>
      <c r="D112" s="71">
        <v>13762.79</v>
      </c>
      <c r="E112" s="68">
        <f t="shared" si="3"/>
        <v>6.2467615535766489E-4</v>
      </c>
      <c r="F112" s="72">
        <v>2.6499999999999999E-2</v>
      </c>
      <c r="G112" s="72">
        <v>7.0000000000000007E-2</v>
      </c>
      <c r="H112" s="49">
        <f t="shared" si="4"/>
        <v>9.74275E-2</v>
      </c>
      <c r="I112" s="50">
        <f t="shared" si="5"/>
        <v>6.0860636126108898E-5</v>
      </c>
    </row>
    <row r="113" spans="2:9" x14ac:dyDescent="0.2">
      <c r="B113" s="69" t="s">
        <v>304</v>
      </c>
      <c r="C113" s="70" t="s">
        <v>305</v>
      </c>
      <c r="D113" s="71">
        <v>56382.73</v>
      </c>
      <c r="E113" s="68">
        <f t="shared" si="3"/>
        <v>2.5591429503007222E-3</v>
      </c>
      <c r="F113" s="72">
        <v>2.5699999999999997E-2</v>
      </c>
      <c r="G113" s="72">
        <v>0.105</v>
      </c>
      <c r="H113" s="49">
        <f t="shared" si="4"/>
        <v>0.13204925000000001</v>
      </c>
      <c r="I113" s="50">
        <f t="shared" si="5"/>
        <v>3.3793290722999766E-4</v>
      </c>
    </row>
    <row r="114" spans="2:9" x14ac:dyDescent="0.2">
      <c r="B114" s="69" t="s">
        <v>306</v>
      </c>
      <c r="C114" s="70" t="s">
        <v>307</v>
      </c>
      <c r="D114" s="71">
        <v>20124.22</v>
      </c>
      <c r="E114" s="68">
        <f t="shared" si="3"/>
        <v>9.1341365952483673E-4</v>
      </c>
      <c r="F114" s="72">
        <v>2.4399999999999998E-2</v>
      </c>
      <c r="G114" s="72">
        <v>7.4999999999999997E-2</v>
      </c>
      <c r="H114" s="49">
        <f t="shared" si="4"/>
        <v>0.100315</v>
      </c>
      <c r="I114" s="50">
        <f t="shared" si="5"/>
        <v>9.1629091255234001E-5</v>
      </c>
    </row>
    <row r="115" spans="2:9" x14ac:dyDescent="0.2">
      <c r="B115" s="69" t="s">
        <v>308</v>
      </c>
      <c r="C115" s="70" t="s">
        <v>309</v>
      </c>
      <c r="D115" s="71">
        <v>13739.92</v>
      </c>
      <c r="E115" s="68">
        <f t="shared" si="3"/>
        <v>6.2363811411217396E-4</v>
      </c>
      <c r="F115" s="72">
        <v>3.2400000000000005E-2</v>
      </c>
      <c r="G115" s="72">
        <v>0.155</v>
      </c>
      <c r="H115" s="49">
        <f t="shared" si="4"/>
        <v>0.189911</v>
      </c>
      <c r="I115" s="50">
        <f t="shared" si="5"/>
        <v>1.1843573788915707E-4</v>
      </c>
    </row>
    <row r="116" spans="2:9" x14ac:dyDescent="0.2">
      <c r="B116" s="69" t="s">
        <v>310</v>
      </c>
      <c r="C116" s="70" t="s">
        <v>311</v>
      </c>
      <c r="D116" s="71">
        <v>173706.5</v>
      </c>
      <c r="E116" s="68">
        <f t="shared" si="3"/>
        <v>7.8843249501471882E-3</v>
      </c>
      <c r="F116" s="72">
        <v>2.1899999999999999E-2</v>
      </c>
      <c r="G116" s="72">
        <v>0.12</v>
      </c>
      <c r="H116" s="49">
        <f t="shared" si="4"/>
        <v>0.14321400000000001</v>
      </c>
      <c r="I116" s="50">
        <f t="shared" si="5"/>
        <v>1.1291457134103794E-3</v>
      </c>
    </row>
    <row r="117" spans="2:9" x14ac:dyDescent="0.2">
      <c r="B117" s="69" t="s">
        <v>312</v>
      </c>
      <c r="C117" s="70" t="s">
        <v>313</v>
      </c>
      <c r="D117" s="71">
        <v>58626.37</v>
      </c>
      <c r="E117" s="68">
        <f t="shared" si="3"/>
        <v>2.6609790176392971E-3</v>
      </c>
      <c r="F117" s="72">
        <v>1.7399999999999999E-2</v>
      </c>
      <c r="G117" s="72">
        <v>4.4999999999999998E-2</v>
      </c>
      <c r="H117" s="49">
        <f t="shared" si="4"/>
        <v>6.27915E-2</v>
      </c>
      <c r="I117" s="50">
        <f t="shared" si="5"/>
        <v>1.6708686398609794E-4</v>
      </c>
    </row>
    <row r="118" spans="2:9" x14ac:dyDescent="0.2">
      <c r="B118" s="69" t="s">
        <v>314</v>
      </c>
      <c r="C118" s="70" t="s">
        <v>315</v>
      </c>
      <c r="D118" s="71">
        <v>16940.060000000001</v>
      </c>
      <c r="E118" s="68">
        <f t="shared" si="3"/>
        <v>7.6888854311721419E-4</v>
      </c>
      <c r="F118" s="72">
        <v>0</v>
      </c>
      <c r="G118" s="72">
        <v>0.16500000000000001</v>
      </c>
      <c r="H118" s="49">
        <f t="shared" si="4"/>
        <v>0.16500000000000001</v>
      </c>
      <c r="I118" s="50">
        <f t="shared" si="5"/>
        <v>1.2686660961434035E-4</v>
      </c>
    </row>
    <row r="119" spans="2:9" x14ac:dyDescent="0.2">
      <c r="B119" s="69" t="s">
        <v>316</v>
      </c>
      <c r="C119" s="70" t="s">
        <v>317</v>
      </c>
      <c r="D119" s="71">
        <v>24763.55</v>
      </c>
      <c r="E119" s="68">
        <f t="shared" si="3"/>
        <v>1.1239871571830495E-3</v>
      </c>
      <c r="F119" s="72">
        <v>2.9600000000000001E-2</v>
      </c>
      <c r="G119" s="72">
        <v>0.08</v>
      </c>
      <c r="H119" s="49">
        <f t="shared" si="4"/>
        <v>0.11078400000000001</v>
      </c>
      <c r="I119" s="50">
        <f t="shared" si="5"/>
        <v>1.2451979322136697E-4</v>
      </c>
    </row>
    <row r="120" spans="2:9" x14ac:dyDescent="0.2">
      <c r="B120" s="69" t="s">
        <v>318</v>
      </c>
      <c r="C120" s="70" t="s">
        <v>39</v>
      </c>
      <c r="D120" s="71">
        <v>15381.54</v>
      </c>
      <c r="E120" s="68">
        <f t="shared" si="3"/>
        <v>6.9814923214552699E-4</v>
      </c>
      <c r="F120" s="72">
        <v>2.87E-2</v>
      </c>
      <c r="G120" s="72">
        <v>7.0000000000000007E-2</v>
      </c>
      <c r="H120" s="49">
        <f t="shared" si="4"/>
        <v>9.9704500000000001E-2</v>
      </c>
      <c r="I120" s="50">
        <f t="shared" si="5"/>
        <v>6.9608620116453699E-5</v>
      </c>
    </row>
    <row r="121" spans="2:9" x14ac:dyDescent="0.2">
      <c r="B121" s="69" t="s">
        <v>319</v>
      </c>
      <c r="C121" s="70" t="s">
        <v>320</v>
      </c>
      <c r="D121" s="71">
        <v>23275.79</v>
      </c>
      <c r="E121" s="68">
        <f t="shared" si="3"/>
        <v>1.0564595558104413E-3</v>
      </c>
      <c r="F121" s="72">
        <v>0</v>
      </c>
      <c r="G121" s="72">
        <v>0.155</v>
      </c>
      <c r="H121" s="49">
        <f t="shared" si="4"/>
        <v>0.155</v>
      </c>
      <c r="I121" s="50">
        <f t="shared" si="5"/>
        <v>1.6375123115061841E-4</v>
      </c>
    </row>
    <row r="122" spans="2:9" x14ac:dyDescent="0.2">
      <c r="B122" s="69" t="s">
        <v>321</v>
      </c>
      <c r="C122" s="70" t="s">
        <v>322</v>
      </c>
      <c r="D122" s="71">
        <v>15050.95</v>
      </c>
      <c r="E122" s="68">
        <f t="shared" si="3"/>
        <v>6.8314415757854668E-4</v>
      </c>
      <c r="F122" s="72">
        <v>3.8599999999999995E-2</v>
      </c>
      <c r="G122" s="72">
        <v>0.125</v>
      </c>
      <c r="H122" s="49">
        <f t="shared" si="4"/>
        <v>0.16601250000000001</v>
      </c>
      <c r="I122" s="50">
        <f t="shared" si="5"/>
        <v>1.1341046946000848E-4</v>
      </c>
    </row>
    <row r="123" spans="2:9" x14ac:dyDescent="0.2">
      <c r="B123" s="69" t="s">
        <v>323</v>
      </c>
      <c r="C123" s="70" t="s">
        <v>324</v>
      </c>
      <c r="D123" s="71">
        <v>38498.839999999997</v>
      </c>
      <c r="E123" s="68">
        <f t="shared" si="3"/>
        <v>1.74741512127482E-3</v>
      </c>
      <c r="F123" s="72">
        <v>1.9699999999999999E-2</v>
      </c>
      <c r="G123" s="72">
        <v>0.1</v>
      </c>
      <c r="H123" s="49">
        <f t="shared" si="4"/>
        <v>0.120685</v>
      </c>
      <c r="I123" s="50">
        <f t="shared" si="5"/>
        <v>2.1088679391105165E-4</v>
      </c>
    </row>
    <row r="124" spans="2:9" x14ac:dyDescent="0.2">
      <c r="B124" s="69" t="s">
        <v>325</v>
      </c>
      <c r="C124" s="70" t="s">
        <v>326</v>
      </c>
      <c r="D124" s="71">
        <v>10902.31</v>
      </c>
      <c r="E124" s="68" t="str">
        <f t="shared" si="3"/>
        <v>N/A</v>
      </c>
      <c r="F124" s="72">
        <v>1.1200000000000002E-2</v>
      </c>
      <c r="G124" s="72" t="s">
        <v>104</v>
      </c>
      <c r="H124" s="49" t="str">
        <f t="shared" si="4"/>
        <v>N/A</v>
      </c>
      <c r="I124" s="50" t="str">
        <f t="shared" si="5"/>
        <v>N/A</v>
      </c>
    </row>
    <row r="125" spans="2:9" x14ac:dyDescent="0.2">
      <c r="B125" s="69" t="s">
        <v>327</v>
      </c>
      <c r="C125" s="70" t="s">
        <v>328</v>
      </c>
      <c r="D125" s="71">
        <v>14217.63</v>
      </c>
      <c r="E125" s="68">
        <f t="shared" si="3"/>
        <v>6.4532078500782156E-4</v>
      </c>
      <c r="F125" s="72">
        <v>2.0000000000000001E-4</v>
      </c>
      <c r="G125" s="72">
        <v>0.14499999999999999</v>
      </c>
      <c r="H125" s="49">
        <f t="shared" si="4"/>
        <v>0.1452145</v>
      </c>
      <c r="I125" s="50">
        <f t="shared" si="5"/>
        <v>9.3709935134518303E-5</v>
      </c>
    </row>
    <row r="126" spans="2:9" x14ac:dyDescent="0.2">
      <c r="B126" s="69" t="s">
        <v>329</v>
      </c>
      <c r="C126" s="70" t="s">
        <v>330</v>
      </c>
      <c r="D126" s="71">
        <v>78226.89</v>
      </c>
      <c r="E126" s="68" t="str">
        <f t="shared" si="3"/>
        <v>N/A</v>
      </c>
      <c r="F126" s="72">
        <v>1.8000000000000002E-2</v>
      </c>
      <c r="G126" s="72" t="s">
        <v>104</v>
      </c>
      <c r="H126" s="49" t="str">
        <f t="shared" si="4"/>
        <v>N/A</v>
      </c>
      <c r="I126" s="50" t="str">
        <f t="shared" si="5"/>
        <v>N/A</v>
      </c>
    </row>
    <row r="127" spans="2:9" x14ac:dyDescent="0.2">
      <c r="B127" s="69" t="s">
        <v>331</v>
      </c>
      <c r="C127" s="70" t="s">
        <v>332</v>
      </c>
      <c r="D127" s="71">
        <v>95505.97</v>
      </c>
      <c r="E127" s="68">
        <f t="shared" si="3"/>
        <v>4.3348988216273358E-3</v>
      </c>
      <c r="F127" s="72">
        <v>1.1200000000000002E-2</v>
      </c>
      <c r="G127" s="72">
        <v>8.5000000000000006E-2</v>
      </c>
      <c r="H127" s="49">
        <f t="shared" si="4"/>
        <v>9.6676000000000012E-2</v>
      </c>
      <c r="I127" s="50">
        <f t="shared" si="5"/>
        <v>4.1908067847964438E-4</v>
      </c>
    </row>
    <row r="128" spans="2:9" x14ac:dyDescent="0.2">
      <c r="B128" s="69" t="s">
        <v>333</v>
      </c>
      <c r="C128" s="70" t="s">
        <v>334</v>
      </c>
      <c r="D128" s="71">
        <v>8158.03</v>
      </c>
      <c r="E128" s="68">
        <f t="shared" si="3"/>
        <v>3.7028297428737126E-4</v>
      </c>
      <c r="F128" s="72">
        <v>4.5999999999999999E-2</v>
      </c>
      <c r="G128" s="72">
        <v>0.09</v>
      </c>
      <c r="H128" s="49">
        <f t="shared" si="4"/>
        <v>0.13807</v>
      </c>
      <c r="I128" s="50">
        <f t="shared" si="5"/>
        <v>5.1124970259857349E-5</v>
      </c>
    </row>
    <row r="129" spans="2:9" x14ac:dyDescent="0.2">
      <c r="B129" s="69" t="s">
        <v>335</v>
      </c>
      <c r="C129" s="70" t="s">
        <v>336</v>
      </c>
      <c r="D129" s="71">
        <v>10811.92</v>
      </c>
      <c r="E129" s="68" t="str">
        <f t="shared" si="3"/>
        <v>N/A</v>
      </c>
      <c r="F129" s="72">
        <v>3.9E-2</v>
      </c>
      <c r="G129" s="72" t="s">
        <v>104</v>
      </c>
      <c r="H129" s="49" t="str">
        <f t="shared" si="4"/>
        <v>N/A</v>
      </c>
      <c r="I129" s="50" t="str">
        <f t="shared" si="5"/>
        <v>N/A</v>
      </c>
    </row>
    <row r="130" spans="2:9" x14ac:dyDescent="0.2">
      <c r="B130" s="69" t="s">
        <v>337</v>
      </c>
      <c r="C130" s="70" t="s">
        <v>338</v>
      </c>
      <c r="D130" s="71">
        <v>6629.59</v>
      </c>
      <c r="E130" s="68">
        <f t="shared" si="3"/>
        <v>3.0090895761670573E-4</v>
      </c>
      <c r="F130" s="72">
        <v>0</v>
      </c>
      <c r="G130" s="72">
        <v>7.4999999999999997E-2</v>
      </c>
      <c r="H130" s="49">
        <f t="shared" si="4"/>
        <v>7.4999999999999997E-2</v>
      </c>
      <c r="I130" s="50">
        <f t="shared" si="5"/>
        <v>2.2568171821252929E-5</v>
      </c>
    </row>
    <row r="131" spans="2:9" x14ac:dyDescent="0.2">
      <c r="B131" s="69" t="s">
        <v>339</v>
      </c>
      <c r="C131" s="70" t="s">
        <v>340</v>
      </c>
      <c r="D131" s="71">
        <v>13209.87</v>
      </c>
      <c r="E131" s="68">
        <f t="shared" si="3"/>
        <v>5.9957979482172996E-4</v>
      </c>
      <c r="F131" s="72">
        <v>0</v>
      </c>
      <c r="G131" s="72">
        <v>0.13</v>
      </c>
      <c r="H131" s="49">
        <f t="shared" si="4"/>
        <v>0.13</v>
      </c>
      <c r="I131" s="50">
        <f t="shared" si="5"/>
        <v>7.7945373326824898E-5</v>
      </c>
    </row>
    <row r="132" spans="2:9" x14ac:dyDescent="0.2">
      <c r="B132" s="69" t="s">
        <v>341</v>
      </c>
      <c r="C132" s="70" t="s">
        <v>342</v>
      </c>
      <c r="D132" s="71">
        <v>119034</v>
      </c>
      <c r="E132" s="68">
        <f t="shared" si="3"/>
        <v>5.4028072416162911E-3</v>
      </c>
      <c r="F132" s="72">
        <v>0</v>
      </c>
      <c r="G132" s="72">
        <v>0.65</v>
      </c>
      <c r="H132" s="49">
        <f t="shared" si="4"/>
        <v>0.65</v>
      </c>
      <c r="I132" s="50">
        <f t="shared" si="5"/>
        <v>3.5118247070505893E-3</v>
      </c>
    </row>
    <row r="133" spans="2:9" x14ac:dyDescent="0.2">
      <c r="B133" s="69" t="s">
        <v>343</v>
      </c>
      <c r="C133" s="70" t="s">
        <v>344</v>
      </c>
      <c r="D133" s="71">
        <v>226907</v>
      </c>
      <c r="E133" s="68">
        <f t="shared" si="3"/>
        <v>1.0299030384372767E-2</v>
      </c>
      <c r="F133" s="72">
        <v>2.7300000000000001E-2</v>
      </c>
      <c r="G133" s="72">
        <v>0.08</v>
      </c>
      <c r="H133" s="49">
        <f t="shared" si="4"/>
        <v>0.108392</v>
      </c>
      <c r="I133" s="50">
        <f t="shared" si="5"/>
        <v>1.116332501422933E-3</v>
      </c>
    </row>
    <row r="134" spans="2:9" x14ac:dyDescent="0.2">
      <c r="B134" s="69" t="s">
        <v>345</v>
      </c>
      <c r="C134" s="70" t="s">
        <v>346</v>
      </c>
      <c r="D134" s="71">
        <v>60815.13</v>
      </c>
      <c r="E134" s="68">
        <f t="shared" si="3"/>
        <v>2.7603241490988806E-3</v>
      </c>
      <c r="F134" s="72">
        <v>1.3300000000000001E-2</v>
      </c>
      <c r="G134" s="72">
        <v>0.16500000000000001</v>
      </c>
      <c r="H134" s="49">
        <f t="shared" si="4"/>
        <v>0.17939725000000001</v>
      </c>
      <c r="I134" s="50">
        <f t="shared" si="5"/>
        <v>4.9519456145692914E-4</v>
      </c>
    </row>
    <row r="135" spans="2:9" x14ac:dyDescent="0.2">
      <c r="B135" s="69" t="s">
        <v>347</v>
      </c>
      <c r="C135" s="70" t="s">
        <v>348</v>
      </c>
      <c r="D135" s="71">
        <v>21290.76</v>
      </c>
      <c r="E135" s="68">
        <f t="shared" si="3"/>
        <v>9.6636147913633467E-4</v>
      </c>
      <c r="F135" s="72">
        <v>1.11E-2</v>
      </c>
      <c r="G135" s="72">
        <v>0.155</v>
      </c>
      <c r="H135" s="49">
        <f t="shared" si="4"/>
        <v>0.16696025</v>
      </c>
      <c r="I135" s="50">
        <f t="shared" si="5"/>
        <v>1.6134395414697222E-4</v>
      </c>
    </row>
    <row r="136" spans="2:9" x14ac:dyDescent="0.2">
      <c r="B136" s="69" t="s">
        <v>349</v>
      </c>
      <c r="C136" s="70" t="s">
        <v>350</v>
      </c>
      <c r="D136" s="71">
        <v>13085.74</v>
      </c>
      <c r="E136" s="68">
        <f t="shared" si="3"/>
        <v>5.9394568639135014E-4</v>
      </c>
      <c r="F136" s="72">
        <v>8.2599999999999993E-2</v>
      </c>
      <c r="G136" s="72">
        <v>5.0000000000000001E-3</v>
      </c>
      <c r="H136" s="49">
        <f t="shared" si="4"/>
        <v>8.7806499999999996E-2</v>
      </c>
      <c r="I136" s="50">
        <f t="shared" si="5"/>
        <v>5.2152291912122084E-5</v>
      </c>
    </row>
    <row r="137" spans="2:9" x14ac:dyDescent="0.2">
      <c r="B137" s="69" t="s">
        <v>351</v>
      </c>
      <c r="C137" s="70" t="s">
        <v>352</v>
      </c>
      <c r="D137" s="71">
        <v>41951.4</v>
      </c>
      <c r="E137" s="68">
        <f t="shared" si="3"/>
        <v>1.9041225844375698E-3</v>
      </c>
      <c r="F137" s="72">
        <v>1.11E-2</v>
      </c>
      <c r="G137" s="72">
        <v>0.1</v>
      </c>
      <c r="H137" s="49">
        <f t="shared" si="4"/>
        <v>0.111655</v>
      </c>
      <c r="I137" s="50">
        <f t="shared" si="5"/>
        <v>2.1260480716537685E-4</v>
      </c>
    </row>
    <row r="138" spans="2:9" x14ac:dyDescent="0.2">
      <c r="B138" s="69" t="s">
        <v>353</v>
      </c>
      <c r="C138" s="70" t="s">
        <v>354</v>
      </c>
      <c r="D138" s="71">
        <v>13852.37</v>
      </c>
      <c r="E138" s="68">
        <f t="shared" si="3"/>
        <v>6.287420816703486E-4</v>
      </c>
      <c r="F138" s="72">
        <v>1.3600000000000001E-2</v>
      </c>
      <c r="G138" s="72">
        <v>7.4999999999999997E-2</v>
      </c>
      <c r="H138" s="49">
        <f t="shared" si="4"/>
        <v>8.9109999999999995E-2</v>
      </c>
      <c r="I138" s="50">
        <f t="shared" si="5"/>
        <v>5.6027206897644759E-5</v>
      </c>
    </row>
    <row r="139" spans="2:9" x14ac:dyDescent="0.2">
      <c r="B139" s="69" t="s">
        <v>355</v>
      </c>
      <c r="C139" s="70" t="s">
        <v>356</v>
      </c>
      <c r="D139" s="71">
        <v>53354.84</v>
      </c>
      <c r="E139" s="68">
        <f t="shared" si="3"/>
        <v>2.4217107374975093E-3</v>
      </c>
      <c r="F139" s="72">
        <v>3.8199999999999998E-2</v>
      </c>
      <c r="G139" s="72">
        <v>0.08</v>
      </c>
      <c r="H139" s="49">
        <f t="shared" si="4"/>
        <v>0.119728</v>
      </c>
      <c r="I139" s="50">
        <f t="shared" si="5"/>
        <v>2.8994658317910182E-4</v>
      </c>
    </row>
    <row r="140" spans="2:9" x14ac:dyDescent="0.2">
      <c r="B140" s="69" t="s">
        <v>357</v>
      </c>
      <c r="C140" s="70" t="s">
        <v>358</v>
      </c>
      <c r="D140" s="71">
        <v>232999.8</v>
      </c>
      <c r="E140" s="68">
        <f t="shared" ref="E140:E203" si="6">IF(OR(H140="N/A",D140="N/A"),"N/A",D140/$D$512)</f>
        <v>1.057557510236695E-2</v>
      </c>
      <c r="F140" s="72">
        <v>3.9E-2</v>
      </c>
      <c r="G140" s="72">
        <v>0.25</v>
      </c>
      <c r="H140" s="49">
        <f t="shared" ref="H140:H203" si="7">IFERROR(F140*(1+0.5*G140)+G140,"N/A")</f>
        <v>0.293875</v>
      </c>
      <c r="I140" s="50">
        <f t="shared" ref="I140:I203" si="8">IF(AND(ISNUMBER(D140),ISNUMBER(H140)),E140*H140,"N/A")</f>
        <v>3.1078971332080874E-3</v>
      </c>
    </row>
    <row r="141" spans="2:9" x14ac:dyDescent="0.2">
      <c r="B141" s="69" t="s">
        <v>359</v>
      </c>
      <c r="C141" s="70" t="s">
        <v>360</v>
      </c>
      <c r="D141" s="71">
        <v>20518.59</v>
      </c>
      <c r="E141" s="68">
        <f t="shared" si="6"/>
        <v>9.3131363005322532E-4</v>
      </c>
      <c r="F141" s="72">
        <v>4.8999999999999998E-3</v>
      </c>
      <c r="G141" s="72">
        <v>0.3</v>
      </c>
      <c r="H141" s="49">
        <f t="shared" si="7"/>
        <v>0.30563499999999999</v>
      </c>
      <c r="I141" s="50">
        <f t="shared" si="8"/>
        <v>2.8464204132131751E-4</v>
      </c>
    </row>
    <row r="142" spans="2:9" x14ac:dyDescent="0.2">
      <c r="B142" s="69" t="s">
        <v>361</v>
      </c>
      <c r="C142" s="70" t="s">
        <v>362</v>
      </c>
      <c r="D142" s="71">
        <v>49858.6</v>
      </c>
      <c r="E142" s="68">
        <f t="shared" si="6"/>
        <v>2.2630206927167868E-3</v>
      </c>
      <c r="F142" s="72">
        <v>4.82E-2</v>
      </c>
      <c r="G142" s="72">
        <v>6.5000000000000002E-2</v>
      </c>
      <c r="H142" s="49">
        <f t="shared" si="7"/>
        <v>0.11476649999999999</v>
      </c>
      <c r="I142" s="50">
        <f t="shared" si="8"/>
        <v>2.597189643306811E-4</v>
      </c>
    </row>
    <row r="143" spans="2:9" x14ac:dyDescent="0.2">
      <c r="B143" s="69" t="s">
        <v>363</v>
      </c>
      <c r="C143" s="70" t="s">
        <v>364</v>
      </c>
      <c r="D143" s="71">
        <v>33999.839999999997</v>
      </c>
      <c r="E143" s="68">
        <f t="shared" si="6"/>
        <v>1.543211030174532E-3</v>
      </c>
      <c r="F143" s="72">
        <v>3.0099999999999998E-2</v>
      </c>
      <c r="G143" s="72">
        <v>9.5000000000000001E-2</v>
      </c>
      <c r="H143" s="49">
        <f t="shared" si="7"/>
        <v>0.12652975</v>
      </c>
      <c r="I143" s="50">
        <f t="shared" si="8"/>
        <v>1.9526210584522598E-4</v>
      </c>
    </row>
    <row r="144" spans="2:9" x14ac:dyDescent="0.2">
      <c r="B144" s="69" t="s">
        <v>365</v>
      </c>
      <c r="C144" s="70" t="s">
        <v>366</v>
      </c>
      <c r="D144" s="71">
        <v>50328.26</v>
      </c>
      <c r="E144" s="68">
        <f t="shared" si="6"/>
        <v>2.2843379839873274E-3</v>
      </c>
      <c r="F144" s="72">
        <v>1.9199999999999998E-2</v>
      </c>
      <c r="G144" s="72">
        <v>0.14000000000000001</v>
      </c>
      <c r="H144" s="49">
        <f t="shared" si="7"/>
        <v>0.16054400000000002</v>
      </c>
      <c r="I144" s="50">
        <f t="shared" si="8"/>
        <v>3.6673675730126152E-4</v>
      </c>
    </row>
    <row r="145" spans="2:9" x14ac:dyDescent="0.2">
      <c r="B145" s="69" t="s">
        <v>367</v>
      </c>
      <c r="C145" s="70" t="s">
        <v>368</v>
      </c>
      <c r="D145" s="71">
        <v>23623.99</v>
      </c>
      <c r="E145" s="68">
        <f t="shared" si="6"/>
        <v>1.0722639266753269E-3</v>
      </c>
      <c r="F145" s="72">
        <v>2.29E-2</v>
      </c>
      <c r="G145" s="72">
        <v>0.08</v>
      </c>
      <c r="H145" s="49">
        <f t="shared" si="7"/>
        <v>0.10381600000000001</v>
      </c>
      <c r="I145" s="50">
        <f t="shared" si="8"/>
        <v>1.1131815181172574E-4</v>
      </c>
    </row>
    <row r="146" spans="2:9" x14ac:dyDescent="0.2">
      <c r="B146" s="69" t="s">
        <v>369</v>
      </c>
      <c r="C146" s="70" t="s">
        <v>370</v>
      </c>
      <c r="D146" s="71">
        <v>31251.65</v>
      </c>
      <c r="E146" s="68">
        <f t="shared" si="6"/>
        <v>1.4184740572647965E-3</v>
      </c>
      <c r="F146" s="72">
        <v>9.7999999999999997E-3</v>
      </c>
      <c r="G146" s="72">
        <v>0.13</v>
      </c>
      <c r="H146" s="49">
        <f t="shared" si="7"/>
        <v>0.14043700000000001</v>
      </c>
      <c r="I146" s="50">
        <f t="shared" si="8"/>
        <v>1.9920624118009624E-4</v>
      </c>
    </row>
    <row r="147" spans="2:9" x14ac:dyDescent="0.2">
      <c r="B147" s="69" t="s">
        <v>371</v>
      </c>
      <c r="C147" s="70" t="s">
        <v>372</v>
      </c>
      <c r="D147" s="71">
        <v>11236.05</v>
      </c>
      <c r="E147" s="68">
        <f t="shared" si="6"/>
        <v>5.0999052629637517E-4</v>
      </c>
      <c r="F147" s="72">
        <v>2.5499999999999998E-2</v>
      </c>
      <c r="G147" s="72">
        <v>8.5000000000000006E-2</v>
      </c>
      <c r="H147" s="49">
        <f t="shared" si="7"/>
        <v>0.11158375000000001</v>
      </c>
      <c r="I147" s="50">
        <f t="shared" si="8"/>
        <v>5.690665538862316E-5</v>
      </c>
    </row>
    <row r="148" spans="2:9" x14ac:dyDescent="0.2">
      <c r="B148" s="69" t="s">
        <v>373</v>
      </c>
      <c r="C148" s="70" t="s">
        <v>374</v>
      </c>
      <c r="D148" s="71">
        <v>15138.7</v>
      </c>
      <c r="E148" s="68">
        <f t="shared" si="6"/>
        <v>6.871270224360818E-4</v>
      </c>
      <c r="F148" s="72">
        <v>1.4800000000000001E-2</v>
      </c>
      <c r="G148" s="72">
        <v>0.08</v>
      </c>
      <c r="H148" s="49">
        <f t="shared" si="7"/>
        <v>9.5392000000000005E-2</v>
      </c>
      <c r="I148" s="50">
        <f t="shared" si="8"/>
        <v>6.5546420924222722E-5</v>
      </c>
    </row>
    <row r="149" spans="2:9" x14ac:dyDescent="0.2">
      <c r="B149" s="69" t="s">
        <v>375</v>
      </c>
      <c r="C149" s="70" t="s">
        <v>376</v>
      </c>
      <c r="D149" s="71">
        <v>87221.57</v>
      </c>
      <c r="E149" s="68">
        <f t="shared" si="6"/>
        <v>3.9588800680573815E-3</v>
      </c>
      <c r="F149" s="72">
        <v>5.1000000000000004E-3</v>
      </c>
      <c r="G149" s="72">
        <v>0.105</v>
      </c>
      <c r="H149" s="49">
        <f t="shared" si="7"/>
        <v>0.11036775</v>
      </c>
      <c r="I149" s="50">
        <f t="shared" si="8"/>
        <v>4.3693268563134007E-4</v>
      </c>
    </row>
    <row r="150" spans="2:9" x14ac:dyDescent="0.2">
      <c r="B150" s="69" t="s">
        <v>377</v>
      </c>
      <c r="C150" s="70" t="s">
        <v>378</v>
      </c>
      <c r="D150" s="71">
        <v>171015</v>
      </c>
      <c r="E150" s="68">
        <f t="shared" si="6"/>
        <v>7.762161066796126E-3</v>
      </c>
      <c r="F150" s="72">
        <v>1.54E-2</v>
      </c>
      <c r="G150" s="72">
        <v>7.0000000000000007E-2</v>
      </c>
      <c r="H150" s="49">
        <f t="shared" si="7"/>
        <v>8.5939000000000002E-2</v>
      </c>
      <c r="I150" s="50">
        <f t="shared" si="8"/>
        <v>6.6707235991939225E-4</v>
      </c>
    </row>
    <row r="151" spans="2:9" x14ac:dyDescent="0.2">
      <c r="B151" s="69" t="s">
        <v>379</v>
      </c>
      <c r="C151" s="70" t="s">
        <v>380</v>
      </c>
      <c r="D151" s="71">
        <v>14877.87</v>
      </c>
      <c r="E151" s="68">
        <f t="shared" si="6"/>
        <v>6.7528826869487518E-4</v>
      </c>
      <c r="F151" s="72">
        <v>0</v>
      </c>
      <c r="G151" s="72">
        <v>0.17</v>
      </c>
      <c r="H151" s="49">
        <f t="shared" si="7"/>
        <v>0.17</v>
      </c>
      <c r="I151" s="50">
        <f t="shared" si="8"/>
        <v>1.1479900567812879E-4</v>
      </c>
    </row>
    <row r="152" spans="2:9" x14ac:dyDescent="0.2">
      <c r="B152" s="69" t="s">
        <v>381</v>
      </c>
      <c r="C152" s="70" t="s">
        <v>382</v>
      </c>
      <c r="D152" s="71">
        <v>15051.83</v>
      </c>
      <c r="E152" s="68">
        <f t="shared" si="6"/>
        <v>6.831840996990552E-4</v>
      </c>
      <c r="F152" s="72">
        <v>0</v>
      </c>
      <c r="G152" s="72">
        <v>-0.02</v>
      </c>
      <c r="H152" s="49">
        <f t="shared" si="7"/>
        <v>-0.02</v>
      </c>
      <c r="I152" s="50">
        <f t="shared" si="8"/>
        <v>-1.3663681993981104E-5</v>
      </c>
    </row>
    <row r="153" spans="2:9" x14ac:dyDescent="0.2">
      <c r="B153" s="69" t="s">
        <v>383</v>
      </c>
      <c r="C153" s="70" t="s">
        <v>384</v>
      </c>
      <c r="D153" s="71">
        <v>23146.19</v>
      </c>
      <c r="E153" s="68">
        <f t="shared" si="6"/>
        <v>1.0505771707900818E-3</v>
      </c>
      <c r="F153" s="72">
        <v>3.8399999999999997E-2</v>
      </c>
      <c r="G153" s="72">
        <v>6.5000000000000002E-2</v>
      </c>
      <c r="H153" s="49">
        <f t="shared" si="7"/>
        <v>0.10464799999999999</v>
      </c>
      <c r="I153" s="50">
        <f t="shared" si="8"/>
        <v>1.0994079976884046E-4</v>
      </c>
    </row>
    <row r="154" spans="2:9" x14ac:dyDescent="0.2">
      <c r="B154" s="69" t="s">
        <v>385</v>
      </c>
      <c r="C154" s="70" t="s">
        <v>386</v>
      </c>
      <c r="D154" s="71">
        <v>24548.99</v>
      </c>
      <c r="E154" s="68">
        <f t="shared" si="6"/>
        <v>1.1142485419826766E-3</v>
      </c>
      <c r="F154" s="72">
        <v>0</v>
      </c>
      <c r="G154" s="72">
        <v>0.17499999999999999</v>
      </c>
      <c r="H154" s="49">
        <f t="shared" si="7"/>
        <v>0.17499999999999999</v>
      </c>
      <c r="I154" s="50">
        <f t="shared" si="8"/>
        <v>1.9499349484696838E-4</v>
      </c>
    </row>
    <row r="155" spans="2:9" x14ac:dyDescent="0.2">
      <c r="B155" s="69" t="s">
        <v>387</v>
      </c>
      <c r="C155" s="70" t="s">
        <v>388</v>
      </c>
      <c r="D155" s="71">
        <v>13195.41</v>
      </c>
      <c r="E155" s="68">
        <f t="shared" si="6"/>
        <v>5.9892347315973612E-4</v>
      </c>
      <c r="F155" s="72">
        <v>2.1299999999999999E-2</v>
      </c>
      <c r="G155" s="72">
        <v>0.13</v>
      </c>
      <c r="H155" s="49">
        <f t="shared" si="7"/>
        <v>0.1526845</v>
      </c>
      <c r="I155" s="50">
        <f t="shared" si="8"/>
        <v>9.1446331037657727E-5</v>
      </c>
    </row>
    <row r="156" spans="2:9" x14ac:dyDescent="0.2">
      <c r="B156" s="69" t="s">
        <v>389</v>
      </c>
      <c r="C156" s="70" t="s">
        <v>390</v>
      </c>
      <c r="D156" s="71">
        <v>10562.54</v>
      </c>
      <c r="E156" s="68">
        <f t="shared" si="6"/>
        <v>4.7942073358756107E-4</v>
      </c>
      <c r="F156" s="72">
        <v>2.9700000000000001E-2</v>
      </c>
      <c r="G156" s="72">
        <v>7.0000000000000007E-2</v>
      </c>
      <c r="H156" s="49">
        <f t="shared" si="7"/>
        <v>0.10073950000000001</v>
      </c>
      <c r="I156" s="50">
        <f t="shared" si="8"/>
        <v>4.8296604991244113E-5</v>
      </c>
    </row>
    <row r="157" spans="2:9" x14ac:dyDescent="0.2">
      <c r="B157" s="69" t="s">
        <v>391</v>
      </c>
      <c r="C157" s="70" t="s">
        <v>392</v>
      </c>
      <c r="D157" s="71">
        <v>13392.08</v>
      </c>
      <c r="E157" s="68">
        <f t="shared" si="6"/>
        <v>6.0785008320567819E-4</v>
      </c>
      <c r="F157" s="72">
        <v>2.9700000000000001E-2</v>
      </c>
      <c r="G157" s="72">
        <v>0.12</v>
      </c>
      <c r="H157" s="49">
        <f t="shared" si="7"/>
        <v>0.15148200000000001</v>
      </c>
      <c r="I157" s="50">
        <f t="shared" si="8"/>
        <v>9.2078346304162547E-5</v>
      </c>
    </row>
    <row r="158" spans="2:9" x14ac:dyDescent="0.2">
      <c r="B158" s="69" t="s">
        <v>393</v>
      </c>
      <c r="C158" s="70" t="s">
        <v>43</v>
      </c>
      <c r="D158" s="71">
        <v>22285.81</v>
      </c>
      <c r="E158" s="68">
        <f t="shared" si="6"/>
        <v>1.0115255780137168E-3</v>
      </c>
      <c r="F158" s="72">
        <v>3.1800000000000002E-2</v>
      </c>
      <c r="G158" s="72">
        <v>0.05</v>
      </c>
      <c r="H158" s="49">
        <f t="shared" si="7"/>
        <v>8.2595000000000002E-2</v>
      </c>
      <c r="I158" s="50">
        <f t="shared" si="8"/>
        <v>8.354695511604294E-5</v>
      </c>
    </row>
    <row r="159" spans="2:9" x14ac:dyDescent="0.2">
      <c r="B159" s="69" t="s">
        <v>394</v>
      </c>
      <c r="C159" s="70" t="s">
        <v>45</v>
      </c>
      <c r="D159" s="71">
        <v>63870.54</v>
      </c>
      <c r="E159" s="68">
        <f t="shared" si="6"/>
        <v>2.8990054609434532E-3</v>
      </c>
      <c r="F159" s="72">
        <v>4.2599999999999999E-2</v>
      </c>
      <c r="G159" s="72">
        <v>5.5E-2</v>
      </c>
      <c r="H159" s="49">
        <f t="shared" si="7"/>
        <v>9.8771500000000012E-2</v>
      </c>
      <c r="I159" s="50">
        <f t="shared" si="8"/>
        <v>2.8633911788557634E-4</v>
      </c>
    </row>
    <row r="160" spans="2:9" x14ac:dyDescent="0.2">
      <c r="B160" s="69" t="s">
        <v>395</v>
      </c>
      <c r="C160" s="70" t="s">
        <v>396</v>
      </c>
      <c r="D160" s="71">
        <v>8388.83</v>
      </c>
      <c r="E160" s="68">
        <f t="shared" si="6"/>
        <v>3.8075870316622135E-4</v>
      </c>
      <c r="F160" s="72">
        <v>0</v>
      </c>
      <c r="G160" s="72">
        <v>9.5000000000000001E-2</v>
      </c>
      <c r="H160" s="49">
        <f t="shared" si="7"/>
        <v>9.5000000000000001E-2</v>
      </c>
      <c r="I160" s="50">
        <f t="shared" si="8"/>
        <v>3.6172076800791026E-5</v>
      </c>
    </row>
    <row r="161" spans="2:9" x14ac:dyDescent="0.2">
      <c r="B161" s="69" t="s">
        <v>397</v>
      </c>
      <c r="C161" s="70" t="s">
        <v>398</v>
      </c>
      <c r="D161" s="71">
        <v>13275.19</v>
      </c>
      <c r="E161" s="68">
        <f t="shared" si="6"/>
        <v>6.0254458949402846E-4</v>
      </c>
      <c r="F161" s="72">
        <v>1.2800000000000001E-2</v>
      </c>
      <c r="G161" s="72">
        <v>0.19</v>
      </c>
      <c r="H161" s="49">
        <f t="shared" si="7"/>
        <v>0.204016</v>
      </c>
      <c r="I161" s="50">
        <f t="shared" si="8"/>
        <v>1.2292873697021371E-4</v>
      </c>
    </row>
    <row r="162" spans="2:9" x14ac:dyDescent="0.2">
      <c r="B162" s="69" t="s">
        <v>399</v>
      </c>
      <c r="C162" s="70" t="s">
        <v>400</v>
      </c>
      <c r="D162" s="71">
        <v>125071.1</v>
      </c>
      <c r="E162" s="68" t="str">
        <f t="shared" si="6"/>
        <v>N/A</v>
      </c>
      <c r="F162" s="72">
        <v>3.0800000000000001E-2</v>
      </c>
      <c r="G162" s="72" t="s">
        <v>104</v>
      </c>
      <c r="H162" s="49" t="str">
        <f t="shared" si="7"/>
        <v>N/A</v>
      </c>
      <c r="I162" s="50" t="str">
        <f t="shared" si="8"/>
        <v>N/A</v>
      </c>
    </row>
    <row r="163" spans="2:9" x14ac:dyDescent="0.2">
      <c r="B163" s="69" t="s">
        <v>401</v>
      </c>
      <c r="C163" s="70" t="s">
        <v>402</v>
      </c>
      <c r="D163" s="71">
        <v>17374.68</v>
      </c>
      <c r="E163" s="68">
        <f t="shared" si="6"/>
        <v>7.8861541177113889E-4</v>
      </c>
      <c r="F163" s="72">
        <v>1.18E-2</v>
      </c>
      <c r="G163" s="72">
        <v>0.14000000000000001</v>
      </c>
      <c r="H163" s="49">
        <f t="shared" si="7"/>
        <v>0.15262600000000001</v>
      </c>
      <c r="I163" s="50">
        <f t="shared" si="8"/>
        <v>1.2036321583698186E-4</v>
      </c>
    </row>
    <row r="164" spans="2:9" x14ac:dyDescent="0.2">
      <c r="B164" s="69" t="s">
        <v>403</v>
      </c>
      <c r="C164" s="70" t="s">
        <v>404</v>
      </c>
      <c r="D164" s="71">
        <v>29907.360000000001</v>
      </c>
      <c r="E164" s="68">
        <f t="shared" si="6"/>
        <v>1.3574583831982914E-3</v>
      </c>
      <c r="F164" s="72">
        <v>0</v>
      </c>
      <c r="G164" s="72">
        <v>0.115</v>
      </c>
      <c r="H164" s="49">
        <f t="shared" si="7"/>
        <v>0.115</v>
      </c>
      <c r="I164" s="50">
        <f t="shared" si="8"/>
        <v>1.5610771406780353E-4</v>
      </c>
    </row>
    <row r="165" spans="2:9" x14ac:dyDescent="0.2">
      <c r="B165" s="69" t="s">
        <v>405</v>
      </c>
      <c r="C165" s="70" t="s">
        <v>406</v>
      </c>
      <c r="D165" s="71">
        <v>34870.230000000003</v>
      </c>
      <c r="E165" s="68">
        <f t="shared" si="6"/>
        <v>1.5827169645716826E-3</v>
      </c>
      <c r="F165" s="72">
        <v>1.55E-2</v>
      </c>
      <c r="G165" s="72">
        <v>0.14499999999999999</v>
      </c>
      <c r="H165" s="49">
        <f t="shared" si="7"/>
        <v>0.16162374999999998</v>
      </c>
      <c r="I165" s="50">
        <f t="shared" si="8"/>
        <v>2.5580465100269245E-4</v>
      </c>
    </row>
    <row r="166" spans="2:9" x14ac:dyDescent="0.2">
      <c r="B166" s="69" t="s">
        <v>407</v>
      </c>
      <c r="C166" s="70" t="s">
        <v>408</v>
      </c>
      <c r="D166" s="71">
        <v>48992.86</v>
      </c>
      <c r="E166" s="68">
        <f t="shared" si="6"/>
        <v>2.2237258161155061E-3</v>
      </c>
      <c r="F166" s="72">
        <v>1.09E-2</v>
      </c>
      <c r="G166" s="72">
        <v>0.09</v>
      </c>
      <c r="H166" s="49">
        <f t="shared" si="7"/>
        <v>0.10139049999999999</v>
      </c>
      <c r="I166" s="50">
        <f t="shared" si="8"/>
        <v>2.2546467235885922E-4</v>
      </c>
    </row>
    <row r="167" spans="2:9" x14ac:dyDescent="0.2">
      <c r="B167" s="69" t="s">
        <v>409</v>
      </c>
      <c r="C167" s="70" t="s">
        <v>41</v>
      </c>
      <c r="D167" s="71">
        <v>26752.14</v>
      </c>
      <c r="E167" s="68">
        <f t="shared" si="6"/>
        <v>1.2142468178901226E-3</v>
      </c>
      <c r="F167" s="72">
        <v>3.5900000000000001E-2</v>
      </c>
      <c r="G167" s="72">
        <v>0.03</v>
      </c>
      <c r="H167" s="49">
        <f t="shared" si="7"/>
        <v>6.6438499999999998E-2</v>
      </c>
      <c r="I167" s="50">
        <f t="shared" si="8"/>
        <v>8.06727372103929E-5</v>
      </c>
    </row>
    <row r="168" spans="2:9" x14ac:dyDescent="0.2">
      <c r="B168" s="69" t="s">
        <v>410</v>
      </c>
      <c r="C168" s="70" t="s">
        <v>411</v>
      </c>
      <c r="D168" s="71">
        <v>13110.43</v>
      </c>
      <c r="E168" s="68">
        <f t="shared" si="6"/>
        <v>5.950663352042566E-4</v>
      </c>
      <c r="F168" s="72">
        <v>1.44E-2</v>
      </c>
      <c r="G168" s="72">
        <v>7.4999999999999997E-2</v>
      </c>
      <c r="H168" s="49">
        <f t="shared" si="7"/>
        <v>8.9939999999999992E-2</v>
      </c>
      <c r="I168" s="50">
        <f t="shared" si="8"/>
        <v>5.3520266188270837E-5</v>
      </c>
    </row>
    <row r="169" spans="2:9" x14ac:dyDescent="0.2">
      <c r="B169" s="69" t="s">
        <v>412</v>
      </c>
      <c r="C169" s="70" t="s">
        <v>413</v>
      </c>
      <c r="D169" s="71">
        <v>20265.439999999999</v>
      </c>
      <c r="E169" s="68">
        <f t="shared" si="6"/>
        <v>9.19823462091003E-4</v>
      </c>
      <c r="F169" s="72">
        <v>3.9599999999999996E-2</v>
      </c>
      <c r="G169" s="72">
        <v>4.4999999999999998E-2</v>
      </c>
      <c r="H169" s="49">
        <f t="shared" si="7"/>
        <v>8.5490999999999984E-2</v>
      </c>
      <c r="I169" s="50">
        <f t="shared" si="8"/>
        <v>7.8636627597621927E-5</v>
      </c>
    </row>
    <row r="170" spans="2:9" x14ac:dyDescent="0.2">
      <c r="B170" s="69" t="s">
        <v>414</v>
      </c>
      <c r="C170" s="70" t="s">
        <v>415</v>
      </c>
      <c r="D170" s="71">
        <v>56233.04</v>
      </c>
      <c r="E170" s="68">
        <f t="shared" si="6"/>
        <v>2.5523487048246599E-3</v>
      </c>
      <c r="F170" s="72">
        <v>1.1200000000000002E-2</v>
      </c>
      <c r="G170" s="72">
        <v>0.125</v>
      </c>
      <c r="H170" s="49">
        <f t="shared" si="7"/>
        <v>0.13689999999999999</v>
      </c>
      <c r="I170" s="50">
        <f t="shared" si="8"/>
        <v>3.4941653769049593E-4</v>
      </c>
    </row>
    <row r="171" spans="2:9" x14ac:dyDescent="0.2">
      <c r="B171" s="69" t="s">
        <v>416</v>
      </c>
      <c r="C171" s="70" t="s">
        <v>417</v>
      </c>
      <c r="D171" s="71">
        <v>11188.08</v>
      </c>
      <c r="E171" s="68">
        <f t="shared" si="6"/>
        <v>5.0781322684092275E-4</v>
      </c>
      <c r="F171" s="72">
        <v>3.1E-2</v>
      </c>
      <c r="G171" s="72">
        <v>9.5000000000000001E-2</v>
      </c>
      <c r="H171" s="49">
        <f t="shared" si="7"/>
        <v>0.12747249999999999</v>
      </c>
      <c r="I171" s="50">
        <f t="shared" si="8"/>
        <v>6.4732221558479519E-5</v>
      </c>
    </row>
    <row r="172" spans="2:9" x14ac:dyDescent="0.2">
      <c r="B172" s="69" t="s">
        <v>418</v>
      </c>
      <c r="C172" s="70" t="s">
        <v>419</v>
      </c>
      <c r="D172" s="71">
        <v>41443.339999999997</v>
      </c>
      <c r="E172" s="68">
        <f t="shared" si="6"/>
        <v>1.8810623642721079E-3</v>
      </c>
      <c r="F172" s="72">
        <v>2.9300000000000003E-2</v>
      </c>
      <c r="G172" s="72">
        <v>0.14000000000000001</v>
      </c>
      <c r="H172" s="49">
        <f t="shared" si="7"/>
        <v>0.17135100000000003</v>
      </c>
      <c r="I172" s="50">
        <f t="shared" si="8"/>
        <v>3.2232191718038999E-4</v>
      </c>
    </row>
    <row r="173" spans="2:9" x14ac:dyDescent="0.2">
      <c r="B173" s="69" t="s">
        <v>420</v>
      </c>
      <c r="C173" s="70" t="s">
        <v>421</v>
      </c>
      <c r="D173" s="71">
        <v>52967.57</v>
      </c>
      <c r="E173" s="68" t="str">
        <f t="shared" si="6"/>
        <v>N/A</v>
      </c>
      <c r="F173" s="72">
        <v>1.01E-2</v>
      </c>
      <c r="G173" s="72" t="s">
        <v>104</v>
      </c>
      <c r="H173" s="49" t="str">
        <f t="shared" si="7"/>
        <v>N/A</v>
      </c>
      <c r="I173" s="50" t="str">
        <f t="shared" si="8"/>
        <v>N/A</v>
      </c>
    </row>
    <row r="174" spans="2:9" x14ac:dyDescent="0.2">
      <c r="B174" s="69" t="s">
        <v>422</v>
      </c>
      <c r="C174" s="70" t="s">
        <v>423</v>
      </c>
      <c r="D174" s="71">
        <v>34137.01</v>
      </c>
      <c r="E174" s="68">
        <f t="shared" si="6"/>
        <v>1.5494370082088124E-3</v>
      </c>
      <c r="F174" s="72">
        <v>2.4399999999999998E-2</v>
      </c>
      <c r="G174" s="72">
        <v>0.255</v>
      </c>
      <c r="H174" s="49">
        <f t="shared" si="7"/>
        <v>0.28251100000000001</v>
      </c>
      <c r="I174" s="50">
        <f t="shared" si="8"/>
        <v>4.3773299862607981E-4</v>
      </c>
    </row>
    <row r="175" spans="2:9" x14ac:dyDescent="0.2">
      <c r="B175" s="69" t="s">
        <v>424</v>
      </c>
      <c r="C175" s="70" t="s">
        <v>425</v>
      </c>
      <c r="D175" s="71">
        <v>27023.56</v>
      </c>
      <c r="E175" s="68">
        <f t="shared" si="6"/>
        <v>1.2265662387406318E-3</v>
      </c>
      <c r="F175" s="72">
        <v>2.9399999999999999E-2</v>
      </c>
      <c r="G175" s="72">
        <v>-0.15</v>
      </c>
      <c r="H175" s="49">
        <f t="shared" si="7"/>
        <v>-0.122805</v>
      </c>
      <c r="I175" s="50">
        <f t="shared" si="8"/>
        <v>-1.5062846694854329E-4</v>
      </c>
    </row>
    <row r="176" spans="2:9" x14ac:dyDescent="0.2">
      <c r="B176" s="69" t="s">
        <v>51</v>
      </c>
      <c r="C176" s="70" t="s">
        <v>52</v>
      </c>
      <c r="D176" s="71">
        <v>21988.720000000001</v>
      </c>
      <c r="E176" s="68">
        <f t="shared" si="6"/>
        <v>9.9804102735246217E-4</v>
      </c>
      <c r="F176" s="72">
        <v>3.0800000000000001E-2</v>
      </c>
      <c r="G176" s="72">
        <v>5.5E-2</v>
      </c>
      <c r="H176" s="49">
        <f t="shared" si="7"/>
        <v>8.6647000000000002E-2</v>
      </c>
      <c r="I176" s="50">
        <f t="shared" si="8"/>
        <v>8.6477260897008796E-5</v>
      </c>
    </row>
    <row r="177" spans="2:9" x14ac:dyDescent="0.2">
      <c r="B177" s="69" t="s">
        <v>426</v>
      </c>
      <c r="C177" s="70" t="s">
        <v>427</v>
      </c>
      <c r="D177" s="71">
        <v>18646.38</v>
      </c>
      <c r="E177" s="68">
        <f t="shared" si="6"/>
        <v>8.463363147834164E-4</v>
      </c>
      <c r="F177" s="72">
        <v>2.76E-2</v>
      </c>
      <c r="G177" s="72">
        <v>5.0000000000000001E-3</v>
      </c>
      <c r="H177" s="49">
        <f t="shared" si="7"/>
        <v>3.2668999999999997E-2</v>
      </c>
      <c r="I177" s="50">
        <f t="shared" si="8"/>
        <v>2.7648961067659429E-5</v>
      </c>
    </row>
    <row r="178" spans="2:9" x14ac:dyDescent="0.2">
      <c r="B178" s="69" t="s">
        <v>428</v>
      </c>
      <c r="C178" s="70" t="s">
        <v>429</v>
      </c>
      <c r="D178" s="71">
        <v>12127.01</v>
      </c>
      <c r="E178" s="68">
        <f t="shared" si="6"/>
        <v>5.504301077604145E-4</v>
      </c>
      <c r="F178" s="72">
        <v>1.1899999999999999E-2</v>
      </c>
      <c r="G178" s="72">
        <v>0.26</v>
      </c>
      <c r="H178" s="49">
        <f t="shared" si="7"/>
        <v>0.273447</v>
      </c>
      <c r="I178" s="50">
        <f t="shared" si="8"/>
        <v>1.5051346167676207E-4</v>
      </c>
    </row>
    <row r="179" spans="2:9" x14ac:dyDescent="0.2">
      <c r="B179" s="69" t="s">
        <v>430</v>
      </c>
      <c r="C179" s="70" t="s">
        <v>431</v>
      </c>
      <c r="D179" s="71">
        <v>34641.660000000003</v>
      </c>
      <c r="E179" s="68">
        <f t="shared" si="6"/>
        <v>1.5723424526573034E-3</v>
      </c>
      <c r="F179" s="72">
        <v>3.5499999999999997E-2</v>
      </c>
      <c r="G179" s="72">
        <v>0.09</v>
      </c>
      <c r="H179" s="49">
        <f t="shared" si="7"/>
        <v>0.12709749999999997</v>
      </c>
      <c r="I179" s="50">
        <f t="shared" si="8"/>
        <v>1.9984079487661156E-4</v>
      </c>
    </row>
    <row r="180" spans="2:9" x14ac:dyDescent="0.2">
      <c r="B180" s="69" t="s">
        <v>432</v>
      </c>
      <c r="C180" s="70" t="s">
        <v>433</v>
      </c>
      <c r="D180" s="71">
        <v>17417.73</v>
      </c>
      <c r="E180" s="68">
        <f t="shared" si="6"/>
        <v>7.9056939846192955E-4</v>
      </c>
      <c r="F180" s="72">
        <v>3.9900000000000005E-2</v>
      </c>
      <c r="G180" s="72">
        <v>5.0000000000000001E-3</v>
      </c>
      <c r="H180" s="49">
        <f t="shared" si="7"/>
        <v>4.4999749999999998E-2</v>
      </c>
      <c r="I180" s="50">
        <f t="shared" si="8"/>
        <v>3.5575425288437216E-5</v>
      </c>
    </row>
    <row r="181" spans="2:9" x14ac:dyDescent="0.2">
      <c r="B181" s="69" t="s">
        <v>434</v>
      </c>
      <c r="C181" s="70" t="s">
        <v>49</v>
      </c>
      <c r="D181" s="71">
        <v>14142.51</v>
      </c>
      <c r="E181" s="68" t="str">
        <f t="shared" si="6"/>
        <v>N/A</v>
      </c>
      <c r="F181" s="72">
        <v>3.5000000000000003E-2</v>
      </c>
      <c r="G181" s="72" t="s">
        <v>104</v>
      </c>
      <c r="H181" s="49" t="str">
        <f t="shared" si="7"/>
        <v>N/A</v>
      </c>
      <c r="I181" s="50" t="str">
        <f t="shared" si="8"/>
        <v>N/A</v>
      </c>
    </row>
    <row r="182" spans="2:9" x14ac:dyDescent="0.2">
      <c r="B182" s="69" t="s">
        <v>435</v>
      </c>
      <c r="C182" s="70" t="s">
        <v>436</v>
      </c>
      <c r="D182" s="71">
        <v>35747.730000000003</v>
      </c>
      <c r="E182" s="68">
        <f t="shared" si="6"/>
        <v>1.6225456131470333E-3</v>
      </c>
      <c r="F182" s="72">
        <v>0</v>
      </c>
      <c r="G182" s="72">
        <v>0.15</v>
      </c>
      <c r="H182" s="49">
        <f t="shared" si="7"/>
        <v>0.15</v>
      </c>
      <c r="I182" s="50">
        <f t="shared" si="8"/>
        <v>2.4338184197205499E-4</v>
      </c>
    </row>
    <row r="183" spans="2:9" x14ac:dyDescent="0.2">
      <c r="B183" s="69" t="s">
        <v>437</v>
      </c>
      <c r="C183" s="70" t="s">
        <v>438</v>
      </c>
      <c r="D183" s="71">
        <v>46947.85</v>
      </c>
      <c r="E183" s="68">
        <f t="shared" si="6"/>
        <v>2.1309053208185512E-3</v>
      </c>
      <c r="F183" s="72">
        <v>2.9900000000000003E-2</v>
      </c>
      <c r="G183" s="72">
        <v>7.4999999999999997E-2</v>
      </c>
      <c r="H183" s="49">
        <f t="shared" si="7"/>
        <v>0.10602125000000001</v>
      </c>
      <c r="I183" s="50">
        <f t="shared" si="8"/>
        <v>2.2592124574483385E-4</v>
      </c>
    </row>
    <row r="184" spans="2:9" x14ac:dyDescent="0.2">
      <c r="B184" s="69" t="s">
        <v>439</v>
      </c>
      <c r="C184" s="70" t="s">
        <v>440</v>
      </c>
      <c r="D184" s="71">
        <v>12830.13</v>
      </c>
      <c r="E184" s="68">
        <f t="shared" si="6"/>
        <v>5.8234386204679693E-4</v>
      </c>
      <c r="F184" s="72">
        <v>1.21E-2</v>
      </c>
      <c r="G184" s="72">
        <v>8.5000000000000006E-2</v>
      </c>
      <c r="H184" s="49">
        <f t="shared" si="7"/>
        <v>9.761425E-2</v>
      </c>
      <c r="I184" s="50">
        <f t="shared" si="8"/>
        <v>5.6845059335801547E-5</v>
      </c>
    </row>
    <row r="185" spans="2:9" x14ac:dyDescent="0.2">
      <c r="B185" s="69" t="s">
        <v>441</v>
      </c>
      <c r="C185" s="70" t="s">
        <v>442</v>
      </c>
      <c r="D185" s="71">
        <v>18377.939999999999</v>
      </c>
      <c r="E185" s="68">
        <f t="shared" si="6"/>
        <v>8.3415215247735692E-4</v>
      </c>
      <c r="F185" s="72">
        <v>1.04E-2</v>
      </c>
      <c r="G185" s="72">
        <v>0.2</v>
      </c>
      <c r="H185" s="49">
        <f t="shared" si="7"/>
        <v>0.21144000000000002</v>
      </c>
      <c r="I185" s="50">
        <f t="shared" si="8"/>
        <v>1.7637313111981237E-4</v>
      </c>
    </row>
    <row r="186" spans="2:9" x14ac:dyDescent="0.2">
      <c r="B186" s="69" t="s">
        <v>443</v>
      </c>
      <c r="C186" s="70" t="s">
        <v>444</v>
      </c>
      <c r="D186" s="71">
        <v>12213.86</v>
      </c>
      <c r="E186" s="68">
        <f t="shared" si="6"/>
        <v>5.5437212272197486E-4</v>
      </c>
      <c r="F186" s="72">
        <v>3.6699999999999997E-2</v>
      </c>
      <c r="G186" s="72">
        <v>0.05</v>
      </c>
      <c r="H186" s="49">
        <f t="shared" si="7"/>
        <v>8.7617499999999987E-2</v>
      </c>
      <c r="I186" s="50">
        <f t="shared" si="8"/>
        <v>4.8572699462592625E-5</v>
      </c>
    </row>
    <row r="187" spans="2:9" x14ac:dyDescent="0.2">
      <c r="B187" s="69" t="s">
        <v>445</v>
      </c>
      <c r="C187" s="70" t="s">
        <v>446</v>
      </c>
      <c r="D187" s="71">
        <v>33732.620000000003</v>
      </c>
      <c r="E187" s="68">
        <f t="shared" si="6"/>
        <v>1.5310822421719052E-3</v>
      </c>
      <c r="F187" s="72">
        <v>7.0800000000000002E-2</v>
      </c>
      <c r="G187" s="72">
        <v>5.0000000000000001E-3</v>
      </c>
      <c r="H187" s="49">
        <f t="shared" si="7"/>
        <v>7.5977000000000003E-2</v>
      </c>
      <c r="I187" s="50">
        <f t="shared" si="8"/>
        <v>1.1632703551349484E-4</v>
      </c>
    </row>
    <row r="188" spans="2:9" x14ac:dyDescent="0.2">
      <c r="B188" s="69" t="s">
        <v>447</v>
      </c>
      <c r="C188" s="70" t="s">
        <v>448</v>
      </c>
      <c r="D188" s="71">
        <v>9646.3700000000008</v>
      </c>
      <c r="E188" s="68" t="str">
        <f t="shared" si="6"/>
        <v>N/A</v>
      </c>
      <c r="F188" s="72">
        <v>7.7000000000000002E-3</v>
      </c>
      <c r="G188" s="72" t="s">
        <v>104</v>
      </c>
      <c r="H188" s="49" t="str">
        <f t="shared" si="7"/>
        <v>N/A</v>
      </c>
      <c r="I188" s="50" t="str">
        <f t="shared" si="8"/>
        <v>N/A</v>
      </c>
    </row>
    <row r="189" spans="2:9" x14ac:dyDescent="0.2">
      <c r="B189" s="69" t="s">
        <v>449</v>
      </c>
      <c r="C189" s="70" t="s">
        <v>450</v>
      </c>
      <c r="D189" s="71">
        <v>17659.75</v>
      </c>
      <c r="E189" s="68">
        <f t="shared" si="6"/>
        <v>8.0155438937726448E-4</v>
      </c>
      <c r="F189" s="72">
        <v>2.7999999999999997E-2</v>
      </c>
      <c r="G189" s="72">
        <v>0.115</v>
      </c>
      <c r="H189" s="49">
        <f t="shared" si="7"/>
        <v>0.14461000000000002</v>
      </c>
      <c r="I189" s="50">
        <f t="shared" si="8"/>
        <v>1.1591278024784623E-4</v>
      </c>
    </row>
    <row r="190" spans="2:9" x14ac:dyDescent="0.2">
      <c r="B190" s="69" t="s">
        <v>451</v>
      </c>
      <c r="C190" s="70" t="s">
        <v>452</v>
      </c>
      <c r="D190" s="71">
        <v>482697</v>
      </c>
      <c r="E190" s="68">
        <f t="shared" si="6"/>
        <v>2.1909024708120863E-2</v>
      </c>
      <c r="F190" s="72">
        <v>0</v>
      </c>
      <c r="G190" s="72">
        <v>0.26</v>
      </c>
      <c r="H190" s="49">
        <f t="shared" si="7"/>
        <v>0.26</v>
      </c>
      <c r="I190" s="50">
        <f t="shared" si="8"/>
        <v>5.6963464241114245E-3</v>
      </c>
    </row>
    <row r="191" spans="2:9" x14ac:dyDescent="0.2">
      <c r="B191" s="69" t="s">
        <v>453</v>
      </c>
      <c r="C191" s="70" t="s">
        <v>454</v>
      </c>
      <c r="D191" s="71">
        <v>6510.29</v>
      </c>
      <c r="E191" s="68">
        <f t="shared" si="6"/>
        <v>2.9549407696139026E-4</v>
      </c>
      <c r="F191" s="72">
        <v>1.9099999999999999E-2</v>
      </c>
      <c r="G191" s="72">
        <v>0.13500000000000001</v>
      </c>
      <c r="H191" s="49">
        <f t="shared" si="7"/>
        <v>0.15538925000000001</v>
      </c>
      <c r="I191" s="50">
        <f t="shared" si="8"/>
        <v>4.5916602998472713E-5</v>
      </c>
    </row>
    <row r="192" spans="2:9" x14ac:dyDescent="0.2">
      <c r="B192" s="69" t="s">
        <v>455</v>
      </c>
      <c r="C192" s="70" t="s">
        <v>456</v>
      </c>
      <c r="D192" s="71">
        <v>17837.189999999999</v>
      </c>
      <c r="E192" s="68" t="str">
        <f t="shared" si="6"/>
        <v>N/A</v>
      </c>
      <c r="F192" s="72">
        <v>1.95E-2</v>
      </c>
      <c r="G192" s="72" t="s">
        <v>104</v>
      </c>
      <c r="H192" s="49" t="str">
        <f t="shared" si="7"/>
        <v>N/A</v>
      </c>
      <c r="I192" s="50" t="str">
        <f t="shared" si="8"/>
        <v>N/A</v>
      </c>
    </row>
    <row r="193" spans="2:9" x14ac:dyDescent="0.2">
      <c r="B193" s="69" t="s">
        <v>457</v>
      </c>
      <c r="C193" s="70" t="s">
        <v>458</v>
      </c>
      <c r="D193" s="71">
        <v>45124.06</v>
      </c>
      <c r="E193" s="68">
        <f t="shared" si="6"/>
        <v>2.0481257299521821E-3</v>
      </c>
      <c r="F193" s="72">
        <v>1.7100000000000001E-2</v>
      </c>
      <c r="G193" s="72">
        <v>7.4999999999999997E-2</v>
      </c>
      <c r="H193" s="49">
        <f t="shared" si="7"/>
        <v>9.2741249999999997E-2</v>
      </c>
      <c r="I193" s="50">
        <f t="shared" si="8"/>
        <v>1.8994574035292779E-4</v>
      </c>
    </row>
    <row r="194" spans="2:9" x14ac:dyDescent="0.2">
      <c r="B194" s="69" t="s">
        <v>459</v>
      </c>
      <c r="C194" s="70" t="s">
        <v>460</v>
      </c>
      <c r="D194" s="71">
        <v>20856.73</v>
      </c>
      <c r="E194" s="68">
        <f t="shared" si="6"/>
        <v>9.4666138985866012E-4</v>
      </c>
      <c r="F194" s="72">
        <v>3.78E-2</v>
      </c>
      <c r="G194" s="72">
        <v>6.5000000000000002E-2</v>
      </c>
      <c r="H194" s="49">
        <f t="shared" si="7"/>
        <v>0.1040285</v>
      </c>
      <c r="I194" s="50">
        <f t="shared" si="8"/>
        <v>9.8479764394911615E-5</v>
      </c>
    </row>
    <row r="195" spans="2:9" x14ac:dyDescent="0.2">
      <c r="B195" s="69" t="s">
        <v>461</v>
      </c>
      <c r="C195" s="70" t="s">
        <v>462</v>
      </c>
      <c r="D195" s="71">
        <v>9548.6200000000008</v>
      </c>
      <c r="E195" s="68">
        <f t="shared" si="6"/>
        <v>4.3340014855790916E-4</v>
      </c>
      <c r="F195" s="72">
        <v>0</v>
      </c>
      <c r="G195" s="72">
        <v>0.12</v>
      </c>
      <c r="H195" s="49">
        <f t="shared" si="7"/>
        <v>0.12</v>
      </c>
      <c r="I195" s="50">
        <f t="shared" si="8"/>
        <v>5.2008017826949099E-5</v>
      </c>
    </row>
    <row r="196" spans="2:9" x14ac:dyDescent="0.2">
      <c r="B196" s="69" t="s">
        <v>463</v>
      </c>
      <c r="C196" s="70" t="s">
        <v>464</v>
      </c>
      <c r="D196" s="71">
        <v>34653.199999999997</v>
      </c>
      <c r="E196" s="68">
        <f t="shared" si="6"/>
        <v>1.5728662391012456E-3</v>
      </c>
      <c r="F196" s="72">
        <v>1.3300000000000001E-2</v>
      </c>
      <c r="G196" s="72">
        <v>0.155</v>
      </c>
      <c r="H196" s="49">
        <f t="shared" si="7"/>
        <v>0.16933075</v>
      </c>
      <c r="I196" s="50">
        <f t="shared" si="8"/>
        <v>2.6633461991669324E-4</v>
      </c>
    </row>
    <row r="197" spans="2:9" x14ac:dyDescent="0.2">
      <c r="B197" s="69" t="s">
        <v>465</v>
      </c>
      <c r="C197" s="70" t="s">
        <v>466</v>
      </c>
      <c r="D197" s="71">
        <v>34089.01</v>
      </c>
      <c r="E197" s="68">
        <f t="shared" si="6"/>
        <v>1.5472583470901606E-3</v>
      </c>
      <c r="F197" s="72">
        <v>0</v>
      </c>
      <c r="G197" s="72">
        <v>0.13500000000000001</v>
      </c>
      <c r="H197" s="49">
        <f t="shared" si="7"/>
        <v>0.13500000000000001</v>
      </c>
      <c r="I197" s="50">
        <f t="shared" si="8"/>
        <v>2.088798768571717E-4</v>
      </c>
    </row>
    <row r="198" spans="2:9" x14ac:dyDescent="0.2">
      <c r="B198" s="69" t="s">
        <v>467</v>
      </c>
      <c r="C198" s="70" t="s">
        <v>468</v>
      </c>
      <c r="D198" s="71">
        <v>17439.38</v>
      </c>
      <c r="E198" s="68">
        <f t="shared" si="6"/>
        <v>7.9155206540398816E-4</v>
      </c>
      <c r="F198" s="72">
        <v>3.5299999999999998E-2</v>
      </c>
      <c r="G198" s="72">
        <v>7.0000000000000007E-2</v>
      </c>
      <c r="H198" s="49">
        <f t="shared" si="7"/>
        <v>0.10653550000000001</v>
      </c>
      <c r="I198" s="50">
        <f t="shared" si="8"/>
        <v>8.4328395063846582E-5</v>
      </c>
    </row>
    <row r="199" spans="2:9" x14ac:dyDescent="0.2">
      <c r="B199" s="69" t="s">
        <v>469</v>
      </c>
      <c r="C199" s="70" t="s">
        <v>470</v>
      </c>
      <c r="D199" s="71">
        <v>7043.85</v>
      </c>
      <c r="E199" s="68">
        <f t="shared" si="6"/>
        <v>3.1971171084613567E-4</v>
      </c>
      <c r="F199" s="72">
        <v>2.4500000000000001E-2</v>
      </c>
      <c r="G199" s="72">
        <v>0.08</v>
      </c>
      <c r="H199" s="49">
        <f t="shared" si="7"/>
        <v>0.10548</v>
      </c>
      <c r="I199" s="50">
        <f t="shared" si="8"/>
        <v>3.3723191260050395E-5</v>
      </c>
    </row>
    <row r="200" spans="2:9" x14ac:dyDescent="0.2">
      <c r="B200" s="69" t="s">
        <v>471</v>
      </c>
      <c r="C200" s="70" t="s">
        <v>472</v>
      </c>
      <c r="D200" s="71">
        <v>6781.22</v>
      </c>
      <c r="E200" s="68">
        <f t="shared" si="6"/>
        <v>3.0779125731297976E-4</v>
      </c>
      <c r="F200" s="72">
        <v>1.3600000000000001E-2</v>
      </c>
      <c r="G200" s="72">
        <v>0.13500000000000001</v>
      </c>
      <c r="H200" s="49">
        <f t="shared" si="7"/>
        <v>0.14951800000000001</v>
      </c>
      <c r="I200" s="50">
        <f t="shared" si="8"/>
        <v>4.6020333210922108E-5</v>
      </c>
    </row>
    <row r="201" spans="2:9" x14ac:dyDescent="0.2">
      <c r="B201" s="69" t="s">
        <v>473</v>
      </c>
      <c r="C201" s="70" t="s">
        <v>474</v>
      </c>
      <c r="D201" s="71">
        <v>5079.22</v>
      </c>
      <c r="E201" s="68">
        <f t="shared" si="6"/>
        <v>2.3053956514745619E-4</v>
      </c>
      <c r="F201" s="72">
        <v>2.3099999999999999E-2</v>
      </c>
      <c r="G201" s="72">
        <v>8.5000000000000006E-2</v>
      </c>
      <c r="H201" s="49">
        <f t="shared" si="7"/>
        <v>0.10908175000000001</v>
      </c>
      <c r="I201" s="50">
        <f t="shared" si="8"/>
        <v>2.5147659210523531E-5</v>
      </c>
    </row>
    <row r="202" spans="2:9" x14ac:dyDescent="0.2">
      <c r="B202" s="69" t="s">
        <v>475</v>
      </c>
      <c r="C202" s="70" t="s">
        <v>476</v>
      </c>
      <c r="D202" s="71">
        <v>5624.22</v>
      </c>
      <c r="E202" s="68">
        <f t="shared" si="6"/>
        <v>2.5527644659881362E-4</v>
      </c>
      <c r="F202" s="72">
        <v>1.7600000000000001E-2</v>
      </c>
      <c r="G202" s="72">
        <v>7.4999999999999997E-2</v>
      </c>
      <c r="H202" s="49">
        <f t="shared" si="7"/>
        <v>9.3259999999999996E-2</v>
      </c>
      <c r="I202" s="50">
        <f t="shared" si="8"/>
        <v>2.3807081409805357E-5</v>
      </c>
    </row>
    <row r="203" spans="2:9" x14ac:dyDescent="0.2">
      <c r="B203" s="69" t="s">
        <v>477</v>
      </c>
      <c r="C203" s="70" t="s">
        <v>478</v>
      </c>
      <c r="D203" s="71">
        <v>20167.419999999998</v>
      </c>
      <c r="E203" s="68">
        <f t="shared" si="6"/>
        <v>9.15374454531623E-4</v>
      </c>
      <c r="F203" s="72">
        <v>0</v>
      </c>
      <c r="G203" s="72">
        <v>0.14499999999999999</v>
      </c>
      <c r="H203" s="49">
        <f t="shared" si="7"/>
        <v>0.14499999999999999</v>
      </c>
      <c r="I203" s="50">
        <f t="shared" si="8"/>
        <v>1.3272929590708532E-4</v>
      </c>
    </row>
    <row r="204" spans="2:9" x14ac:dyDescent="0.2">
      <c r="B204" s="69" t="s">
        <v>479</v>
      </c>
      <c r="C204" s="70" t="s">
        <v>480</v>
      </c>
      <c r="D204" s="71">
        <v>10479.09</v>
      </c>
      <c r="E204" s="68">
        <f t="shared" ref="E204:E267" si="9">IF(OR(H204="N/A",D204="N/A"),"N/A",D204/$D$512)</f>
        <v>4.7563304045523854E-4</v>
      </c>
      <c r="F204" s="72">
        <v>2.06E-2</v>
      </c>
      <c r="G204" s="72">
        <v>0.22500000000000001</v>
      </c>
      <c r="H204" s="49">
        <f t="shared" ref="H204:H267" si="10">IFERROR(F204*(1+0.5*G204)+G204,"N/A")</f>
        <v>0.24791750000000001</v>
      </c>
      <c r="I204" s="50">
        <f t="shared" ref="I204:I267" si="11">IF(AND(ISNUMBER(D204),ISNUMBER(H204)),E204*H204,"N/A")</f>
        <v>1.1791775430706161E-4</v>
      </c>
    </row>
    <row r="205" spans="2:9" x14ac:dyDescent="0.2">
      <c r="B205" s="69" t="s">
        <v>481</v>
      </c>
      <c r="C205" s="70" t="s">
        <v>482</v>
      </c>
      <c r="D205" s="71">
        <v>93942.03</v>
      </c>
      <c r="E205" s="68">
        <f t="shared" si="9"/>
        <v>4.263913503504334E-3</v>
      </c>
      <c r="F205" s="72">
        <v>7.0999999999999995E-3</v>
      </c>
      <c r="G205" s="72">
        <v>0.125</v>
      </c>
      <c r="H205" s="49">
        <f t="shared" si="10"/>
        <v>0.13254374999999999</v>
      </c>
      <c r="I205" s="50">
        <f t="shared" si="11"/>
        <v>5.6515508543010246E-4</v>
      </c>
    </row>
    <row r="206" spans="2:9" x14ac:dyDescent="0.2">
      <c r="B206" s="69" t="s">
        <v>483</v>
      </c>
      <c r="C206" s="70" t="s">
        <v>484</v>
      </c>
      <c r="D206" s="71">
        <v>16728.18</v>
      </c>
      <c r="E206" s="68">
        <f t="shared" si="9"/>
        <v>7.5927156982929936E-4</v>
      </c>
      <c r="F206" s="72">
        <v>7.0999999999999995E-3</v>
      </c>
      <c r="G206" s="72">
        <v>0.115</v>
      </c>
      <c r="H206" s="49">
        <f t="shared" si="10"/>
        <v>0.12250825</v>
      </c>
      <c r="I206" s="50">
        <f t="shared" si="11"/>
        <v>9.3017031294540263E-5</v>
      </c>
    </row>
    <row r="207" spans="2:9" x14ac:dyDescent="0.2">
      <c r="B207" s="69" t="s">
        <v>485</v>
      </c>
      <c r="C207" s="70" t="s">
        <v>486</v>
      </c>
      <c r="D207" s="71">
        <v>9674.32</v>
      </c>
      <c r="E207" s="68">
        <f t="shared" si="9"/>
        <v>4.3910551736237811E-4</v>
      </c>
      <c r="F207" s="72">
        <v>3.1E-2</v>
      </c>
      <c r="G207" s="72">
        <v>3.5000000000000003E-2</v>
      </c>
      <c r="H207" s="49">
        <f t="shared" si="10"/>
        <v>6.6542500000000004E-2</v>
      </c>
      <c r="I207" s="50">
        <f t="shared" si="11"/>
        <v>2.9219178889086049E-5</v>
      </c>
    </row>
    <row r="208" spans="2:9" x14ac:dyDescent="0.2">
      <c r="B208" s="69" t="s">
        <v>487</v>
      </c>
      <c r="C208" s="70" t="s">
        <v>488</v>
      </c>
      <c r="D208" s="71" t="s">
        <v>104</v>
      </c>
      <c r="E208" s="68" t="str">
        <f t="shared" si="9"/>
        <v>N/A</v>
      </c>
      <c r="F208" s="72">
        <v>0</v>
      </c>
      <c r="G208" s="72" t="s">
        <v>104</v>
      </c>
      <c r="H208" s="49" t="str">
        <f t="shared" si="10"/>
        <v>N/A</v>
      </c>
      <c r="I208" s="50" t="str">
        <f t="shared" si="11"/>
        <v>N/A</v>
      </c>
    </row>
    <row r="209" spans="2:9" x14ac:dyDescent="0.2">
      <c r="B209" s="69" t="s">
        <v>489</v>
      </c>
      <c r="C209" s="70" t="s">
        <v>490</v>
      </c>
      <c r="D209" s="71">
        <v>14046.34</v>
      </c>
      <c r="E209" s="68">
        <f t="shared" si="9"/>
        <v>6.3754614202836651E-4</v>
      </c>
      <c r="F209" s="72">
        <v>0</v>
      </c>
      <c r="G209" s="72">
        <v>0.39500000000000002</v>
      </c>
      <c r="H209" s="49">
        <f t="shared" si="10"/>
        <v>0.39500000000000002</v>
      </c>
      <c r="I209" s="50">
        <f t="shared" si="11"/>
        <v>2.518307261012048E-4</v>
      </c>
    </row>
    <row r="210" spans="2:9" x14ac:dyDescent="0.2">
      <c r="B210" s="69" t="s">
        <v>491</v>
      </c>
      <c r="C210" s="70" t="s">
        <v>492</v>
      </c>
      <c r="D210" s="71">
        <v>28354.79</v>
      </c>
      <c r="E210" s="68" t="str">
        <f t="shared" si="9"/>
        <v>N/A</v>
      </c>
      <c r="F210" s="72">
        <v>3.4999999999999996E-3</v>
      </c>
      <c r="G210" s="72" t="s">
        <v>104</v>
      </c>
      <c r="H210" s="49" t="str">
        <f t="shared" si="10"/>
        <v>N/A</v>
      </c>
      <c r="I210" s="50" t="str">
        <f t="shared" si="11"/>
        <v>N/A</v>
      </c>
    </row>
    <row r="211" spans="2:9" x14ac:dyDescent="0.2">
      <c r="B211" s="69" t="s">
        <v>493</v>
      </c>
      <c r="C211" s="70" t="s">
        <v>494</v>
      </c>
      <c r="D211" s="71">
        <v>48022.02</v>
      </c>
      <c r="E211" s="68">
        <f t="shared" si="9"/>
        <v>2.1796605794398437E-3</v>
      </c>
      <c r="F211" s="72">
        <v>2.4500000000000001E-2</v>
      </c>
      <c r="G211" s="72">
        <v>0.06</v>
      </c>
      <c r="H211" s="49">
        <f t="shared" si="10"/>
        <v>8.5235000000000005E-2</v>
      </c>
      <c r="I211" s="50">
        <f t="shared" si="11"/>
        <v>1.8578336948855509E-4</v>
      </c>
    </row>
    <row r="212" spans="2:9" x14ac:dyDescent="0.2">
      <c r="B212" s="69" t="s">
        <v>495</v>
      </c>
      <c r="C212" s="70" t="s">
        <v>496</v>
      </c>
      <c r="D212" s="71">
        <v>82197.2</v>
      </c>
      <c r="E212" s="68" t="str">
        <f t="shared" si="9"/>
        <v>N/A</v>
      </c>
      <c r="F212" s="72">
        <v>4.1999999999999997E-3</v>
      </c>
      <c r="G212" s="72" t="s">
        <v>104</v>
      </c>
      <c r="H212" s="49" t="str">
        <f t="shared" si="10"/>
        <v>N/A</v>
      </c>
      <c r="I212" s="50" t="str">
        <f t="shared" si="11"/>
        <v>N/A</v>
      </c>
    </row>
    <row r="213" spans="2:9" x14ac:dyDescent="0.2">
      <c r="B213" s="69" t="s">
        <v>497</v>
      </c>
      <c r="C213" s="70" t="s">
        <v>498</v>
      </c>
      <c r="D213" s="71">
        <v>80913.820000000007</v>
      </c>
      <c r="E213" s="68">
        <f t="shared" si="9"/>
        <v>3.6725790332412349E-3</v>
      </c>
      <c r="F213" s="72">
        <v>4.0300000000000002E-2</v>
      </c>
      <c r="G213" s="72">
        <v>-6.5000000000000002E-2</v>
      </c>
      <c r="H213" s="49">
        <f t="shared" si="10"/>
        <v>-2.6009749999999998E-2</v>
      </c>
      <c r="I213" s="50">
        <f t="shared" si="11"/>
        <v>-9.5522862509846203E-5</v>
      </c>
    </row>
    <row r="214" spans="2:9" x14ac:dyDescent="0.2">
      <c r="B214" s="69" t="s">
        <v>499</v>
      </c>
      <c r="C214" s="70" t="s">
        <v>500</v>
      </c>
      <c r="D214" s="71">
        <v>27686.880000000001</v>
      </c>
      <c r="E214" s="68">
        <f t="shared" si="9"/>
        <v>1.2566735198494654E-3</v>
      </c>
      <c r="F214" s="72">
        <v>4.2699999999999995E-2</v>
      </c>
      <c r="G214" s="72">
        <v>0.03</v>
      </c>
      <c r="H214" s="49">
        <f t="shared" si="10"/>
        <v>7.3340499999999989E-2</v>
      </c>
      <c r="I214" s="50">
        <f t="shared" si="11"/>
        <v>9.2165064282519706E-5</v>
      </c>
    </row>
    <row r="215" spans="2:9" x14ac:dyDescent="0.2">
      <c r="B215" s="69" t="s">
        <v>501</v>
      </c>
      <c r="C215" s="70" t="s">
        <v>502</v>
      </c>
      <c r="D215" s="71">
        <v>26768.36</v>
      </c>
      <c r="E215" s="68">
        <f t="shared" si="9"/>
        <v>1.2149830237931337E-3</v>
      </c>
      <c r="F215" s="72">
        <v>2.3599999999999999E-2</v>
      </c>
      <c r="G215" s="72">
        <v>0.155</v>
      </c>
      <c r="H215" s="49">
        <f t="shared" si="10"/>
        <v>0.18042900000000001</v>
      </c>
      <c r="I215" s="50">
        <f t="shared" si="11"/>
        <v>2.1921817199997131E-4</v>
      </c>
    </row>
    <row r="216" spans="2:9" x14ac:dyDescent="0.2">
      <c r="B216" s="69" t="s">
        <v>503</v>
      </c>
      <c r="C216" s="70" t="s">
        <v>504</v>
      </c>
      <c r="D216" s="71">
        <v>53256</v>
      </c>
      <c r="E216" s="68">
        <f t="shared" si="9"/>
        <v>2.4172245111440194E-3</v>
      </c>
      <c r="F216" s="72">
        <v>4.0999999999999995E-2</v>
      </c>
      <c r="G216" s="72">
        <v>0.03</v>
      </c>
      <c r="H216" s="49">
        <f t="shared" si="10"/>
        <v>7.1614999999999984E-2</v>
      </c>
      <c r="I216" s="50">
        <f t="shared" si="11"/>
        <v>1.731095333655789E-4</v>
      </c>
    </row>
    <row r="217" spans="2:9" x14ac:dyDescent="0.2">
      <c r="B217" s="69" t="s">
        <v>505</v>
      </c>
      <c r="C217" s="70" t="s">
        <v>506</v>
      </c>
      <c r="D217" s="71" t="s">
        <v>104</v>
      </c>
      <c r="E217" s="68" t="str">
        <f t="shared" si="9"/>
        <v>N/A</v>
      </c>
      <c r="F217" s="72">
        <v>0</v>
      </c>
      <c r="G217" s="72" t="s">
        <v>104</v>
      </c>
      <c r="H217" s="49" t="str">
        <f t="shared" si="10"/>
        <v>N/A</v>
      </c>
      <c r="I217" s="50" t="str">
        <f t="shared" si="11"/>
        <v>N/A</v>
      </c>
    </row>
    <row r="218" spans="2:9" x14ac:dyDescent="0.2">
      <c r="B218" s="69" t="s">
        <v>507</v>
      </c>
      <c r="C218" s="70" t="s">
        <v>508</v>
      </c>
      <c r="D218" s="71">
        <v>15681.2</v>
      </c>
      <c r="E218" s="68">
        <f t="shared" si="9"/>
        <v>7.1175043195417602E-4</v>
      </c>
      <c r="F218" s="72">
        <v>2.8500000000000001E-2</v>
      </c>
      <c r="G218" s="72">
        <v>8.5000000000000006E-2</v>
      </c>
      <c r="H218" s="49">
        <f t="shared" si="10"/>
        <v>0.11471125000000001</v>
      </c>
      <c r="I218" s="50">
        <f t="shared" si="11"/>
        <v>8.1645781737503488E-5</v>
      </c>
    </row>
    <row r="219" spans="2:9" x14ac:dyDescent="0.2">
      <c r="B219" s="69" t="s">
        <v>509</v>
      </c>
      <c r="C219" s="70" t="s">
        <v>510</v>
      </c>
      <c r="D219" s="71">
        <v>20543.62</v>
      </c>
      <c r="E219" s="68">
        <f t="shared" si="9"/>
        <v>9.3244971104905548E-4</v>
      </c>
      <c r="F219" s="72">
        <v>2.9999999999999997E-4</v>
      </c>
      <c r="G219" s="72">
        <v>0.2</v>
      </c>
      <c r="H219" s="49">
        <f t="shared" si="10"/>
        <v>0.20033000000000001</v>
      </c>
      <c r="I219" s="50">
        <f t="shared" si="11"/>
        <v>1.867976506144573E-4</v>
      </c>
    </row>
    <row r="220" spans="2:9" x14ac:dyDescent="0.2">
      <c r="B220" s="69" t="s">
        <v>511</v>
      </c>
      <c r="C220" s="70" t="s">
        <v>512</v>
      </c>
      <c r="D220" s="71">
        <v>10207.040000000001</v>
      </c>
      <c r="E220" s="68">
        <f t="shared" si="9"/>
        <v>4.6328502467754724E-4</v>
      </c>
      <c r="F220" s="72">
        <v>3.6299999999999999E-2</v>
      </c>
      <c r="G220" s="72">
        <v>7.0000000000000007E-2</v>
      </c>
      <c r="H220" s="49">
        <f t="shared" si="10"/>
        <v>0.1075705</v>
      </c>
      <c r="I220" s="50">
        <f t="shared" si="11"/>
        <v>4.9835801747076098E-5</v>
      </c>
    </row>
    <row r="221" spans="2:9" x14ac:dyDescent="0.2">
      <c r="B221" s="69" t="s">
        <v>513</v>
      </c>
      <c r="C221" s="70" t="s">
        <v>514</v>
      </c>
      <c r="D221" s="71">
        <v>15727.16</v>
      </c>
      <c r="E221" s="68">
        <f t="shared" si="9"/>
        <v>7.1383649997528494E-4</v>
      </c>
      <c r="F221" s="72">
        <v>2.5499999999999998E-2</v>
      </c>
      <c r="G221" s="72">
        <v>0.105</v>
      </c>
      <c r="H221" s="49">
        <f t="shared" si="10"/>
        <v>0.13183875</v>
      </c>
      <c r="I221" s="50">
        <f t="shared" si="11"/>
        <v>9.4111311861116596E-5</v>
      </c>
    </row>
    <row r="222" spans="2:9" x14ac:dyDescent="0.2">
      <c r="B222" s="69" t="s">
        <v>515</v>
      </c>
      <c r="C222" s="70" t="s">
        <v>516</v>
      </c>
      <c r="D222" s="71">
        <v>71852.89</v>
      </c>
      <c r="E222" s="68">
        <f t="shared" si="9"/>
        <v>3.2613145355365595E-3</v>
      </c>
      <c r="F222" s="72">
        <v>1.66E-2</v>
      </c>
      <c r="G222" s="72">
        <v>9.5000000000000001E-2</v>
      </c>
      <c r="H222" s="49">
        <f t="shared" si="10"/>
        <v>0.1123885</v>
      </c>
      <c r="I222" s="50">
        <f t="shared" si="11"/>
        <v>3.6653424867715061E-4</v>
      </c>
    </row>
    <row r="223" spans="2:9" x14ac:dyDescent="0.2">
      <c r="B223" s="69" t="s">
        <v>517</v>
      </c>
      <c r="C223" s="70" t="s">
        <v>518</v>
      </c>
      <c r="D223" s="71">
        <v>16766.46</v>
      </c>
      <c r="E223" s="68">
        <f t="shared" si="9"/>
        <v>7.6100905207142399E-4</v>
      </c>
      <c r="F223" s="72">
        <v>1.83E-2</v>
      </c>
      <c r="G223" s="72">
        <v>9.5000000000000001E-2</v>
      </c>
      <c r="H223" s="49">
        <f t="shared" si="10"/>
        <v>0.11416925</v>
      </c>
      <c r="I223" s="50">
        <f t="shared" si="11"/>
        <v>8.6883832718205427E-5</v>
      </c>
    </row>
    <row r="224" spans="2:9" x14ac:dyDescent="0.2">
      <c r="B224" s="69" t="s">
        <v>519</v>
      </c>
      <c r="C224" s="70" t="s">
        <v>520</v>
      </c>
      <c r="D224" s="71">
        <v>24466.68</v>
      </c>
      <c r="E224" s="68" t="str">
        <f t="shared" si="9"/>
        <v>N/A</v>
      </c>
      <c r="F224" s="72">
        <v>2.58E-2</v>
      </c>
      <c r="G224" s="72" t="s">
        <v>104</v>
      </c>
      <c r="H224" s="49" t="str">
        <f t="shared" si="10"/>
        <v>N/A</v>
      </c>
      <c r="I224" s="50" t="str">
        <f t="shared" si="11"/>
        <v>N/A</v>
      </c>
    </row>
    <row r="225" spans="2:9" x14ac:dyDescent="0.2">
      <c r="B225" s="69" t="s">
        <v>521</v>
      </c>
      <c r="C225" s="70" t="s">
        <v>522</v>
      </c>
      <c r="D225" s="71">
        <v>10986.28</v>
      </c>
      <c r="E225" s="68">
        <f t="shared" si="9"/>
        <v>4.9865377238792472E-4</v>
      </c>
      <c r="F225" s="72">
        <v>3.1400000000000004E-2</v>
      </c>
      <c r="G225" s="72">
        <v>0.08</v>
      </c>
      <c r="H225" s="49">
        <f t="shared" si="10"/>
        <v>0.11265600000000001</v>
      </c>
      <c r="I225" s="50">
        <f t="shared" si="11"/>
        <v>5.6176339382134048E-5</v>
      </c>
    </row>
    <row r="226" spans="2:9" x14ac:dyDescent="0.2">
      <c r="B226" s="69" t="s">
        <v>523</v>
      </c>
      <c r="C226" s="70" t="s">
        <v>524</v>
      </c>
      <c r="D226" s="71">
        <v>14532.33</v>
      </c>
      <c r="E226" s="68">
        <f t="shared" si="9"/>
        <v>6.5960463196698151E-4</v>
      </c>
      <c r="F226" s="72">
        <v>4.24E-2</v>
      </c>
      <c r="G226" s="72">
        <v>0.125</v>
      </c>
      <c r="H226" s="49">
        <f t="shared" si="10"/>
        <v>0.17005000000000001</v>
      </c>
      <c r="I226" s="50">
        <f t="shared" si="11"/>
        <v>1.121657676659852E-4</v>
      </c>
    </row>
    <row r="227" spans="2:9" x14ac:dyDescent="0.2">
      <c r="B227" s="69" t="s">
        <v>525</v>
      </c>
      <c r="C227" s="70" t="s">
        <v>526</v>
      </c>
      <c r="D227" s="71">
        <v>6610.92</v>
      </c>
      <c r="E227" s="68">
        <f t="shared" si="9"/>
        <v>3.0006154921909686E-4</v>
      </c>
      <c r="F227" s="72">
        <v>3.27E-2</v>
      </c>
      <c r="G227" s="72">
        <v>0.04</v>
      </c>
      <c r="H227" s="49">
        <f t="shared" si="10"/>
        <v>7.3354000000000003E-2</v>
      </c>
      <c r="I227" s="50">
        <f t="shared" si="11"/>
        <v>2.2010714881417631E-5</v>
      </c>
    </row>
    <row r="228" spans="2:9" x14ac:dyDescent="0.2">
      <c r="B228" s="69" t="s">
        <v>527</v>
      </c>
      <c r="C228" s="70" t="s">
        <v>528</v>
      </c>
      <c r="D228" s="71">
        <v>43444.09</v>
      </c>
      <c r="E228" s="68">
        <f t="shared" si="9"/>
        <v>1.9718739524625726E-3</v>
      </c>
      <c r="F228" s="72">
        <v>1.26E-2</v>
      </c>
      <c r="G228" s="72">
        <v>0.12</v>
      </c>
      <c r="H228" s="49">
        <f t="shared" si="10"/>
        <v>0.133356</v>
      </c>
      <c r="I228" s="50">
        <f t="shared" si="11"/>
        <v>2.6296122280459886E-4</v>
      </c>
    </row>
    <row r="229" spans="2:9" x14ac:dyDescent="0.2">
      <c r="B229" s="69" t="s">
        <v>529</v>
      </c>
      <c r="C229" s="70" t="s">
        <v>530</v>
      </c>
      <c r="D229" s="71">
        <v>14270.85</v>
      </c>
      <c r="E229" s="68">
        <f t="shared" si="9"/>
        <v>6.4773637552312659E-4</v>
      </c>
      <c r="F229" s="72">
        <v>0.05</v>
      </c>
      <c r="G229" s="72">
        <v>0.35499999999999998</v>
      </c>
      <c r="H229" s="49">
        <f t="shared" si="10"/>
        <v>0.41387499999999999</v>
      </c>
      <c r="I229" s="50">
        <f t="shared" si="11"/>
        <v>2.68081892419634E-4</v>
      </c>
    </row>
    <row r="230" spans="2:9" x14ac:dyDescent="0.2">
      <c r="B230" s="69" t="s">
        <v>531</v>
      </c>
      <c r="C230" s="70" t="s">
        <v>532</v>
      </c>
      <c r="D230" s="71">
        <v>206418.8</v>
      </c>
      <c r="E230" s="68">
        <f t="shared" si="9"/>
        <v>9.3690961191402865E-3</v>
      </c>
      <c r="F230" s="72">
        <v>2.98E-2</v>
      </c>
      <c r="G230" s="72">
        <v>0.125</v>
      </c>
      <c r="H230" s="49">
        <f t="shared" si="10"/>
        <v>0.15666250000000001</v>
      </c>
      <c r="I230" s="50">
        <f t="shared" si="11"/>
        <v>1.4677860207648152E-3</v>
      </c>
    </row>
    <row r="231" spans="2:9" x14ac:dyDescent="0.2">
      <c r="B231" s="69" t="s">
        <v>533</v>
      </c>
      <c r="C231" s="70" t="s">
        <v>534</v>
      </c>
      <c r="D231" s="71">
        <v>16770.88</v>
      </c>
      <c r="E231" s="68" t="str">
        <f t="shared" si="9"/>
        <v>N/A</v>
      </c>
      <c r="F231" s="72">
        <v>1.77E-2</v>
      </c>
      <c r="G231" s="72" t="s">
        <v>104</v>
      </c>
      <c r="H231" s="49" t="str">
        <f t="shared" si="10"/>
        <v>N/A</v>
      </c>
      <c r="I231" s="50" t="str">
        <f t="shared" si="11"/>
        <v>N/A</v>
      </c>
    </row>
    <row r="232" spans="2:9" x14ac:dyDescent="0.2">
      <c r="B232" s="69" t="s">
        <v>535</v>
      </c>
      <c r="C232" s="70" t="s">
        <v>536</v>
      </c>
      <c r="D232" s="71">
        <v>8693.19</v>
      </c>
      <c r="E232" s="68">
        <f t="shared" si="9"/>
        <v>3.9457323020940515E-4</v>
      </c>
      <c r="F232" s="72">
        <v>2.7300000000000001E-2</v>
      </c>
      <c r="G232" s="72">
        <v>0.22500000000000001</v>
      </c>
      <c r="H232" s="49">
        <f t="shared" si="10"/>
        <v>0.25537124999999999</v>
      </c>
      <c r="I232" s="50">
        <f t="shared" si="11"/>
        <v>1.0076265901511355E-4</v>
      </c>
    </row>
    <row r="233" spans="2:9" x14ac:dyDescent="0.2">
      <c r="B233" s="69" t="s">
        <v>537</v>
      </c>
      <c r="C233" s="70" t="s">
        <v>538</v>
      </c>
      <c r="D233" s="71">
        <v>17230.79</v>
      </c>
      <c r="E233" s="68">
        <f t="shared" si="9"/>
        <v>7.8208442118024753E-4</v>
      </c>
      <c r="F233" s="72">
        <v>2.5000000000000001E-2</v>
      </c>
      <c r="G233" s="72">
        <v>0.13</v>
      </c>
      <c r="H233" s="49">
        <f t="shared" si="10"/>
        <v>0.15662500000000001</v>
      </c>
      <c r="I233" s="50">
        <f t="shared" si="11"/>
        <v>1.2249397246735628E-4</v>
      </c>
    </row>
    <row r="234" spans="2:9" x14ac:dyDescent="0.2">
      <c r="B234" s="69" t="s">
        <v>539</v>
      </c>
      <c r="C234" s="70" t="s">
        <v>540</v>
      </c>
      <c r="D234" s="71">
        <v>8441.17</v>
      </c>
      <c r="E234" s="68">
        <f t="shared" si="9"/>
        <v>3.831343515610178E-4</v>
      </c>
      <c r="F234" s="72">
        <v>1.7100000000000001E-2</v>
      </c>
      <c r="G234" s="72">
        <v>7.0000000000000007E-2</v>
      </c>
      <c r="H234" s="49">
        <f t="shared" si="10"/>
        <v>8.7698500000000013E-2</v>
      </c>
      <c r="I234" s="50">
        <f t="shared" si="11"/>
        <v>3.3600307930373925E-5</v>
      </c>
    </row>
    <row r="235" spans="2:9" x14ac:dyDescent="0.2">
      <c r="B235" s="69" t="s">
        <v>541</v>
      </c>
      <c r="C235" s="70" t="s">
        <v>542</v>
      </c>
      <c r="D235" s="71">
        <v>24624.09</v>
      </c>
      <c r="E235" s="68">
        <f t="shared" si="9"/>
        <v>1.1176572388579002E-3</v>
      </c>
      <c r="F235" s="72">
        <v>7.1999999999999998E-3</v>
      </c>
      <c r="G235" s="72">
        <v>0.09</v>
      </c>
      <c r="H235" s="49">
        <f t="shared" si="10"/>
        <v>9.7524E-2</v>
      </c>
      <c r="I235" s="50">
        <f t="shared" si="11"/>
        <v>1.0899840456237786E-4</v>
      </c>
    </row>
    <row r="236" spans="2:9" x14ac:dyDescent="0.2">
      <c r="B236" s="69" t="s">
        <v>543</v>
      </c>
      <c r="C236" s="70" t="s">
        <v>544</v>
      </c>
      <c r="D236" s="71">
        <v>6099.72</v>
      </c>
      <c r="E236" s="68">
        <f t="shared" si="9"/>
        <v>2.7685880830545664E-4</v>
      </c>
      <c r="F236" s="72">
        <v>0.04</v>
      </c>
      <c r="G236" s="72">
        <v>0.09</v>
      </c>
      <c r="H236" s="49">
        <f t="shared" si="10"/>
        <v>0.1318</v>
      </c>
      <c r="I236" s="50">
        <f t="shared" si="11"/>
        <v>3.6489990934659187E-5</v>
      </c>
    </row>
    <row r="237" spans="2:9" x14ac:dyDescent="0.2">
      <c r="B237" s="69" t="s">
        <v>545</v>
      </c>
      <c r="C237" s="70" t="s">
        <v>546</v>
      </c>
      <c r="D237" s="71">
        <v>12513.44</v>
      </c>
      <c r="E237" s="68">
        <f t="shared" si="9"/>
        <v>5.6796969142875961E-4</v>
      </c>
      <c r="F237" s="72">
        <v>0</v>
      </c>
      <c r="G237" s="72">
        <v>0.185</v>
      </c>
      <c r="H237" s="49">
        <f t="shared" si="10"/>
        <v>0.185</v>
      </c>
      <c r="I237" s="50">
        <f t="shared" si="11"/>
        <v>1.0507439291432052E-4</v>
      </c>
    </row>
    <row r="238" spans="2:9" x14ac:dyDescent="0.2">
      <c r="B238" s="69" t="s">
        <v>547</v>
      </c>
      <c r="C238" s="70" t="s">
        <v>548</v>
      </c>
      <c r="D238" s="71">
        <v>112879.1</v>
      </c>
      <c r="E238" s="68">
        <f t="shared" si="9"/>
        <v>5.1234438807998516E-3</v>
      </c>
      <c r="F238" s="72">
        <v>2.1499999999999998E-2</v>
      </c>
      <c r="G238" s="72">
        <v>0.09</v>
      </c>
      <c r="H238" s="49">
        <f t="shared" si="10"/>
        <v>0.1124675</v>
      </c>
      <c r="I238" s="50">
        <f t="shared" si="11"/>
        <v>5.7622092466385732E-4</v>
      </c>
    </row>
    <row r="239" spans="2:9" x14ac:dyDescent="0.2">
      <c r="B239" s="69" t="s">
        <v>549</v>
      </c>
      <c r="C239" s="70" t="s">
        <v>550</v>
      </c>
      <c r="D239" s="71">
        <v>5969.14</v>
      </c>
      <c r="E239" s="68">
        <f t="shared" si="9"/>
        <v>2.7093194228725801E-4</v>
      </c>
      <c r="F239" s="72">
        <v>5.21E-2</v>
      </c>
      <c r="G239" s="72">
        <v>0.56499999999999995</v>
      </c>
      <c r="H239" s="49">
        <f t="shared" si="10"/>
        <v>0.63181824999999991</v>
      </c>
      <c r="I239" s="50">
        <f t="shared" si="11"/>
        <v>1.7117974564503634E-4</v>
      </c>
    </row>
    <row r="240" spans="2:9" x14ac:dyDescent="0.2">
      <c r="B240" s="69" t="s">
        <v>551</v>
      </c>
      <c r="C240" s="70" t="s">
        <v>552</v>
      </c>
      <c r="D240" s="71">
        <v>21593.26</v>
      </c>
      <c r="E240" s="68">
        <f t="shared" si="9"/>
        <v>9.8009158306117073E-4</v>
      </c>
      <c r="F240" s="72">
        <v>2.87E-2</v>
      </c>
      <c r="G240" s="72">
        <v>7.4999999999999997E-2</v>
      </c>
      <c r="H240" s="49">
        <f t="shared" si="10"/>
        <v>0.10477625</v>
      </c>
      <c r="I240" s="50">
        <f t="shared" si="11"/>
        <v>1.0269032072971299E-4</v>
      </c>
    </row>
    <row r="241" spans="2:9" x14ac:dyDescent="0.2">
      <c r="B241" s="69" t="s">
        <v>553</v>
      </c>
      <c r="C241" s="70" t="s">
        <v>554</v>
      </c>
      <c r="D241" s="71">
        <v>28970.98</v>
      </c>
      <c r="E241" s="68">
        <f t="shared" si="9"/>
        <v>1.3149572436507279E-3</v>
      </c>
      <c r="F241" s="72">
        <v>3.4000000000000002E-2</v>
      </c>
      <c r="G241" s="72">
        <v>9.5000000000000001E-2</v>
      </c>
      <c r="H241" s="49">
        <f t="shared" si="10"/>
        <v>0.13061500000000001</v>
      </c>
      <c r="I241" s="50">
        <f t="shared" si="11"/>
        <v>1.7175314037943984E-4</v>
      </c>
    </row>
    <row r="242" spans="2:9" x14ac:dyDescent="0.2">
      <c r="B242" s="69" t="s">
        <v>555</v>
      </c>
      <c r="C242" s="70" t="s">
        <v>556</v>
      </c>
      <c r="D242" s="71">
        <v>4965.53</v>
      </c>
      <c r="E242" s="68">
        <f t="shared" si="9"/>
        <v>2.2537931551038309E-4</v>
      </c>
      <c r="F242" s="72">
        <v>4.2599999999999999E-2</v>
      </c>
      <c r="G242" s="72">
        <v>8.5000000000000006E-2</v>
      </c>
      <c r="H242" s="49">
        <f t="shared" si="10"/>
        <v>0.12941050000000001</v>
      </c>
      <c r="I242" s="50">
        <f t="shared" si="11"/>
        <v>2.9166449909856432E-5</v>
      </c>
    </row>
    <row r="243" spans="2:9" x14ac:dyDescent="0.2">
      <c r="B243" s="69" t="s">
        <v>557</v>
      </c>
      <c r="C243" s="70" t="s">
        <v>558</v>
      </c>
      <c r="D243" s="71">
        <v>23204.35</v>
      </c>
      <c r="E243" s="68">
        <f t="shared" si="9"/>
        <v>1.0532169818455147E-3</v>
      </c>
      <c r="F243" s="72">
        <v>1.9299999999999998E-2</v>
      </c>
      <c r="G243" s="72">
        <v>0.09</v>
      </c>
      <c r="H243" s="49">
        <f t="shared" si="10"/>
        <v>0.11016849999999999</v>
      </c>
      <c r="I243" s="50">
        <f t="shared" si="11"/>
        <v>1.1603133506444757E-4</v>
      </c>
    </row>
    <row r="244" spans="2:9" x14ac:dyDescent="0.2">
      <c r="B244" s="69" t="s">
        <v>559</v>
      </c>
      <c r="C244" s="70" t="s">
        <v>560</v>
      </c>
      <c r="D244" s="71">
        <v>18988.7</v>
      </c>
      <c r="E244" s="68">
        <f t="shared" si="9"/>
        <v>8.618737996612672E-4</v>
      </c>
      <c r="F244" s="72">
        <v>1.7000000000000001E-2</v>
      </c>
      <c r="G244" s="72">
        <v>0.13500000000000001</v>
      </c>
      <c r="H244" s="49">
        <f t="shared" si="10"/>
        <v>0.15314750000000002</v>
      </c>
      <c r="I244" s="50">
        <f t="shared" si="11"/>
        <v>1.3199381773362393E-4</v>
      </c>
    </row>
    <row r="245" spans="2:9" x14ac:dyDescent="0.2">
      <c r="B245" s="69" t="s">
        <v>561</v>
      </c>
      <c r="C245" s="70" t="s">
        <v>562</v>
      </c>
      <c r="D245" s="71">
        <v>8749.94</v>
      </c>
      <c r="E245" s="68">
        <f t="shared" si="9"/>
        <v>3.9714904309447765E-4</v>
      </c>
      <c r="F245" s="72">
        <v>0</v>
      </c>
      <c r="G245" s="72">
        <v>8.5000000000000006E-2</v>
      </c>
      <c r="H245" s="49">
        <f t="shared" si="10"/>
        <v>8.5000000000000006E-2</v>
      </c>
      <c r="I245" s="50">
        <f t="shared" si="11"/>
        <v>3.3757668663030601E-5</v>
      </c>
    </row>
    <row r="246" spans="2:9" x14ac:dyDescent="0.2">
      <c r="B246" s="69" t="s">
        <v>563</v>
      </c>
      <c r="C246" s="70" t="s">
        <v>564</v>
      </c>
      <c r="D246" s="71">
        <v>14323.76</v>
      </c>
      <c r="E246" s="68" t="str">
        <f t="shared" si="9"/>
        <v>N/A</v>
      </c>
      <c r="F246" s="72">
        <v>4.2800000000000005E-2</v>
      </c>
      <c r="G246" s="72" t="s">
        <v>104</v>
      </c>
      <c r="H246" s="49" t="str">
        <f t="shared" si="10"/>
        <v>N/A</v>
      </c>
      <c r="I246" s="50" t="str">
        <f t="shared" si="11"/>
        <v>N/A</v>
      </c>
    </row>
    <row r="247" spans="2:9" x14ac:dyDescent="0.2">
      <c r="B247" s="69" t="s">
        <v>565</v>
      </c>
      <c r="C247" s="70" t="s">
        <v>566</v>
      </c>
      <c r="D247" s="71">
        <v>23474.07</v>
      </c>
      <c r="E247" s="68">
        <f t="shared" si="9"/>
        <v>1.0654592417814047E-3</v>
      </c>
      <c r="F247" s="72">
        <v>2.58E-2</v>
      </c>
      <c r="G247" s="72">
        <v>6.5000000000000002E-2</v>
      </c>
      <c r="H247" s="49">
        <f t="shared" si="10"/>
        <v>9.1638499999999998E-2</v>
      </c>
      <c r="I247" s="50">
        <f t="shared" si="11"/>
        <v>9.7637086727985254E-5</v>
      </c>
    </row>
    <row r="248" spans="2:9" x14ac:dyDescent="0.2">
      <c r="B248" s="69" t="s">
        <v>567</v>
      </c>
      <c r="C248" s="70" t="s">
        <v>568</v>
      </c>
      <c r="D248" s="71">
        <v>36826.21</v>
      </c>
      <c r="E248" s="68">
        <f t="shared" si="9"/>
        <v>1.6714964973812715E-3</v>
      </c>
      <c r="F248" s="72">
        <v>8.199999999999999E-3</v>
      </c>
      <c r="G248" s="72">
        <v>0.13500000000000001</v>
      </c>
      <c r="H248" s="49">
        <f t="shared" si="10"/>
        <v>0.14375350000000001</v>
      </c>
      <c r="I248" s="50">
        <f t="shared" si="11"/>
        <v>2.4028347173629864E-4</v>
      </c>
    </row>
    <row r="249" spans="2:9" x14ac:dyDescent="0.2">
      <c r="B249" s="69" t="s">
        <v>569</v>
      </c>
      <c r="C249" s="70" t="s">
        <v>570</v>
      </c>
      <c r="D249" s="71">
        <v>123014.3</v>
      </c>
      <c r="E249" s="68" t="str">
        <f t="shared" si="9"/>
        <v>N/A</v>
      </c>
      <c r="F249" s="72">
        <v>4.82E-2</v>
      </c>
      <c r="G249" s="72" t="s">
        <v>104</v>
      </c>
      <c r="H249" s="49" t="str">
        <f t="shared" si="10"/>
        <v>N/A</v>
      </c>
      <c r="I249" s="50" t="str">
        <f t="shared" si="11"/>
        <v>N/A</v>
      </c>
    </row>
    <row r="250" spans="2:9" x14ac:dyDescent="0.2">
      <c r="B250" s="69" t="s">
        <v>571</v>
      </c>
      <c r="C250" s="70" t="s">
        <v>572</v>
      </c>
      <c r="D250" s="71">
        <v>42054.15</v>
      </c>
      <c r="E250" s="68">
        <f t="shared" si="9"/>
        <v>1.9087862808946836E-3</v>
      </c>
      <c r="F250" s="72">
        <v>1.49E-2</v>
      </c>
      <c r="G250" s="72">
        <v>0.125</v>
      </c>
      <c r="H250" s="49">
        <f t="shared" si="10"/>
        <v>0.14083124999999999</v>
      </c>
      <c r="I250" s="50">
        <f t="shared" si="11"/>
        <v>2.6881675792124937E-4</v>
      </c>
    </row>
    <row r="251" spans="2:9" x14ac:dyDescent="0.2">
      <c r="B251" s="69" t="s">
        <v>573</v>
      </c>
      <c r="C251" s="70" t="s">
        <v>574</v>
      </c>
      <c r="D251" s="71">
        <v>17645.87</v>
      </c>
      <c r="E251" s="68">
        <f t="shared" si="9"/>
        <v>8.0092439320378773E-4</v>
      </c>
      <c r="F251" s="72">
        <v>0</v>
      </c>
      <c r="G251" s="72">
        <v>0.15</v>
      </c>
      <c r="H251" s="49">
        <f t="shared" si="10"/>
        <v>0.15</v>
      </c>
      <c r="I251" s="50">
        <f t="shared" si="11"/>
        <v>1.2013865898056816E-4</v>
      </c>
    </row>
    <row r="252" spans="2:9" x14ac:dyDescent="0.2">
      <c r="B252" s="69" t="s">
        <v>575</v>
      </c>
      <c r="C252" s="70" t="s">
        <v>576</v>
      </c>
      <c r="D252" s="71">
        <v>11419.68</v>
      </c>
      <c r="E252" s="68">
        <f t="shared" si="9"/>
        <v>5.1832526673841698E-4</v>
      </c>
      <c r="F252" s="72">
        <v>2.4300000000000002E-2</v>
      </c>
      <c r="G252" s="72">
        <v>0.08</v>
      </c>
      <c r="H252" s="49">
        <f t="shared" si="10"/>
        <v>0.105272</v>
      </c>
      <c r="I252" s="50">
        <f t="shared" si="11"/>
        <v>5.4565137480086638E-5</v>
      </c>
    </row>
    <row r="253" spans="2:9" x14ac:dyDescent="0.2">
      <c r="B253" s="69" t="s">
        <v>577</v>
      </c>
      <c r="C253" s="70" t="s">
        <v>578</v>
      </c>
      <c r="D253" s="71">
        <v>42932.82</v>
      </c>
      <c r="E253" s="68">
        <f t="shared" si="9"/>
        <v>1.9486680343348015E-3</v>
      </c>
      <c r="F253" s="72">
        <v>0</v>
      </c>
      <c r="G253" s="72">
        <v>0.155</v>
      </c>
      <c r="H253" s="49">
        <f t="shared" si="10"/>
        <v>0.155</v>
      </c>
      <c r="I253" s="50">
        <f t="shared" si="11"/>
        <v>3.0204354532189424E-4</v>
      </c>
    </row>
    <row r="254" spans="2:9" x14ac:dyDescent="0.2">
      <c r="B254" s="69" t="s">
        <v>579</v>
      </c>
      <c r="C254" s="70" t="s">
        <v>580</v>
      </c>
      <c r="D254" s="71">
        <v>17648.259999999998</v>
      </c>
      <c r="E254" s="68" t="str">
        <f t="shared" si="9"/>
        <v>N/A</v>
      </c>
      <c r="F254" s="72">
        <v>0</v>
      </c>
      <c r="G254" s="72" t="s">
        <v>104</v>
      </c>
      <c r="H254" s="49" t="str">
        <f t="shared" si="10"/>
        <v>N/A</v>
      </c>
      <c r="I254" s="50" t="str">
        <f t="shared" si="11"/>
        <v>N/A</v>
      </c>
    </row>
    <row r="255" spans="2:9" x14ac:dyDescent="0.2">
      <c r="B255" s="69" t="s">
        <v>581</v>
      </c>
      <c r="C255" s="70" t="s">
        <v>582</v>
      </c>
      <c r="D255" s="71">
        <v>21020.29</v>
      </c>
      <c r="E255" s="68">
        <f t="shared" si="9"/>
        <v>9.5408517762046578E-4</v>
      </c>
      <c r="F255" s="72">
        <v>0</v>
      </c>
      <c r="G255" s="72">
        <v>0.155</v>
      </c>
      <c r="H255" s="49">
        <f t="shared" si="10"/>
        <v>0.155</v>
      </c>
      <c r="I255" s="50">
        <f t="shared" si="11"/>
        <v>1.4788320253117219E-4</v>
      </c>
    </row>
    <row r="256" spans="2:9" x14ac:dyDescent="0.2">
      <c r="B256" s="69" t="s">
        <v>583</v>
      </c>
      <c r="C256" s="70" t="s">
        <v>584</v>
      </c>
      <c r="D256" s="71">
        <v>240066.4</v>
      </c>
      <c r="E256" s="68">
        <f t="shared" si="9"/>
        <v>1.089631940780578E-2</v>
      </c>
      <c r="F256" s="72">
        <v>2.4E-2</v>
      </c>
      <c r="G256" s="72">
        <v>0.125</v>
      </c>
      <c r="H256" s="49">
        <f t="shared" si="10"/>
        <v>0.15049999999999999</v>
      </c>
      <c r="I256" s="50">
        <f t="shared" si="11"/>
        <v>1.6398960708747699E-3</v>
      </c>
    </row>
    <row r="257" spans="2:9" x14ac:dyDescent="0.2">
      <c r="B257" s="69" t="s">
        <v>585</v>
      </c>
      <c r="C257" s="70" t="s">
        <v>586</v>
      </c>
      <c r="D257" s="71">
        <v>63593.36</v>
      </c>
      <c r="E257" s="68">
        <f t="shared" si="9"/>
        <v>2.8864246007587061E-3</v>
      </c>
      <c r="F257" s="72">
        <v>7.7000000000000002E-3</v>
      </c>
      <c r="G257" s="72">
        <v>0.14499999999999999</v>
      </c>
      <c r="H257" s="49">
        <f t="shared" si="10"/>
        <v>0.15325824999999998</v>
      </c>
      <c r="I257" s="50">
        <f t="shared" si="11"/>
        <v>4.4236838306922793E-4</v>
      </c>
    </row>
    <row r="258" spans="2:9" x14ac:dyDescent="0.2">
      <c r="B258" s="69" t="s">
        <v>587</v>
      </c>
      <c r="C258" s="70" t="s">
        <v>588</v>
      </c>
      <c r="D258" s="71">
        <v>18371.060000000001</v>
      </c>
      <c r="E258" s="68">
        <f t="shared" si="9"/>
        <v>8.3383987771701697E-4</v>
      </c>
      <c r="F258" s="72">
        <v>4.36E-2</v>
      </c>
      <c r="G258" s="72">
        <v>0.155</v>
      </c>
      <c r="H258" s="49">
        <f t="shared" si="10"/>
        <v>0.20197899999999999</v>
      </c>
      <c r="I258" s="50">
        <f t="shared" si="11"/>
        <v>1.6841814466140537E-4</v>
      </c>
    </row>
    <row r="259" spans="2:9" x14ac:dyDescent="0.2">
      <c r="B259" s="69" t="s">
        <v>589</v>
      </c>
      <c r="C259" s="70" t="s">
        <v>590</v>
      </c>
      <c r="D259" s="71">
        <v>8741.08</v>
      </c>
      <c r="E259" s="68">
        <f t="shared" si="9"/>
        <v>3.9674689856299318E-4</v>
      </c>
      <c r="F259" s="72">
        <v>4.2099999999999999E-2</v>
      </c>
      <c r="G259" s="72">
        <v>0.115</v>
      </c>
      <c r="H259" s="49">
        <f t="shared" si="10"/>
        <v>0.15952075000000002</v>
      </c>
      <c r="I259" s="50">
        <f t="shared" si="11"/>
        <v>6.3289362818942597E-5</v>
      </c>
    </row>
    <row r="260" spans="2:9" x14ac:dyDescent="0.2">
      <c r="B260" s="69" t="s">
        <v>591</v>
      </c>
      <c r="C260" s="70" t="s">
        <v>592</v>
      </c>
      <c r="D260" s="71">
        <v>7834.89</v>
      </c>
      <c r="E260" s="68">
        <f t="shared" si="9"/>
        <v>3.5561604608151507E-4</v>
      </c>
      <c r="F260" s="72">
        <v>0</v>
      </c>
      <c r="G260" s="72">
        <v>0.105</v>
      </c>
      <c r="H260" s="49">
        <f t="shared" si="10"/>
        <v>0.105</v>
      </c>
      <c r="I260" s="50">
        <f t="shared" si="11"/>
        <v>3.7339684838559081E-5</v>
      </c>
    </row>
    <row r="261" spans="2:9" x14ac:dyDescent="0.2">
      <c r="B261" s="69" t="s">
        <v>593</v>
      </c>
      <c r="C261" s="70" t="s">
        <v>594</v>
      </c>
      <c r="D261" s="71">
        <v>27239.02</v>
      </c>
      <c r="E261" s="68">
        <f t="shared" si="9"/>
        <v>1.2363457038369794E-3</v>
      </c>
      <c r="F261" s="72">
        <v>0</v>
      </c>
      <c r="G261" s="72">
        <v>0.125</v>
      </c>
      <c r="H261" s="49">
        <f t="shared" si="10"/>
        <v>0.125</v>
      </c>
      <c r="I261" s="50">
        <f t="shared" si="11"/>
        <v>1.5454321297962242E-4</v>
      </c>
    </row>
    <row r="262" spans="2:9" x14ac:dyDescent="0.2">
      <c r="B262" s="69" t="s">
        <v>595</v>
      </c>
      <c r="C262" s="70" t="s">
        <v>596</v>
      </c>
      <c r="D262" s="71">
        <v>25639.119999999999</v>
      </c>
      <c r="E262" s="68">
        <f t="shared" si="9"/>
        <v>1.163728205425921E-3</v>
      </c>
      <c r="F262" s="72">
        <v>2.0299999999999999E-2</v>
      </c>
      <c r="G262" s="72">
        <v>0.13500000000000001</v>
      </c>
      <c r="H262" s="49">
        <f t="shared" si="10"/>
        <v>0.15667025000000001</v>
      </c>
      <c r="I262" s="50">
        <f t="shared" si="11"/>
        <v>1.8232158887613041E-4</v>
      </c>
    </row>
    <row r="263" spans="2:9" x14ac:dyDescent="0.2">
      <c r="B263" s="69" t="s">
        <v>597</v>
      </c>
      <c r="C263" s="70" t="s">
        <v>598</v>
      </c>
      <c r="D263" s="71">
        <v>9980.5300000000007</v>
      </c>
      <c r="E263" s="68">
        <f t="shared" si="9"/>
        <v>4.5300401363617662E-4</v>
      </c>
      <c r="F263" s="72">
        <v>7.0000000000000007E-2</v>
      </c>
      <c r="G263" s="72">
        <v>6.5000000000000002E-2</v>
      </c>
      <c r="H263" s="49">
        <f t="shared" si="10"/>
        <v>0.13727500000000001</v>
      </c>
      <c r="I263" s="50">
        <f t="shared" si="11"/>
        <v>6.2186125971906155E-5</v>
      </c>
    </row>
    <row r="264" spans="2:9" x14ac:dyDescent="0.2">
      <c r="B264" s="69" t="s">
        <v>599</v>
      </c>
      <c r="C264" s="70" t="s">
        <v>600</v>
      </c>
      <c r="D264" s="71">
        <v>60886.879999999997</v>
      </c>
      <c r="E264" s="68">
        <f t="shared" si="9"/>
        <v>2.7635807935835316E-3</v>
      </c>
      <c r="F264" s="72">
        <v>0</v>
      </c>
      <c r="G264" s="72">
        <v>0.15</v>
      </c>
      <c r="H264" s="49">
        <f t="shared" si="10"/>
        <v>0.15</v>
      </c>
      <c r="I264" s="50">
        <f t="shared" si="11"/>
        <v>4.1453711903752976E-4</v>
      </c>
    </row>
    <row r="265" spans="2:9" x14ac:dyDescent="0.2">
      <c r="B265" s="69" t="s">
        <v>601</v>
      </c>
      <c r="C265" s="70" t="s">
        <v>602</v>
      </c>
      <c r="D265" s="71">
        <v>12878.63</v>
      </c>
      <c r="E265" s="68">
        <f t="shared" si="9"/>
        <v>5.8454521755210123E-4</v>
      </c>
      <c r="F265" s="72">
        <v>0</v>
      </c>
      <c r="G265" s="72">
        <v>0.13500000000000001</v>
      </c>
      <c r="H265" s="49">
        <f t="shared" si="10"/>
        <v>0.13500000000000001</v>
      </c>
      <c r="I265" s="50">
        <f t="shared" si="11"/>
        <v>7.8913604369533675E-5</v>
      </c>
    </row>
    <row r="266" spans="2:9" x14ac:dyDescent="0.2">
      <c r="B266" s="69" t="s">
        <v>603</v>
      </c>
      <c r="C266" s="70" t="s">
        <v>604</v>
      </c>
      <c r="D266" s="71">
        <v>46700.85</v>
      </c>
      <c r="E266" s="68">
        <f t="shared" si="9"/>
        <v>2.1196942938121561E-3</v>
      </c>
      <c r="F266" s="72">
        <v>2.8399999999999998E-2</v>
      </c>
      <c r="G266" s="72">
        <v>0.1</v>
      </c>
      <c r="H266" s="49">
        <f t="shared" si="10"/>
        <v>0.12981999999999999</v>
      </c>
      <c r="I266" s="50">
        <f t="shared" si="11"/>
        <v>2.7517871322269407E-4</v>
      </c>
    </row>
    <row r="267" spans="2:9" x14ac:dyDescent="0.2">
      <c r="B267" s="69" t="s">
        <v>605</v>
      </c>
      <c r="C267" s="70" t="s">
        <v>606</v>
      </c>
      <c r="D267" s="71">
        <v>7674.86</v>
      </c>
      <c r="E267" s="68">
        <f t="shared" si="9"/>
        <v>3.4835248068947701E-4</v>
      </c>
      <c r="F267" s="72">
        <v>6.4299999999999996E-2</v>
      </c>
      <c r="G267" s="72">
        <v>0.04</v>
      </c>
      <c r="H267" s="49">
        <f t="shared" si="10"/>
        <v>0.10558599999999999</v>
      </c>
      <c r="I267" s="50">
        <f t="shared" si="11"/>
        <v>3.6781145026079117E-5</v>
      </c>
    </row>
    <row r="268" spans="2:9" x14ac:dyDescent="0.2">
      <c r="B268" s="69" t="s">
        <v>607</v>
      </c>
      <c r="C268" s="70" t="s">
        <v>608</v>
      </c>
      <c r="D268" s="71">
        <v>11125.03</v>
      </c>
      <c r="E268" s="68">
        <f t="shared" ref="E268:E331" si="12">IF(OR(H268="N/A",D268="N/A"),"N/A",D268/$D$512)</f>
        <v>5.0495146468402716E-4</v>
      </c>
      <c r="F268" s="72">
        <v>1.0200000000000001E-2</v>
      </c>
      <c r="G268" s="72">
        <v>0.115</v>
      </c>
      <c r="H268" s="49">
        <f t="shared" ref="H268:H331" si="13">IFERROR(F268*(1+0.5*G268)+G268,"N/A")</f>
        <v>0.1257865</v>
      </c>
      <c r="I268" s="50">
        <f t="shared" ref="I268:I331" si="14">IF(AND(ISNUMBER(D268),ISNUMBER(H268)),E268*H268,"N/A")</f>
        <v>6.3516077412477382E-5</v>
      </c>
    </row>
    <row r="269" spans="2:9" x14ac:dyDescent="0.2">
      <c r="B269" s="69" t="s">
        <v>609</v>
      </c>
      <c r="C269" s="70" t="s">
        <v>610</v>
      </c>
      <c r="D269" s="71">
        <v>32556.47</v>
      </c>
      <c r="E269" s="68">
        <f t="shared" si="12"/>
        <v>1.4776982364489435E-3</v>
      </c>
      <c r="F269" s="72">
        <v>2.92E-2</v>
      </c>
      <c r="G269" s="72">
        <v>0.06</v>
      </c>
      <c r="H269" s="49">
        <f t="shared" si="13"/>
        <v>9.0076000000000003E-2</v>
      </c>
      <c r="I269" s="50">
        <f t="shared" si="14"/>
        <v>1.3310514634637505E-4</v>
      </c>
    </row>
    <row r="270" spans="2:9" x14ac:dyDescent="0.2">
      <c r="B270" s="69" t="s">
        <v>611</v>
      </c>
      <c r="C270" s="70" t="s">
        <v>612</v>
      </c>
      <c r="D270" s="71">
        <v>10124.24</v>
      </c>
      <c r="E270" s="68">
        <f t="shared" si="12"/>
        <v>4.5952683424787307E-4</v>
      </c>
      <c r="F270" s="72">
        <v>9.3999999999999986E-3</v>
      </c>
      <c r="G270" s="72">
        <v>0.13</v>
      </c>
      <c r="H270" s="49">
        <f t="shared" si="13"/>
        <v>0.140011</v>
      </c>
      <c r="I270" s="50">
        <f t="shared" si="14"/>
        <v>6.4338811589878954E-5</v>
      </c>
    </row>
    <row r="271" spans="2:9" x14ac:dyDescent="0.2">
      <c r="B271" s="69" t="s">
        <v>613</v>
      </c>
      <c r="C271" s="70" t="s">
        <v>614</v>
      </c>
      <c r="D271" s="71">
        <v>6257.12</v>
      </c>
      <c r="E271" s="68">
        <f t="shared" si="12"/>
        <v>2.8400300122370187E-4</v>
      </c>
      <c r="F271" s="72">
        <v>2.6499999999999999E-2</v>
      </c>
      <c r="G271" s="72">
        <v>0.20499999999999999</v>
      </c>
      <c r="H271" s="49">
        <f t="shared" si="13"/>
        <v>0.23421624999999999</v>
      </c>
      <c r="I271" s="50">
        <f t="shared" si="14"/>
        <v>6.6518117935360861E-5</v>
      </c>
    </row>
    <row r="272" spans="2:9" x14ac:dyDescent="0.2">
      <c r="B272" s="69" t="s">
        <v>615</v>
      </c>
      <c r="C272" s="70" t="s">
        <v>616</v>
      </c>
      <c r="D272" s="71">
        <v>10109.4</v>
      </c>
      <c r="E272" s="68">
        <f t="shared" si="12"/>
        <v>4.5885326485202324E-4</v>
      </c>
      <c r="F272" s="72">
        <v>1.2199999999999999E-2</v>
      </c>
      <c r="G272" s="72">
        <v>0.115</v>
      </c>
      <c r="H272" s="49">
        <f t="shared" si="13"/>
        <v>0.1279015</v>
      </c>
      <c r="I272" s="50">
        <f t="shared" si="14"/>
        <v>5.8688020854471048E-5</v>
      </c>
    </row>
    <row r="273" spans="2:9" x14ac:dyDescent="0.2">
      <c r="B273" s="69" t="s">
        <v>617</v>
      </c>
      <c r="C273" s="70" t="s">
        <v>618</v>
      </c>
      <c r="D273" s="71">
        <v>370919.3</v>
      </c>
      <c r="E273" s="68">
        <f t="shared" si="12"/>
        <v>1.6835572022239408E-2</v>
      </c>
      <c r="F273" s="72">
        <v>2.7099999999999999E-2</v>
      </c>
      <c r="G273" s="72">
        <v>0.105</v>
      </c>
      <c r="H273" s="49">
        <f t="shared" si="13"/>
        <v>0.13352275</v>
      </c>
      <c r="I273" s="50">
        <f t="shared" si="14"/>
        <v>2.2479318742324667E-3</v>
      </c>
    </row>
    <row r="274" spans="2:9" x14ac:dyDescent="0.2">
      <c r="B274" s="69" t="s">
        <v>619</v>
      </c>
      <c r="C274" s="70" t="s">
        <v>620</v>
      </c>
      <c r="D274" s="71">
        <v>8989.08</v>
      </c>
      <c r="E274" s="68">
        <f t="shared" si="12"/>
        <v>4.0800331434269347E-4</v>
      </c>
      <c r="F274" s="72">
        <v>2.9300000000000003E-2</v>
      </c>
      <c r="G274" s="72">
        <v>0.05</v>
      </c>
      <c r="H274" s="49">
        <f t="shared" si="13"/>
        <v>8.0032500000000006E-2</v>
      </c>
      <c r="I274" s="50">
        <f t="shared" si="14"/>
        <v>3.2653525255131619E-5</v>
      </c>
    </row>
    <row r="275" spans="2:9" x14ac:dyDescent="0.2">
      <c r="B275" s="69" t="s">
        <v>621</v>
      </c>
      <c r="C275" s="70" t="s">
        <v>622</v>
      </c>
      <c r="D275" s="71">
        <v>342417.6</v>
      </c>
      <c r="E275" s="68">
        <f t="shared" si="12"/>
        <v>1.5541914822125363E-2</v>
      </c>
      <c r="F275" s="72">
        <v>3.15E-2</v>
      </c>
      <c r="G275" s="72">
        <v>9.5000000000000001E-2</v>
      </c>
      <c r="H275" s="49">
        <f t="shared" si="13"/>
        <v>0.12799625000000001</v>
      </c>
      <c r="I275" s="50">
        <f t="shared" si="14"/>
        <v>1.9893068150514635E-3</v>
      </c>
    </row>
    <row r="276" spans="2:9" x14ac:dyDescent="0.2">
      <c r="B276" s="69" t="s">
        <v>623</v>
      </c>
      <c r="C276" s="70" t="s">
        <v>624</v>
      </c>
      <c r="D276" s="71">
        <v>7558.28</v>
      </c>
      <c r="E276" s="68">
        <f t="shared" si="12"/>
        <v>3.4306105749755183E-4</v>
      </c>
      <c r="F276" s="72">
        <v>3.3099999999999997E-2</v>
      </c>
      <c r="G276" s="72">
        <v>7.0000000000000007E-2</v>
      </c>
      <c r="H276" s="49">
        <f t="shared" si="13"/>
        <v>0.1042585</v>
      </c>
      <c r="I276" s="50">
        <f t="shared" si="14"/>
        <v>3.5767031263108508E-5</v>
      </c>
    </row>
    <row r="277" spans="2:9" x14ac:dyDescent="0.2">
      <c r="B277" s="69" t="s">
        <v>625</v>
      </c>
      <c r="C277" s="70" t="s">
        <v>626</v>
      </c>
      <c r="D277" s="71">
        <v>18842.099999999999</v>
      </c>
      <c r="E277" s="68">
        <f t="shared" si="12"/>
        <v>8.552198054947185E-4</v>
      </c>
      <c r="F277" s="72">
        <v>4.1599999999999998E-2</v>
      </c>
      <c r="G277" s="72">
        <v>5.5E-2</v>
      </c>
      <c r="H277" s="49">
        <f t="shared" si="13"/>
        <v>9.7743999999999998E-2</v>
      </c>
      <c r="I277" s="50">
        <f t="shared" si="14"/>
        <v>8.3592604668275759E-5</v>
      </c>
    </row>
    <row r="278" spans="2:9" x14ac:dyDescent="0.2">
      <c r="B278" s="69" t="s">
        <v>627</v>
      </c>
      <c r="C278" s="70" t="s">
        <v>628</v>
      </c>
      <c r="D278" s="71">
        <v>17272.59</v>
      </c>
      <c r="E278" s="68">
        <f t="shared" si="12"/>
        <v>7.8398167190440668E-4</v>
      </c>
      <c r="F278" s="72">
        <v>4.07E-2</v>
      </c>
      <c r="G278" s="72">
        <v>0.13</v>
      </c>
      <c r="H278" s="49">
        <f t="shared" si="13"/>
        <v>0.17334549999999999</v>
      </c>
      <c r="I278" s="50">
        <f t="shared" si="14"/>
        <v>1.3589969490710531E-4</v>
      </c>
    </row>
    <row r="279" spans="2:9" x14ac:dyDescent="0.2">
      <c r="B279" s="69" t="s">
        <v>629</v>
      </c>
      <c r="C279" s="70" t="s">
        <v>630</v>
      </c>
      <c r="D279" s="71">
        <v>15892.58</v>
      </c>
      <c r="E279" s="68">
        <f t="shared" si="12"/>
        <v>7.2134471085543827E-4</v>
      </c>
      <c r="F279" s="72">
        <v>0</v>
      </c>
      <c r="G279" s="72">
        <v>0.16</v>
      </c>
      <c r="H279" s="49">
        <f t="shared" si="13"/>
        <v>0.16</v>
      </c>
      <c r="I279" s="50">
        <f t="shared" si="14"/>
        <v>1.1541515373687012E-4</v>
      </c>
    </row>
    <row r="280" spans="2:9" x14ac:dyDescent="0.2">
      <c r="B280" s="69" t="s">
        <v>631</v>
      </c>
      <c r="C280" s="70" t="s">
        <v>632</v>
      </c>
      <c r="D280" s="71">
        <v>38873.910000000003</v>
      </c>
      <c r="E280" s="68">
        <f t="shared" si="12"/>
        <v>1.7644390884784178E-3</v>
      </c>
      <c r="F280" s="72">
        <v>5.0199999999999995E-2</v>
      </c>
      <c r="G280" s="72">
        <v>9.5000000000000001E-2</v>
      </c>
      <c r="H280" s="49">
        <f t="shared" si="13"/>
        <v>0.14758450000000001</v>
      </c>
      <c r="I280" s="50">
        <f t="shared" si="14"/>
        <v>2.6040386065354304E-4</v>
      </c>
    </row>
    <row r="281" spans="2:9" x14ac:dyDescent="0.2">
      <c r="B281" s="69" t="s">
        <v>633</v>
      </c>
      <c r="C281" s="70" t="s">
        <v>634</v>
      </c>
      <c r="D281" s="71">
        <v>7401.98</v>
      </c>
      <c r="E281" s="68">
        <f t="shared" si="12"/>
        <v>3.3596679222994233E-4</v>
      </c>
      <c r="F281" s="72">
        <v>6.5599999999999992E-2</v>
      </c>
      <c r="G281" s="72">
        <v>-5.0000000000000001E-3</v>
      </c>
      <c r="H281" s="49">
        <f t="shared" si="13"/>
        <v>6.0435999999999997E-2</v>
      </c>
      <c r="I281" s="50">
        <f t="shared" si="14"/>
        <v>2.0304489055208793E-5</v>
      </c>
    </row>
    <row r="282" spans="2:9" x14ac:dyDescent="0.2">
      <c r="B282" s="69" t="s">
        <v>635</v>
      </c>
      <c r="C282" s="70" t="s">
        <v>636</v>
      </c>
      <c r="D282" s="71">
        <v>17350.86</v>
      </c>
      <c r="E282" s="68">
        <f t="shared" si="12"/>
        <v>7.8753425119100799E-4</v>
      </c>
      <c r="F282" s="72">
        <v>2.6200000000000001E-2</v>
      </c>
      <c r="G282" s="72">
        <v>0.105</v>
      </c>
      <c r="H282" s="49">
        <f t="shared" si="13"/>
        <v>0.13257549999999999</v>
      </c>
      <c r="I282" s="50">
        <f t="shared" si="14"/>
        <v>1.0440774711877347E-4</v>
      </c>
    </row>
    <row r="283" spans="2:9" x14ac:dyDescent="0.2">
      <c r="B283" s="69" t="s">
        <v>637</v>
      </c>
      <c r="C283" s="70" t="s">
        <v>638</v>
      </c>
      <c r="D283" s="71">
        <v>39737.1</v>
      </c>
      <c r="E283" s="68">
        <f t="shared" si="12"/>
        <v>1.8036182237077703E-3</v>
      </c>
      <c r="F283" s="72">
        <v>3.5799999999999998E-2</v>
      </c>
      <c r="G283" s="72">
        <v>0.105</v>
      </c>
      <c r="H283" s="49">
        <f t="shared" si="13"/>
        <v>0.14267949999999999</v>
      </c>
      <c r="I283" s="50">
        <f t="shared" si="14"/>
        <v>2.573393463495128E-4</v>
      </c>
    </row>
    <row r="284" spans="2:9" x14ac:dyDescent="0.2">
      <c r="B284" s="69" t="s">
        <v>639</v>
      </c>
      <c r="C284" s="70" t="s">
        <v>640</v>
      </c>
      <c r="D284" s="71">
        <v>44881.38</v>
      </c>
      <c r="E284" s="68">
        <f t="shared" si="12"/>
        <v>2.0371107824464657E-3</v>
      </c>
      <c r="F284" s="72">
        <v>4.0300000000000002E-2</v>
      </c>
      <c r="G284" s="72">
        <v>0.34499999999999997</v>
      </c>
      <c r="H284" s="49">
        <f t="shared" si="13"/>
        <v>0.39225174999999995</v>
      </c>
      <c r="I284" s="50">
        <f t="shared" si="14"/>
        <v>7.9906026935849534E-4</v>
      </c>
    </row>
    <row r="285" spans="2:9" x14ac:dyDescent="0.2">
      <c r="B285" s="69" t="s">
        <v>641</v>
      </c>
      <c r="C285" s="70" t="s">
        <v>642</v>
      </c>
      <c r="D285" s="71">
        <v>10259</v>
      </c>
      <c r="E285" s="68">
        <f t="shared" si="12"/>
        <v>4.6564342533848759E-4</v>
      </c>
      <c r="F285" s="72">
        <v>0</v>
      </c>
      <c r="G285" s="72">
        <v>0.115</v>
      </c>
      <c r="H285" s="49">
        <f t="shared" si="13"/>
        <v>0.115</v>
      </c>
      <c r="I285" s="50">
        <f t="shared" si="14"/>
        <v>5.3548993913926072E-5</v>
      </c>
    </row>
    <row r="286" spans="2:9" x14ac:dyDescent="0.2">
      <c r="B286" s="69" t="s">
        <v>643</v>
      </c>
      <c r="C286" s="70" t="s">
        <v>644</v>
      </c>
      <c r="D286" s="71">
        <v>192711.7</v>
      </c>
      <c r="E286" s="68">
        <f t="shared" si="12"/>
        <v>8.7469476645679924E-3</v>
      </c>
      <c r="F286" s="72">
        <v>3.6699999999999997E-2</v>
      </c>
      <c r="G286" s="72">
        <v>6.5000000000000002E-2</v>
      </c>
      <c r="H286" s="49">
        <f t="shared" si="13"/>
        <v>0.10289275000000001</v>
      </c>
      <c r="I286" s="50">
        <f t="shared" si="14"/>
        <v>8.999974993134783E-4</v>
      </c>
    </row>
    <row r="287" spans="2:9" x14ac:dyDescent="0.2">
      <c r="B287" s="69" t="s">
        <v>645</v>
      </c>
      <c r="C287" s="70" t="s">
        <v>646</v>
      </c>
      <c r="D287" s="71">
        <v>20436.78</v>
      </c>
      <c r="E287" s="68">
        <f t="shared" si="12"/>
        <v>9.2760037450912336E-4</v>
      </c>
      <c r="F287" s="72">
        <v>2.4199999999999999E-2</v>
      </c>
      <c r="G287" s="72">
        <v>0.05</v>
      </c>
      <c r="H287" s="49">
        <f t="shared" si="13"/>
        <v>7.4804999999999996E-2</v>
      </c>
      <c r="I287" s="50">
        <f t="shared" si="14"/>
        <v>6.9389146015154973E-5</v>
      </c>
    </row>
    <row r="288" spans="2:9" x14ac:dyDescent="0.2">
      <c r="B288" s="69" t="s">
        <v>647</v>
      </c>
      <c r="C288" s="70" t="s">
        <v>648</v>
      </c>
      <c r="D288" s="71">
        <v>11380.05</v>
      </c>
      <c r="E288" s="68">
        <f t="shared" si="12"/>
        <v>5.1652650965233022E-4</v>
      </c>
      <c r="F288" s="72">
        <v>3.8900000000000004E-2</v>
      </c>
      <c r="G288" s="72">
        <v>0.11</v>
      </c>
      <c r="H288" s="49">
        <f t="shared" si="13"/>
        <v>0.15103949999999999</v>
      </c>
      <c r="I288" s="50">
        <f t="shared" si="14"/>
        <v>7.8015905754633125E-5</v>
      </c>
    </row>
    <row r="289" spans="2:9" x14ac:dyDescent="0.2">
      <c r="B289" s="69" t="s">
        <v>649</v>
      </c>
      <c r="C289" s="70" t="s">
        <v>650</v>
      </c>
      <c r="D289" s="71">
        <v>11305.51</v>
      </c>
      <c r="E289" s="68">
        <f t="shared" si="12"/>
        <v>5.1314323049015743E-4</v>
      </c>
      <c r="F289" s="72">
        <v>1.29E-2</v>
      </c>
      <c r="G289" s="72">
        <v>0.12</v>
      </c>
      <c r="H289" s="49">
        <f t="shared" si="13"/>
        <v>0.13367399999999999</v>
      </c>
      <c r="I289" s="50">
        <f t="shared" si="14"/>
        <v>6.8593908192541298E-5</v>
      </c>
    </row>
    <row r="290" spans="2:9" x14ac:dyDescent="0.2">
      <c r="B290" s="69" t="s">
        <v>651</v>
      </c>
      <c r="C290" s="70" t="s">
        <v>652</v>
      </c>
      <c r="D290" s="71">
        <v>14745.63</v>
      </c>
      <c r="E290" s="68">
        <f t="shared" si="12"/>
        <v>6.6928605731298981E-4</v>
      </c>
      <c r="F290" s="72">
        <v>5.3E-3</v>
      </c>
      <c r="G290" s="72">
        <v>0.16500000000000001</v>
      </c>
      <c r="H290" s="49">
        <f t="shared" si="13"/>
        <v>0.17073725000000001</v>
      </c>
      <c r="I290" s="50">
        <f t="shared" si="14"/>
        <v>1.1427206088896227E-4</v>
      </c>
    </row>
    <row r="291" spans="2:9" x14ac:dyDescent="0.2">
      <c r="B291" s="69" t="s">
        <v>653</v>
      </c>
      <c r="C291" s="70" t="s">
        <v>654</v>
      </c>
      <c r="D291" s="71">
        <v>7229.75</v>
      </c>
      <c r="E291" s="68">
        <f t="shared" si="12"/>
        <v>3.2814948380358033E-4</v>
      </c>
      <c r="F291" s="72">
        <v>4.5599999999999995E-2</v>
      </c>
      <c r="G291" s="72">
        <v>-4.4999999999999998E-2</v>
      </c>
      <c r="H291" s="49">
        <f t="shared" si="13"/>
        <v>-4.2600000000000277E-4</v>
      </c>
      <c r="I291" s="50">
        <f t="shared" si="14"/>
        <v>-1.3979168010032612E-7</v>
      </c>
    </row>
    <row r="292" spans="2:9" x14ac:dyDescent="0.2">
      <c r="B292" s="69" t="s">
        <v>655</v>
      </c>
      <c r="C292" s="70" t="s">
        <v>656</v>
      </c>
      <c r="D292" s="71">
        <v>5780.13</v>
      </c>
      <c r="E292" s="68">
        <f t="shared" si="12"/>
        <v>2.6235301024483406E-4</v>
      </c>
      <c r="F292" s="72">
        <v>3.4300000000000004E-2</v>
      </c>
      <c r="G292" s="72">
        <v>0.09</v>
      </c>
      <c r="H292" s="49">
        <f t="shared" si="13"/>
        <v>0.1258435</v>
      </c>
      <c r="I292" s="50">
        <f t="shared" si="14"/>
        <v>3.3015421044745776E-5</v>
      </c>
    </row>
    <row r="293" spans="2:9" x14ac:dyDescent="0.2">
      <c r="B293" s="69" t="s">
        <v>657</v>
      </c>
      <c r="C293" s="70" t="s">
        <v>658</v>
      </c>
      <c r="D293" s="71">
        <v>15417.52</v>
      </c>
      <c r="E293" s="68">
        <f t="shared" si="12"/>
        <v>6.9978232020904963E-4</v>
      </c>
      <c r="F293" s="72">
        <v>3.4000000000000002E-3</v>
      </c>
      <c r="G293" s="72">
        <v>0.12</v>
      </c>
      <c r="H293" s="49">
        <f t="shared" si="13"/>
        <v>0.12360399999999999</v>
      </c>
      <c r="I293" s="50">
        <f t="shared" si="14"/>
        <v>8.6495893907119364E-5</v>
      </c>
    </row>
    <row r="294" spans="2:9" x14ac:dyDescent="0.2">
      <c r="B294" s="69" t="s">
        <v>659</v>
      </c>
      <c r="C294" s="70" t="s">
        <v>660</v>
      </c>
      <c r="D294" s="71">
        <v>14785.13</v>
      </c>
      <c r="E294" s="68">
        <f t="shared" si="12"/>
        <v>6.7107891385854697E-4</v>
      </c>
      <c r="F294" s="72">
        <v>0</v>
      </c>
      <c r="G294" s="72">
        <v>8.5000000000000006E-2</v>
      </c>
      <c r="H294" s="49">
        <f t="shared" si="13"/>
        <v>8.5000000000000006E-2</v>
      </c>
      <c r="I294" s="50">
        <f t="shared" si="14"/>
        <v>5.70417076779765E-5</v>
      </c>
    </row>
    <row r="295" spans="2:9" x14ac:dyDescent="0.2">
      <c r="B295" s="69" t="s">
        <v>661</v>
      </c>
      <c r="C295" s="70" t="s">
        <v>662</v>
      </c>
      <c r="D295" s="71">
        <v>0</v>
      </c>
      <c r="E295" s="68" t="str">
        <f t="shared" si="12"/>
        <v>N/A</v>
      </c>
      <c r="F295" s="72">
        <v>2.0899999999999998E-2</v>
      </c>
      <c r="G295" s="72" t="s">
        <v>104</v>
      </c>
      <c r="H295" s="49" t="str">
        <f t="shared" si="13"/>
        <v>N/A</v>
      </c>
      <c r="I295" s="50" t="str">
        <f t="shared" si="14"/>
        <v>N/A</v>
      </c>
    </row>
    <row r="296" spans="2:9" x14ac:dyDescent="0.2">
      <c r="B296" s="69" t="s">
        <v>663</v>
      </c>
      <c r="C296" s="70" t="s">
        <v>664</v>
      </c>
      <c r="D296" s="71">
        <v>8845.8799999999992</v>
      </c>
      <c r="E296" s="68">
        <f t="shared" si="12"/>
        <v>4.0150364200538261E-4</v>
      </c>
      <c r="F296" s="72">
        <v>0</v>
      </c>
      <c r="G296" s="72">
        <v>0.105</v>
      </c>
      <c r="H296" s="49">
        <f t="shared" si="13"/>
        <v>0.105</v>
      </c>
      <c r="I296" s="50">
        <f t="shared" si="14"/>
        <v>4.2157882410565173E-5</v>
      </c>
    </row>
    <row r="297" spans="2:9" x14ac:dyDescent="0.2">
      <c r="B297" s="69" t="s">
        <v>665</v>
      </c>
      <c r="C297" s="70" t="s">
        <v>666</v>
      </c>
      <c r="D297" s="71">
        <v>16349.42</v>
      </c>
      <c r="E297" s="68">
        <f t="shared" si="12"/>
        <v>7.4208011805220549E-4</v>
      </c>
      <c r="F297" s="72">
        <v>1.6399999999999998E-2</v>
      </c>
      <c r="G297" s="72">
        <v>7.0000000000000007E-2</v>
      </c>
      <c r="H297" s="49">
        <f t="shared" si="13"/>
        <v>8.6973999999999996E-2</v>
      </c>
      <c r="I297" s="50">
        <f t="shared" si="14"/>
        <v>6.4541676187472515E-5</v>
      </c>
    </row>
    <row r="298" spans="2:9" x14ac:dyDescent="0.2">
      <c r="B298" s="69" t="s">
        <v>667</v>
      </c>
      <c r="C298" s="70" t="s">
        <v>668</v>
      </c>
      <c r="D298" s="71">
        <v>133834.70000000001</v>
      </c>
      <c r="E298" s="68">
        <f t="shared" si="12"/>
        <v>6.0745928586752014E-3</v>
      </c>
      <c r="F298" s="72">
        <v>2.0400000000000001E-2</v>
      </c>
      <c r="G298" s="72">
        <v>0.12</v>
      </c>
      <c r="H298" s="49">
        <f t="shared" si="13"/>
        <v>0.141624</v>
      </c>
      <c r="I298" s="50">
        <f t="shared" si="14"/>
        <v>8.6030813901701671E-4</v>
      </c>
    </row>
    <row r="299" spans="2:9" x14ac:dyDescent="0.2">
      <c r="B299" s="69" t="s">
        <v>669</v>
      </c>
      <c r="C299" s="70" t="s">
        <v>670</v>
      </c>
      <c r="D299" s="71">
        <v>85145.81</v>
      </c>
      <c r="E299" s="68">
        <f t="shared" si="12"/>
        <v>3.8646638679812897E-3</v>
      </c>
      <c r="F299" s="72">
        <v>2.9700000000000001E-2</v>
      </c>
      <c r="G299" s="72">
        <v>0.14000000000000001</v>
      </c>
      <c r="H299" s="49">
        <f t="shared" si="13"/>
        <v>0.17177900000000002</v>
      </c>
      <c r="I299" s="50">
        <f t="shared" si="14"/>
        <v>6.6386809457795806E-4</v>
      </c>
    </row>
    <row r="300" spans="2:9" x14ac:dyDescent="0.2">
      <c r="B300" s="69" t="s">
        <v>671</v>
      </c>
      <c r="C300" s="70" t="s">
        <v>672</v>
      </c>
      <c r="D300" s="71">
        <v>12432.01</v>
      </c>
      <c r="E300" s="68">
        <f t="shared" si="12"/>
        <v>5.6427368361851359E-4</v>
      </c>
      <c r="F300" s="72">
        <v>2.52E-2</v>
      </c>
      <c r="G300" s="72">
        <v>0.105</v>
      </c>
      <c r="H300" s="49">
        <f t="shared" si="13"/>
        <v>0.131523</v>
      </c>
      <c r="I300" s="50">
        <f t="shared" si="14"/>
        <v>7.4214967690557762E-5</v>
      </c>
    </row>
    <row r="301" spans="2:9" x14ac:dyDescent="0.2">
      <c r="B301" s="69" t="s">
        <v>673</v>
      </c>
      <c r="C301" s="70" t="s">
        <v>30</v>
      </c>
      <c r="D301" s="71">
        <v>10903.75</v>
      </c>
      <c r="E301" s="68">
        <f t="shared" si="12"/>
        <v>4.9490783692704302E-4</v>
      </c>
      <c r="F301" s="72">
        <v>3.0699999999999998E-2</v>
      </c>
      <c r="G301" s="72">
        <v>6.5000000000000002E-2</v>
      </c>
      <c r="H301" s="49">
        <f t="shared" si="13"/>
        <v>9.6697749999999999E-2</v>
      </c>
      <c r="I301" s="50">
        <f t="shared" si="14"/>
        <v>4.7856474288211973E-5</v>
      </c>
    </row>
    <row r="302" spans="2:9" x14ac:dyDescent="0.2">
      <c r="B302" s="69" t="s">
        <v>674</v>
      </c>
      <c r="C302" s="70" t="s">
        <v>675</v>
      </c>
      <c r="D302" s="71">
        <v>81172.27</v>
      </c>
      <c r="E302" s="68">
        <f t="shared" si="12"/>
        <v>3.6843097617019747E-3</v>
      </c>
      <c r="F302" s="72">
        <v>2.0899999999999998E-2</v>
      </c>
      <c r="G302" s="72">
        <v>0.13</v>
      </c>
      <c r="H302" s="49">
        <f t="shared" si="13"/>
        <v>0.15225849999999999</v>
      </c>
      <c r="I302" s="50">
        <f t="shared" si="14"/>
        <v>5.6096747785210012E-4</v>
      </c>
    </row>
    <row r="303" spans="2:9" x14ac:dyDescent="0.2">
      <c r="B303" s="69" t="s">
        <v>676</v>
      </c>
      <c r="C303" s="70" t="s">
        <v>677</v>
      </c>
      <c r="D303" s="71">
        <v>25736.12</v>
      </c>
      <c r="E303" s="68">
        <f t="shared" si="12"/>
        <v>1.1681309164365296E-3</v>
      </c>
      <c r="F303" s="72">
        <v>2.63E-2</v>
      </c>
      <c r="G303" s="72">
        <v>0.13</v>
      </c>
      <c r="H303" s="49">
        <f t="shared" si="13"/>
        <v>0.1580095</v>
      </c>
      <c r="I303" s="50">
        <f t="shared" si="14"/>
        <v>1.8457578204067782E-4</v>
      </c>
    </row>
    <row r="304" spans="2:9" x14ac:dyDescent="0.2">
      <c r="B304" s="69" t="s">
        <v>678</v>
      </c>
      <c r="C304" s="70" t="s">
        <v>679</v>
      </c>
      <c r="D304" s="71">
        <v>28972.97</v>
      </c>
      <c r="E304" s="68">
        <f t="shared" si="12"/>
        <v>1.3150475673096055E-3</v>
      </c>
      <c r="F304" s="72">
        <v>1.2199999999999999E-2</v>
      </c>
      <c r="G304" s="72">
        <v>0.115</v>
      </c>
      <c r="H304" s="49">
        <f t="shared" si="13"/>
        <v>0.1279015</v>
      </c>
      <c r="I304" s="50">
        <f t="shared" si="14"/>
        <v>1.6819655643024952E-4</v>
      </c>
    </row>
    <row r="305" spans="2:9" x14ac:dyDescent="0.2">
      <c r="B305" s="69" t="s">
        <v>680</v>
      </c>
      <c r="C305" s="70" t="s">
        <v>681</v>
      </c>
      <c r="D305" s="71">
        <v>10329.15</v>
      </c>
      <c r="E305" s="68" t="str">
        <f t="shared" si="12"/>
        <v>N/A</v>
      </c>
      <c r="F305" s="72">
        <v>1.1399999999999999E-2</v>
      </c>
      <c r="G305" s="72" t="s">
        <v>104</v>
      </c>
      <c r="H305" s="49" t="str">
        <f t="shared" si="13"/>
        <v>N/A</v>
      </c>
      <c r="I305" s="50" t="str">
        <f t="shared" si="14"/>
        <v>N/A</v>
      </c>
    </row>
    <row r="306" spans="2:9" x14ac:dyDescent="0.2">
      <c r="B306" s="69" t="s">
        <v>682</v>
      </c>
      <c r="C306" s="70" t="s">
        <v>683</v>
      </c>
      <c r="D306" s="71">
        <v>33727.07</v>
      </c>
      <c r="E306" s="68">
        <f t="shared" si="12"/>
        <v>1.530830334480061E-3</v>
      </c>
      <c r="F306" s="72">
        <v>4.5899999999999996E-2</v>
      </c>
      <c r="G306" s="72">
        <v>5.5E-2</v>
      </c>
      <c r="H306" s="49">
        <f t="shared" si="13"/>
        <v>0.10216225000000001</v>
      </c>
      <c r="I306" s="50">
        <f t="shared" si="14"/>
        <v>1.5639307133873562E-4</v>
      </c>
    </row>
    <row r="307" spans="2:9" x14ac:dyDescent="0.2">
      <c r="B307" s="69" t="s">
        <v>684</v>
      </c>
      <c r="C307" s="70" t="s">
        <v>685</v>
      </c>
      <c r="D307" s="71">
        <v>7163.98</v>
      </c>
      <c r="E307" s="68">
        <f t="shared" si="12"/>
        <v>3.2516426418329451E-4</v>
      </c>
      <c r="F307" s="72">
        <v>6.480000000000001E-2</v>
      </c>
      <c r="G307" s="72">
        <v>0.05</v>
      </c>
      <c r="H307" s="49">
        <f t="shared" si="13"/>
        <v>0.11642000000000001</v>
      </c>
      <c r="I307" s="50">
        <f t="shared" si="14"/>
        <v>3.7855623636219152E-5</v>
      </c>
    </row>
    <row r="308" spans="2:9" x14ac:dyDescent="0.2">
      <c r="B308" s="69" t="s">
        <v>686</v>
      </c>
      <c r="C308" s="70" t="s">
        <v>687</v>
      </c>
      <c r="D308" s="71">
        <v>230194.4</v>
      </c>
      <c r="E308" s="68">
        <f t="shared" si="12"/>
        <v>1.0448241437736422E-2</v>
      </c>
      <c r="F308" s="72">
        <v>5.8999999999999999E-3</v>
      </c>
      <c r="G308" s="72">
        <v>0.16</v>
      </c>
      <c r="H308" s="49">
        <f t="shared" si="13"/>
        <v>0.16637199999999999</v>
      </c>
      <c r="I308" s="50">
        <f t="shared" si="14"/>
        <v>1.738294824479084E-3</v>
      </c>
    </row>
    <row r="309" spans="2:9" x14ac:dyDescent="0.2">
      <c r="B309" s="69" t="s">
        <v>688</v>
      </c>
      <c r="C309" s="70" t="s">
        <v>689</v>
      </c>
      <c r="D309" s="71">
        <v>11930.24</v>
      </c>
      <c r="E309" s="68">
        <f t="shared" si="12"/>
        <v>5.414989588371418E-4</v>
      </c>
      <c r="F309" s="72">
        <v>3.6600000000000001E-2</v>
      </c>
      <c r="G309" s="72">
        <v>-4.4999999999999998E-2</v>
      </c>
      <c r="H309" s="49">
        <f t="shared" si="13"/>
        <v>-9.2234999999999956E-3</v>
      </c>
      <c r="I309" s="50">
        <f t="shared" si="14"/>
        <v>-4.9945156468343753E-6</v>
      </c>
    </row>
    <row r="310" spans="2:9" x14ac:dyDescent="0.2">
      <c r="B310" s="69" t="s">
        <v>690</v>
      </c>
      <c r="C310" s="70" t="s">
        <v>691</v>
      </c>
      <c r="D310" s="71">
        <v>5999.3</v>
      </c>
      <c r="E310" s="68">
        <f t="shared" si="12"/>
        <v>2.7230086769014413E-4</v>
      </c>
      <c r="F310" s="72">
        <v>7.0999999999999994E-2</v>
      </c>
      <c r="G310" s="72">
        <v>0.08</v>
      </c>
      <c r="H310" s="49">
        <f t="shared" si="13"/>
        <v>0.15384</v>
      </c>
      <c r="I310" s="50">
        <f t="shared" si="14"/>
        <v>4.1890765485451773E-5</v>
      </c>
    </row>
    <row r="311" spans="2:9" x14ac:dyDescent="0.2">
      <c r="B311" s="69" t="s">
        <v>692</v>
      </c>
      <c r="C311" s="70" t="s">
        <v>693</v>
      </c>
      <c r="D311" s="71">
        <v>41692.910000000003</v>
      </c>
      <c r="E311" s="68">
        <f t="shared" si="12"/>
        <v>1.8923900404258977E-3</v>
      </c>
      <c r="F311" s="72">
        <v>1.34E-2</v>
      </c>
      <c r="G311" s="72">
        <v>0.125</v>
      </c>
      <c r="H311" s="49">
        <f t="shared" si="13"/>
        <v>0.13923750000000001</v>
      </c>
      <c r="I311" s="50">
        <f t="shared" si="14"/>
        <v>2.6349165825380094E-4</v>
      </c>
    </row>
    <row r="312" spans="2:9" x14ac:dyDescent="0.2">
      <c r="B312" s="69" t="s">
        <v>694</v>
      </c>
      <c r="C312" s="70" t="s">
        <v>695</v>
      </c>
      <c r="D312" s="71">
        <v>11453.28</v>
      </c>
      <c r="E312" s="68">
        <f t="shared" si="12"/>
        <v>5.1985032952147324E-4</v>
      </c>
      <c r="F312" s="72">
        <v>1.23E-2</v>
      </c>
      <c r="G312" s="72">
        <v>0.14499999999999999</v>
      </c>
      <c r="H312" s="49">
        <f t="shared" si="13"/>
        <v>0.15819174999999999</v>
      </c>
      <c r="I312" s="50">
        <f t="shared" si="14"/>
        <v>8.2236033365078512E-5</v>
      </c>
    </row>
    <row r="313" spans="2:9" x14ac:dyDescent="0.2">
      <c r="B313" s="69" t="s">
        <v>696</v>
      </c>
      <c r="C313" s="70" t="s">
        <v>697</v>
      </c>
      <c r="D313" s="71">
        <v>5000.84</v>
      </c>
      <c r="E313" s="68">
        <f t="shared" si="12"/>
        <v>2.2698199309579124E-4</v>
      </c>
      <c r="F313" s="72">
        <v>0</v>
      </c>
      <c r="G313" s="72">
        <v>0.22</v>
      </c>
      <c r="H313" s="49">
        <f t="shared" si="13"/>
        <v>0.22</v>
      </c>
      <c r="I313" s="50">
        <f t="shared" si="14"/>
        <v>4.9936038481074072E-5</v>
      </c>
    </row>
    <row r="314" spans="2:9" x14ac:dyDescent="0.2">
      <c r="B314" s="69" t="s">
        <v>698</v>
      </c>
      <c r="C314" s="70" t="s">
        <v>699</v>
      </c>
      <c r="D314" s="71">
        <v>139162.9</v>
      </c>
      <c r="E314" s="68">
        <f t="shared" si="12"/>
        <v>6.3164333206001963E-3</v>
      </c>
      <c r="F314" s="72">
        <v>2.6200000000000001E-2</v>
      </c>
      <c r="G314" s="72">
        <v>9.5000000000000001E-2</v>
      </c>
      <c r="H314" s="49">
        <f t="shared" si="13"/>
        <v>0.12244450000000001</v>
      </c>
      <c r="I314" s="50">
        <f t="shared" si="14"/>
        <v>7.7341251972423079E-4</v>
      </c>
    </row>
    <row r="315" spans="2:9" x14ac:dyDescent="0.2">
      <c r="B315" s="69" t="s">
        <v>700</v>
      </c>
      <c r="C315" s="70" t="s">
        <v>701</v>
      </c>
      <c r="D315" s="71">
        <v>20011.53</v>
      </c>
      <c r="E315" s="68">
        <f t="shared" si="12"/>
        <v>9.0829879866106879E-4</v>
      </c>
      <c r="F315" s="72">
        <v>1.78E-2</v>
      </c>
      <c r="G315" s="72">
        <v>0.15</v>
      </c>
      <c r="H315" s="49">
        <f t="shared" si="13"/>
        <v>0.16913499999999998</v>
      </c>
      <c r="I315" s="50">
        <f t="shared" si="14"/>
        <v>1.5362511731153986E-4</v>
      </c>
    </row>
    <row r="316" spans="2:9" x14ac:dyDescent="0.2">
      <c r="B316" s="69" t="s">
        <v>702</v>
      </c>
      <c r="C316" s="70" t="s">
        <v>703</v>
      </c>
      <c r="D316" s="71">
        <v>21557.759999999998</v>
      </c>
      <c r="E316" s="68">
        <f t="shared" si="12"/>
        <v>9.7848028160883466E-4</v>
      </c>
      <c r="F316" s="72">
        <v>1.3899999999999999E-2</v>
      </c>
      <c r="G316" s="72">
        <v>0.09</v>
      </c>
      <c r="H316" s="49">
        <f t="shared" si="13"/>
        <v>0.10452549999999999</v>
      </c>
      <c r="I316" s="50">
        <f t="shared" si="14"/>
        <v>1.0227614067530425E-4</v>
      </c>
    </row>
    <row r="317" spans="2:9" x14ac:dyDescent="0.2">
      <c r="B317" s="69" t="s">
        <v>704</v>
      </c>
      <c r="C317" s="70" t="s">
        <v>705</v>
      </c>
      <c r="D317" s="71">
        <v>32450.9</v>
      </c>
      <c r="E317" s="68">
        <f t="shared" si="12"/>
        <v>1.4729065436511091E-3</v>
      </c>
      <c r="F317" s="72">
        <v>1.18E-2</v>
      </c>
      <c r="G317" s="72">
        <v>0.115</v>
      </c>
      <c r="H317" s="49">
        <f t="shared" si="13"/>
        <v>0.12747849999999999</v>
      </c>
      <c r="I317" s="50">
        <f t="shared" si="14"/>
        <v>1.8776391682482791E-4</v>
      </c>
    </row>
    <row r="318" spans="2:9" x14ac:dyDescent="0.2">
      <c r="B318" s="69" t="s">
        <v>706</v>
      </c>
      <c r="C318" s="70" t="s">
        <v>707</v>
      </c>
      <c r="D318" s="71">
        <v>68206.149999999994</v>
      </c>
      <c r="E318" s="68">
        <f t="shared" si="12"/>
        <v>3.0957934803733972E-3</v>
      </c>
      <c r="F318" s="72">
        <v>2.3099999999999999E-2</v>
      </c>
      <c r="G318" s="72">
        <v>9.5000000000000001E-2</v>
      </c>
      <c r="H318" s="49">
        <f t="shared" si="13"/>
        <v>0.11919725</v>
      </c>
      <c r="I318" s="50">
        <f t="shared" si="14"/>
        <v>3.6901006942843795E-4</v>
      </c>
    </row>
    <row r="319" spans="2:9" x14ac:dyDescent="0.2">
      <c r="B319" s="69" t="s">
        <v>708</v>
      </c>
      <c r="C319" s="70" t="s">
        <v>709</v>
      </c>
      <c r="D319" s="71">
        <v>122101.2</v>
      </c>
      <c r="E319" s="68">
        <f t="shared" si="12"/>
        <v>5.5420236870981328E-3</v>
      </c>
      <c r="F319" s="72">
        <v>2.3300000000000001E-2</v>
      </c>
      <c r="G319" s="72">
        <v>7.4999999999999997E-2</v>
      </c>
      <c r="H319" s="49">
        <f t="shared" si="13"/>
        <v>9.9173750000000005E-2</v>
      </c>
      <c r="I319" s="50">
        <f t="shared" si="14"/>
        <v>5.4962327163834849E-4</v>
      </c>
    </row>
    <row r="320" spans="2:9" x14ac:dyDescent="0.2">
      <c r="B320" s="69" t="s">
        <v>710</v>
      </c>
      <c r="C320" s="70" t="s">
        <v>711</v>
      </c>
      <c r="D320" s="71">
        <v>43728.06</v>
      </c>
      <c r="E320" s="68">
        <f t="shared" si="12"/>
        <v>1.9847630024180628E-3</v>
      </c>
      <c r="F320" s="72">
        <v>3.9300000000000002E-2</v>
      </c>
      <c r="G320" s="72">
        <v>7.0000000000000007E-2</v>
      </c>
      <c r="H320" s="49">
        <f t="shared" si="13"/>
        <v>0.11067550000000001</v>
      </c>
      <c r="I320" s="50">
        <f t="shared" si="14"/>
        <v>2.1966463767412032E-4</v>
      </c>
    </row>
    <row r="321" spans="2:9" x14ac:dyDescent="0.2">
      <c r="B321" s="69" t="s">
        <v>712</v>
      </c>
      <c r="C321" s="70" t="s">
        <v>713</v>
      </c>
      <c r="D321" s="71">
        <v>14069.73</v>
      </c>
      <c r="E321" s="68">
        <f t="shared" si="12"/>
        <v>6.3860778543597615E-4</v>
      </c>
      <c r="F321" s="72">
        <v>1.9699999999999999E-2</v>
      </c>
      <c r="G321" s="72">
        <v>0.31</v>
      </c>
      <c r="H321" s="49">
        <f t="shared" si="13"/>
        <v>0.33275349999999998</v>
      </c>
      <c r="I321" s="50">
        <f t="shared" si="14"/>
        <v>2.1249897573107009E-4</v>
      </c>
    </row>
    <row r="322" spans="2:9" x14ac:dyDescent="0.2">
      <c r="B322" s="69" t="s">
        <v>714</v>
      </c>
      <c r="C322" s="70" t="s">
        <v>715</v>
      </c>
      <c r="D322" s="71">
        <v>9669.16</v>
      </c>
      <c r="E322" s="68">
        <f t="shared" si="12"/>
        <v>4.3887131129212307E-4</v>
      </c>
      <c r="F322" s="72">
        <v>0</v>
      </c>
      <c r="G322" s="72">
        <v>4.4999999999999998E-2</v>
      </c>
      <c r="H322" s="49">
        <f t="shared" si="13"/>
        <v>4.4999999999999998E-2</v>
      </c>
      <c r="I322" s="50">
        <f t="shared" si="14"/>
        <v>1.9749209008145538E-5</v>
      </c>
    </row>
    <row r="323" spans="2:9" x14ac:dyDescent="0.2">
      <c r="B323" s="69" t="s">
        <v>716</v>
      </c>
      <c r="C323" s="70" t="s">
        <v>717</v>
      </c>
      <c r="D323" s="71">
        <v>17857.72</v>
      </c>
      <c r="E323" s="68">
        <f t="shared" si="12"/>
        <v>8.1054000482850348E-4</v>
      </c>
      <c r="F323" s="72">
        <v>1.6799999999999999E-2</v>
      </c>
      <c r="G323" s="72">
        <v>0.1</v>
      </c>
      <c r="H323" s="49">
        <f t="shared" si="13"/>
        <v>0.11764000000000001</v>
      </c>
      <c r="I323" s="50">
        <f t="shared" si="14"/>
        <v>9.5351926168025155E-5</v>
      </c>
    </row>
    <row r="324" spans="2:9" x14ac:dyDescent="0.2">
      <c r="B324" s="69" t="s">
        <v>718</v>
      </c>
      <c r="C324" s="70" t="s">
        <v>719</v>
      </c>
      <c r="D324" s="71">
        <v>12312.95</v>
      </c>
      <c r="E324" s="68">
        <f t="shared" si="12"/>
        <v>5.5886969626879146E-4</v>
      </c>
      <c r="F324" s="72">
        <v>9.8999999999999991E-3</v>
      </c>
      <c r="G324" s="72">
        <v>0.13</v>
      </c>
      <c r="H324" s="49">
        <f t="shared" si="13"/>
        <v>0.14054350000000002</v>
      </c>
      <c r="I324" s="50">
        <f t="shared" si="14"/>
        <v>7.8545503157552896E-5</v>
      </c>
    </row>
    <row r="325" spans="2:9" x14ac:dyDescent="0.2">
      <c r="B325" s="69" t="s">
        <v>720</v>
      </c>
      <c r="C325" s="70" t="s">
        <v>721</v>
      </c>
      <c r="D325" s="71">
        <v>45237.58</v>
      </c>
      <c r="E325" s="68">
        <f t="shared" si="12"/>
        <v>2.0532782634977934E-3</v>
      </c>
      <c r="F325" s="72">
        <v>1.8500000000000003E-2</v>
      </c>
      <c r="G325" s="72">
        <v>0.09</v>
      </c>
      <c r="H325" s="49">
        <f t="shared" si="13"/>
        <v>0.1093325</v>
      </c>
      <c r="I325" s="50">
        <f t="shared" si="14"/>
        <v>2.2449004574387249E-4</v>
      </c>
    </row>
    <row r="326" spans="2:9" x14ac:dyDescent="0.2">
      <c r="B326" s="69" t="s">
        <v>722</v>
      </c>
      <c r="C326" s="70" t="s">
        <v>723</v>
      </c>
      <c r="D326" s="71">
        <v>116375.9</v>
      </c>
      <c r="E326" s="68">
        <f t="shared" si="12"/>
        <v>5.2821593432936251E-3</v>
      </c>
      <c r="F326" s="72">
        <v>2.8799999999999999E-2</v>
      </c>
      <c r="G326" s="72">
        <v>0.09</v>
      </c>
      <c r="H326" s="49">
        <f t="shared" si="13"/>
        <v>0.12009599999999999</v>
      </c>
      <c r="I326" s="50">
        <f t="shared" si="14"/>
        <v>6.3436620849219121E-4</v>
      </c>
    </row>
    <row r="327" spans="2:9" x14ac:dyDescent="0.2">
      <c r="B327" s="69" t="s">
        <v>724</v>
      </c>
      <c r="C327" s="70" t="s">
        <v>725</v>
      </c>
      <c r="D327" s="71">
        <v>34056.31</v>
      </c>
      <c r="E327" s="68">
        <f t="shared" si="12"/>
        <v>1.545774134203079E-3</v>
      </c>
      <c r="F327" s="72">
        <v>0</v>
      </c>
      <c r="G327" s="72">
        <v>0.15</v>
      </c>
      <c r="H327" s="49">
        <f t="shared" si="13"/>
        <v>0.15</v>
      </c>
      <c r="I327" s="50">
        <f t="shared" si="14"/>
        <v>2.3186612013046184E-4</v>
      </c>
    </row>
    <row r="328" spans="2:9" x14ac:dyDescent="0.2">
      <c r="B328" s="69" t="s">
        <v>726</v>
      </c>
      <c r="C328" s="70" t="s">
        <v>727</v>
      </c>
      <c r="D328" s="71">
        <v>102585.9</v>
      </c>
      <c r="E328" s="68">
        <f t="shared" si="12"/>
        <v>4.6562481594143246E-3</v>
      </c>
      <c r="F328" s="72">
        <v>5.8499999999999996E-2</v>
      </c>
      <c r="G328" s="72">
        <v>0.105</v>
      </c>
      <c r="H328" s="49">
        <f t="shared" si="13"/>
        <v>0.16657125</v>
      </c>
      <c r="I328" s="50">
        <f t="shared" si="14"/>
        <v>7.7559707622384337E-4</v>
      </c>
    </row>
    <row r="329" spans="2:9" x14ac:dyDescent="0.2">
      <c r="B329" s="69" t="s">
        <v>728</v>
      </c>
      <c r="C329" s="70" t="s">
        <v>729</v>
      </c>
      <c r="D329" s="71">
        <v>10762.32</v>
      </c>
      <c r="E329" s="68">
        <f t="shared" si="12"/>
        <v>4.8848850271848243E-4</v>
      </c>
      <c r="F329" s="72">
        <v>7.1999999999999998E-3</v>
      </c>
      <c r="G329" s="72">
        <v>0.12</v>
      </c>
      <c r="H329" s="49">
        <f t="shared" si="13"/>
        <v>0.127632</v>
      </c>
      <c r="I329" s="50">
        <f t="shared" si="14"/>
        <v>6.2346764578965341E-5</v>
      </c>
    </row>
    <row r="330" spans="2:9" x14ac:dyDescent="0.2">
      <c r="B330" s="69" t="s">
        <v>730</v>
      </c>
      <c r="C330" s="70" t="s">
        <v>731</v>
      </c>
      <c r="D330" s="71">
        <v>26536.84</v>
      </c>
      <c r="E330" s="68">
        <f t="shared" si="12"/>
        <v>1.2044746149975037E-3</v>
      </c>
      <c r="F330" s="72">
        <v>3.6000000000000004E-2</v>
      </c>
      <c r="G330" s="72">
        <v>0.13500000000000001</v>
      </c>
      <c r="H330" s="49">
        <f t="shared" si="13"/>
        <v>0.17343</v>
      </c>
      <c r="I330" s="50">
        <f t="shared" si="14"/>
        <v>2.0889203247901708E-4</v>
      </c>
    </row>
    <row r="331" spans="2:9" x14ac:dyDescent="0.2">
      <c r="B331" s="69" t="s">
        <v>732</v>
      </c>
      <c r="C331" s="70" t="s">
        <v>733</v>
      </c>
      <c r="D331" s="71">
        <v>213895.5</v>
      </c>
      <c r="E331" s="68">
        <f t="shared" si="12"/>
        <v>9.708454360511598E-3</v>
      </c>
      <c r="F331" s="72">
        <v>2.7400000000000001E-2</v>
      </c>
      <c r="G331" s="72">
        <v>5.5E-2</v>
      </c>
      <c r="H331" s="49">
        <f t="shared" si="13"/>
        <v>8.3153500000000005E-2</v>
      </c>
      <c r="I331" s="50">
        <f t="shared" si="14"/>
        <v>8.0729195966680123E-4</v>
      </c>
    </row>
    <row r="332" spans="2:9" x14ac:dyDescent="0.2">
      <c r="B332" s="69" t="s">
        <v>734</v>
      </c>
      <c r="C332" s="70" t="s">
        <v>735</v>
      </c>
      <c r="D332" s="71">
        <v>14128.68</v>
      </c>
      <c r="E332" s="68" t="str">
        <f t="shared" ref="E332:E395" si="15">IF(OR(H332="N/A",D332="N/A"),"N/A",D332/$D$512)</f>
        <v>N/A</v>
      </c>
      <c r="F332" s="72">
        <v>1.3100000000000001E-2</v>
      </c>
      <c r="G332" s="72" t="s">
        <v>104</v>
      </c>
      <c r="H332" s="49" t="str">
        <f t="shared" ref="H332:H395" si="16">IFERROR(F332*(1+0.5*G332)+G332,"N/A")</f>
        <v>N/A</v>
      </c>
      <c r="I332" s="50" t="str">
        <f t="shared" ref="I332:I395" si="17">IF(AND(ISNUMBER(D332),ISNUMBER(H332)),E332*H332,"N/A")</f>
        <v>N/A</v>
      </c>
    </row>
    <row r="333" spans="2:9" x14ac:dyDescent="0.2">
      <c r="B333" s="69" t="s">
        <v>736</v>
      </c>
      <c r="C333" s="70" t="s">
        <v>737</v>
      </c>
      <c r="D333" s="71">
        <v>71050.850000000006</v>
      </c>
      <c r="E333" s="68">
        <f t="shared" si="15"/>
        <v>3.2249109237948224E-3</v>
      </c>
      <c r="F333" s="72">
        <v>2.92E-2</v>
      </c>
      <c r="G333" s="72">
        <v>0.11</v>
      </c>
      <c r="H333" s="49">
        <f t="shared" si="16"/>
        <v>0.14080599999999999</v>
      </c>
      <c r="I333" s="50">
        <f t="shared" si="17"/>
        <v>4.540868075358537E-4</v>
      </c>
    </row>
    <row r="334" spans="2:9" x14ac:dyDescent="0.2">
      <c r="B334" s="69" t="s">
        <v>738</v>
      </c>
      <c r="C334" s="70" t="s">
        <v>739</v>
      </c>
      <c r="D334" s="71">
        <v>16129.24</v>
      </c>
      <c r="E334" s="68">
        <f t="shared" si="15"/>
        <v>7.3208641794585702E-4</v>
      </c>
      <c r="F334" s="72">
        <v>1.44E-2</v>
      </c>
      <c r="G334" s="72">
        <v>0.19500000000000001</v>
      </c>
      <c r="H334" s="49">
        <f t="shared" si="16"/>
        <v>0.21080399999999999</v>
      </c>
      <c r="I334" s="50">
        <f t="shared" si="17"/>
        <v>1.5432674524865842E-4</v>
      </c>
    </row>
    <row r="335" spans="2:9" x14ac:dyDescent="0.2">
      <c r="B335" s="69" t="s">
        <v>740</v>
      </c>
      <c r="C335" s="70" t="s">
        <v>741</v>
      </c>
      <c r="D335" s="71">
        <v>848126.4</v>
      </c>
      <c r="E335" s="68">
        <f t="shared" si="15"/>
        <v>3.8495416903791824E-2</v>
      </c>
      <c r="F335" s="72">
        <v>1.67E-2</v>
      </c>
      <c r="G335" s="72">
        <v>0.15</v>
      </c>
      <c r="H335" s="49">
        <f t="shared" si="16"/>
        <v>0.1679525</v>
      </c>
      <c r="I335" s="50">
        <f t="shared" si="17"/>
        <v>6.4654015075340963E-3</v>
      </c>
    </row>
    <row r="336" spans="2:9" x14ac:dyDescent="0.2">
      <c r="B336" s="69" t="s">
        <v>742</v>
      </c>
      <c r="C336" s="70" t="s">
        <v>743</v>
      </c>
      <c r="D336" s="71">
        <v>22806.61</v>
      </c>
      <c r="E336" s="68">
        <f t="shared" si="15"/>
        <v>1.0351640511510874E-3</v>
      </c>
      <c r="F336" s="72">
        <v>1.6399999999999998E-2</v>
      </c>
      <c r="G336" s="72">
        <v>0.125</v>
      </c>
      <c r="H336" s="49">
        <f t="shared" si="16"/>
        <v>0.142425</v>
      </c>
      <c r="I336" s="50">
        <f t="shared" si="17"/>
        <v>1.4743323998519362E-4</v>
      </c>
    </row>
    <row r="337" spans="2:9" x14ac:dyDescent="0.2">
      <c r="B337" s="69" t="s">
        <v>744</v>
      </c>
      <c r="C337" s="70" t="s">
        <v>745</v>
      </c>
      <c r="D337" s="71">
        <v>23713.35</v>
      </c>
      <c r="E337" s="68">
        <f t="shared" si="15"/>
        <v>1.0763198674578834E-3</v>
      </c>
      <c r="F337" s="72">
        <v>2.3900000000000001E-2</v>
      </c>
      <c r="G337" s="72">
        <v>0.13</v>
      </c>
      <c r="H337" s="49">
        <f t="shared" si="16"/>
        <v>0.15545349999999999</v>
      </c>
      <c r="I337" s="50">
        <f t="shared" si="17"/>
        <v>1.6731769051586408E-4</v>
      </c>
    </row>
    <row r="338" spans="2:9" x14ac:dyDescent="0.2">
      <c r="B338" s="69" t="s">
        <v>746</v>
      </c>
      <c r="C338" s="70" t="s">
        <v>747</v>
      </c>
      <c r="D338" s="71">
        <v>17042.66</v>
      </c>
      <c r="E338" s="68">
        <f t="shared" si="15"/>
        <v>7.7354543125833215E-4</v>
      </c>
      <c r="F338" s="72">
        <v>0</v>
      </c>
      <c r="G338" s="72">
        <v>0.1</v>
      </c>
      <c r="H338" s="49">
        <f t="shared" si="16"/>
        <v>0.1</v>
      </c>
      <c r="I338" s="50">
        <f t="shared" si="17"/>
        <v>7.7354543125833226E-5</v>
      </c>
    </row>
    <row r="339" spans="2:9" x14ac:dyDescent="0.2">
      <c r="B339" s="69" t="s">
        <v>748</v>
      </c>
      <c r="C339" s="70" t="s">
        <v>749</v>
      </c>
      <c r="D339" s="71">
        <v>42369.599999999999</v>
      </c>
      <c r="E339" s="68">
        <f t="shared" si="15"/>
        <v>1.9231041694338224E-3</v>
      </c>
      <c r="F339" s="72">
        <v>0</v>
      </c>
      <c r="G339" s="72">
        <v>7.4999999999999997E-2</v>
      </c>
      <c r="H339" s="49">
        <f t="shared" si="16"/>
        <v>7.4999999999999997E-2</v>
      </c>
      <c r="I339" s="50">
        <f t="shared" si="17"/>
        <v>1.4423281270753668E-4</v>
      </c>
    </row>
    <row r="340" spans="2:9" x14ac:dyDescent="0.2">
      <c r="B340" s="69" t="s">
        <v>750</v>
      </c>
      <c r="C340" s="70" t="s">
        <v>751</v>
      </c>
      <c r="D340" s="71">
        <v>14317.85</v>
      </c>
      <c r="E340" s="68">
        <f t="shared" si="15"/>
        <v>6.4986964786847303E-4</v>
      </c>
      <c r="F340" s="72">
        <v>3.5099999999999999E-2</v>
      </c>
      <c r="G340" s="72">
        <v>0.115</v>
      </c>
      <c r="H340" s="49">
        <f t="shared" si="16"/>
        <v>0.15211825000000001</v>
      </c>
      <c r="I340" s="50">
        <f t="shared" si="17"/>
        <v>9.8857033561868351E-5</v>
      </c>
    </row>
    <row r="341" spans="2:9" x14ac:dyDescent="0.2">
      <c r="B341" s="69" t="s">
        <v>752</v>
      </c>
      <c r="C341" s="70" t="s">
        <v>753</v>
      </c>
      <c r="D341" s="71">
        <v>13828.74</v>
      </c>
      <c r="E341" s="68">
        <f t="shared" si="15"/>
        <v>6.2766954495714568E-4</v>
      </c>
      <c r="F341" s="72">
        <v>0</v>
      </c>
      <c r="G341" s="72">
        <v>0.14000000000000001</v>
      </c>
      <c r="H341" s="49">
        <f t="shared" si="16"/>
        <v>0.14000000000000001</v>
      </c>
      <c r="I341" s="50">
        <f t="shared" si="17"/>
        <v>8.7873736294000396E-5</v>
      </c>
    </row>
    <row r="342" spans="2:9" x14ac:dyDescent="0.2">
      <c r="B342" s="69" t="s">
        <v>754</v>
      </c>
      <c r="C342" s="70" t="s">
        <v>755</v>
      </c>
      <c r="D342" s="71">
        <v>10862.65</v>
      </c>
      <c r="E342" s="68" t="str">
        <f t="shared" si="15"/>
        <v>N/A</v>
      </c>
      <c r="F342" s="72">
        <v>1.9400000000000001E-2</v>
      </c>
      <c r="G342" s="72" t="s">
        <v>104</v>
      </c>
      <c r="H342" s="49" t="str">
        <f t="shared" si="16"/>
        <v>N/A</v>
      </c>
      <c r="I342" s="50" t="str">
        <f t="shared" si="17"/>
        <v>N/A</v>
      </c>
    </row>
    <row r="343" spans="2:9" x14ac:dyDescent="0.2">
      <c r="B343" s="69" t="s">
        <v>756</v>
      </c>
      <c r="C343" s="70" t="s">
        <v>757</v>
      </c>
      <c r="D343" s="71">
        <v>12113.91</v>
      </c>
      <c r="E343" s="68">
        <f t="shared" si="15"/>
        <v>5.4983551483011586E-4</v>
      </c>
      <c r="F343" s="72">
        <v>0</v>
      </c>
      <c r="G343" s="72">
        <v>0.16500000000000001</v>
      </c>
      <c r="H343" s="49">
        <f t="shared" si="16"/>
        <v>0.16500000000000001</v>
      </c>
      <c r="I343" s="50">
        <f t="shared" si="17"/>
        <v>9.0722859946969119E-5</v>
      </c>
    </row>
    <row r="344" spans="2:9" x14ac:dyDescent="0.2">
      <c r="B344" s="69" t="s">
        <v>758</v>
      </c>
      <c r="C344" s="70" t="s">
        <v>759</v>
      </c>
      <c r="D344" s="71">
        <v>14094.7</v>
      </c>
      <c r="E344" s="68">
        <f t="shared" si="15"/>
        <v>6.3974114310540804E-4</v>
      </c>
      <c r="F344" s="72">
        <v>2.0499999999999997E-2</v>
      </c>
      <c r="G344" s="72">
        <v>9.5000000000000001E-2</v>
      </c>
      <c r="H344" s="49">
        <f t="shared" si="16"/>
        <v>0.11647375</v>
      </c>
      <c r="I344" s="50">
        <f t="shared" si="17"/>
        <v>7.4513049966773526E-5</v>
      </c>
    </row>
    <row r="345" spans="2:9" x14ac:dyDescent="0.2">
      <c r="B345" s="69" t="s">
        <v>760</v>
      </c>
      <c r="C345" s="70" t="s">
        <v>56</v>
      </c>
      <c r="D345" s="71">
        <v>89820.2</v>
      </c>
      <c r="E345" s="68">
        <f t="shared" si="15"/>
        <v>4.0768286960315842E-3</v>
      </c>
      <c r="F345" s="72">
        <v>2.6600000000000002E-2</v>
      </c>
      <c r="G345" s="72">
        <v>0.09</v>
      </c>
      <c r="H345" s="49">
        <f t="shared" si="16"/>
        <v>0.117797</v>
      </c>
      <c r="I345" s="50">
        <f t="shared" si="17"/>
        <v>4.802381899064325E-4</v>
      </c>
    </row>
    <row r="346" spans="2:9" x14ac:dyDescent="0.2">
      <c r="B346" s="69" t="s">
        <v>761</v>
      </c>
      <c r="C346" s="70" t="s">
        <v>762</v>
      </c>
      <c r="D346" s="71">
        <v>17694.97</v>
      </c>
      <c r="E346" s="68">
        <f t="shared" si="15"/>
        <v>8.0315298197307524E-4</v>
      </c>
      <c r="F346" s="72">
        <v>1.6899999999999998E-2</v>
      </c>
      <c r="G346" s="72">
        <v>0.05</v>
      </c>
      <c r="H346" s="49">
        <f t="shared" si="16"/>
        <v>6.7322500000000007E-2</v>
      </c>
      <c r="I346" s="50">
        <f t="shared" si="17"/>
        <v>5.4070266628882366E-5</v>
      </c>
    </row>
    <row r="347" spans="2:9" x14ac:dyDescent="0.2">
      <c r="B347" s="69" t="s">
        <v>763</v>
      </c>
      <c r="C347" s="70" t="s">
        <v>764</v>
      </c>
      <c r="D347" s="71">
        <v>153763.6</v>
      </c>
      <c r="E347" s="68">
        <f t="shared" si="15"/>
        <v>6.979141182998058E-3</v>
      </c>
      <c r="F347" s="72">
        <v>0</v>
      </c>
      <c r="G347" s="72">
        <v>0.47</v>
      </c>
      <c r="H347" s="49">
        <f t="shared" si="16"/>
        <v>0.47</v>
      </c>
      <c r="I347" s="50">
        <f t="shared" si="17"/>
        <v>3.2801963560090872E-3</v>
      </c>
    </row>
    <row r="348" spans="2:9" x14ac:dyDescent="0.2">
      <c r="B348" s="69" t="s">
        <v>765</v>
      </c>
      <c r="C348" s="70" t="s">
        <v>766</v>
      </c>
      <c r="D348" s="71">
        <v>9899.93</v>
      </c>
      <c r="E348" s="68">
        <f t="shared" si="15"/>
        <v>4.4934567850777403E-4</v>
      </c>
      <c r="F348" s="72">
        <v>2.9399999999999999E-2</v>
      </c>
      <c r="G348" s="72">
        <v>0.15</v>
      </c>
      <c r="H348" s="49">
        <f t="shared" si="16"/>
        <v>0.18160499999999999</v>
      </c>
      <c r="I348" s="50">
        <f t="shared" si="17"/>
        <v>8.1603421945404301E-5</v>
      </c>
    </row>
    <row r="349" spans="2:9" x14ac:dyDescent="0.2">
      <c r="B349" s="69" t="s">
        <v>767</v>
      </c>
      <c r="C349" s="70" t="s">
        <v>768</v>
      </c>
      <c r="D349" s="71">
        <v>134455</v>
      </c>
      <c r="E349" s="68">
        <f t="shared" si="15"/>
        <v>6.1027475147564436E-3</v>
      </c>
      <c r="F349" s="72">
        <v>1.03E-2</v>
      </c>
      <c r="G349" s="72">
        <v>0.16</v>
      </c>
      <c r="H349" s="49">
        <f t="shared" si="16"/>
        <v>0.171124</v>
      </c>
      <c r="I349" s="50">
        <f t="shared" si="17"/>
        <v>1.0443265657151817E-3</v>
      </c>
    </row>
    <row r="350" spans="2:9" x14ac:dyDescent="0.2">
      <c r="B350" s="69" t="s">
        <v>769</v>
      </c>
      <c r="C350" s="70" t="s">
        <v>770</v>
      </c>
      <c r="D350" s="71">
        <v>6198.9</v>
      </c>
      <c r="E350" s="68" t="str">
        <f t="shared" si="15"/>
        <v>N/A</v>
      </c>
      <c r="F350" s="72">
        <v>0</v>
      </c>
      <c r="G350" s="72" t="s">
        <v>104</v>
      </c>
      <c r="H350" s="49" t="str">
        <f t="shared" si="16"/>
        <v>N/A</v>
      </c>
      <c r="I350" s="50" t="str">
        <f t="shared" si="17"/>
        <v>N/A</v>
      </c>
    </row>
    <row r="351" spans="2:9" x14ac:dyDescent="0.2">
      <c r="B351" s="69" t="s">
        <v>771</v>
      </c>
      <c r="C351" s="70" t="s">
        <v>772</v>
      </c>
      <c r="D351" s="71">
        <v>9275.7099999999991</v>
      </c>
      <c r="E351" s="68">
        <f t="shared" si="15"/>
        <v>4.2101309843517519E-4</v>
      </c>
      <c r="F351" s="72">
        <v>5.3600000000000002E-2</v>
      </c>
      <c r="G351" s="72">
        <v>0.05</v>
      </c>
      <c r="H351" s="49">
        <f t="shared" si="16"/>
        <v>0.10494000000000001</v>
      </c>
      <c r="I351" s="50">
        <f t="shared" si="17"/>
        <v>4.4181114549787288E-5</v>
      </c>
    </row>
    <row r="352" spans="2:9" x14ac:dyDescent="0.2">
      <c r="B352" s="69" t="s">
        <v>773</v>
      </c>
      <c r="C352" s="70" t="s">
        <v>774</v>
      </c>
      <c r="D352" s="71">
        <v>47162.6</v>
      </c>
      <c r="E352" s="68">
        <f t="shared" si="15"/>
        <v>2.1406525598858519E-3</v>
      </c>
      <c r="F352" s="72">
        <v>1.7399999999999999E-2</v>
      </c>
      <c r="G352" s="72">
        <v>9.5000000000000001E-2</v>
      </c>
      <c r="H352" s="49">
        <f t="shared" si="16"/>
        <v>0.11322650000000001</v>
      </c>
      <c r="I352" s="50">
        <f t="shared" si="17"/>
        <v>2.4237859707191542E-4</v>
      </c>
    </row>
    <row r="353" spans="2:9" x14ac:dyDescent="0.2">
      <c r="B353" s="69" t="s">
        <v>775</v>
      </c>
      <c r="C353" s="70" t="s">
        <v>776</v>
      </c>
      <c r="D353" s="71">
        <v>10189.31</v>
      </c>
      <c r="E353" s="68">
        <f t="shared" si="15"/>
        <v>4.6248028172684523E-4</v>
      </c>
      <c r="F353" s="72">
        <v>7.4999999999999997E-3</v>
      </c>
      <c r="G353" s="72">
        <v>0.41499999999999998</v>
      </c>
      <c r="H353" s="49">
        <f t="shared" si="16"/>
        <v>0.42405624999999997</v>
      </c>
      <c r="I353" s="50">
        <f t="shared" si="17"/>
        <v>1.9611765396802949E-4</v>
      </c>
    </row>
    <row r="354" spans="2:9" x14ac:dyDescent="0.2">
      <c r="B354" s="69" t="s">
        <v>777</v>
      </c>
      <c r="C354" s="70" t="s">
        <v>778</v>
      </c>
      <c r="D354" s="71">
        <v>11956.71</v>
      </c>
      <c r="E354" s="68" t="str">
        <f t="shared" si="15"/>
        <v>N/A</v>
      </c>
      <c r="F354" s="72">
        <v>2.8999999999999998E-3</v>
      </c>
      <c r="G354" s="72" t="s">
        <v>104</v>
      </c>
      <c r="H354" s="49" t="str">
        <f t="shared" si="16"/>
        <v>N/A</v>
      </c>
      <c r="I354" s="50" t="str">
        <f t="shared" si="17"/>
        <v>N/A</v>
      </c>
    </row>
    <row r="355" spans="2:9" x14ac:dyDescent="0.2">
      <c r="B355" s="69" t="s">
        <v>779</v>
      </c>
      <c r="C355" s="70" t="s">
        <v>780</v>
      </c>
      <c r="D355" s="71">
        <v>48671.13</v>
      </c>
      <c r="E355" s="68">
        <f t="shared" si="15"/>
        <v>2.2091228860800101E-3</v>
      </c>
      <c r="F355" s="72">
        <v>1.9299999999999998E-2</v>
      </c>
      <c r="G355" s="72">
        <v>0.13500000000000001</v>
      </c>
      <c r="H355" s="49">
        <f t="shared" si="16"/>
        <v>0.15560275000000001</v>
      </c>
      <c r="I355" s="50">
        <f t="shared" si="17"/>
        <v>3.4374559616198632E-4</v>
      </c>
    </row>
    <row r="356" spans="2:9" x14ac:dyDescent="0.2">
      <c r="B356" s="69" t="s">
        <v>781</v>
      </c>
      <c r="C356" s="70" t="s">
        <v>782</v>
      </c>
      <c r="D356" s="71">
        <v>15674.62</v>
      </c>
      <c r="E356" s="68">
        <f t="shared" si="15"/>
        <v>7.1145177382582751E-4</v>
      </c>
      <c r="F356" s="72">
        <v>2.52E-2</v>
      </c>
      <c r="G356" s="72">
        <v>0.20499999999999999</v>
      </c>
      <c r="H356" s="49">
        <f t="shared" si="16"/>
        <v>0.23278299999999999</v>
      </c>
      <c r="I356" s="50">
        <f t="shared" si="17"/>
        <v>1.6561387826649759E-4</v>
      </c>
    </row>
    <row r="357" spans="2:9" x14ac:dyDescent="0.2">
      <c r="B357" s="69" t="s">
        <v>783</v>
      </c>
      <c r="C357" s="70" t="s">
        <v>784</v>
      </c>
      <c r="D357" s="71">
        <v>19921.12</v>
      </c>
      <c r="E357" s="68">
        <f t="shared" si="15"/>
        <v>9.0419519966654176E-4</v>
      </c>
      <c r="F357" s="72">
        <v>2.6699999999999998E-2</v>
      </c>
      <c r="G357" s="72">
        <v>0.1</v>
      </c>
      <c r="H357" s="49">
        <f t="shared" si="16"/>
        <v>0.12803500000000001</v>
      </c>
      <c r="I357" s="50">
        <f t="shared" si="17"/>
        <v>1.1576863238930568E-4</v>
      </c>
    </row>
    <row r="358" spans="2:9" x14ac:dyDescent="0.2">
      <c r="B358" s="69" t="s">
        <v>785</v>
      </c>
      <c r="C358" s="70" t="s">
        <v>786</v>
      </c>
      <c r="D358" s="71">
        <v>18525.189999999999</v>
      </c>
      <c r="E358" s="68">
        <f t="shared" si="15"/>
        <v>8.4083564934655391E-4</v>
      </c>
      <c r="F358" s="72">
        <v>2.7099999999999999E-2</v>
      </c>
      <c r="G358" s="72">
        <v>0.215</v>
      </c>
      <c r="H358" s="49">
        <f t="shared" si="16"/>
        <v>0.24501324999999999</v>
      </c>
      <c r="I358" s="50">
        <f t="shared" si="17"/>
        <v>2.0601587516225954E-4</v>
      </c>
    </row>
    <row r="359" spans="2:9" x14ac:dyDescent="0.2">
      <c r="B359" s="69" t="s">
        <v>787</v>
      </c>
      <c r="C359" s="70" t="s">
        <v>788</v>
      </c>
      <c r="D359" s="71">
        <v>91048.61</v>
      </c>
      <c r="E359" s="68">
        <f t="shared" si="15"/>
        <v>4.1325847190474777E-3</v>
      </c>
      <c r="F359" s="72">
        <v>4.3E-3</v>
      </c>
      <c r="G359" s="72">
        <v>0.23</v>
      </c>
      <c r="H359" s="49">
        <f t="shared" si="16"/>
        <v>0.23479450000000002</v>
      </c>
      <c r="I359" s="50">
        <f t="shared" si="17"/>
        <v>9.7030816281639309E-4</v>
      </c>
    </row>
    <row r="360" spans="2:9" x14ac:dyDescent="0.2">
      <c r="B360" s="69" t="s">
        <v>789</v>
      </c>
      <c r="C360" s="70" t="s">
        <v>790</v>
      </c>
      <c r="D360" s="71">
        <v>7596.55</v>
      </c>
      <c r="E360" s="68">
        <f t="shared" si="15"/>
        <v>3.4479808585194345E-4</v>
      </c>
      <c r="F360" s="72">
        <v>5.9400000000000001E-2</v>
      </c>
      <c r="G360" s="72">
        <v>9.5000000000000001E-2</v>
      </c>
      <c r="H360" s="49">
        <f t="shared" si="16"/>
        <v>0.15722150000000001</v>
      </c>
      <c r="I360" s="50">
        <f t="shared" si="17"/>
        <v>5.4209672254771329E-5</v>
      </c>
    </row>
    <row r="361" spans="2:9" x14ac:dyDescent="0.2">
      <c r="B361" s="69" t="s">
        <v>791</v>
      </c>
      <c r="C361" s="70" t="s">
        <v>792</v>
      </c>
      <c r="D361" s="71">
        <v>7545.08</v>
      </c>
      <c r="E361" s="68" t="str">
        <f t="shared" si="15"/>
        <v>N/A</v>
      </c>
      <c r="F361" s="72">
        <v>1.55E-2</v>
      </c>
      <c r="G361" s="72" t="s">
        <v>104</v>
      </c>
      <c r="H361" s="49" t="str">
        <f t="shared" si="16"/>
        <v>N/A</v>
      </c>
      <c r="I361" s="50" t="str">
        <f t="shared" si="17"/>
        <v>N/A</v>
      </c>
    </row>
    <row r="362" spans="2:9" x14ac:dyDescent="0.2">
      <c r="B362" s="69" t="s">
        <v>793</v>
      </c>
      <c r="C362" s="70" t="s">
        <v>794</v>
      </c>
      <c r="D362" s="71">
        <v>19741.509999999998</v>
      </c>
      <c r="E362" s="68">
        <f t="shared" si="15"/>
        <v>8.9604292209318707E-4</v>
      </c>
      <c r="F362" s="72">
        <v>3.9E-2</v>
      </c>
      <c r="G362" s="72">
        <v>4.4999999999999998E-2</v>
      </c>
      <c r="H362" s="49">
        <f t="shared" si="16"/>
        <v>8.4877499999999995E-2</v>
      </c>
      <c r="I362" s="50">
        <f t="shared" si="17"/>
        <v>7.6053883119964484E-5</v>
      </c>
    </row>
    <row r="363" spans="2:9" x14ac:dyDescent="0.2">
      <c r="B363" s="69" t="s">
        <v>795</v>
      </c>
      <c r="C363" s="70" t="s">
        <v>796</v>
      </c>
      <c r="D363" s="71">
        <v>27104.44</v>
      </c>
      <c r="E363" s="68">
        <f t="shared" si="15"/>
        <v>1.2302372827255597E-3</v>
      </c>
      <c r="F363" s="72">
        <v>5.4600000000000003E-2</v>
      </c>
      <c r="G363" s="72">
        <v>0.185</v>
      </c>
      <c r="H363" s="49">
        <f t="shared" si="16"/>
        <v>0.24465049999999999</v>
      </c>
      <c r="I363" s="50">
        <f t="shared" si="17"/>
        <v>3.0097816633744954E-4</v>
      </c>
    </row>
    <row r="364" spans="2:9" x14ac:dyDescent="0.2">
      <c r="B364" s="69" t="s">
        <v>797</v>
      </c>
      <c r="C364" s="70" t="s">
        <v>798</v>
      </c>
      <c r="D364" s="71">
        <v>16686.86</v>
      </c>
      <c r="E364" s="68">
        <f t="shared" si="15"/>
        <v>7.5739610571632667E-4</v>
      </c>
      <c r="F364" s="72">
        <v>3.49E-2</v>
      </c>
      <c r="G364" s="72">
        <v>7.0000000000000007E-2</v>
      </c>
      <c r="H364" s="49">
        <f t="shared" si="16"/>
        <v>0.10612150000000001</v>
      </c>
      <c r="I364" s="50">
        <f t="shared" si="17"/>
        <v>8.0376010832775165E-5</v>
      </c>
    </row>
    <row r="365" spans="2:9" x14ac:dyDescent="0.2">
      <c r="B365" s="69" t="s">
        <v>799</v>
      </c>
      <c r="C365" s="70" t="s">
        <v>800</v>
      </c>
      <c r="D365" s="71">
        <v>190970.6</v>
      </c>
      <c r="E365" s="68">
        <f t="shared" si="15"/>
        <v>8.6679212713662336E-3</v>
      </c>
      <c r="F365" s="72">
        <v>1.4499999999999999E-2</v>
      </c>
      <c r="G365" s="72">
        <v>9.5000000000000001E-2</v>
      </c>
      <c r="H365" s="49">
        <f t="shared" si="16"/>
        <v>0.11018875</v>
      </c>
      <c r="I365" s="50">
        <f t="shared" si="17"/>
        <v>9.5510740999025612E-4</v>
      </c>
    </row>
    <row r="366" spans="2:9" x14ac:dyDescent="0.2">
      <c r="B366" s="69" t="s">
        <v>801</v>
      </c>
      <c r="C366" s="70" t="s">
        <v>802</v>
      </c>
      <c r="D366" s="71">
        <v>29199.64</v>
      </c>
      <c r="E366" s="68">
        <f t="shared" si="15"/>
        <v>1.3253358405547048E-3</v>
      </c>
      <c r="F366" s="72">
        <v>0</v>
      </c>
      <c r="G366" s="72">
        <v>0.13</v>
      </c>
      <c r="H366" s="49">
        <f t="shared" si="16"/>
        <v>0.13</v>
      </c>
      <c r="I366" s="50">
        <f t="shared" si="17"/>
        <v>1.7229365927211163E-4</v>
      </c>
    </row>
    <row r="367" spans="2:9" x14ac:dyDescent="0.2">
      <c r="B367" s="69" t="s">
        <v>803</v>
      </c>
      <c r="C367" s="70" t="s">
        <v>804</v>
      </c>
      <c r="D367" s="71">
        <v>49567.18</v>
      </c>
      <c r="E367" s="68" t="str">
        <f t="shared" si="15"/>
        <v>N/A</v>
      </c>
      <c r="F367" s="72">
        <v>4.7800000000000002E-2</v>
      </c>
      <c r="G367" s="72" t="s">
        <v>104</v>
      </c>
      <c r="H367" s="49" t="str">
        <f t="shared" si="16"/>
        <v>N/A</v>
      </c>
      <c r="I367" s="50" t="str">
        <f t="shared" si="17"/>
        <v>N/A</v>
      </c>
    </row>
    <row r="368" spans="2:9" x14ac:dyDescent="0.2">
      <c r="B368" s="69" t="s">
        <v>805</v>
      </c>
      <c r="C368" s="70" t="s">
        <v>806</v>
      </c>
      <c r="D368" s="71">
        <v>27363.42</v>
      </c>
      <c r="E368" s="68">
        <f t="shared" si="15"/>
        <v>1.2419920672361515E-3</v>
      </c>
      <c r="F368" s="72">
        <v>3.2599999999999997E-2</v>
      </c>
      <c r="G368" s="72">
        <v>0.11</v>
      </c>
      <c r="H368" s="49">
        <f t="shared" si="16"/>
        <v>0.14439299999999999</v>
      </c>
      <c r="I368" s="50">
        <f t="shared" si="17"/>
        <v>1.7933496056442961E-4</v>
      </c>
    </row>
    <row r="369" spans="2:9" x14ac:dyDescent="0.2">
      <c r="B369" s="69" t="s">
        <v>807</v>
      </c>
      <c r="C369" s="70" t="s">
        <v>808</v>
      </c>
      <c r="D369" s="71">
        <v>5854.36</v>
      </c>
      <c r="E369" s="68">
        <f t="shared" si="15"/>
        <v>2.6572221888728219E-4</v>
      </c>
      <c r="F369" s="72">
        <v>4.1500000000000002E-2</v>
      </c>
      <c r="G369" s="72">
        <v>0.11</v>
      </c>
      <c r="H369" s="49">
        <f t="shared" si="16"/>
        <v>0.15378249999999999</v>
      </c>
      <c r="I369" s="50">
        <f t="shared" si="17"/>
        <v>4.0863427126033467E-5</v>
      </c>
    </row>
    <row r="370" spans="2:9" x14ac:dyDescent="0.2">
      <c r="B370" s="69" t="s">
        <v>809</v>
      </c>
      <c r="C370" s="70" t="s">
        <v>810</v>
      </c>
      <c r="D370" s="71">
        <v>23478.57</v>
      </c>
      <c r="E370" s="68">
        <f t="shared" si="15"/>
        <v>1.0656634912612783E-3</v>
      </c>
      <c r="F370" s="72">
        <v>4.9200000000000001E-2</v>
      </c>
      <c r="G370" s="72">
        <v>7.0000000000000007E-2</v>
      </c>
      <c r="H370" s="49">
        <f t="shared" si="16"/>
        <v>0.120922</v>
      </c>
      <c r="I370" s="50">
        <f t="shared" si="17"/>
        <v>1.2886216069029629E-4</v>
      </c>
    </row>
    <row r="371" spans="2:9" x14ac:dyDescent="0.2">
      <c r="B371" s="69" t="s">
        <v>811</v>
      </c>
      <c r="C371" s="70" t="s">
        <v>812</v>
      </c>
      <c r="D371" s="71">
        <v>29736</v>
      </c>
      <c r="E371" s="68">
        <f t="shared" si="15"/>
        <v>1.3496805630047049E-3</v>
      </c>
      <c r="F371" s="72">
        <v>3.2199999999999999E-2</v>
      </c>
      <c r="G371" s="72">
        <v>4.4999999999999998E-2</v>
      </c>
      <c r="H371" s="49">
        <f t="shared" si="16"/>
        <v>7.7924499999999994E-2</v>
      </c>
      <c r="I371" s="50">
        <f t="shared" si="17"/>
        <v>1.0517318303186013E-4</v>
      </c>
    </row>
    <row r="372" spans="2:9" x14ac:dyDescent="0.2">
      <c r="B372" s="69" t="s">
        <v>813</v>
      </c>
      <c r="C372" s="70" t="s">
        <v>814</v>
      </c>
      <c r="D372" s="71">
        <v>163933.20000000001</v>
      </c>
      <c r="E372" s="68">
        <f t="shared" si="15"/>
        <v>7.4407268520030566E-3</v>
      </c>
      <c r="F372" s="72">
        <v>3.2000000000000001E-2</v>
      </c>
      <c r="G372" s="72">
        <v>7.4999999999999997E-2</v>
      </c>
      <c r="H372" s="49">
        <f t="shared" si="16"/>
        <v>0.10819999999999999</v>
      </c>
      <c r="I372" s="50">
        <f t="shared" si="17"/>
        <v>8.050866453867306E-4</v>
      </c>
    </row>
    <row r="373" spans="2:9" x14ac:dyDescent="0.2">
      <c r="B373" s="69" t="s">
        <v>815</v>
      </c>
      <c r="C373" s="70" t="s">
        <v>816</v>
      </c>
      <c r="D373" s="71">
        <v>239253.9</v>
      </c>
      <c r="E373" s="68">
        <f t="shared" si="15"/>
        <v>1.085944102949527E-2</v>
      </c>
      <c r="F373" s="72">
        <v>3.4799999999999998E-2</v>
      </c>
      <c r="G373" s="72">
        <v>0.14000000000000001</v>
      </c>
      <c r="H373" s="49">
        <f t="shared" si="16"/>
        <v>0.177236</v>
      </c>
      <c r="I373" s="50">
        <f t="shared" si="17"/>
        <v>1.9246838903036237E-3</v>
      </c>
    </row>
    <row r="374" spans="2:9" x14ac:dyDescent="0.2">
      <c r="B374" s="69" t="s">
        <v>817</v>
      </c>
      <c r="C374" s="70" t="s">
        <v>818</v>
      </c>
      <c r="D374" s="71">
        <v>14180</v>
      </c>
      <c r="E374" s="68">
        <f t="shared" si="15"/>
        <v>6.4361280546834524E-4</v>
      </c>
      <c r="F374" s="72">
        <v>4.3200000000000002E-2</v>
      </c>
      <c r="G374" s="72">
        <v>6.5000000000000002E-2</v>
      </c>
      <c r="H374" s="49">
        <f t="shared" si="16"/>
        <v>0.10960400000000001</v>
      </c>
      <c r="I374" s="50">
        <f t="shared" si="17"/>
        <v>7.0542537930552522E-5</v>
      </c>
    </row>
    <row r="375" spans="2:9" x14ac:dyDescent="0.2">
      <c r="B375" s="69" t="s">
        <v>819</v>
      </c>
      <c r="C375" s="70" t="s">
        <v>820</v>
      </c>
      <c r="D375" s="71">
        <v>246530.7</v>
      </c>
      <c r="E375" s="68">
        <f t="shared" si="15"/>
        <v>1.1189726055082862E-2</v>
      </c>
      <c r="F375" s="72">
        <v>2.92E-2</v>
      </c>
      <c r="G375" s="72">
        <v>0.105</v>
      </c>
      <c r="H375" s="49">
        <f t="shared" si="16"/>
        <v>0.13573299999999999</v>
      </c>
      <c r="I375" s="50">
        <f t="shared" si="17"/>
        <v>1.5188150866345621E-3</v>
      </c>
    </row>
    <row r="376" spans="2:9" x14ac:dyDescent="0.2">
      <c r="B376" s="69" t="s">
        <v>821</v>
      </c>
      <c r="C376" s="70" t="s">
        <v>822</v>
      </c>
      <c r="D376" s="71">
        <v>42111.48</v>
      </c>
      <c r="E376" s="68">
        <f t="shared" si="15"/>
        <v>1.9113884192682733E-3</v>
      </c>
      <c r="F376" s="72">
        <v>5.5000000000000005E-3</v>
      </c>
      <c r="G376" s="72">
        <v>0.2</v>
      </c>
      <c r="H376" s="49">
        <f t="shared" si="16"/>
        <v>0.20605000000000001</v>
      </c>
      <c r="I376" s="50">
        <f t="shared" si="17"/>
        <v>3.9384158379022772E-4</v>
      </c>
    </row>
    <row r="377" spans="2:9" x14ac:dyDescent="0.2">
      <c r="B377" s="69" t="s">
        <v>823</v>
      </c>
      <c r="C377" s="70" t="s">
        <v>824</v>
      </c>
      <c r="D377" s="71">
        <v>22039.91</v>
      </c>
      <c r="E377" s="68">
        <f t="shared" si="15"/>
        <v>1.0003644786579576E-3</v>
      </c>
      <c r="F377" s="72">
        <v>1.78E-2</v>
      </c>
      <c r="G377" s="72">
        <v>0.14000000000000001</v>
      </c>
      <c r="H377" s="49">
        <f t="shared" si="16"/>
        <v>0.15904600000000002</v>
      </c>
      <c r="I377" s="50">
        <f t="shared" si="17"/>
        <v>1.5910396887263353E-4</v>
      </c>
    </row>
    <row r="378" spans="2:9" x14ac:dyDescent="0.2">
      <c r="B378" s="69" t="s">
        <v>825</v>
      </c>
      <c r="C378" s="70" t="s">
        <v>826</v>
      </c>
      <c r="D378" s="71">
        <v>7628.81</v>
      </c>
      <c r="E378" s="68">
        <f t="shared" si="15"/>
        <v>3.4626232767877063E-4</v>
      </c>
      <c r="F378" s="72">
        <v>1.6E-2</v>
      </c>
      <c r="G378" s="72">
        <v>0.155</v>
      </c>
      <c r="H378" s="49">
        <f t="shared" si="16"/>
        <v>0.17224</v>
      </c>
      <c r="I378" s="50">
        <f t="shared" si="17"/>
        <v>5.9640223319391454E-5</v>
      </c>
    </row>
    <row r="379" spans="2:9" x14ac:dyDescent="0.2">
      <c r="B379" s="69" t="s">
        <v>827</v>
      </c>
      <c r="C379" s="70" t="s">
        <v>828</v>
      </c>
      <c r="D379" s="71">
        <v>9226.69</v>
      </c>
      <c r="E379" s="68">
        <f t="shared" si="15"/>
        <v>4.1878814076775223E-4</v>
      </c>
      <c r="F379" s="72">
        <v>3.2400000000000005E-2</v>
      </c>
      <c r="G379" s="72">
        <v>9.5000000000000001E-2</v>
      </c>
      <c r="H379" s="49">
        <f t="shared" si="16"/>
        <v>0.12893900000000003</v>
      </c>
      <c r="I379" s="50">
        <f t="shared" si="17"/>
        <v>5.3998124082453216E-5</v>
      </c>
    </row>
    <row r="380" spans="2:9" x14ac:dyDescent="0.2">
      <c r="B380" s="69" t="s">
        <v>829</v>
      </c>
      <c r="C380" s="70" t="s">
        <v>830</v>
      </c>
      <c r="D380" s="71">
        <v>10357.75</v>
      </c>
      <c r="E380" s="68">
        <f t="shared" si="15"/>
        <v>4.7012556670238034E-4</v>
      </c>
      <c r="F380" s="72">
        <v>3.0000000000000001E-3</v>
      </c>
      <c r="G380" s="72">
        <v>0.115</v>
      </c>
      <c r="H380" s="49">
        <f t="shared" si="16"/>
        <v>0.1181725</v>
      </c>
      <c r="I380" s="50">
        <f t="shared" si="17"/>
        <v>5.5555913531137041E-5</v>
      </c>
    </row>
    <row r="381" spans="2:9" x14ac:dyDescent="0.2">
      <c r="B381" s="69" t="s">
        <v>831</v>
      </c>
      <c r="C381" s="70" t="s">
        <v>832</v>
      </c>
      <c r="D381" s="71">
        <v>36997.57</v>
      </c>
      <c r="E381" s="68">
        <f t="shared" si="15"/>
        <v>1.679274317574858E-3</v>
      </c>
      <c r="F381" s="72">
        <v>3.0499999999999999E-2</v>
      </c>
      <c r="G381" s="72">
        <v>0.09</v>
      </c>
      <c r="H381" s="49">
        <f t="shared" si="16"/>
        <v>0.12187249999999999</v>
      </c>
      <c r="I381" s="50">
        <f t="shared" si="17"/>
        <v>2.0465735926864187E-4</v>
      </c>
    </row>
    <row r="382" spans="2:9" x14ac:dyDescent="0.2">
      <c r="B382" s="69" t="s">
        <v>833</v>
      </c>
      <c r="C382" s="70" t="s">
        <v>834</v>
      </c>
      <c r="D382" s="71">
        <v>135196.6</v>
      </c>
      <c r="E382" s="68">
        <f t="shared" si="15"/>
        <v>6.1364078290396112E-3</v>
      </c>
      <c r="F382" s="72">
        <v>5.2400000000000002E-2</v>
      </c>
      <c r="G382" s="72">
        <v>7.4999999999999997E-2</v>
      </c>
      <c r="H382" s="49">
        <f t="shared" si="16"/>
        <v>0.12936500000000001</v>
      </c>
      <c r="I382" s="50">
        <f t="shared" si="17"/>
        <v>7.9383639880370937E-4</v>
      </c>
    </row>
    <row r="383" spans="2:9" x14ac:dyDescent="0.2">
      <c r="B383" s="69" t="s">
        <v>835</v>
      </c>
      <c r="C383" s="70" t="s">
        <v>836</v>
      </c>
      <c r="D383" s="71">
        <v>58207.38</v>
      </c>
      <c r="E383" s="68">
        <f t="shared" si="15"/>
        <v>2.6419615755121331E-3</v>
      </c>
      <c r="F383" s="72">
        <v>3.0200000000000001E-2</v>
      </c>
      <c r="G383" s="72">
        <v>9.5000000000000001E-2</v>
      </c>
      <c r="H383" s="49">
        <f t="shared" si="16"/>
        <v>0.12663450000000001</v>
      </c>
      <c r="I383" s="50">
        <f t="shared" si="17"/>
        <v>3.3456348313419125E-4</v>
      </c>
    </row>
    <row r="384" spans="2:9" x14ac:dyDescent="0.2">
      <c r="B384" s="69" t="s">
        <v>837</v>
      </c>
      <c r="C384" s="70" t="s">
        <v>838</v>
      </c>
      <c r="D384" s="71">
        <v>7247.84</v>
      </c>
      <c r="E384" s="68">
        <f t="shared" si="15"/>
        <v>3.2897056671267222E-4</v>
      </c>
      <c r="F384" s="72">
        <v>1.7299999999999999E-2</v>
      </c>
      <c r="G384" s="72">
        <v>5.5E-2</v>
      </c>
      <c r="H384" s="49">
        <f t="shared" si="16"/>
        <v>7.277575E-2</v>
      </c>
      <c r="I384" s="50">
        <f t="shared" si="17"/>
        <v>2.3941079720439756E-5</v>
      </c>
    </row>
    <row r="385" spans="2:9" x14ac:dyDescent="0.2">
      <c r="B385" s="69" t="s">
        <v>839</v>
      </c>
      <c r="C385" s="70" t="s">
        <v>64</v>
      </c>
      <c r="D385" s="71">
        <v>10387.91</v>
      </c>
      <c r="E385" s="68">
        <f t="shared" si="15"/>
        <v>4.7149449210526646E-4</v>
      </c>
      <c r="F385" s="72">
        <v>3.2799999999999996E-2</v>
      </c>
      <c r="G385" s="72">
        <v>0.06</v>
      </c>
      <c r="H385" s="49">
        <f t="shared" si="16"/>
        <v>9.3783999999999992E-2</v>
      </c>
      <c r="I385" s="50">
        <f t="shared" si="17"/>
        <v>4.4218639447600308E-5</v>
      </c>
    </row>
    <row r="386" spans="2:9" x14ac:dyDescent="0.2">
      <c r="B386" s="69" t="s">
        <v>840</v>
      </c>
      <c r="C386" s="70" t="s">
        <v>841</v>
      </c>
      <c r="D386" s="71">
        <v>26348.97</v>
      </c>
      <c r="E386" s="68">
        <f t="shared" si="15"/>
        <v>1.1959474261566479E-3</v>
      </c>
      <c r="F386" s="72">
        <v>1.7500000000000002E-2</v>
      </c>
      <c r="G386" s="72">
        <v>4.4999999999999998E-2</v>
      </c>
      <c r="H386" s="49">
        <f t="shared" si="16"/>
        <v>6.2893749999999998E-2</v>
      </c>
      <c r="I386" s="50">
        <f t="shared" si="17"/>
        <v>7.521761843383967E-5</v>
      </c>
    </row>
    <row r="387" spans="2:9" x14ac:dyDescent="0.2">
      <c r="B387" s="69" t="s">
        <v>842</v>
      </c>
      <c r="C387" s="70" t="s">
        <v>843</v>
      </c>
      <c r="D387" s="71">
        <v>23080.84</v>
      </c>
      <c r="E387" s="68">
        <f t="shared" si="15"/>
        <v>1.0476110144545842E-3</v>
      </c>
      <c r="F387" s="72">
        <v>5.2400000000000002E-2</v>
      </c>
      <c r="G387" s="72">
        <v>0.03</v>
      </c>
      <c r="H387" s="49">
        <f t="shared" si="16"/>
        <v>8.3185999999999996E-2</v>
      </c>
      <c r="I387" s="50">
        <f t="shared" si="17"/>
        <v>8.7146569848419031E-5</v>
      </c>
    </row>
    <row r="388" spans="2:9" x14ac:dyDescent="0.2">
      <c r="B388" s="69" t="s">
        <v>844</v>
      </c>
      <c r="C388" s="70" t="s">
        <v>845</v>
      </c>
      <c r="D388" s="71">
        <v>6324.14</v>
      </c>
      <c r="E388" s="68">
        <f t="shared" si="15"/>
        <v>2.8704495681061926E-4</v>
      </c>
      <c r="F388" s="72">
        <v>1.8100000000000002E-2</v>
      </c>
      <c r="G388" s="72">
        <v>5.0000000000000001E-3</v>
      </c>
      <c r="H388" s="49">
        <f t="shared" si="16"/>
        <v>2.3145250000000003E-2</v>
      </c>
      <c r="I388" s="50">
        <f t="shared" si="17"/>
        <v>6.6437272866209858E-6</v>
      </c>
    </row>
    <row r="389" spans="2:9" x14ac:dyDescent="0.2">
      <c r="B389" s="69" t="s">
        <v>846</v>
      </c>
      <c r="C389" s="70" t="s">
        <v>847</v>
      </c>
      <c r="D389" s="71">
        <v>38652.11</v>
      </c>
      <c r="E389" s="68">
        <f t="shared" si="15"/>
        <v>1.7543718585593148E-3</v>
      </c>
      <c r="F389" s="72">
        <v>4.2500000000000003E-2</v>
      </c>
      <c r="G389" s="72">
        <v>6.5000000000000002E-2</v>
      </c>
      <c r="H389" s="49">
        <f t="shared" si="16"/>
        <v>0.10888125000000001</v>
      </c>
      <c r="I389" s="50">
        <f t="shared" si="17"/>
        <v>1.9101820092476141E-4</v>
      </c>
    </row>
    <row r="390" spans="2:9" x14ac:dyDescent="0.2">
      <c r="B390" s="69" t="s">
        <v>848</v>
      </c>
      <c r="C390" s="70" t="s">
        <v>849</v>
      </c>
      <c r="D390" s="71">
        <v>37234.1</v>
      </c>
      <c r="E390" s="68">
        <f t="shared" si="15"/>
        <v>1.6900101241247472E-3</v>
      </c>
      <c r="F390" s="72">
        <v>4.0599999999999997E-2</v>
      </c>
      <c r="G390" s="72">
        <v>7.0000000000000007E-2</v>
      </c>
      <c r="H390" s="49">
        <f t="shared" si="16"/>
        <v>0.11202100000000001</v>
      </c>
      <c r="I390" s="50">
        <f t="shared" si="17"/>
        <v>1.8931662411457832E-4</v>
      </c>
    </row>
    <row r="391" spans="2:9" x14ac:dyDescent="0.2">
      <c r="B391" s="69" t="s">
        <v>850</v>
      </c>
      <c r="C391" s="70" t="s">
        <v>851</v>
      </c>
      <c r="D391" s="71">
        <v>44475.5</v>
      </c>
      <c r="E391" s="68">
        <f t="shared" si="15"/>
        <v>2.0186883871373337E-3</v>
      </c>
      <c r="F391" s="72">
        <v>3.61E-2</v>
      </c>
      <c r="G391" s="72">
        <v>0.125</v>
      </c>
      <c r="H391" s="49">
        <f t="shared" si="16"/>
        <v>0.16335625000000001</v>
      </c>
      <c r="I391" s="50">
        <f t="shared" si="17"/>
        <v>3.2976536484130309E-4</v>
      </c>
    </row>
    <row r="392" spans="2:9" x14ac:dyDescent="0.2">
      <c r="B392" s="69" t="s">
        <v>852</v>
      </c>
      <c r="C392" s="70" t="s">
        <v>853</v>
      </c>
      <c r="D392" s="71">
        <v>8369.9500000000007</v>
      </c>
      <c r="E392" s="68">
        <f t="shared" si="15"/>
        <v>3.7990176312621839E-4</v>
      </c>
      <c r="F392" s="72">
        <v>1.4000000000000002E-3</v>
      </c>
      <c r="G392" s="72">
        <v>0.11</v>
      </c>
      <c r="H392" s="49">
        <f t="shared" si="16"/>
        <v>0.11147700000000001</v>
      </c>
      <c r="I392" s="50">
        <f t="shared" si="17"/>
        <v>4.235030884802145E-5</v>
      </c>
    </row>
    <row r="393" spans="2:9" x14ac:dyDescent="0.2">
      <c r="B393" s="69" t="s">
        <v>854</v>
      </c>
      <c r="C393" s="70" t="s">
        <v>855</v>
      </c>
      <c r="D393" s="71">
        <v>5203.71</v>
      </c>
      <c r="E393" s="68">
        <f t="shared" si="15"/>
        <v>2.3619001353622588E-4</v>
      </c>
      <c r="F393" s="72">
        <v>4.5999999999999999E-3</v>
      </c>
      <c r="G393" s="72">
        <v>0.19500000000000001</v>
      </c>
      <c r="H393" s="49">
        <f t="shared" si="16"/>
        <v>0.20004850000000002</v>
      </c>
      <c r="I393" s="50">
        <f t="shared" si="17"/>
        <v>4.7249457922901686E-5</v>
      </c>
    </row>
    <row r="394" spans="2:9" x14ac:dyDescent="0.2">
      <c r="B394" s="69" t="s">
        <v>856</v>
      </c>
      <c r="C394" s="70" t="s">
        <v>857</v>
      </c>
      <c r="D394" s="71">
        <v>23237.38</v>
      </c>
      <c r="E394" s="68">
        <f t="shared" si="15"/>
        <v>1.0547161730277868E-3</v>
      </c>
      <c r="F394" s="72">
        <v>3.7000000000000002E-3</v>
      </c>
      <c r="G394" s="72">
        <v>0.75</v>
      </c>
      <c r="H394" s="49">
        <f t="shared" si="16"/>
        <v>0.75508750000000002</v>
      </c>
      <c r="I394" s="50">
        <f t="shared" si="17"/>
        <v>7.9640299830111894E-4</v>
      </c>
    </row>
    <row r="395" spans="2:9" x14ac:dyDescent="0.2">
      <c r="B395" s="69" t="s">
        <v>858</v>
      </c>
      <c r="C395" s="70" t="s">
        <v>859</v>
      </c>
      <c r="D395" s="71">
        <v>113335.4</v>
      </c>
      <c r="E395" s="68">
        <f t="shared" si="15"/>
        <v>5.1441547780590336E-3</v>
      </c>
      <c r="F395" s="72">
        <v>0</v>
      </c>
      <c r="G395" s="72">
        <v>0.185</v>
      </c>
      <c r="H395" s="49">
        <f t="shared" si="16"/>
        <v>0.185</v>
      </c>
      <c r="I395" s="50">
        <f t="shared" si="17"/>
        <v>9.5166863394092116E-4</v>
      </c>
    </row>
    <row r="396" spans="2:9" x14ac:dyDescent="0.2">
      <c r="B396" s="69" t="s">
        <v>860</v>
      </c>
      <c r="C396" s="70" t="s">
        <v>861</v>
      </c>
      <c r="D396" s="71">
        <v>65376.3</v>
      </c>
      <c r="E396" s="68">
        <f t="shared" ref="E396:E459" si="18">IF(OR(H396="N/A",D396="N/A"),"N/A",D396/$D$512)</f>
        <v>2.9673500602355558E-3</v>
      </c>
      <c r="F396" s="72">
        <v>0.05</v>
      </c>
      <c r="G396" s="72">
        <v>0.105</v>
      </c>
      <c r="H396" s="49">
        <f t="shared" ref="H396:H459" si="19">IFERROR(F396*(1+0.5*G396)+G396,"N/A")</f>
        <v>0.15762500000000002</v>
      </c>
      <c r="I396" s="50">
        <f t="shared" ref="I396:I459" si="20">IF(AND(ISNUMBER(D396),ISNUMBER(H396)),E396*H396,"N/A")</f>
        <v>4.6772855324462952E-4</v>
      </c>
    </row>
    <row r="397" spans="2:9" x14ac:dyDescent="0.2">
      <c r="B397" s="69" t="s">
        <v>862</v>
      </c>
      <c r="C397" s="70" t="s">
        <v>863</v>
      </c>
      <c r="D397" s="71">
        <v>8407.1200000000008</v>
      </c>
      <c r="E397" s="68" t="str">
        <f t="shared" si="18"/>
        <v>N/A</v>
      </c>
      <c r="F397" s="72">
        <v>0</v>
      </c>
      <c r="G397" s="72" t="s">
        <v>104</v>
      </c>
      <c r="H397" s="49" t="str">
        <f t="shared" si="19"/>
        <v>N/A</v>
      </c>
      <c r="I397" s="50" t="str">
        <f t="shared" si="20"/>
        <v>N/A</v>
      </c>
    </row>
    <row r="398" spans="2:9" x14ac:dyDescent="0.2">
      <c r="B398" s="69" t="s">
        <v>864</v>
      </c>
      <c r="C398" s="70" t="s">
        <v>865</v>
      </c>
      <c r="D398" s="71">
        <v>24180.85</v>
      </c>
      <c r="E398" s="68">
        <f t="shared" si="18"/>
        <v>1.0975391189780844E-3</v>
      </c>
      <c r="F398" s="72">
        <v>2.4199999999999999E-2</v>
      </c>
      <c r="G398" s="72">
        <v>0.11</v>
      </c>
      <c r="H398" s="49">
        <f t="shared" si="19"/>
        <v>0.13553100000000001</v>
      </c>
      <c r="I398" s="50">
        <f t="shared" si="20"/>
        <v>1.4875057433421876E-4</v>
      </c>
    </row>
    <row r="399" spans="2:9" x14ac:dyDescent="0.2">
      <c r="B399" s="69" t="s">
        <v>866</v>
      </c>
      <c r="C399" s="70" t="s">
        <v>867</v>
      </c>
      <c r="D399" s="71">
        <v>8866.74</v>
      </c>
      <c r="E399" s="68">
        <f t="shared" si="18"/>
        <v>4.0245045181653004E-4</v>
      </c>
      <c r="F399" s="72">
        <v>2.6099999999999998E-2</v>
      </c>
      <c r="G399" s="72">
        <v>0.1</v>
      </c>
      <c r="H399" s="49">
        <f t="shared" si="19"/>
        <v>0.12740499999999999</v>
      </c>
      <c r="I399" s="50">
        <f t="shared" si="20"/>
        <v>5.1274199813685004E-5</v>
      </c>
    </row>
    <row r="400" spans="2:9" x14ac:dyDescent="0.2">
      <c r="B400" s="69" t="s">
        <v>868</v>
      </c>
      <c r="C400" s="70" t="s">
        <v>869</v>
      </c>
      <c r="D400" s="71">
        <v>10932.52</v>
      </c>
      <c r="E400" s="68">
        <f t="shared" si="18"/>
        <v>4.9621367193503486E-4</v>
      </c>
      <c r="F400" s="72">
        <v>3.6600000000000001E-2</v>
      </c>
      <c r="G400" s="72">
        <v>0.14000000000000001</v>
      </c>
      <c r="H400" s="49">
        <f t="shared" si="19"/>
        <v>0.17916200000000002</v>
      </c>
      <c r="I400" s="50">
        <f t="shared" si="20"/>
        <v>8.8902633891224718E-5</v>
      </c>
    </row>
    <row r="401" spans="2:9" x14ac:dyDescent="0.2">
      <c r="B401" s="69" t="s">
        <v>870</v>
      </c>
      <c r="C401" s="70" t="s">
        <v>871</v>
      </c>
      <c r="D401" s="71">
        <v>44646.68</v>
      </c>
      <c r="E401" s="68">
        <f t="shared" si="18"/>
        <v>2.0264580373517251E-3</v>
      </c>
      <c r="F401" s="72">
        <v>0</v>
      </c>
      <c r="G401" s="72">
        <v>0.12</v>
      </c>
      <c r="H401" s="49">
        <f t="shared" si="19"/>
        <v>0.12</v>
      </c>
      <c r="I401" s="50">
        <f t="shared" si="20"/>
        <v>2.4317496448220699E-4</v>
      </c>
    </row>
    <row r="402" spans="2:9" x14ac:dyDescent="0.2">
      <c r="B402" s="69" t="s">
        <v>872</v>
      </c>
      <c r="C402" s="70" t="s">
        <v>873</v>
      </c>
      <c r="D402" s="71">
        <v>16907.400000000001</v>
      </c>
      <c r="E402" s="68">
        <f t="shared" si="18"/>
        <v>7.6740614578106505E-4</v>
      </c>
      <c r="F402" s="72">
        <v>3.7599999999999995E-2</v>
      </c>
      <c r="G402" s="72">
        <v>0.13500000000000001</v>
      </c>
      <c r="H402" s="49">
        <f t="shared" si="19"/>
        <v>0.17513800000000002</v>
      </c>
      <c r="I402" s="50">
        <f t="shared" si="20"/>
        <v>1.3440197755980419E-4</v>
      </c>
    </row>
    <row r="403" spans="2:9" x14ac:dyDescent="0.2">
      <c r="B403" s="69" t="s">
        <v>874</v>
      </c>
      <c r="C403" s="70" t="s">
        <v>875</v>
      </c>
      <c r="D403" s="71">
        <v>7942.78</v>
      </c>
      <c r="E403" s="68">
        <f t="shared" si="18"/>
        <v>3.6051304083341772E-4</v>
      </c>
      <c r="F403" s="72">
        <v>1.9E-2</v>
      </c>
      <c r="G403" s="72">
        <v>0.09</v>
      </c>
      <c r="H403" s="49">
        <f t="shared" si="19"/>
        <v>0.10985499999999999</v>
      </c>
      <c r="I403" s="50">
        <f t="shared" si="20"/>
        <v>3.9604160100755104E-5</v>
      </c>
    </row>
    <row r="404" spans="2:9" x14ac:dyDescent="0.2">
      <c r="B404" s="69" t="s">
        <v>876</v>
      </c>
      <c r="C404" s="70" t="s">
        <v>877</v>
      </c>
      <c r="D404" s="71">
        <v>31873.360000000001</v>
      </c>
      <c r="E404" s="68">
        <f t="shared" si="18"/>
        <v>1.446692711516399E-3</v>
      </c>
      <c r="F404" s="72">
        <v>0</v>
      </c>
      <c r="G404" s="72">
        <v>0.17499999999999999</v>
      </c>
      <c r="H404" s="49">
        <f t="shared" si="19"/>
        <v>0.17499999999999999</v>
      </c>
      <c r="I404" s="50">
        <f t="shared" si="20"/>
        <v>2.5317122451536984E-4</v>
      </c>
    </row>
    <row r="405" spans="2:9" x14ac:dyDescent="0.2">
      <c r="B405" s="69" t="s">
        <v>878</v>
      </c>
      <c r="C405" s="70" t="s">
        <v>879</v>
      </c>
      <c r="D405" s="71">
        <v>11314.04</v>
      </c>
      <c r="E405" s="68">
        <f t="shared" si="18"/>
        <v>5.1353039672645117E-4</v>
      </c>
      <c r="F405" s="72">
        <v>1.7399999999999999E-2</v>
      </c>
      <c r="G405" s="72">
        <v>0.12</v>
      </c>
      <c r="H405" s="49">
        <f t="shared" si="19"/>
        <v>0.13844399999999998</v>
      </c>
      <c r="I405" s="50">
        <f t="shared" si="20"/>
        <v>7.1095202244396804E-5</v>
      </c>
    </row>
    <row r="406" spans="2:9" x14ac:dyDescent="0.2">
      <c r="B406" s="69" t="s">
        <v>880</v>
      </c>
      <c r="C406" s="70" t="s">
        <v>881</v>
      </c>
      <c r="D406" s="71">
        <v>9695.31</v>
      </c>
      <c r="E406" s="68">
        <f t="shared" si="18"/>
        <v>4.4005822771405519E-4</v>
      </c>
      <c r="F406" s="72">
        <v>2.0299999999999999E-2</v>
      </c>
      <c r="G406" s="72">
        <v>7.0000000000000007E-2</v>
      </c>
      <c r="H406" s="49">
        <f t="shared" si="19"/>
        <v>9.1010500000000008E-2</v>
      </c>
      <c r="I406" s="50">
        <f t="shared" si="20"/>
        <v>4.0049919333370026E-5</v>
      </c>
    </row>
    <row r="407" spans="2:9" x14ac:dyDescent="0.2">
      <c r="B407" s="69" t="s">
        <v>882</v>
      </c>
      <c r="C407" s="70" t="s">
        <v>883</v>
      </c>
      <c r="D407" s="71">
        <v>14398.11</v>
      </c>
      <c r="E407" s="68">
        <f t="shared" si="18"/>
        <v>6.5351255081395182E-4</v>
      </c>
      <c r="F407" s="72">
        <v>1.47E-2</v>
      </c>
      <c r="G407" s="72">
        <v>0.14499999999999999</v>
      </c>
      <c r="H407" s="49">
        <f t="shared" si="19"/>
        <v>0.16076574999999999</v>
      </c>
      <c r="I407" s="50">
        <f t="shared" si="20"/>
        <v>1.0506243536601806E-4</v>
      </c>
    </row>
    <row r="408" spans="2:9" x14ac:dyDescent="0.2">
      <c r="B408" s="69" t="s">
        <v>884</v>
      </c>
      <c r="C408" s="70" t="s">
        <v>885</v>
      </c>
      <c r="D408" s="71">
        <v>20991</v>
      </c>
      <c r="E408" s="68">
        <f t="shared" si="18"/>
        <v>9.5275574045035512E-4</v>
      </c>
      <c r="F408" s="72">
        <v>2.2499999999999999E-2</v>
      </c>
      <c r="G408" s="72">
        <v>0.105</v>
      </c>
      <c r="H408" s="49">
        <f t="shared" si="19"/>
        <v>0.12868125</v>
      </c>
      <c r="I408" s="50">
        <f t="shared" si="20"/>
        <v>1.2260179962582726E-4</v>
      </c>
    </row>
    <row r="409" spans="2:9" x14ac:dyDescent="0.2">
      <c r="B409" s="69" t="s">
        <v>886</v>
      </c>
      <c r="C409" s="70" t="s">
        <v>887</v>
      </c>
      <c r="D409" s="71">
        <v>13082.9</v>
      </c>
      <c r="E409" s="68">
        <f t="shared" si="18"/>
        <v>5.9381678227516321E-4</v>
      </c>
      <c r="F409" s="72">
        <v>1.0500000000000001E-2</v>
      </c>
      <c r="G409" s="72">
        <v>0.13500000000000001</v>
      </c>
      <c r="H409" s="49">
        <f t="shared" si="19"/>
        <v>0.14620875</v>
      </c>
      <c r="I409" s="50">
        <f t="shared" si="20"/>
        <v>8.6821209465473762E-5</v>
      </c>
    </row>
    <row r="410" spans="2:9" x14ac:dyDescent="0.2">
      <c r="B410" s="69" t="s">
        <v>888</v>
      </c>
      <c r="C410" s="70" t="s">
        <v>889</v>
      </c>
      <c r="D410" s="71">
        <v>33020.35</v>
      </c>
      <c r="E410" s="68">
        <f t="shared" si="18"/>
        <v>1.4987531806097795E-3</v>
      </c>
      <c r="F410" s="72">
        <v>5.7999999999999996E-3</v>
      </c>
      <c r="G410" s="72">
        <v>0.14499999999999999</v>
      </c>
      <c r="H410" s="49">
        <f t="shared" si="19"/>
        <v>0.15122049999999998</v>
      </c>
      <c r="I410" s="50">
        <f t="shared" si="20"/>
        <v>2.2664220534840114E-4</v>
      </c>
    </row>
    <row r="411" spans="2:9" x14ac:dyDescent="0.2">
      <c r="B411" s="69" t="s">
        <v>890</v>
      </c>
      <c r="C411" s="70" t="s">
        <v>891</v>
      </c>
      <c r="D411" s="71">
        <v>34289.47</v>
      </c>
      <c r="E411" s="68">
        <f t="shared" si="18"/>
        <v>1.5563569805869296E-3</v>
      </c>
      <c r="F411" s="72">
        <v>1.1000000000000001E-2</v>
      </c>
      <c r="G411" s="72">
        <v>0.115</v>
      </c>
      <c r="H411" s="49">
        <f t="shared" si="19"/>
        <v>0.12663250000000001</v>
      </c>
      <c r="I411" s="50">
        <f t="shared" si="20"/>
        <v>1.9708537534417439E-4</v>
      </c>
    </row>
    <row r="412" spans="2:9" x14ac:dyDescent="0.2">
      <c r="B412" s="69" t="s">
        <v>892</v>
      </c>
      <c r="C412" s="70" t="s">
        <v>893</v>
      </c>
      <c r="D412" s="71">
        <v>25474.61</v>
      </c>
      <c r="E412" s="68">
        <f t="shared" si="18"/>
        <v>1.1562612983294755E-3</v>
      </c>
      <c r="F412" s="72">
        <v>1.9799999999999998E-2</v>
      </c>
      <c r="G412" s="72">
        <v>0.12</v>
      </c>
      <c r="H412" s="49">
        <f t="shared" si="19"/>
        <v>0.140988</v>
      </c>
      <c r="I412" s="50">
        <f t="shared" si="20"/>
        <v>1.6301896792887609E-4</v>
      </c>
    </row>
    <row r="413" spans="2:9" x14ac:dyDescent="0.2">
      <c r="B413" s="69" t="s">
        <v>894</v>
      </c>
      <c r="C413" s="70" t="s">
        <v>895</v>
      </c>
      <c r="D413" s="71">
        <v>50822.04</v>
      </c>
      <c r="E413" s="68">
        <f t="shared" si="18"/>
        <v>2.3067500524699904E-3</v>
      </c>
      <c r="F413" s="72">
        <v>1.9299999999999998E-2</v>
      </c>
      <c r="G413" s="72">
        <v>0.1</v>
      </c>
      <c r="H413" s="49">
        <f t="shared" si="19"/>
        <v>0.12026500000000001</v>
      </c>
      <c r="I413" s="50">
        <f t="shared" si="20"/>
        <v>2.7742129506030342E-4</v>
      </c>
    </row>
    <row r="414" spans="2:9" x14ac:dyDescent="0.2">
      <c r="B414" s="69" t="s">
        <v>896</v>
      </c>
      <c r="C414" s="70" t="s">
        <v>897</v>
      </c>
      <c r="D414" s="71">
        <v>21353.87</v>
      </c>
      <c r="E414" s="68">
        <f t="shared" si="18"/>
        <v>9.6922596461962863E-4</v>
      </c>
      <c r="F414" s="72">
        <v>0</v>
      </c>
      <c r="G414" s="72">
        <v>0.35499999999999998</v>
      </c>
      <c r="H414" s="49">
        <f t="shared" si="19"/>
        <v>0.35499999999999998</v>
      </c>
      <c r="I414" s="50">
        <f t="shared" si="20"/>
        <v>3.4407521743996816E-4</v>
      </c>
    </row>
    <row r="415" spans="2:9" x14ac:dyDescent="0.2">
      <c r="B415" s="69" t="s">
        <v>898</v>
      </c>
      <c r="C415" s="70" t="s">
        <v>899</v>
      </c>
      <c r="D415" s="71">
        <v>87789.41</v>
      </c>
      <c r="E415" s="68">
        <f t="shared" si="18"/>
        <v>3.9846536290910305E-3</v>
      </c>
      <c r="F415" s="72">
        <v>2.2099999999999998E-2</v>
      </c>
      <c r="G415" s="72">
        <v>0.13500000000000001</v>
      </c>
      <c r="H415" s="49">
        <f t="shared" si="19"/>
        <v>0.15859175</v>
      </c>
      <c r="I415" s="50">
        <f t="shared" si="20"/>
        <v>6.3193319218139742E-4</v>
      </c>
    </row>
    <row r="416" spans="2:9" x14ac:dyDescent="0.2">
      <c r="B416" s="69" t="s">
        <v>900</v>
      </c>
      <c r="C416" s="70" t="s">
        <v>901</v>
      </c>
      <c r="D416" s="71">
        <v>59503.46</v>
      </c>
      <c r="E416" s="68">
        <f t="shared" si="18"/>
        <v>2.7007890568175926E-3</v>
      </c>
      <c r="F416" s="72">
        <v>1.55E-2</v>
      </c>
      <c r="G416" s="72">
        <v>0.16</v>
      </c>
      <c r="H416" s="49">
        <f t="shared" si="19"/>
        <v>0.17674000000000001</v>
      </c>
      <c r="I416" s="50">
        <f t="shared" si="20"/>
        <v>4.7733745790194134E-4</v>
      </c>
    </row>
    <row r="417" spans="2:9" x14ac:dyDescent="0.2">
      <c r="B417" s="69" t="s">
        <v>902</v>
      </c>
      <c r="C417" s="70" t="s">
        <v>903</v>
      </c>
      <c r="D417" s="71">
        <v>6983.65</v>
      </c>
      <c r="E417" s="68">
        <f t="shared" si="18"/>
        <v>3.1697930669316002E-4</v>
      </c>
      <c r="F417" s="72">
        <v>1.44E-2</v>
      </c>
      <c r="G417" s="72">
        <v>0.19</v>
      </c>
      <c r="H417" s="49">
        <f t="shared" si="19"/>
        <v>0.20576800000000001</v>
      </c>
      <c r="I417" s="50">
        <f t="shared" si="20"/>
        <v>6.5224197979638147E-5</v>
      </c>
    </row>
    <row r="418" spans="2:9" x14ac:dyDescent="0.2">
      <c r="B418" s="69" t="s">
        <v>904</v>
      </c>
      <c r="C418" s="70" t="s">
        <v>905</v>
      </c>
      <c r="D418" s="71">
        <v>38765.839999999997</v>
      </c>
      <c r="E418" s="68">
        <f t="shared" si="18"/>
        <v>1.7595339237473199E-3</v>
      </c>
      <c r="F418" s="72">
        <v>1.09E-2</v>
      </c>
      <c r="G418" s="72">
        <v>0.13</v>
      </c>
      <c r="H418" s="49">
        <f t="shared" si="19"/>
        <v>0.1416085</v>
      </c>
      <c r="I418" s="50">
        <f t="shared" si="20"/>
        <v>2.4916495964097233E-4</v>
      </c>
    </row>
    <row r="419" spans="2:9" x14ac:dyDescent="0.2">
      <c r="B419" s="69" t="s">
        <v>906</v>
      </c>
      <c r="C419" s="70" t="s">
        <v>907</v>
      </c>
      <c r="D419" s="71">
        <v>12737.4</v>
      </c>
      <c r="E419" s="68">
        <f t="shared" si="18"/>
        <v>5.7813496109820179E-4</v>
      </c>
      <c r="F419" s="72">
        <v>0</v>
      </c>
      <c r="G419" s="72">
        <v>0.215</v>
      </c>
      <c r="H419" s="49">
        <f t="shared" si="19"/>
        <v>0.215</v>
      </c>
      <c r="I419" s="50">
        <f t="shared" si="20"/>
        <v>1.2429901663611338E-4</v>
      </c>
    </row>
    <row r="420" spans="2:9" x14ac:dyDescent="0.2">
      <c r="B420" s="69" t="s">
        <v>908</v>
      </c>
      <c r="C420" s="70" t="s">
        <v>909</v>
      </c>
      <c r="D420" s="71">
        <v>11679.29</v>
      </c>
      <c r="E420" s="68">
        <f t="shared" si="18"/>
        <v>5.3010864617619117E-4</v>
      </c>
      <c r="F420" s="72">
        <v>3.3700000000000001E-2</v>
      </c>
      <c r="G420" s="72">
        <v>4.4999999999999998E-2</v>
      </c>
      <c r="H420" s="49">
        <f t="shared" si="19"/>
        <v>7.9458250000000008E-2</v>
      </c>
      <c r="I420" s="50">
        <f t="shared" si="20"/>
        <v>4.2121505335029347E-5</v>
      </c>
    </row>
    <row r="421" spans="2:9" x14ac:dyDescent="0.2">
      <c r="B421" s="69" t="s">
        <v>910</v>
      </c>
      <c r="C421" s="70" t="s">
        <v>911</v>
      </c>
      <c r="D421" s="71">
        <v>58840.23</v>
      </c>
      <c r="E421" s="68">
        <f t="shared" si="18"/>
        <v>2.6706858606983567E-3</v>
      </c>
      <c r="F421" s="72">
        <v>4.7100000000000003E-2</v>
      </c>
      <c r="G421" s="72">
        <v>0.26</v>
      </c>
      <c r="H421" s="49">
        <f t="shared" si="19"/>
        <v>0.31322300000000003</v>
      </c>
      <c r="I421" s="50">
        <f t="shared" si="20"/>
        <v>8.3652023734552149E-4</v>
      </c>
    </row>
    <row r="422" spans="2:9" x14ac:dyDescent="0.2">
      <c r="B422" s="69" t="s">
        <v>912</v>
      </c>
      <c r="C422" s="70" t="s">
        <v>913</v>
      </c>
      <c r="D422" s="71">
        <v>8495.09</v>
      </c>
      <c r="E422" s="68">
        <f t="shared" si="18"/>
        <v>3.855817142176365E-4</v>
      </c>
      <c r="F422" s="72">
        <v>3.8100000000000002E-2</v>
      </c>
      <c r="G422" s="72">
        <v>6.5000000000000002E-2</v>
      </c>
      <c r="H422" s="49">
        <f t="shared" si="19"/>
        <v>0.10433824999999999</v>
      </c>
      <c r="I422" s="50">
        <f t="shared" si="20"/>
        <v>4.0230921293468306E-5</v>
      </c>
    </row>
    <row r="423" spans="2:9" x14ac:dyDescent="0.2">
      <c r="B423" s="69" t="s">
        <v>914</v>
      </c>
      <c r="C423" s="70" t="s">
        <v>915</v>
      </c>
      <c r="D423" s="71">
        <v>9016.65</v>
      </c>
      <c r="E423" s="68">
        <f t="shared" si="18"/>
        <v>4.09254682822719E-4</v>
      </c>
      <c r="F423" s="72">
        <v>2.3700000000000002E-2</v>
      </c>
      <c r="G423" s="72">
        <v>0.08</v>
      </c>
      <c r="H423" s="49">
        <f t="shared" si="19"/>
        <v>0.104648</v>
      </c>
      <c r="I423" s="50">
        <f t="shared" si="20"/>
        <v>4.2827684048031897E-5</v>
      </c>
    </row>
    <row r="424" spans="2:9" x14ac:dyDescent="0.2">
      <c r="B424" s="69" t="s">
        <v>916</v>
      </c>
      <c r="C424" s="70" t="s">
        <v>917</v>
      </c>
      <c r="D424" s="71">
        <v>15414.24</v>
      </c>
      <c r="E424" s="68">
        <f t="shared" si="18"/>
        <v>6.9963344503260838E-4</v>
      </c>
      <c r="F424" s="72">
        <v>0</v>
      </c>
      <c r="G424" s="72">
        <v>0.105</v>
      </c>
      <c r="H424" s="49">
        <f t="shared" si="19"/>
        <v>0.105</v>
      </c>
      <c r="I424" s="50">
        <f t="shared" si="20"/>
        <v>7.3461511728423884E-5</v>
      </c>
    </row>
    <row r="425" spans="2:9" x14ac:dyDescent="0.2">
      <c r="B425" s="69" t="s">
        <v>918</v>
      </c>
      <c r="C425" s="70" t="s">
        <v>70</v>
      </c>
      <c r="D425" s="71">
        <v>50439.51</v>
      </c>
      <c r="E425" s="68">
        <f t="shared" si="18"/>
        <v>2.2893874850175356E-3</v>
      </c>
      <c r="F425" s="72">
        <v>4.9100000000000005E-2</v>
      </c>
      <c r="G425" s="72">
        <v>3.5000000000000003E-2</v>
      </c>
      <c r="H425" s="49">
        <f t="shared" si="19"/>
        <v>8.4959250000000014E-2</v>
      </c>
      <c r="I425" s="50">
        <f t="shared" si="20"/>
        <v>1.945046436864761E-4</v>
      </c>
    </row>
    <row r="426" spans="2:9" x14ac:dyDescent="0.2">
      <c r="B426" s="69" t="s">
        <v>919</v>
      </c>
      <c r="C426" s="70" t="s">
        <v>920</v>
      </c>
      <c r="D426" s="71">
        <v>54574.18</v>
      </c>
      <c r="E426" s="68">
        <f t="shared" si="18"/>
        <v>2.4770550843395247E-3</v>
      </c>
      <c r="F426" s="72">
        <v>4.8499999999999995E-2</v>
      </c>
      <c r="G426" s="72">
        <v>0.03</v>
      </c>
      <c r="H426" s="49">
        <f t="shared" si="19"/>
        <v>7.9227499999999978E-2</v>
      </c>
      <c r="I426" s="50">
        <f t="shared" si="20"/>
        <v>1.9625088169450964E-4</v>
      </c>
    </row>
    <row r="427" spans="2:9" x14ac:dyDescent="0.2">
      <c r="B427" s="69" t="s">
        <v>921</v>
      </c>
      <c r="C427" s="70" t="s">
        <v>922</v>
      </c>
      <c r="D427" s="71">
        <v>49296.84</v>
      </c>
      <c r="E427" s="68">
        <f t="shared" si="18"/>
        <v>2.2375230954248338E-3</v>
      </c>
      <c r="F427" s="72">
        <v>1.1599999999999999E-2</v>
      </c>
      <c r="G427" s="72">
        <v>0.13</v>
      </c>
      <c r="H427" s="49">
        <f t="shared" si="19"/>
        <v>0.14235400000000001</v>
      </c>
      <c r="I427" s="50">
        <f t="shared" si="20"/>
        <v>3.1852036272610678E-4</v>
      </c>
    </row>
    <row r="428" spans="2:9" x14ac:dyDescent="0.2">
      <c r="B428" s="69" t="s">
        <v>923</v>
      </c>
      <c r="C428" s="70" t="s">
        <v>924</v>
      </c>
      <c r="D428" s="71">
        <v>33345.800000000003</v>
      </c>
      <c r="E428" s="68">
        <f t="shared" si="18"/>
        <v>1.513524956881971E-3</v>
      </c>
      <c r="F428" s="72">
        <v>3.2500000000000001E-2</v>
      </c>
      <c r="G428" s="72">
        <v>9.5000000000000001E-2</v>
      </c>
      <c r="H428" s="49">
        <f t="shared" si="19"/>
        <v>0.12904375000000001</v>
      </c>
      <c r="I428" s="50">
        <f t="shared" si="20"/>
        <v>1.9531093615463786E-4</v>
      </c>
    </row>
    <row r="429" spans="2:9" x14ac:dyDescent="0.2">
      <c r="B429" s="69" t="s">
        <v>925</v>
      </c>
      <c r="C429" s="70" t="s">
        <v>926</v>
      </c>
      <c r="D429" s="71">
        <v>28471.19</v>
      </c>
      <c r="E429" s="68">
        <f t="shared" si="18"/>
        <v>1.2922723886405005E-3</v>
      </c>
      <c r="F429" s="72">
        <v>3.39E-2</v>
      </c>
      <c r="G429" s="72">
        <v>0.13500000000000001</v>
      </c>
      <c r="H429" s="49">
        <f t="shared" si="19"/>
        <v>0.17118825000000001</v>
      </c>
      <c r="I429" s="50">
        <f t="shared" si="20"/>
        <v>2.2122184873468717E-4</v>
      </c>
    </row>
    <row r="430" spans="2:9" x14ac:dyDescent="0.2">
      <c r="B430" s="69" t="s">
        <v>927</v>
      </c>
      <c r="C430" s="70" t="s">
        <v>928</v>
      </c>
      <c r="D430" s="71">
        <v>25949.53</v>
      </c>
      <c r="E430" s="68">
        <f t="shared" si="18"/>
        <v>1.1778173345476015E-3</v>
      </c>
      <c r="F430" s="72">
        <v>2.75E-2</v>
      </c>
      <c r="G430" s="72">
        <v>0.09</v>
      </c>
      <c r="H430" s="49">
        <f t="shared" si="19"/>
        <v>0.1187375</v>
      </c>
      <c r="I430" s="50">
        <f t="shared" si="20"/>
        <v>1.3985108576084583E-4</v>
      </c>
    </row>
    <row r="431" spans="2:9" x14ac:dyDescent="0.2">
      <c r="B431" s="69" t="s">
        <v>929</v>
      </c>
      <c r="C431" s="70" t="s">
        <v>930</v>
      </c>
      <c r="D431" s="71">
        <v>12794.64</v>
      </c>
      <c r="E431" s="68">
        <f t="shared" si="18"/>
        <v>5.8073301448219382E-4</v>
      </c>
      <c r="F431" s="72">
        <v>5.5800000000000002E-2</v>
      </c>
      <c r="G431" s="72">
        <v>0.09</v>
      </c>
      <c r="H431" s="49">
        <f t="shared" si="19"/>
        <v>0.148311</v>
      </c>
      <c r="I431" s="50">
        <f t="shared" si="20"/>
        <v>8.6129094110868649E-5</v>
      </c>
    </row>
    <row r="432" spans="2:9" x14ac:dyDescent="0.2">
      <c r="B432" s="69" t="s">
        <v>931</v>
      </c>
      <c r="C432" s="70" t="s">
        <v>932</v>
      </c>
      <c r="D432" s="71">
        <v>31828.13</v>
      </c>
      <c r="E432" s="68">
        <f t="shared" si="18"/>
        <v>1.4446397772998028E-3</v>
      </c>
      <c r="F432" s="72">
        <v>1.9099999999999999E-2</v>
      </c>
      <c r="G432" s="72">
        <v>0.11</v>
      </c>
      <c r="H432" s="49">
        <f t="shared" si="19"/>
        <v>0.1301505</v>
      </c>
      <c r="I432" s="50">
        <f t="shared" si="20"/>
        <v>1.8802058933545799E-4</v>
      </c>
    </row>
    <row r="433" spans="2:9" x14ac:dyDescent="0.2">
      <c r="B433" s="69" t="s">
        <v>933</v>
      </c>
      <c r="C433" s="70" t="s">
        <v>934</v>
      </c>
      <c r="D433" s="71">
        <v>19825.11</v>
      </c>
      <c r="E433" s="68">
        <f t="shared" si="18"/>
        <v>8.9983742354150548E-4</v>
      </c>
      <c r="F433" s="72">
        <v>2.06E-2</v>
      </c>
      <c r="G433" s="72">
        <v>0.1</v>
      </c>
      <c r="H433" s="49">
        <f t="shared" si="19"/>
        <v>0.12163</v>
      </c>
      <c r="I433" s="50">
        <f t="shared" si="20"/>
        <v>1.0944722582535331E-4</v>
      </c>
    </row>
    <row r="434" spans="2:9" x14ac:dyDescent="0.2">
      <c r="B434" s="69" t="s">
        <v>935</v>
      </c>
      <c r="C434" s="70" t="s">
        <v>936</v>
      </c>
      <c r="D434" s="71">
        <v>13840.95</v>
      </c>
      <c r="E434" s="68">
        <f t="shared" si="18"/>
        <v>6.2822374187920273E-4</v>
      </c>
      <c r="F434" s="72">
        <v>1.9099999999999999E-2</v>
      </c>
      <c r="G434" s="72">
        <v>0.11</v>
      </c>
      <c r="H434" s="49">
        <f t="shared" si="19"/>
        <v>0.1301505</v>
      </c>
      <c r="I434" s="50">
        <f t="shared" si="20"/>
        <v>8.1763634117449179E-5</v>
      </c>
    </row>
    <row r="435" spans="2:9" x14ac:dyDescent="0.2">
      <c r="B435" s="69" t="s">
        <v>937</v>
      </c>
      <c r="C435" s="70" t="s">
        <v>938</v>
      </c>
      <c r="D435" s="71">
        <v>22639.37</v>
      </c>
      <c r="E435" s="68">
        <f t="shared" si="18"/>
        <v>1.0275732327035185E-3</v>
      </c>
      <c r="F435" s="72">
        <v>2.6699999999999998E-2</v>
      </c>
      <c r="G435" s="72">
        <v>0.11</v>
      </c>
      <c r="H435" s="49">
        <f t="shared" si="19"/>
        <v>0.1381685</v>
      </c>
      <c r="I435" s="50">
        <f t="shared" si="20"/>
        <v>1.419782522027961E-4</v>
      </c>
    </row>
    <row r="436" spans="2:9" x14ac:dyDescent="0.2">
      <c r="B436" s="69" t="s">
        <v>939</v>
      </c>
      <c r="C436" s="70" t="s">
        <v>940</v>
      </c>
      <c r="D436" s="71">
        <v>69995.42</v>
      </c>
      <c r="E436" s="68">
        <f t="shared" si="18"/>
        <v>3.1770062507852697E-3</v>
      </c>
      <c r="F436" s="72">
        <v>1.11E-2</v>
      </c>
      <c r="G436" s="72">
        <v>0.15</v>
      </c>
      <c r="H436" s="49">
        <f t="shared" si="19"/>
        <v>0.16193250000000001</v>
      </c>
      <c r="I436" s="50">
        <f t="shared" si="20"/>
        <v>5.1446056470528568E-4</v>
      </c>
    </row>
    <row r="437" spans="2:9" x14ac:dyDescent="0.2">
      <c r="B437" s="69" t="s">
        <v>941</v>
      </c>
      <c r="C437" s="70" t="s">
        <v>942</v>
      </c>
      <c r="D437" s="71">
        <v>13987.71</v>
      </c>
      <c r="E437" s="68">
        <f t="shared" si="18"/>
        <v>6.348849982494801E-4</v>
      </c>
      <c r="F437" s="72">
        <v>1.37E-2</v>
      </c>
      <c r="G437" s="72">
        <v>9.5000000000000001E-2</v>
      </c>
      <c r="H437" s="49">
        <f t="shared" si="19"/>
        <v>0.10935075</v>
      </c>
      <c r="I437" s="50">
        <f t="shared" si="20"/>
        <v>6.9425150722329332E-5</v>
      </c>
    </row>
    <row r="438" spans="2:9" x14ac:dyDescent="0.2">
      <c r="B438" s="69" t="s">
        <v>943</v>
      </c>
      <c r="C438" s="70" t="s">
        <v>944</v>
      </c>
      <c r="D438" s="71">
        <v>33825.300000000003</v>
      </c>
      <c r="E438" s="68">
        <f t="shared" si="18"/>
        <v>1.5352888736818351E-3</v>
      </c>
      <c r="F438" s="72">
        <v>2.3700000000000002E-2</v>
      </c>
      <c r="G438" s="72">
        <v>0.13</v>
      </c>
      <c r="H438" s="49">
        <f t="shared" si="19"/>
        <v>0.1552405</v>
      </c>
      <c r="I438" s="50">
        <f t="shared" si="20"/>
        <v>2.3833901239480492E-4</v>
      </c>
    </row>
    <row r="439" spans="2:9" x14ac:dyDescent="0.2">
      <c r="B439" s="69" t="s">
        <v>945</v>
      </c>
      <c r="C439" s="70" t="s">
        <v>946</v>
      </c>
      <c r="D439" s="71">
        <v>217866.3</v>
      </c>
      <c r="E439" s="68">
        <f t="shared" si="18"/>
        <v>9.888684101552055E-3</v>
      </c>
      <c r="F439" s="72">
        <v>6.8499999999999991E-2</v>
      </c>
      <c r="G439" s="72">
        <v>5.5E-2</v>
      </c>
      <c r="H439" s="49">
        <f t="shared" si="19"/>
        <v>0.12538374999999999</v>
      </c>
      <c r="I439" s="50">
        <f t="shared" si="20"/>
        <v>1.2398802952179773E-3</v>
      </c>
    </row>
    <row r="440" spans="2:9" x14ac:dyDescent="0.2">
      <c r="B440" s="69" t="s">
        <v>947</v>
      </c>
      <c r="C440" s="70" t="s">
        <v>948</v>
      </c>
      <c r="D440" s="71">
        <v>12956.63</v>
      </c>
      <c r="E440" s="68">
        <f t="shared" si="18"/>
        <v>5.8808554186991018E-4</v>
      </c>
      <c r="F440" s="72">
        <v>2.7300000000000001E-2</v>
      </c>
      <c r="G440" s="72">
        <v>0.11</v>
      </c>
      <c r="H440" s="49">
        <f t="shared" si="19"/>
        <v>0.13880149999999999</v>
      </c>
      <c r="I440" s="50">
        <f t="shared" si="20"/>
        <v>8.1627155339856331E-5</v>
      </c>
    </row>
    <row r="441" spans="2:9" x14ac:dyDescent="0.2">
      <c r="B441" s="69" t="s">
        <v>949</v>
      </c>
      <c r="C441" s="70" t="s">
        <v>950</v>
      </c>
      <c r="D441" s="71">
        <v>22604.02</v>
      </c>
      <c r="E441" s="68">
        <f t="shared" si="18"/>
        <v>1.0259687395671783E-3</v>
      </c>
      <c r="F441" s="72">
        <v>0</v>
      </c>
      <c r="G441" s="72">
        <v>6.5000000000000002E-2</v>
      </c>
      <c r="H441" s="49">
        <f t="shared" si="19"/>
        <v>6.5000000000000002E-2</v>
      </c>
      <c r="I441" s="50">
        <f t="shared" si="20"/>
        <v>6.6687968071866587E-5</v>
      </c>
    </row>
    <row r="442" spans="2:9" x14ac:dyDescent="0.2">
      <c r="B442" s="69" t="s">
        <v>951</v>
      </c>
      <c r="C442" s="70" t="s">
        <v>952</v>
      </c>
      <c r="D442" s="71">
        <v>28825.34</v>
      </c>
      <c r="E442" s="68">
        <f t="shared" si="18"/>
        <v>1.3083468227065524E-3</v>
      </c>
      <c r="F442" s="72">
        <v>2.1700000000000001E-2</v>
      </c>
      <c r="G442" s="72">
        <v>9.5000000000000001E-2</v>
      </c>
      <c r="H442" s="49">
        <f t="shared" si="19"/>
        <v>0.11773075</v>
      </c>
      <c r="I442" s="50">
        <f t="shared" si="20"/>
        <v>1.5403265269735942E-4</v>
      </c>
    </row>
    <row r="443" spans="2:9" x14ac:dyDescent="0.2">
      <c r="B443" s="69" t="s">
        <v>953</v>
      </c>
      <c r="C443" s="70" t="s">
        <v>954</v>
      </c>
      <c r="D443" s="71">
        <v>13222.12</v>
      </c>
      <c r="E443" s="68">
        <f t="shared" si="18"/>
        <v>6.0013580729471915E-4</v>
      </c>
      <c r="F443" s="72">
        <v>4.6999999999999993E-3</v>
      </c>
      <c r="G443" s="72">
        <v>0.12</v>
      </c>
      <c r="H443" s="49">
        <f t="shared" si="19"/>
        <v>0.124982</v>
      </c>
      <c r="I443" s="50">
        <f t="shared" si="20"/>
        <v>7.5006173467308585E-5</v>
      </c>
    </row>
    <row r="444" spans="2:9" x14ac:dyDescent="0.2">
      <c r="B444" s="69" t="s">
        <v>955</v>
      </c>
      <c r="C444" s="70" t="s">
        <v>956</v>
      </c>
      <c r="D444" s="71">
        <v>39746.339999999997</v>
      </c>
      <c r="E444" s="68">
        <f t="shared" si="18"/>
        <v>1.8040376159731107E-3</v>
      </c>
      <c r="F444" s="72">
        <v>3.3599999999999998E-2</v>
      </c>
      <c r="G444" s="72">
        <v>7.0000000000000007E-2</v>
      </c>
      <c r="H444" s="49">
        <f t="shared" si="19"/>
        <v>0.10477600000000001</v>
      </c>
      <c r="I444" s="50">
        <f t="shared" si="20"/>
        <v>1.8901984525119866E-4</v>
      </c>
    </row>
    <row r="445" spans="2:9" x14ac:dyDescent="0.2">
      <c r="B445" s="69" t="s">
        <v>957</v>
      </c>
      <c r="C445" s="70" t="s">
        <v>958</v>
      </c>
      <c r="D445" s="71">
        <v>11518.33</v>
      </c>
      <c r="E445" s="68">
        <f t="shared" si="18"/>
        <v>5.2280286922497927E-4</v>
      </c>
      <c r="F445" s="72">
        <v>2.4900000000000002E-2</v>
      </c>
      <c r="G445" s="72">
        <v>0.12</v>
      </c>
      <c r="H445" s="49">
        <f t="shared" si="19"/>
        <v>0.146394</v>
      </c>
      <c r="I445" s="50">
        <f t="shared" si="20"/>
        <v>7.653520323732161E-5</v>
      </c>
    </row>
    <row r="446" spans="2:9" x14ac:dyDescent="0.2">
      <c r="B446" s="69" t="s">
        <v>959</v>
      </c>
      <c r="C446" s="70" t="s">
        <v>960</v>
      </c>
      <c r="D446" s="71">
        <v>63815.25</v>
      </c>
      <c r="E446" s="68">
        <f t="shared" si="18"/>
        <v>2.8964959156674063E-3</v>
      </c>
      <c r="F446" s="72">
        <v>1.55E-2</v>
      </c>
      <c r="G446" s="72">
        <v>0.13</v>
      </c>
      <c r="H446" s="49">
        <f t="shared" si="19"/>
        <v>0.14650750000000001</v>
      </c>
      <c r="I446" s="50">
        <f t="shared" si="20"/>
        <v>4.2435837536464259E-4</v>
      </c>
    </row>
    <row r="447" spans="2:9" x14ac:dyDescent="0.2">
      <c r="B447" s="69" t="s">
        <v>961</v>
      </c>
      <c r="C447" s="70" t="s">
        <v>962</v>
      </c>
      <c r="D447" s="71">
        <v>9113.65</v>
      </c>
      <c r="E447" s="68">
        <f t="shared" si="18"/>
        <v>4.1365739383332755E-4</v>
      </c>
      <c r="F447" s="72">
        <v>7.9000000000000008E-3</v>
      </c>
      <c r="G447" s="72">
        <v>0.1</v>
      </c>
      <c r="H447" s="49">
        <f t="shared" si="19"/>
        <v>0.108295</v>
      </c>
      <c r="I447" s="50">
        <f t="shared" si="20"/>
        <v>4.4797027465180207E-5</v>
      </c>
    </row>
    <row r="448" spans="2:9" x14ac:dyDescent="0.2">
      <c r="B448" s="69" t="s">
        <v>963</v>
      </c>
      <c r="C448" s="70" t="s">
        <v>964</v>
      </c>
      <c r="D448" s="71">
        <v>100970.1</v>
      </c>
      <c r="E448" s="68">
        <f t="shared" si="18"/>
        <v>4.5829089795077129E-3</v>
      </c>
      <c r="F448" s="72">
        <v>3.0000000000000001E-3</v>
      </c>
      <c r="G448" s="72">
        <v>0.105</v>
      </c>
      <c r="H448" s="49">
        <f t="shared" si="19"/>
        <v>0.10815749999999999</v>
      </c>
      <c r="I448" s="50">
        <f t="shared" si="20"/>
        <v>4.956759779511054E-4</v>
      </c>
    </row>
    <row r="449" spans="2:9" x14ac:dyDescent="0.2">
      <c r="B449" s="69" t="s">
        <v>965</v>
      </c>
      <c r="C449" s="70" t="s">
        <v>966</v>
      </c>
      <c r="D449" s="71">
        <v>9912.2000000000007</v>
      </c>
      <c r="E449" s="68">
        <f t="shared" si="18"/>
        <v>4.499025987562294E-4</v>
      </c>
      <c r="F449" s="72">
        <v>3.95E-2</v>
      </c>
      <c r="G449" s="72">
        <v>0.13</v>
      </c>
      <c r="H449" s="49">
        <f t="shared" si="19"/>
        <v>0.17206750000000001</v>
      </c>
      <c r="I449" s="50">
        <f t="shared" si="20"/>
        <v>7.7413615411487503E-5</v>
      </c>
    </row>
    <row r="450" spans="2:9" x14ac:dyDescent="0.2">
      <c r="B450" s="69" t="s">
        <v>967</v>
      </c>
      <c r="C450" s="70" t="s">
        <v>968</v>
      </c>
      <c r="D450" s="71">
        <v>7025.14</v>
      </c>
      <c r="E450" s="68">
        <f t="shared" si="18"/>
        <v>3.1886248689759461E-4</v>
      </c>
      <c r="F450" s="72">
        <v>0</v>
      </c>
      <c r="G450" s="72">
        <v>0.105</v>
      </c>
      <c r="H450" s="49">
        <f t="shared" si="19"/>
        <v>0.105</v>
      </c>
      <c r="I450" s="50">
        <f t="shared" si="20"/>
        <v>3.3480561124247434E-5</v>
      </c>
    </row>
    <row r="451" spans="2:9" x14ac:dyDescent="0.2">
      <c r="B451" s="69" t="s">
        <v>969</v>
      </c>
      <c r="C451" s="70" t="s">
        <v>970</v>
      </c>
      <c r="D451" s="71">
        <v>23355.01</v>
      </c>
      <c r="E451" s="68">
        <f t="shared" si="18"/>
        <v>1.0600552544316824E-3</v>
      </c>
      <c r="F451" s="72">
        <v>3.1600000000000003E-2</v>
      </c>
      <c r="G451" s="72">
        <v>0.115</v>
      </c>
      <c r="H451" s="49">
        <f t="shared" si="19"/>
        <v>0.14841700000000002</v>
      </c>
      <c r="I451" s="50">
        <f t="shared" si="20"/>
        <v>1.5733022069698704E-4</v>
      </c>
    </row>
    <row r="452" spans="2:9" x14ac:dyDescent="0.2">
      <c r="B452" s="69" t="s">
        <v>971</v>
      </c>
      <c r="C452" s="70" t="s">
        <v>972</v>
      </c>
      <c r="D452" s="71">
        <v>34818.550000000003</v>
      </c>
      <c r="E452" s="68">
        <f t="shared" si="18"/>
        <v>1.5803712727672677E-3</v>
      </c>
      <c r="F452" s="72">
        <v>2.3399999999999997E-2</v>
      </c>
      <c r="G452" s="72">
        <v>6.5000000000000002E-2</v>
      </c>
      <c r="H452" s="49">
        <f t="shared" si="19"/>
        <v>8.9160500000000004E-2</v>
      </c>
      <c r="I452" s="50">
        <f t="shared" si="20"/>
        <v>1.4090669286556597E-4</v>
      </c>
    </row>
    <row r="453" spans="2:9" x14ac:dyDescent="0.2">
      <c r="B453" s="69" t="s">
        <v>973</v>
      </c>
      <c r="C453" s="70" t="s">
        <v>974</v>
      </c>
      <c r="D453" s="71">
        <v>11263.13</v>
      </c>
      <c r="E453" s="68">
        <f t="shared" si="18"/>
        <v>5.1121965427748119E-4</v>
      </c>
      <c r="F453" s="72">
        <v>1.4800000000000001E-2</v>
      </c>
      <c r="G453" s="72">
        <v>0.105</v>
      </c>
      <c r="H453" s="49">
        <f t="shared" si="19"/>
        <v>0.12057699999999999</v>
      </c>
      <c r="I453" s="50">
        <f t="shared" si="20"/>
        <v>6.1641332253815838E-5</v>
      </c>
    </row>
    <row r="454" spans="2:9" x14ac:dyDescent="0.2">
      <c r="B454" s="69" t="s">
        <v>975</v>
      </c>
      <c r="C454" s="70" t="s">
        <v>976</v>
      </c>
      <c r="D454" s="71">
        <v>23464.26</v>
      </c>
      <c r="E454" s="68">
        <f t="shared" si="18"/>
        <v>1.0650139779152803E-3</v>
      </c>
      <c r="F454" s="72">
        <v>2.3399999999999997E-2</v>
      </c>
      <c r="G454" s="72">
        <v>7.0000000000000007E-2</v>
      </c>
      <c r="H454" s="49">
        <f t="shared" si="19"/>
        <v>9.4218999999999997E-2</v>
      </c>
      <c r="I454" s="50">
        <f t="shared" si="20"/>
        <v>1.0034455198519979E-4</v>
      </c>
    </row>
    <row r="455" spans="2:9" x14ac:dyDescent="0.2">
      <c r="B455" s="69" t="s">
        <v>977</v>
      </c>
      <c r="C455" s="70" t="s">
        <v>978</v>
      </c>
      <c r="D455" s="71">
        <v>16968.84</v>
      </c>
      <c r="E455" s="68">
        <f t="shared" si="18"/>
        <v>7.701948320129391E-4</v>
      </c>
      <c r="F455" s="72">
        <v>5.6000000000000008E-3</v>
      </c>
      <c r="G455" s="72">
        <v>0.115</v>
      </c>
      <c r="H455" s="49">
        <f t="shared" si="19"/>
        <v>0.120922</v>
      </c>
      <c r="I455" s="50">
        <f t="shared" si="20"/>
        <v>9.313349947666862E-5</v>
      </c>
    </row>
    <row r="456" spans="2:9" x14ac:dyDescent="0.2">
      <c r="B456" s="69" t="s">
        <v>979</v>
      </c>
      <c r="C456" s="70" t="s">
        <v>980</v>
      </c>
      <c r="D456" s="71">
        <v>9998.64</v>
      </c>
      <c r="E456" s="68">
        <f t="shared" si="18"/>
        <v>4.5382600432073453E-4</v>
      </c>
      <c r="F456" s="72">
        <v>0</v>
      </c>
      <c r="G456" s="72">
        <v>0.29499999999999998</v>
      </c>
      <c r="H456" s="49">
        <f t="shared" si="19"/>
        <v>0.29499999999999998</v>
      </c>
      <c r="I456" s="50">
        <f t="shared" si="20"/>
        <v>1.3387867127461668E-4</v>
      </c>
    </row>
    <row r="457" spans="2:9" x14ac:dyDescent="0.2">
      <c r="B457" s="69" t="s">
        <v>981</v>
      </c>
      <c r="C457" s="70" t="s">
        <v>982</v>
      </c>
      <c r="D457" s="71">
        <v>22903.34</v>
      </c>
      <c r="E457" s="68" t="str">
        <f t="shared" si="18"/>
        <v>N/A</v>
      </c>
      <c r="F457" s="72">
        <v>0</v>
      </c>
      <c r="G457" s="72" t="s">
        <v>104</v>
      </c>
      <c r="H457" s="49" t="str">
        <f t="shared" si="19"/>
        <v>N/A</v>
      </c>
      <c r="I457" s="50" t="str">
        <f t="shared" si="20"/>
        <v>N/A</v>
      </c>
    </row>
    <row r="458" spans="2:9" x14ac:dyDescent="0.2">
      <c r="B458" s="69" t="s">
        <v>983</v>
      </c>
      <c r="C458" s="70" t="s">
        <v>984</v>
      </c>
      <c r="D458" s="71">
        <v>99193.49</v>
      </c>
      <c r="E458" s="68">
        <f t="shared" si="18"/>
        <v>4.5022708309658856E-3</v>
      </c>
      <c r="F458" s="72">
        <v>2.9399999999999999E-2</v>
      </c>
      <c r="G458" s="72">
        <v>0.125</v>
      </c>
      <c r="H458" s="49">
        <f t="shared" si="19"/>
        <v>0.1562375</v>
      </c>
      <c r="I458" s="50">
        <f t="shared" si="20"/>
        <v>7.034235389530326E-4</v>
      </c>
    </row>
    <row r="459" spans="2:9" x14ac:dyDescent="0.2">
      <c r="B459" s="69" t="s">
        <v>985</v>
      </c>
      <c r="C459" s="70" t="s">
        <v>986</v>
      </c>
      <c r="D459" s="71">
        <v>12608.53</v>
      </c>
      <c r="E459" s="68">
        <f t="shared" si="18"/>
        <v>5.7228570988235512E-4</v>
      </c>
      <c r="F459" s="72">
        <v>1.5E-3</v>
      </c>
      <c r="G459" s="72">
        <v>0.15</v>
      </c>
      <c r="H459" s="49">
        <f t="shared" si="19"/>
        <v>0.15161249999999998</v>
      </c>
      <c r="I459" s="50">
        <f t="shared" si="20"/>
        <v>8.6765667189538562E-5</v>
      </c>
    </row>
    <row r="460" spans="2:9" x14ac:dyDescent="0.2">
      <c r="B460" s="69" t="s">
        <v>987</v>
      </c>
      <c r="C460" s="70" t="s">
        <v>988</v>
      </c>
      <c r="D460" s="71">
        <v>9706.24</v>
      </c>
      <c r="E460" s="68">
        <f t="shared" ref="E460:E511" si="21">IF(OR(H460="N/A",D460="N/A"),"N/A",D460/$D$512)</f>
        <v>4.4055432700628149E-4</v>
      </c>
      <c r="F460" s="72">
        <v>0</v>
      </c>
      <c r="G460" s="72">
        <v>0.115</v>
      </c>
      <c r="H460" s="49">
        <f t="shared" ref="H460:H511" si="22">IFERROR(F460*(1+0.5*G460)+G460,"N/A")</f>
        <v>0.115</v>
      </c>
      <c r="I460" s="50">
        <f t="shared" ref="I460:I511" si="23">IF(AND(ISNUMBER(D460),ISNUMBER(H460)),E460*H460,"N/A")</f>
        <v>5.0663747605722371E-5</v>
      </c>
    </row>
    <row r="461" spans="2:9" x14ac:dyDescent="0.2">
      <c r="B461" s="69" t="s">
        <v>989</v>
      </c>
      <c r="C461" s="70" t="s">
        <v>990</v>
      </c>
      <c r="D461" s="71">
        <v>22508.25</v>
      </c>
      <c r="E461" s="68">
        <f t="shared" si="21"/>
        <v>1.0216218567477349E-3</v>
      </c>
      <c r="F461" s="72">
        <v>0</v>
      </c>
      <c r="G461" s="72">
        <v>8.5000000000000006E-2</v>
      </c>
      <c r="H461" s="49">
        <f t="shared" si="22"/>
        <v>8.5000000000000006E-2</v>
      </c>
      <c r="I461" s="50">
        <f t="shared" si="23"/>
        <v>8.6837857823557476E-5</v>
      </c>
    </row>
    <row r="462" spans="2:9" x14ac:dyDescent="0.2">
      <c r="B462" s="69" t="s">
        <v>991</v>
      </c>
      <c r="C462" s="70" t="s">
        <v>992</v>
      </c>
      <c r="D462" s="71">
        <v>11960.93</v>
      </c>
      <c r="E462" s="68">
        <f t="shared" si="21"/>
        <v>5.428919402898798E-4</v>
      </c>
      <c r="F462" s="72">
        <v>2.8900000000000002E-2</v>
      </c>
      <c r="G462" s="72">
        <v>-2.5000000000000001E-2</v>
      </c>
      <c r="H462" s="49">
        <f t="shared" si="22"/>
        <v>3.5387500000000002E-3</v>
      </c>
      <c r="I462" s="50">
        <f t="shared" si="23"/>
        <v>1.9211588537008122E-6</v>
      </c>
    </row>
    <row r="463" spans="2:9" x14ac:dyDescent="0.2">
      <c r="B463" s="69" t="s">
        <v>993</v>
      </c>
      <c r="C463" s="70" t="s">
        <v>994</v>
      </c>
      <c r="D463" s="71">
        <v>11982.15</v>
      </c>
      <c r="E463" s="68">
        <f t="shared" si="21"/>
        <v>5.4385509005941705E-4</v>
      </c>
      <c r="F463" s="72">
        <v>3.0999999999999999E-3</v>
      </c>
      <c r="G463" s="72">
        <v>0.105</v>
      </c>
      <c r="H463" s="49">
        <f t="shared" si="22"/>
        <v>0.10826274999999999</v>
      </c>
      <c r="I463" s="50">
        <f t="shared" si="23"/>
        <v>5.8879247651330151E-5</v>
      </c>
    </row>
    <row r="464" spans="2:9" x14ac:dyDescent="0.2">
      <c r="B464" s="69" t="s">
        <v>995</v>
      </c>
      <c r="C464" s="70" t="s">
        <v>996</v>
      </c>
      <c r="D464" s="71">
        <v>18162.36</v>
      </c>
      <c r="E464" s="68">
        <f t="shared" si="21"/>
        <v>8.2436724072821265E-4</v>
      </c>
      <c r="F464" s="72">
        <v>0</v>
      </c>
      <c r="G464" s="72">
        <v>0.2</v>
      </c>
      <c r="H464" s="49">
        <f t="shared" si="22"/>
        <v>0.2</v>
      </c>
      <c r="I464" s="50">
        <f t="shared" si="23"/>
        <v>1.6487344814564254E-4</v>
      </c>
    </row>
    <row r="465" spans="2:9" x14ac:dyDescent="0.2">
      <c r="B465" s="69" t="s">
        <v>997</v>
      </c>
      <c r="C465" s="70" t="s">
        <v>998</v>
      </c>
      <c r="D465" s="71">
        <v>227232</v>
      </c>
      <c r="E465" s="68">
        <f t="shared" si="21"/>
        <v>1.031378173569697E-2</v>
      </c>
      <c r="F465" s="72">
        <v>1.52E-2</v>
      </c>
      <c r="G465" s="72">
        <v>0.13500000000000001</v>
      </c>
      <c r="H465" s="49">
        <f t="shared" si="22"/>
        <v>0.151226</v>
      </c>
      <c r="I465" s="50">
        <f t="shared" si="23"/>
        <v>1.55971195676251E-3</v>
      </c>
    </row>
    <row r="466" spans="2:9" x14ac:dyDescent="0.2">
      <c r="B466" s="69" t="s">
        <v>999</v>
      </c>
      <c r="C466" s="70" t="s">
        <v>1000</v>
      </c>
      <c r="D466" s="71">
        <v>7891.53</v>
      </c>
      <c r="E466" s="68">
        <f t="shared" si="21"/>
        <v>3.58186866201524E-4</v>
      </c>
      <c r="F466" s="72">
        <v>2.8799999999999999E-2</v>
      </c>
      <c r="G466" s="72">
        <v>9.5000000000000001E-2</v>
      </c>
      <c r="H466" s="49">
        <f t="shared" si="22"/>
        <v>0.125168</v>
      </c>
      <c r="I466" s="50">
        <f t="shared" si="23"/>
        <v>4.483353366871236E-5</v>
      </c>
    </row>
    <row r="467" spans="2:9" x14ac:dyDescent="0.2">
      <c r="B467" s="69" t="s">
        <v>1001</v>
      </c>
      <c r="C467" s="70" t="s">
        <v>1002</v>
      </c>
      <c r="D467" s="71">
        <v>121646.2</v>
      </c>
      <c r="E467" s="68">
        <f t="shared" si="21"/>
        <v>5.5213717952442469E-3</v>
      </c>
      <c r="F467" s="72">
        <v>2.1299999999999999E-2</v>
      </c>
      <c r="G467" s="72">
        <v>0.14499999999999999</v>
      </c>
      <c r="H467" s="49">
        <f t="shared" si="22"/>
        <v>0.16784425</v>
      </c>
      <c r="I467" s="50">
        <f t="shared" si="23"/>
        <v>9.2673050794392418E-4</v>
      </c>
    </row>
    <row r="468" spans="2:9" x14ac:dyDescent="0.2">
      <c r="B468" s="69" t="s">
        <v>1003</v>
      </c>
      <c r="C468" s="70" t="s">
        <v>1004</v>
      </c>
      <c r="D468" s="71">
        <v>91792.74</v>
      </c>
      <c r="E468" s="68">
        <f t="shared" si="21"/>
        <v>4.1663598669271088E-3</v>
      </c>
      <c r="F468" s="72">
        <v>3.6299999999999999E-2</v>
      </c>
      <c r="G468" s="72">
        <v>8.5000000000000006E-2</v>
      </c>
      <c r="H468" s="49">
        <f t="shared" si="22"/>
        <v>0.12284275</v>
      </c>
      <c r="I468" s="50">
        <f t="shared" si="23"/>
        <v>5.118071035429601E-4</v>
      </c>
    </row>
    <row r="469" spans="2:9" x14ac:dyDescent="0.2">
      <c r="B469" s="69" t="s">
        <v>1005</v>
      </c>
      <c r="C469" s="70" t="s">
        <v>1006</v>
      </c>
      <c r="D469" s="71">
        <v>10110.32</v>
      </c>
      <c r="E469" s="68">
        <f t="shared" si="21"/>
        <v>4.5889502252346407E-4</v>
      </c>
      <c r="F469" s="72">
        <v>0</v>
      </c>
      <c r="G469" s="72">
        <v>0.17</v>
      </c>
      <c r="H469" s="49">
        <f t="shared" si="22"/>
        <v>0.17</v>
      </c>
      <c r="I469" s="50">
        <f t="shared" si="23"/>
        <v>7.8012153828988892E-5</v>
      </c>
    </row>
    <row r="470" spans="2:9" x14ac:dyDescent="0.2">
      <c r="B470" s="69" t="s">
        <v>1007</v>
      </c>
      <c r="C470" s="70" t="s">
        <v>1008</v>
      </c>
      <c r="D470" s="71">
        <v>82256.33</v>
      </c>
      <c r="E470" s="68">
        <f t="shared" si="21"/>
        <v>3.7335139152912564E-3</v>
      </c>
      <c r="F470" s="72">
        <v>3.04E-2</v>
      </c>
      <c r="G470" s="72">
        <v>7.0000000000000007E-2</v>
      </c>
      <c r="H470" s="49">
        <f t="shared" si="22"/>
        <v>0.101464</v>
      </c>
      <c r="I470" s="50">
        <f t="shared" si="23"/>
        <v>3.7881725590111203E-4</v>
      </c>
    </row>
    <row r="471" spans="2:9" x14ac:dyDescent="0.2">
      <c r="B471" s="69" t="s">
        <v>1009</v>
      </c>
      <c r="C471" s="70" t="s">
        <v>1010</v>
      </c>
      <c r="D471" s="71">
        <v>99690.48</v>
      </c>
      <c r="E471" s="68">
        <f t="shared" si="21"/>
        <v>4.5248285974108576E-3</v>
      </c>
      <c r="F471" s="72">
        <v>2.3599999999999999E-2</v>
      </c>
      <c r="G471" s="72">
        <v>9.5000000000000001E-2</v>
      </c>
      <c r="H471" s="49">
        <f t="shared" si="22"/>
        <v>0.11972100000000001</v>
      </c>
      <c r="I471" s="50">
        <f t="shared" si="23"/>
        <v>5.4171700451062532E-4</v>
      </c>
    </row>
    <row r="472" spans="2:9" x14ac:dyDescent="0.2">
      <c r="B472" s="69" t="s">
        <v>1011</v>
      </c>
      <c r="C472" s="70" t="s">
        <v>1012</v>
      </c>
      <c r="D472" s="71">
        <v>295275.09999999998</v>
      </c>
      <c r="E472" s="68">
        <f t="shared" si="21"/>
        <v>1.3402174576582947E-2</v>
      </c>
      <c r="F472" s="72">
        <v>7.4000000000000003E-3</v>
      </c>
      <c r="G472" s="72">
        <v>0.14499999999999999</v>
      </c>
      <c r="H472" s="49">
        <f t="shared" si="22"/>
        <v>0.1529365</v>
      </c>
      <c r="I472" s="50">
        <f t="shared" si="23"/>
        <v>2.0496816721315781E-3</v>
      </c>
    </row>
    <row r="473" spans="2:9" x14ac:dyDescent="0.2">
      <c r="B473" s="69" t="s">
        <v>1013</v>
      </c>
      <c r="C473" s="70" t="s">
        <v>1014</v>
      </c>
      <c r="D473" s="71">
        <v>12124.13</v>
      </c>
      <c r="E473" s="68">
        <f t="shared" si="21"/>
        <v>5.5029938809329543E-4</v>
      </c>
      <c r="F473" s="72">
        <v>0</v>
      </c>
      <c r="G473" s="72">
        <v>9.5000000000000001E-2</v>
      </c>
      <c r="H473" s="49">
        <f t="shared" si="22"/>
        <v>9.5000000000000001E-2</v>
      </c>
      <c r="I473" s="50">
        <f t="shared" si="23"/>
        <v>5.2278441868863063E-5</v>
      </c>
    </row>
    <row r="474" spans="2:9" x14ac:dyDescent="0.2">
      <c r="B474" s="69" t="s">
        <v>1015</v>
      </c>
      <c r="C474" s="70" t="s">
        <v>1016</v>
      </c>
      <c r="D474" s="71">
        <v>33615.120000000003</v>
      </c>
      <c r="E474" s="68">
        <f t="shared" si="21"/>
        <v>1.525749061308539E-3</v>
      </c>
      <c r="F474" s="72">
        <v>2.4E-2</v>
      </c>
      <c r="G474" s="72">
        <v>0.12</v>
      </c>
      <c r="H474" s="49">
        <f t="shared" si="22"/>
        <v>0.14543999999999999</v>
      </c>
      <c r="I474" s="50">
        <f t="shared" si="23"/>
        <v>2.2190494347671389E-4</v>
      </c>
    </row>
    <row r="475" spans="2:9" x14ac:dyDescent="0.2">
      <c r="B475" s="69" t="s">
        <v>1017</v>
      </c>
      <c r="C475" s="70" t="s">
        <v>1018</v>
      </c>
      <c r="D475" s="71">
        <v>11742.3</v>
      </c>
      <c r="E475" s="68">
        <f t="shared" si="21"/>
        <v>5.3296859278215451E-4</v>
      </c>
      <c r="F475" s="72">
        <v>2.75E-2</v>
      </c>
      <c r="G475" s="72">
        <v>0.04</v>
      </c>
      <c r="H475" s="49">
        <f t="shared" si="22"/>
        <v>6.8049999999999999E-2</v>
      </c>
      <c r="I475" s="50">
        <f t="shared" si="23"/>
        <v>3.6268512738825613E-5</v>
      </c>
    </row>
    <row r="476" spans="2:9" x14ac:dyDescent="0.2">
      <c r="B476" s="69" t="s">
        <v>1019</v>
      </c>
      <c r="C476" s="70" t="s">
        <v>1020</v>
      </c>
      <c r="D476" s="71">
        <v>34222.22</v>
      </c>
      <c r="E476" s="68">
        <f t="shared" si="21"/>
        <v>1.5533045855821521E-3</v>
      </c>
      <c r="F476" s="72">
        <v>4.4699999999999997E-2</v>
      </c>
      <c r="G476" s="72">
        <v>0.09</v>
      </c>
      <c r="H476" s="49">
        <f t="shared" si="22"/>
        <v>0.13671149999999999</v>
      </c>
      <c r="I476" s="50">
        <f t="shared" si="23"/>
        <v>2.1235459985181437E-4</v>
      </c>
    </row>
    <row r="477" spans="2:9" x14ac:dyDescent="0.2">
      <c r="B477" s="69" t="s">
        <v>1021</v>
      </c>
      <c r="C477" s="70" t="s">
        <v>1022</v>
      </c>
      <c r="D477" s="71">
        <v>15032.73</v>
      </c>
      <c r="E477" s="68">
        <f t="shared" si="21"/>
        <v>6.8231717412892514E-4</v>
      </c>
      <c r="F477" s="72">
        <v>1.09E-2</v>
      </c>
      <c r="G477" s="72">
        <v>0.18</v>
      </c>
      <c r="H477" s="49">
        <f t="shared" si="22"/>
        <v>0.191881</v>
      </c>
      <c r="I477" s="50">
        <f t="shared" si="23"/>
        <v>1.3092370168903228E-4</v>
      </c>
    </row>
    <row r="478" spans="2:9" x14ac:dyDescent="0.2">
      <c r="B478" s="69" t="s">
        <v>1023</v>
      </c>
      <c r="C478" s="70" t="s">
        <v>1024</v>
      </c>
      <c r="D478" s="71">
        <v>12861.43</v>
      </c>
      <c r="E478" s="68">
        <f t="shared" si="21"/>
        <v>5.8376453065125109E-4</v>
      </c>
      <c r="F478" s="72">
        <v>3.9100000000000003E-2</v>
      </c>
      <c r="G478" s="72">
        <v>-5.5E-2</v>
      </c>
      <c r="H478" s="49">
        <f t="shared" si="22"/>
        <v>-1.6975249999999997E-2</v>
      </c>
      <c r="I478" s="50">
        <f t="shared" si="23"/>
        <v>-9.9095488489376484E-6</v>
      </c>
    </row>
    <row r="479" spans="2:9" x14ac:dyDescent="0.2">
      <c r="B479" s="69" t="s">
        <v>1025</v>
      </c>
      <c r="C479" s="70" t="s">
        <v>1026</v>
      </c>
      <c r="D479" s="71">
        <v>20861.78</v>
      </c>
      <c r="E479" s="68">
        <f t="shared" si="21"/>
        <v>9.4689060316385158E-4</v>
      </c>
      <c r="F479" s="72">
        <v>7.9000000000000008E-3</v>
      </c>
      <c r="G479" s="72">
        <v>9.5000000000000001E-2</v>
      </c>
      <c r="H479" s="49">
        <f t="shared" si="22"/>
        <v>0.10327525</v>
      </c>
      <c r="I479" s="50">
        <f t="shared" si="23"/>
        <v>9.7790363764397562E-5</v>
      </c>
    </row>
    <row r="480" spans="2:9" x14ac:dyDescent="0.2">
      <c r="B480" s="69" t="s">
        <v>1027</v>
      </c>
      <c r="C480" s="70" t="s">
        <v>1028</v>
      </c>
      <c r="D480" s="71">
        <v>21305.37</v>
      </c>
      <c r="E480" s="68">
        <f t="shared" si="21"/>
        <v>9.6702460911432433E-4</v>
      </c>
      <c r="F480" s="72">
        <v>0</v>
      </c>
      <c r="G480" s="72">
        <v>0.12</v>
      </c>
      <c r="H480" s="49">
        <f t="shared" si="22"/>
        <v>0.12</v>
      </c>
      <c r="I480" s="50">
        <f t="shared" si="23"/>
        <v>1.1604295309371892E-4</v>
      </c>
    </row>
    <row r="481" spans="2:9" x14ac:dyDescent="0.2">
      <c r="B481" s="69" t="s">
        <v>1029</v>
      </c>
      <c r="C481" s="70" t="s">
        <v>1030</v>
      </c>
      <c r="D481" s="71">
        <v>45654.68</v>
      </c>
      <c r="E481" s="68" t="str">
        <f t="shared" si="21"/>
        <v>N/A</v>
      </c>
      <c r="F481" s="72">
        <v>0</v>
      </c>
      <c r="G481" s="72" t="s">
        <v>104</v>
      </c>
      <c r="H481" s="49" t="str">
        <f t="shared" si="22"/>
        <v>N/A</v>
      </c>
      <c r="I481" s="50" t="str">
        <f t="shared" si="23"/>
        <v>N/A</v>
      </c>
    </row>
    <row r="482" spans="2:9" x14ac:dyDescent="0.2">
      <c r="B482" s="69" t="s">
        <v>1031</v>
      </c>
      <c r="C482" s="70" t="s">
        <v>1032</v>
      </c>
      <c r="D482" s="71">
        <v>21964.76</v>
      </c>
      <c r="E482" s="68">
        <f t="shared" si="21"/>
        <v>9.969535123440685E-4</v>
      </c>
      <c r="F482" s="72">
        <v>5.2400000000000002E-2</v>
      </c>
      <c r="G482" s="72">
        <v>3.5000000000000003E-2</v>
      </c>
      <c r="H482" s="49">
        <f t="shared" si="22"/>
        <v>8.8317000000000007E-2</v>
      </c>
      <c r="I482" s="50">
        <f t="shared" si="23"/>
        <v>8.8047943349691107E-5</v>
      </c>
    </row>
    <row r="483" spans="2:9" x14ac:dyDescent="0.2">
      <c r="B483" s="69" t="s">
        <v>1033</v>
      </c>
      <c r="C483" s="70" t="s">
        <v>1034</v>
      </c>
      <c r="D483" s="71">
        <v>232632.5</v>
      </c>
      <c r="E483" s="68">
        <f t="shared" si="21"/>
        <v>1.0558903805931935E-2</v>
      </c>
      <c r="F483" s="72">
        <v>4.2999999999999997E-2</v>
      </c>
      <c r="G483" s="72">
        <v>4.4999999999999998E-2</v>
      </c>
      <c r="H483" s="49">
        <f t="shared" si="22"/>
        <v>8.8967499999999991E-2</v>
      </c>
      <c r="I483" s="50">
        <f t="shared" si="23"/>
        <v>9.3939927435424933E-4</v>
      </c>
    </row>
    <row r="484" spans="2:9" x14ac:dyDescent="0.2">
      <c r="B484" s="69" t="s">
        <v>1035</v>
      </c>
      <c r="C484" s="70" t="s">
        <v>1036</v>
      </c>
      <c r="D484" s="71">
        <v>6736.41</v>
      </c>
      <c r="E484" s="68">
        <f t="shared" si="21"/>
        <v>3.0575738638117177E-4</v>
      </c>
      <c r="F484" s="72">
        <v>6.8999999999999999E-3</v>
      </c>
      <c r="G484" s="72">
        <v>0.1</v>
      </c>
      <c r="H484" s="49">
        <f t="shared" si="22"/>
        <v>0.10724500000000001</v>
      </c>
      <c r="I484" s="50">
        <f t="shared" si="23"/>
        <v>3.2790950902448772E-5</v>
      </c>
    </row>
    <row r="485" spans="2:9" x14ac:dyDescent="0.2">
      <c r="B485" s="69" t="s">
        <v>1037</v>
      </c>
      <c r="C485" s="70" t="s">
        <v>1038</v>
      </c>
      <c r="D485" s="71">
        <v>18051.759999999998</v>
      </c>
      <c r="E485" s="68">
        <f t="shared" si="21"/>
        <v>8.1934724240065272E-4</v>
      </c>
      <c r="F485" s="72">
        <v>0</v>
      </c>
      <c r="G485" s="72">
        <v>0.11</v>
      </c>
      <c r="H485" s="49">
        <f t="shared" si="22"/>
        <v>0.11</v>
      </c>
      <c r="I485" s="50">
        <f t="shared" si="23"/>
        <v>9.0128196664071802E-5</v>
      </c>
    </row>
    <row r="486" spans="2:9" x14ac:dyDescent="0.2">
      <c r="B486" s="69" t="s">
        <v>1039</v>
      </c>
      <c r="C486" s="70" t="s">
        <v>1040</v>
      </c>
      <c r="D486" s="71">
        <v>56408.58</v>
      </c>
      <c r="E486" s="68">
        <f t="shared" si="21"/>
        <v>2.5603162500906626E-3</v>
      </c>
      <c r="F486" s="72">
        <v>2.9399999999999999E-2</v>
      </c>
      <c r="G486" s="72">
        <v>0.1</v>
      </c>
      <c r="H486" s="49">
        <f t="shared" si="22"/>
        <v>0.13087000000000001</v>
      </c>
      <c r="I486" s="50">
        <f t="shared" si="23"/>
        <v>3.3506858764936504E-4</v>
      </c>
    </row>
    <row r="487" spans="2:9" x14ac:dyDescent="0.2">
      <c r="B487" s="69" t="s">
        <v>1041</v>
      </c>
      <c r="C487" s="70" t="s">
        <v>1042</v>
      </c>
      <c r="D487" s="71">
        <v>11783.78</v>
      </c>
      <c r="E487" s="68">
        <f t="shared" si="21"/>
        <v>5.3485131909885599E-4</v>
      </c>
      <c r="F487" s="72">
        <v>0</v>
      </c>
      <c r="G487" s="72">
        <v>0.23</v>
      </c>
      <c r="H487" s="49">
        <f t="shared" si="22"/>
        <v>0.23</v>
      </c>
      <c r="I487" s="50">
        <f t="shared" si="23"/>
        <v>1.2301580339273689E-4</v>
      </c>
    </row>
    <row r="488" spans="2:9" x14ac:dyDescent="0.2">
      <c r="B488" s="69" t="s">
        <v>1043</v>
      </c>
      <c r="C488" s="70" t="s">
        <v>1044</v>
      </c>
      <c r="D488" s="71">
        <v>13674.09</v>
      </c>
      <c r="E488" s="68">
        <f t="shared" si="21"/>
        <v>6.2065017116548981E-4</v>
      </c>
      <c r="F488" s="72">
        <v>4.2599999999999999E-2</v>
      </c>
      <c r="G488" s="72">
        <v>1.4999999999999999E-2</v>
      </c>
      <c r="H488" s="49">
        <f t="shared" si="22"/>
        <v>5.7919499999999999E-2</v>
      </c>
      <c r="I488" s="50">
        <f t="shared" si="23"/>
        <v>3.5947747588819585E-5</v>
      </c>
    </row>
    <row r="489" spans="2:9" x14ac:dyDescent="0.2">
      <c r="B489" s="69" t="s">
        <v>1045</v>
      </c>
      <c r="C489" s="70" t="s">
        <v>72</v>
      </c>
      <c r="D489" s="71">
        <v>24241.63</v>
      </c>
      <c r="E489" s="68">
        <f t="shared" si="21"/>
        <v>1.100297848619577E-3</v>
      </c>
      <c r="F489" s="72">
        <v>3.1200000000000002E-2</v>
      </c>
      <c r="G489" s="72">
        <v>0.06</v>
      </c>
      <c r="H489" s="49">
        <f t="shared" si="22"/>
        <v>9.2135999999999996E-2</v>
      </c>
      <c r="I489" s="50">
        <f t="shared" si="23"/>
        <v>1.0137704258041335E-4</v>
      </c>
    </row>
    <row r="490" spans="2:9" x14ac:dyDescent="0.2">
      <c r="B490" s="69" t="s">
        <v>1046</v>
      </c>
      <c r="C490" s="70" t="s">
        <v>1047</v>
      </c>
      <c r="D490" s="71">
        <v>27916.92</v>
      </c>
      <c r="E490" s="68">
        <f t="shared" si="21"/>
        <v>1.2671147532606034E-3</v>
      </c>
      <c r="F490" s="72">
        <v>4.7400000000000005E-2</v>
      </c>
      <c r="G490" s="72">
        <v>8.5000000000000006E-2</v>
      </c>
      <c r="H490" s="49">
        <f t="shared" si="22"/>
        <v>0.13441450000000002</v>
      </c>
      <c r="I490" s="50">
        <f t="shared" si="23"/>
        <v>1.7031859600214741E-4</v>
      </c>
    </row>
    <row r="491" spans="2:9" x14ac:dyDescent="0.2">
      <c r="B491" s="69" t="s">
        <v>1048</v>
      </c>
      <c r="C491" s="70" t="s">
        <v>1049</v>
      </c>
      <c r="D491" s="71">
        <v>234070.39999999999</v>
      </c>
      <c r="E491" s="68">
        <f t="shared" si="21"/>
        <v>1.0624168323067543E-2</v>
      </c>
      <c r="F491" s="72">
        <v>3.6799999999999999E-2</v>
      </c>
      <c r="G491" s="72">
        <v>0.06</v>
      </c>
      <c r="H491" s="49">
        <f t="shared" si="22"/>
        <v>9.7903999999999991E-2</v>
      </c>
      <c r="I491" s="50">
        <f t="shared" si="23"/>
        <v>1.0401485755016046E-3</v>
      </c>
    </row>
    <row r="492" spans="2:9" x14ac:dyDescent="0.2">
      <c r="B492" s="69" t="s">
        <v>1050</v>
      </c>
      <c r="C492" s="70" t="s">
        <v>1051</v>
      </c>
      <c r="D492" s="71">
        <v>8797.44</v>
      </c>
      <c r="E492" s="68">
        <f t="shared" si="21"/>
        <v>3.9930500982647674E-4</v>
      </c>
      <c r="F492" s="72">
        <v>3.3500000000000002E-2</v>
      </c>
      <c r="G492" s="72">
        <v>0.08</v>
      </c>
      <c r="H492" s="49">
        <f t="shared" si="22"/>
        <v>0.11484</v>
      </c>
      <c r="I492" s="50">
        <f t="shared" si="23"/>
        <v>4.5856187328472588E-5</v>
      </c>
    </row>
    <row r="493" spans="2:9" x14ac:dyDescent="0.2">
      <c r="B493" s="69" t="s">
        <v>1052</v>
      </c>
      <c r="C493" s="70" t="s">
        <v>1053</v>
      </c>
      <c r="D493" s="71">
        <v>22101.32</v>
      </c>
      <c r="E493" s="68" t="str">
        <f t="shared" si="21"/>
        <v>N/A</v>
      </c>
      <c r="F493" s="72">
        <v>1.5300000000000001E-2</v>
      </c>
      <c r="G493" s="72" t="s">
        <v>104</v>
      </c>
      <c r="H493" s="49" t="str">
        <f t="shared" si="22"/>
        <v>N/A</v>
      </c>
      <c r="I493" s="50" t="str">
        <f t="shared" si="23"/>
        <v>N/A</v>
      </c>
    </row>
    <row r="494" spans="2:9" x14ac:dyDescent="0.2">
      <c r="B494" s="69" t="s">
        <v>1054</v>
      </c>
      <c r="C494" s="70" t="s">
        <v>1055</v>
      </c>
      <c r="D494" s="71">
        <v>42584.36</v>
      </c>
      <c r="E494" s="68">
        <f t="shared" si="21"/>
        <v>1.9328518623888565E-3</v>
      </c>
      <c r="F494" s="72">
        <v>2.06E-2</v>
      </c>
      <c r="G494" s="72">
        <v>0.09</v>
      </c>
      <c r="H494" s="49">
        <f t="shared" si="22"/>
        <v>0.11152699999999999</v>
      </c>
      <c r="I494" s="50">
        <f t="shared" si="23"/>
        <v>2.1556516965664198E-4</v>
      </c>
    </row>
    <row r="495" spans="2:9" x14ac:dyDescent="0.2">
      <c r="B495" s="69" t="s">
        <v>1056</v>
      </c>
      <c r="C495" s="70" t="s">
        <v>1057</v>
      </c>
      <c r="D495" s="71">
        <v>32612</v>
      </c>
      <c r="E495" s="68">
        <f t="shared" si="21"/>
        <v>1.4802186750305837E-3</v>
      </c>
      <c r="F495" s="72">
        <v>5.6399999999999999E-2</v>
      </c>
      <c r="G495" s="72">
        <v>0.19</v>
      </c>
      <c r="H495" s="49">
        <f t="shared" si="22"/>
        <v>0.25175799999999998</v>
      </c>
      <c r="I495" s="50">
        <f t="shared" si="23"/>
        <v>3.7265689318834963E-4</v>
      </c>
    </row>
    <row r="496" spans="2:9" x14ac:dyDescent="0.2">
      <c r="B496" s="69" t="s">
        <v>1058</v>
      </c>
      <c r="C496" s="70" t="s">
        <v>1059</v>
      </c>
      <c r="D496" s="71">
        <v>283117.59999999998</v>
      </c>
      <c r="E496" s="68">
        <f t="shared" si="21"/>
        <v>1.2850360565124456E-2</v>
      </c>
      <c r="F496" s="72">
        <v>2.18E-2</v>
      </c>
      <c r="G496" s="72">
        <v>7.0000000000000007E-2</v>
      </c>
      <c r="H496" s="49">
        <f t="shared" si="22"/>
        <v>9.2563000000000006E-2</v>
      </c>
      <c r="I496" s="50">
        <f t="shared" si="23"/>
        <v>1.1894679249896151E-3</v>
      </c>
    </row>
    <row r="497" spans="2:9" x14ac:dyDescent="0.2">
      <c r="B497" s="69" t="s">
        <v>1060</v>
      </c>
      <c r="C497" s="70" t="s">
        <v>1061</v>
      </c>
      <c r="D497" s="71">
        <v>9547.0300000000007</v>
      </c>
      <c r="E497" s="68">
        <f t="shared" si="21"/>
        <v>4.3332798040835379E-4</v>
      </c>
      <c r="F497" s="72">
        <v>4.87E-2</v>
      </c>
      <c r="G497" s="72">
        <v>0.14499999999999999</v>
      </c>
      <c r="H497" s="49">
        <f t="shared" si="22"/>
        <v>0.19723074999999998</v>
      </c>
      <c r="I497" s="50">
        <f t="shared" si="23"/>
        <v>8.5465602571924916E-5</v>
      </c>
    </row>
    <row r="498" spans="2:9" x14ac:dyDescent="0.2">
      <c r="B498" s="69" t="s">
        <v>1062</v>
      </c>
      <c r="C498" s="70" t="s">
        <v>1063</v>
      </c>
      <c r="D498" s="71">
        <v>7857.93</v>
      </c>
      <c r="E498" s="68">
        <f t="shared" si="21"/>
        <v>3.5666180341846791E-4</v>
      </c>
      <c r="F498" s="72">
        <v>4.5199999999999997E-2</v>
      </c>
      <c r="G498" s="72">
        <v>7.0000000000000007E-2</v>
      </c>
      <c r="H498" s="49">
        <f t="shared" si="22"/>
        <v>0.116782</v>
      </c>
      <c r="I498" s="50">
        <f t="shared" si="23"/>
        <v>4.1651678726815519E-5</v>
      </c>
    </row>
    <row r="499" spans="2:9" x14ac:dyDescent="0.2">
      <c r="B499" s="69" t="s">
        <v>1064</v>
      </c>
      <c r="C499" s="70" t="s">
        <v>1065</v>
      </c>
      <c r="D499" s="71">
        <v>18174.62</v>
      </c>
      <c r="E499" s="68">
        <f t="shared" si="21"/>
        <v>8.2492370708893491E-4</v>
      </c>
      <c r="F499" s="72">
        <v>5.5899999999999998E-2</v>
      </c>
      <c r="G499" s="72">
        <v>0.17499999999999999</v>
      </c>
      <c r="H499" s="49">
        <f t="shared" si="22"/>
        <v>0.23579124999999998</v>
      </c>
      <c r="I499" s="50">
        <f t="shared" si="23"/>
        <v>1.9450979204913382E-4</v>
      </c>
    </row>
    <row r="500" spans="2:9" x14ac:dyDescent="0.2">
      <c r="B500" s="69" t="s">
        <v>1066</v>
      </c>
      <c r="C500" s="70" t="s">
        <v>1067</v>
      </c>
      <c r="D500" s="71">
        <v>12903.11</v>
      </c>
      <c r="E500" s="68">
        <f t="shared" si="21"/>
        <v>5.856563347226136E-4</v>
      </c>
      <c r="F500" s="72">
        <v>2.53E-2</v>
      </c>
      <c r="G500" s="72">
        <v>0.2</v>
      </c>
      <c r="H500" s="49">
        <f t="shared" si="22"/>
        <v>0.22783</v>
      </c>
      <c r="I500" s="50">
        <f t="shared" si="23"/>
        <v>1.3343008273985306E-4</v>
      </c>
    </row>
    <row r="501" spans="2:9" x14ac:dyDescent="0.2">
      <c r="B501" s="69" t="s">
        <v>1068</v>
      </c>
      <c r="C501" s="70" t="s">
        <v>1069</v>
      </c>
      <c r="D501" s="71">
        <v>6825.1</v>
      </c>
      <c r="E501" s="68">
        <f t="shared" si="21"/>
        <v>3.0978291668561379E-4</v>
      </c>
      <c r="F501" s="72">
        <v>1.1200000000000002E-2</v>
      </c>
      <c r="G501" s="72">
        <v>0.32500000000000001</v>
      </c>
      <c r="H501" s="49">
        <f t="shared" si="22"/>
        <v>0.33801999999999999</v>
      </c>
      <c r="I501" s="50">
        <f t="shared" si="23"/>
        <v>1.0471282149807117E-4</v>
      </c>
    </row>
    <row r="502" spans="2:9" x14ac:dyDescent="0.2">
      <c r="B502" s="69" t="s">
        <v>1070</v>
      </c>
      <c r="C502" s="70" t="s">
        <v>74</v>
      </c>
      <c r="D502" s="71">
        <v>28498.36</v>
      </c>
      <c r="E502" s="68">
        <f t="shared" si="21"/>
        <v>1.2935056016112039E-3</v>
      </c>
      <c r="F502" s="72">
        <v>2.92E-2</v>
      </c>
      <c r="G502" s="72">
        <v>5.5E-2</v>
      </c>
      <c r="H502" s="49">
        <f t="shared" si="22"/>
        <v>8.5002999999999995E-2</v>
      </c>
      <c r="I502" s="50">
        <f t="shared" si="23"/>
        <v>1.0995185665375716E-4</v>
      </c>
    </row>
    <row r="503" spans="2:9" x14ac:dyDescent="0.2">
      <c r="B503" s="69" t="s">
        <v>1071</v>
      </c>
      <c r="C503" s="70" t="s">
        <v>1072</v>
      </c>
      <c r="D503" s="71">
        <v>30356.9</v>
      </c>
      <c r="E503" s="68">
        <f t="shared" si="21"/>
        <v>1.3778624523499304E-3</v>
      </c>
      <c r="F503" s="72">
        <v>1.2E-2</v>
      </c>
      <c r="G503" s="72">
        <v>0.11</v>
      </c>
      <c r="H503" s="49">
        <f t="shared" si="22"/>
        <v>0.12266000000000001</v>
      </c>
      <c r="I503" s="50">
        <f t="shared" si="23"/>
        <v>1.6900860840524248E-4</v>
      </c>
    </row>
    <row r="504" spans="2:9" x14ac:dyDescent="0.2">
      <c r="B504" s="69" t="s">
        <v>1073</v>
      </c>
      <c r="C504" s="70" t="s">
        <v>1074</v>
      </c>
      <c r="D504" s="71">
        <v>339397.5</v>
      </c>
      <c r="E504" s="68">
        <f t="shared" si="21"/>
        <v>1.54048361878662E-2</v>
      </c>
      <c r="F504" s="72">
        <v>4.1900000000000007E-2</v>
      </c>
      <c r="G504" s="72">
        <v>0.14000000000000001</v>
      </c>
      <c r="H504" s="49">
        <f t="shared" si="22"/>
        <v>0.18483300000000003</v>
      </c>
      <c r="I504" s="50">
        <f t="shared" si="23"/>
        <v>2.8473220871118739E-3</v>
      </c>
    </row>
    <row r="505" spans="2:9" x14ac:dyDescent="0.2">
      <c r="B505" s="69" t="s">
        <v>1075</v>
      </c>
      <c r="C505" s="70" t="s">
        <v>1076</v>
      </c>
      <c r="D505" s="71">
        <v>10728.95</v>
      </c>
      <c r="E505" s="68">
        <f t="shared" si="21"/>
        <v>4.8697387935328656E-4</v>
      </c>
      <c r="F505" s="72">
        <v>7.3000000000000001E-3</v>
      </c>
      <c r="G505" s="72">
        <v>0.03</v>
      </c>
      <c r="H505" s="49">
        <f t="shared" si="22"/>
        <v>3.7409499999999998E-2</v>
      </c>
      <c r="I505" s="50">
        <f t="shared" si="23"/>
        <v>1.8217449339666771E-5</v>
      </c>
    </row>
    <row r="506" spans="2:9" x14ac:dyDescent="0.2">
      <c r="B506" s="69" t="s">
        <v>1077</v>
      </c>
      <c r="C506" s="70" t="s">
        <v>1078</v>
      </c>
      <c r="D506" s="71">
        <v>7413.7</v>
      </c>
      <c r="E506" s="68">
        <f t="shared" si="21"/>
        <v>3.3649874865307976E-4</v>
      </c>
      <c r="F506" s="72">
        <v>3.3099999999999997E-2</v>
      </c>
      <c r="G506" s="72">
        <v>2.5000000000000001E-2</v>
      </c>
      <c r="H506" s="49">
        <f t="shared" si="22"/>
        <v>5.8513749999999996E-2</v>
      </c>
      <c r="I506" s="50">
        <f t="shared" si="23"/>
        <v>1.9689803653999143E-5</v>
      </c>
    </row>
    <row r="507" spans="2:9" x14ac:dyDescent="0.2">
      <c r="B507" s="69" t="s">
        <v>1079</v>
      </c>
      <c r="C507" s="70" t="s">
        <v>1080</v>
      </c>
      <c r="D507" s="71">
        <v>13535</v>
      </c>
      <c r="E507" s="68">
        <f t="shared" si="21"/>
        <v>6.1433704668646357E-4</v>
      </c>
      <c r="F507" s="72">
        <v>1.2800000000000001E-2</v>
      </c>
      <c r="G507" s="72">
        <v>0.155</v>
      </c>
      <c r="H507" s="49">
        <f t="shared" si="22"/>
        <v>0.168792</v>
      </c>
      <c r="I507" s="50">
        <f t="shared" si="23"/>
        <v>1.0369517878430156E-4</v>
      </c>
    </row>
    <row r="508" spans="2:9" x14ac:dyDescent="0.2">
      <c r="B508" s="69" t="s">
        <v>1081</v>
      </c>
      <c r="C508" s="70" t="s">
        <v>1082</v>
      </c>
      <c r="D508" s="71">
        <v>30217.02</v>
      </c>
      <c r="E508" s="68">
        <f t="shared" si="21"/>
        <v>1.371513470739993E-3</v>
      </c>
      <c r="F508" s="72">
        <v>1.7399999999999999E-2</v>
      </c>
      <c r="G508" s="72">
        <v>0.1</v>
      </c>
      <c r="H508" s="49">
        <f t="shared" si="22"/>
        <v>0.11827</v>
      </c>
      <c r="I508" s="50">
        <f t="shared" si="23"/>
        <v>1.6220889818441896E-4</v>
      </c>
    </row>
    <row r="509" spans="2:9" x14ac:dyDescent="0.2">
      <c r="B509" s="73" t="s">
        <v>1083</v>
      </c>
      <c r="C509" s="66" t="s">
        <v>1084</v>
      </c>
      <c r="D509" s="71">
        <v>24763.56</v>
      </c>
      <c r="E509" s="68">
        <f t="shared" si="21"/>
        <v>1.1239876110707826E-3</v>
      </c>
      <c r="F509" s="72">
        <v>7.9000000000000008E-3</v>
      </c>
      <c r="G509" s="72">
        <v>4.4999999999999998E-2</v>
      </c>
      <c r="H509" s="49">
        <f t="shared" si="22"/>
        <v>5.307775E-2</v>
      </c>
      <c r="I509" s="50">
        <f t="shared" si="23"/>
        <v>5.9658733423512234E-5</v>
      </c>
    </row>
    <row r="510" spans="2:9" x14ac:dyDescent="0.2">
      <c r="B510" s="69" t="s">
        <v>1085</v>
      </c>
      <c r="C510" s="70" t="s">
        <v>1086</v>
      </c>
      <c r="D510" s="71">
        <v>9360.5499999999993</v>
      </c>
      <c r="E510" s="68">
        <f t="shared" si="21"/>
        <v>4.2486388196239205E-4</v>
      </c>
      <c r="F510" s="72">
        <v>2.46E-2</v>
      </c>
      <c r="G510" s="72">
        <v>0.15</v>
      </c>
      <c r="H510" s="49">
        <f t="shared" si="22"/>
        <v>0.17644499999999999</v>
      </c>
      <c r="I510" s="50">
        <f t="shared" si="23"/>
        <v>7.4965107652854267E-5</v>
      </c>
    </row>
    <row r="511" spans="2:9" x14ac:dyDescent="0.2">
      <c r="B511" s="74" t="s">
        <v>1087</v>
      </c>
      <c r="C511" s="75" t="s">
        <v>1088</v>
      </c>
      <c r="D511" s="76">
        <v>44514.7</v>
      </c>
      <c r="E511" s="68">
        <f t="shared" si="21"/>
        <v>2.0204676270508988E-3</v>
      </c>
      <c r="F511" s="72">
        <v>7.0999999999999995E-3</v>
      </c>
      <c r="G511" s="72">
        <v>0.13500000000000001</v>
      </c>
      <c r="H511" s="49">
        <f t="shared" si="22"/>
        <v>0.14257925000000002</v>
      </c>
      <c r="I511" s="50">
        <f t="shared" si="23"/>
        <v>2.880767589141969E-4</v>
      </c>
    </row>
    <row r="512" spans="2:9" x14ac:dyDescent="0.2">
      <c r="B512" s="77" t="s">
        <v>1089</v>
      </c>
      <c r="C512" s="70"/>
      <c r="D512" s="315">
        <f>SUMIF(H12:H511,"&lt;&gt;n/a",D12:D511)</f>
        <v>22031879.84999999</v>
      </c>
      <c r="E512" s="78"/>
      <c r="F512" s="78"/>
      <c r="G512" s="78"/>
      <c r="H512" s="78"/>
      <c r="I512" s="79">
        <f>SUM(I12:I511)</f>
        <v>0.16747388687658851</v>
      </c>
    </row>
    <row r="513" spans="2:9" x14ac:dyDescent="0.2">
      <c r="B513" s="77"/>
      <c r="C513" s="70"/>
      <c r="D513" s="71"/>
      <c r="E513" s="80"/>
      <c r="F513" s="80"/>
      <c r="G513" s="80"/>
      <c r="H513" s="80"/>
      <c r="I513" s="81"/>
    </row>
    <row r="514" spans="2:9" x14ac:dyDescent="0.2">
      <c r="B514" s="82" t="s">
        <v>77</v>
      </c>
      <c r="C514" s="83"/>
      <c r="D514" s="84"/>
      <c r="E514" s="84"/>
      <c r="G514" s="84"/>
      <c r="H514" s="84"/>
      <c r="I514" s="85"/>
    </row>
    <row r="515" spans="2:9" x14ac:dyDescent="0.2">
      <c r="B515" s="82" t="s">
        <v>1090</v>
      </c>
      <c r="C515" s="83"/>
      <c r="D515" s="84"/>
      <c r="E515" s="84"/>
      <c r="F515" s="84"/>
      <c r="G515" s="84"/>
      <c r="H515" s="84"/>
      <c r="I515" s="85"/>
    </row>
    <row r="516" spans="2:9" x14ac:dyDescent="0.2">
      <c r="B516" s="82" t="s">
        <v>1100</v>
      </c>
      <c r="C516" s="83"/>
      <c r="D516" s="84"/>
      <c r="E516" s="84"/>
      <c r="F516" s="84"/>
      <c r="G516" s="84"/>
      <c r="H516" s="84"/>
      <c r="I516" s="85"/>
    </row>
    <row r="517" spans="2:9" x14ac:dyDescent="0.2">
      <c r="B517" s="82" t="s">
        <v>1092</v>
      </c>
      <c r="C517" s="83"/>
      <c r="D517" s="84"/>
      <c r="E517" s="84"/>
      <c r="F517" s="84"/>
      <c r="G517" s="84"/>
      <c r="H517" s="84"/>
      <c r="I517" s="85"/>
    </row>
    <row r="518" spans="2:9" x14ac:dyDescent="0.2">
      <c r="B518" s="82" t="s">
        <v>1101</v>
      </c>
      <c r="C518" s="83"/>
      <c r="D518" s="84"/>
      <c r="E518" s="84"/>
      <c r="F518" s="84"/>
      <c r="G518" s="84"/>
      <c r="H518" s="84"/>
      <c r="I518" s="85"/>
    </row>
    <row r="519" spans="2:9" x14ac:dyDescent="0.2">
      <c r="B519" s="82" t="s">
        <v>1094</v>
      </c>
      <c r="C519" s="83"/>
      <c r="D519" s="84"/>
      <c r="E519" s="84"/>
      <c r="F519" s="84"/>
      <c r="G519" s="84"/>
      <c r="H519" s="84"/>
      <c r="I519" s="85"/>
    </row>
    <row r="520" spans="2:9" x14ac:dyDescent="0.2">
      <c r="B520" s="82" t="s">
        <v>1102</v>
      </c>
      <c r="C520" s="83"/>
      <c r="D520" s="84"/>
      <c r="E520" s="84"/>
      <c r="F520" s="84"/>
      <c r="G520" s="84"/>
      <c r="H520" s="84"/>
      <c r="I520" s="85"/>
    </row>
    <row r="521" spans="2:9" x14ac:dyDescent="0.2">
      <c r="B521" s="82" t="s">
        <v>84</v>
      </c>
      <c r="C521" s="83"/>
      <c r="D521" s="84"/>
      <c r="E521" s="84"/>
      <c r="F521" s="84"/>
      <c r="G521" s="84"/>
      <c r="H521" s="84"/>
      <c r="I521" s="85"/>
    </row>
    <row r="522" spans="2:9" x14ac:dyDescent="0.2">
      <c r="B522" s="82" t="s">
        <v>1097</v>
      </c>
      <c r="C522" s="83"/>
      <c r="D522" s="84"/>
      <c r="E522" s="84"/>
      <c r="F522" s="84"/>
      <c r="G522" s="84"/>
      <c r="H522" s="84"/>
      <c r="I522" s="85"/>
    </row>
    <row r="523" spans="2:9" x14ac:dyDescent="0.2">
      <c r="B523" s="82" t="s">
        <v>1098</v>
      </c>
      <c r="C523" s="83"/>
      <c r="D523" s="84"/>
      <c r="E523" s="84"/>
      <c r="F523" s="84"/>
      <c r="G523" s="84"/>
      <c r="H523" s="84"/>
      <c r="I523" s="86"/>
    </row>
    <row r="524" spans="2:9" x14ac:dyDescent="0.2">
      <c r="B524" s="69"/>
      <c r="C524" s="70"/>
      <c r="D524" s="69"/>
      <c r="E524" s="69"/>
      <c r="F524" s="69"/>
      <c r="G524" s="69"/>
      <c r="H524" s="69"/>
      <c r="I524" s="69"/>
    </row>
  </sheetData>
  <printOptions horizontalCentered="1"/>
  <pageMargins left="0.7" right="0.7" top="0.75" bottom="0.75" header="0.3" footer="0.3"/>
  <pageSetup scale="61" firstPageNumber="7" fitToHeight="6" orientation="portrait" useFirstPageNumber="1" r:id="rId1"/>
  <headerFooter scaleWithDoc="0">
    <oddHeader>&amp;R&amp;"Arial,Regular"&amp;10EXHIBIT RBH-2
Page &amp;P of 12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K57"/>
  <sheetViews>
    <sheetView view="pageLayout" zoomScaleNormal="100" zoomScaleSheetLayoutView="85" workbookViewId="0">
      <selection activeCell="P3" sqref="P3"/>
    </sheetView>
  </sheetViews>
  <sheetFormatPr defaultColWidth="10.42578125" defaultRowHeight="12.75" x14ac:dyDescent="0.2"/>
  <cols>
    <col min="1" max="1" width="7.140625" style="29" customWidth="1"/>
    <col min="2" max="2" width="39.7109375" style="33" customWidth="1"/>
    <col min="3" max="3" width="10.42578125" style="33"/>
    <col min="4" max="4" width="1.42578125" style="33" customWidth="1"/>
    <col min="5" max="6" width="19.28515625" style="33" customWidth="1"/>
    <col min="7" max="8" width="10.42578125" style="33"/>
    <col min="9" max="9" width="10.42578125" style="88"/>
    <col min="10" max="16384" width="10.42578125" style="33"/>
  </cols>
  <sheetData>
    <row r="2" spans="2:11" x14ac:dyDescent="0.2">
      <c r="B2" s="378" t="s">
        <v>1103</v>
      </c>
      <c r="C2" s="378"/>
      <c r="D2" s="378"/>
      <c r="E2" s="378"/>
      <c r="F2" s="378"/>
    </row>
    <row r="4" spans="2:11" x14ac:dyDescent="0.2">
      <c r="B4" s="89"/>
      <c r="D4" s="90"/>
      <c r="E4" s="91" t="s">
        <v>2</v>
      </c>
      <c r="F4" s="92" t="s">
        <v>3</v>
      </c>
    </row>
    <row r="5" spans="2:11" x14ac:dyDescent="0.2">
      <c r="B5" s="93" t="s">
        <v>13</v>
      </c>
      <c r="C5" s="93" t="s">
        <v>14</v>
      </c>
      <c r="D5" s="94"/>
      <c r="E5" s="95" t="s">
        <v>1104</v>
      </c>
      <c r="F5" s="96" t="s">
        <v>1105</v>
      </c>
    </row>
    <row r="6" spans="2:11" x14ac:dyDescent="0.2">
      <c r="B6" s="43"/>
      <c r="C6" s="43"/>
      <c r="D6" s="90"/>
      <c r="E6" s="91"/>
      <c r="F6" s="92"/>
      <c r="I6" s="97"/>
      <c r="J6" s="98"/>
    </row>
    <row r="7" spans="2:11" x14ac:dyDescent="0.2">
      <c r="B7" s="324" t="str">
        <f>'RBH-1 Constant Growth DCF'!B8</f>
        <v>ALLETE, Inc.</v>
      </c>
      <c r="C7" s="325" t="str">
        <f>'RBH-1 Constant Growth DCF'!C8</f>
        <v>ALE</v>
      </c>
      <c r="D7" s="324"/>
      <c r="E7" s="326">
        <v>0.44828319549560547</v>
      </c>
      <c r="F7" s="326">
        <v>0.65</v>
      </c>
      <c r="G7" s="99"/>
      <c r="H7" s="98"/>
      <c r="I7" s="98"/>
      <c r="J7" s="316"/>
      <c r="K7" s="316"/>
    </row>
    <row r="8" spans="2:11" x14ac:dyDescent="0.2">
      <c r="B8" s="324" t="str">
        <f>'RBH-1 Constant Growth DCF'!B9</f>
        <v>Alliant Energy Corporation</v>
      </c>
      <c r="C8" s="325" t="str">
        <f>'RBH-1 Constant Growth DCF'!C9</f>
        <v>LNT</v>
      </c>
      <c r="D8" s="324"/>
      <c r="E8" s="326">
        <v>0.52806806564331055</v>
      </c>
      <c r="F8" s="326">
        <v>0.65</v>
      </c>
      <c r="G8" s="99"/>
      <c r="H8" s="98"/>
      <c r="I8" s="98"/>
      <c r="J8" s="316"/>
      <c r="K8" s="316"/>
    </row>
    <row r="9" spans="2:11" x14ac:dyDescent="0.2">
      <c r="B9" s="324" t="str">
        <f>'RBH-1 Constant Growth DCF'!B10</f>
        <v>Ameren Corporation</v>
      </c>
      <c r="C9" s="325" t="str">
        <f>'RBH-1 Constant Growth DCF'!C10</f>
        <v>AEE</v>
      </c>
      <c r="D9" s="324"/>
      <c r="E9" s="326">
        <v>0.43553996086120605</v>
      </c>
      <c r="F9" s="326">
        <v>0.6</v>
      </c>
      <c r="G9" s="99"/>
      <c r="H9" s="98"/>
      <c r="I9" s="98"/>
      <c r="J9" s="316"/>
      <c r="K9" s="316"/>
    </row>
    <row r="10" spans="2:11" x14ac:dyDescent="0.2">
      <c r="B10" s="324" t="str">
        <f>'RBH-1 Constant Growth DCF'!B11</f>
        <v>Avangrid, Inc.</v>
      </c>
      <c r="C10" s="325" t="str">
        <f>'RBH-1 Constant Growth DCF'!C11</f>
        <v>AGR</v>
      </c>
      <c r="D10" s="324"/>
      <c r="E10" s="326">
        <v>0.4679504930973053</v>
      </c>
      <c r="F10" s="326">
        <v>0.4</v>
      </c>
      <c r="G10" s="99"/>
      <c r="H10" s="98"/>
      <c r="I10" s="98"/>
      <c r="J10" s="316"/>
      <c r="K10" s="316"/>
    </row>
    <row r="11" spans="2:11" x14ac:dyDescent="0.2">
      <c r="B11" s="324" t="str">
        <f>'RBH-1 Constant Growth DCF'!B12</f>
        <v>Black Hills Corporation</v>
      </c>
      <c r="C11" s="325" t="str">
        <f>'RBH-1 Constant Growth DCF'!C12</f>
        <v>BKH</v>
      </c>
      <c r="D11" s="324"/>
      <c r="E11" s="326">
        <v>0.53396391868591309</v>
      </c>
      <c r="F11" s="326">
        <v>0.75</v>
      </c>
      <c r="G11" s="99"/>
      <c r="H11" s="98"/>
      <c r="I11" s="98"/>
      <c r="J11" s="316"/>
      <c r="K11" s="316"/>
    </row>
    <row r="12" spans="2:11" x14ac:dyDescent="0.2">
      <c r="B12" s="324" t="str">
        <f>'RBH-1 Constant Growth DCF'!B13</f>
        <v>CMS Energy Corporation</v>
      </c>
      <c r="C12" s="325" t="str">
        <f>'RBH-1 Constant Growth DCF'!C13</f>
        <v>CMS</v>
      </c>
      <c r="D12" s="324"/>
      <c r="E12" s="326">
        <v>0.46631580591201782</v>
      </c>
      <c r="F12" s="326">
        <v>0.55000000000000004</v>
      </c>
      <c r="G12" s="99"/>
      <c r="H12" s="98"/>
      <c r="I12" s="98"/>
      <c r="J12" s="316"/>
      <c r="K12" s="316"/>
    </row>
    <row r="13" spans="2:11" x14ac:dyDescent="0.2">
      <c r="B13" s="324" t="str">
        <f>'RBH-1 Constant Growth DCF'!B14</f>
        <v>Consolidated Edison, Inc.</v>
      </c>
      <c r="C13" s="325" t="str">
        <f>'RBH-1 Constant Growth DCF'!C14</f>
        <v>ED</v>
      </c>
      <c r="D13" s="324"/>
      <c r="E13" s="326">
        <v>0.46974313259124756</v>
      </c>
      <c r="F13" s="326">
        <v>0.45</v>
      </c>
      <c r="G13" s="99"/>
      <c r="H13" s="98"/>
      <c r="I13" s="98"/>
      <c r="J13" s="316"/>
      <c r="K13" s="316"/>
    </row>
    <row r="14" spans="2:11" x14ac:dyDescent="0.2">
      <c r="B14" s="324" t="str">
        <f>'RBH-1 Constant Growth DCF'!B15</f>
        <v>DTE Energy Company</v>
      </c>
      <c r="C14" s="325" t="str">
        <f>'RBH-1 Constant Growth DCF'!C15</f>
        <v>DTE</v>
      </c>
      <c r="D14" s="324"/>
      <c r="E14" s="326">
        <v>0.50299173593521118</v>
      </c>
      <c r="F14" s="326">
        <v>0.55000000000000004</v>
      </c>
      <c r="G14" s="99"/>
      <c r="H14" s="98"/>
      <c r="I14" s="98"/>
      <c r="J14" s="316"/>
      <c r="K14" s="316"/>
    </row>
    <row r="15" spans="2:11" x14ac:dyDescent="0.2">
      <c r="B15" s="324" t="str">
        <f>'RBH-1 Constant Growth DCF'!B16</f>
        <v>Duke Energy Corporation</v>
      </c>
      <c r="C15" s="325" t="str">
        <f>'RBH-1 Constant Growth DCF'!C16</f>
        <v>DUK</v>
      </c>
      <c r="D15" s="324"/>
      <c r="E15" s="326">
        <v>0.43103718757629395</v>
      </c>
      <c r="F15" s="326">
        <v>0.5</v>
      </c>
      <c r="G15" s="99"/>
      <c r="H15" s="98"/>
      <c r="I15" s="98"/>
      <c r="J15" s="316"/>
      <c r="K15" s="316"/>
    </row>
    <row r="16" spans="2:11" x14ac:dyDescent="0.2">
      <c r="B16" s="324" t="str">
        <f>'RBH-1 Constant Growth DCF'!B17</f>
        <v>El Paso Electric Company</v>
      </c>
      <c r="C16" s="325" t="str">
        <f>'RBH-1 Constant Growth DCF'!C17</f>
        <v>EE</v>
      </c>
      <c r="D16" s="324"/>
      <c r="E16" s="326">
        <v>0.50251919031143188</v>
      </c>
      <c r="F16" s="326">
        <v>0.65</v>
      </c>
      <c r="G16" s="99"/>
      <c r="H16" s="98"/>
      <c r="I16" s="98"/>
      <c r="J16" s="316"/>
      <c r="K16" s="316"/>
    </row>
    <row r="17" spans="2:11" x14ac:dyDescent="0.2">
      <c r="B17" s="324" t="str">
        <f>'RBH-1 Constant Growth DCF'!B18</f>
        <v>Evergy, Inc</v>
      </c>
      <c r="C17" s="325" t="str">
        <f>'RBH-1 Constant Growth DCF'!C18</f>
        <v>EVRG</v>
      </c>
      <c r="D17" s="324"/>
      <c r="E17" s="326">
        <v>0.41390448808670044</v>
      </c>
      <c r="F17" s="326">
        <v>0.52285923714471427</v>
      </c>
      <c r="G17" s="99"/>
      <c r="H17" s="98"/>
      <c r="I17" s="98"/>
      <c r="J17" s="316"/>
      <c r="K17" s="316"/>
    </row>
    <row r="18" spans="2:11" x14ac:dyDescent="0.2">
      <c r="B18" s="324" t="str">
        <f>'RBH-1 Constant Growth DCF'!B19</f>
        <v>Eversource Energy</v>
      </c>
      <c r="C18" s="325" t="str">
        <f>'RBH-1 Constant Growth DCF'!C19</f>
        <v>ES</v>
      </c>
      <c r="D18" s="324"/>
      <c r="E18" s="326">
        <v>0.56493222713470459</v>
      </c>
      <c r="F18" s="326">
        <v>0.6</v>
      </c>
      <c r="G18" s="99"/>
      <c r="H18" s="98"/>
      <c r="I18" s="98"/>
      <c r="J18" s="316"/>
      <c r="K18" s="316"/>
    </row>
    <row r="19" spans="2:11" x14ac:dyDescent="0.2">
      <c r="B19" s="324" t="str">
        <f>'RBH-1 Constant Growth DCF'!B20</f>
        <v>Hawaiian Electric Industries, Inc.</v>
      </c>
      <c r="C19" s="325" t="str">
        <f>'RBH-1 Constant Growth DCF'!C20</f>
        <v>HE</v>
      </c>
      <c r="D19" s="324"/>
      <c r="E19" s="326">
        <v>0.46820360422134399</v>
      </c>
      <c r="F19" s="326">
        <v>0.6</v>
      </c>
      <c r="G19" s="99"/>
      <c r="H19" s="98"/>
      <c r="I19" s="98"/>
      <c r="J19" s="316"/>
      <c r="K19" s="316"/>
    </row>
    <row r="20" spans="2:11" x14ac:dyDescent="0.2">
      <c r="B20" s="324" t="str">
        <f>'RBH-1 Constant Growth DCF'!B21</f>
        <v>NextEra Energy, Inc.</v>
      </c>
      <c r="C20" s="325" t="str">
        <f>'RBH-1 Constant Growth DCF'!C21</f>
        <v>NEE</v>
      </c>
      <c r="D20" s="324"/>
      <c r="E20" s="326">
        <v>0.55296748876571655</v>
      </c>
      <c r="F20" s="326">
        <v>0.6</v>
      </c>
      <c r="G20" s="99"/>
      <c r="H20" s="98"/>
      <c r="I20" s="98"/>
      <c r="J20" s="316"/>
      <c r="K20" s="316"/>
    </row>
    <row r="21" spans="2:11" x14ac:dyDescent="0.2">
      <c r="B21" s="324" t="str">
        <f>'RBH-1 Constant Growth DCF'!B22</f>
        <v>NorthWestern Corporation</v>
      </c>
      <c r="C21" s="325" t="str">
        <f>'RBH-1 Constant Growth DCF'!C22</f>
        <v>NWE</v>
      </c>
      <c r="D21" s="324"/>
      <c r="E21" s="326">
        <v>0.48066392540931702</v>
      </c>
      <c r="F21" s="326">
        <v>0.55000000000000004</v>
      </c>
      <c r="G21" s="99"/>
      <c r="H21" s="98"/>
      <c r="I21" s="98"/>
      <c r="J21" s="316"/>
      <c r="K21" s="316"/>
    </row>
    <row r="22" spans="2:11" x14ac:dyDescent="0.2">
      <c r="B22" s="324" t="str">
        <f>'RBH-1 Constant Growth DCF'!B23</f>
        <v>OGE Energy Corp.</v>
      </c>
      <c r="C22" s="325" t="str">
        <f>'RBH-1 Constant Growth DCF'!C23</f>
        <v>OGE</v>
      </c>
      <c r="D22" s="324"/>
      <c r="E22" s="326">
        <v>0.55694049596786499</v>
      </c>
      <c r="F22" s="326">
        <v>0.85</v>
      </c>
      <c r="G22" s="99"/>
      <c r="H22" s="98"/>
      <c r="I22" s="98"/>
      <c r="J22" s="316"/>
      <c r="K22" s="316"/>
    </row>
    <row r="23" spans="2:11" x14ac:dyDescent="0.2">
      <c r="B23" s="324" t="str">
        <f>'RBH-1 Constant Growth DCF'!B24</f>
        <v>Otter Tail Corporation</v>
      </c>
      <c r="C23" s="325" t="str">
        <f>'RBH-1 Constant Growth DCF'!C24</f>
        <v>OTTR</v>
      </c>
      <c r="D23" s="324"/>
      <c r="E23" s="326">
        <v>0.5212404727935791</v>
      </c>
      <c r="F23" s="326">
        <v>0.7</v>
      </c>
      <c r="G23" s="99"/>
      <c r="H23" s="98"/>
      <c r="I23" s="98"/>
      <c r="J23" s="316"/>
      <c r="K23" s="316"/>
    </row>
    <row r="24" spans="2:11" x14ac:dyDescent="0.2">
      <c r="B24" s="324" t="str">
        <f>'RBH-1 Constant Growth DCF'!B25</f>
        <v>Pinnacle West Capital Corporation</v>
      </c>
      <c r="C24" s="325" t="str">
        <f>'RBH-1 Constant Growth DCF'!C25</f>
        <v>PNW</v>
      </c>
      <c r="D24" s="324"/>
      <c r="E24" s="326">
        <v>0.41798940300941467</v>
      </c>
      <c r="F24" s="326">
        <v>0.55000000000000004</v>
      </c>
      <c r="G24" s="99"/>
      <c r="H24" s="98"/>
      <c r="I24" s="98"/>
      <c r="J24" s="316"/>
      <c r="K24" s="316"/>
    </row>
    <row r="25" spans="2:11" x14ac:dyDescent="0.2">
      <c r="B25" s="324" t="str">
        <f>'RBH-1 Constant Growth DCF'!B26</f>
        <v>PNM Resources, Inc.</v>
      </c>
      <c r="C25" s="325" t="str">
        <f>'RBH-1 Constant Growth DCF'!C26</f>
        <v>PNM</v>
      </c>
      <c r="D25" s="324"/>
      <c r="E25" s="326">
        <v>0.50108546018600464</v>
      </c>
      <c r="F25" s="326">
        <v>0.65</v>
      </c>
      <c r="G25" s="99"/>
      <c r="H25" s="98"/>
      <c r="I25" s="98"/>
      <c r="J25" s="316"/>
      <c r="K25" s="316"/>
    </row>
    <row r="26" spans="2:11" x14ac:dyDescent="0.2">
      <c r="B26" s="324" t="str">
        <f>'RBH-1 Constant Growth DCF'!B27</f>
        <v>Portland General Electric Company</v>
      </c>
      <c r="C26" s="325" t="str">
        <f>'RBH-1 Constant Growth DCF'!C27</f>
        <v>POR</v>
      </c>
      <c r="D26" s="324"/>
      <c r="E26" s="326">
        <v>0.46252065896987915</v>
      </c>
      <c r="F26" s="326">
        <v>0.6</v>
      </c>
      <c r="G26" s="99"/>
      <c r="H26" s="98"/>
      <c r="I26" s="98"/>
      <c r="J26" s="316"/>
      <c r="K26" s="316"/>
    </row>
    <row r="27" spans="2:11" x14ac:dyDescent="0.2">
      <c r="B27" s="324" t="str">
        <f>'RBH-1 Constant Growth DCF'!B28</f>
        <v>Southern Company</v>
      </c>
      <c r="C27" s="325" t="str">
        <f>'RBH-1 Constant Growth DCF'!C28</f>
        <v>SO</v>
      </c>
      <c r="D27" s="324"/>
      <c r="E27" s="326">
        <v>0.47217711806297302</v>
      </c>
      <c r="F27" s="326">
        <v>0.5</v>
      </c>
      <c r="G27" s="99"/>
      <c r="H27" s="98"/>
      <c r="I27" s="98"/>
      <c r="J27" s="316"/>
      <c r="K27" s="316"/>
    </row>
    <row r="28" spans="2:11" x14ac:dyDescent="0.2">
      <c r="B28" s="324" t="str">
        <f>'RBH-1 Constant Growth DCF'!B29</f>
        <v>WEC Energy Group, Inc.</v>
      </c>
      <c r="C28" s="325" t="str">
        <f>'RBH-1 Constant Growth DCF'!C29</f>
        <v>WEC</v>
      </c>
      <c r="D28" s="324"/>
      <c r="E28" s="326">
        <v>0.47418317198753357</v>
      </c>
      <c r="F28" s="326">
        <v>0.55000000000000004</v>
      </c>
      <c r="G28" s="99"/>
      <c r="H28" s="98"/>
      <c r="I28" s="98"/>
      <c r="J28" s="316"/>
      <c r="K28" s="316"/>
    </row>
    <row r="29" spans="2:11" x14ac:dyDescent="0.2">
      <c r="B29" s="324" t="str">
        <f>'RBH-1 Constant Growth DCF'!B30</f>
        <v>Xcel Energy Inc.</v>
      </c>
      <c r="C29" s="325" t="str">
        <f>'RBH-1 Constant Growth DCF'!C30</f>
        <v>XEL</v>
      </c>
      <c r="D29" s="327"/>
      <c r="E29" s="326">
        <v>0.47912061214447021</v>
      </c>
      <c r="F29" s="326">
        <v>0.5</v>
      </c>
      <c r="H29" s="98"/>
      <c r="I29" s="98"/>
      <c r="J29" s="316"/>
      <c r="K29" s="316"/>
    </row>
    <row r="30" spans="2:11" x14ac:dyDescent="0.2">
      <c r="C30" s="43"/>
      <c r="D30" s="90"/>
      <c r="E30" s="91"/>
      <c r="F30" s="92"/>
      <c r="H30" s="32"/>
      <c r="I30" s="97"/>
      <c r="J30" s="98"/>
    </row>
    <row r="31" spans="2:11" x14ac:dyDescent="0.2">
      <c r="B31" s="100" t="s">
        <v>1106</v>
      </c>
      <c r="C31" s="100"/>
      <c r="D31" s="94"/>
      <c r="E31" s="95">
        <f>AVERAGE(E7:E29)</f>
        <v>0.48488442664561066</v>
      </c>
      <c r="F31" s="95">
        <f>AVERAGE(F7:F29)</f>
        <v>0.58795040161498757</v>
      </c>
      <c r="H31" s="32"/>
      <c r="I31" s="97"/>
      <c r="J31" s="98"/>
    </row>
    <row r="32" spans="2:11" x14ac:dyDescent="0.2">
      <c r="D32" s="90"/>
      <c r="E32" s="91"/>
      <c r="F32" s="91"/>
      <c r="H32" s="32"/>
      <c r="I32" s="97"/>
      <c r="J32" s="98"/>
    </row>
    <row r="33" spans="2:10" x14ac:dyDescent="0.2">
      <c r="B33" s="33" t="s">
        <v>77</v>
      </c>
      <c r="H33" s="32"/>
      <c r="I33" s="97"/>
      <c r="J33" s="98"/>
    </row>
    <row r="34" spans="2:10" x14ac:dyDescent="0.2">
      <c r="B34" s="33" t="s">
        <v>78</v>
      </c>
      <c r="I34" s="97"/>
      <c r="J34" s="98"/>
    </row>
    <row r="35" spans="2:10" x14ac:dyDescent="0.2">
      <c r="B35" s="33" t="s">
        <v>1100</v>
      </c>
      <c r="I35" s="97"/>
      <c r="J35" s="98"/>
    </row>
    <row r="36" spans="2:10" x14ac:dyDescent="0.2">
      <c r="I36" s="97"/>
      <c r="J36" s="98"/>
    </row>
    <row r="37" spans="2:10" x14ac:dyDescent="0.2">
      <c r="I37" s="97"/>
      <c r="J37" s="98"/>
    </row>
    <row r="38" spans="2:10" x14ac:dyDescent="0.2">
      <c r="I38" s="97"/>
      <c r="J38" s="98"/>
    </row>
    <row r="39" spans="2:10" x14ac:dyDescent="0.2">
      <c r="I39" s="97"/>
      <c r="J39" s="98"/>
    </row>
    <row r="40" spans="2:10" x14ac:dyDescent="0.2">
      <c r="I40" s="97"/>
      <c r="J40" s="98"/>
    </row>
    <row r="41" spans="2:10" x14ac:dyDescent="0.2">
      <c r="I41" s="97"/>
      <c r="J41" s="98"/>
    </row>
    <row r="42" spans="2:10" x14ac:dyDescent="0.2">
      <c r="I42" s="97"/>
      <c r="J42" s="98"/>
    </row>
    <row r="43" spans="2:10" x14ac:dyDescent="0.2">
      <c r="I43" s="97"/>
      <c r="J43" s="98"/>
    </row>
    <row r="44" spans="2:10" x14ac:dyDescent="0.2">
      <c r="I44" s="97"/>
      <c r="J44" s="98"/>
    </row>
    <row r="45" spans="2:10" x14ac:dyDescent="0.2">
      <c r="I45" s="97"/>
      <c r="J45" s="98"/>
    </row>
    <row r="46" spans="2:10" x14ac:dyDescent="0.2">
      <c r="I46" s="97"/>
      <c r="J46" s="98"/>
    </row>
    <row r="47" spans="2:10" x14ac:dyDescent="0.2">
      <c r="I47" s="97"/>
      <c r="J47" s="98"/>
    </row>
    <row r="48" spans="2:10" x14ac:dyDescent="0.2">
      <c r="I48" s="97"/>
      <c r="J48" s="98"/>
    </row>
    <row r="49" spans="9:10" x14ac:dyDescent="0.2">
      <c r="I49" s="97"/>
      <c r="J49" s="98"/>
    </row>
    <row r="50" spans="9:10" x14ac:dyDescent="0.2">
      <c r="I50" s="97"/>
      <c r="J50" s="98"/>
    </row>
    <row r="51" spans="9:10" x14ac:dyDescent="0.2">
      <c r="I51" s="97"/>
      <c r="J51" s="98"/>
    </row>
    <row r="52" spans="9:10" x14ac:dyDescent="0.2">
      <c r="I52" s="97"/>
      <c r="J52" s="98"/>
    </row>
    <row r="53" spans="9:10" x14ac:dyDescent="0.2">
      <c r="I53" s="97"/>
      <c r="J53" s="98"/>
    </row>
    <row r="54" spans="9:10" x14ac:dyDescent="0.2">
      <c r="I54" s="97"/>
      <c r="J54" s="98"/>
    </row>
    <row r="55" spans="9:10" x14ac:dyDescent="0.2">
      <c r="I55" s="97"/>
      <c r="J55" s="98"/>
    </row>
    <row r="56" spans="9:10" x14ac:dyDescent="0.2">
      <c r="I56" s="97"/>
      <c r="J56" s="98"/>
    </row>
    <row r="57" spans="9:10" x14ac:dyDescent="0.2">
      <c r="I57" s="97"/>
      <c r="J57" s="98"/>
    </row>
  </sheetData>
  <mergeCells count="1">
    <mergeCell ref="B2:F2"/>
  </mergeCells>
  <printOptions horizontalCentered="1"/>
  <pageMargins left="0.7" right="0.7" top="0.75" bottom="0.75" header="0.3" footer="0.3"/>
  <pageSetup scale="94" orientation="portrait" useFirstPageNumber="1" r:id="rId1"/>
  <headerFooter scaleWithDoc="0">
    <oddHeader>&amp;R&amp;"Arial,Regular"&amp;10EXHIBIT  RBH-3
Page &amp;P of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J32"/>
  <sheetViews>
    <sheetView view="pageLayout" zoomScaleNormal="100" zoomScaleSheetLayoutView="85" workbookViewId="0">
      <selection activeCell="P3" sqref="P3"/>
    </sheetView>
  </sheetViews>
  <sheetFormatPr defaultColWidth="10.42578125" defaultRowHeight="12.75" x14ac:dyDescent="0.2"/>
  <cols>
    <col min="1" max="1" width="5.42578125" style="29" customWidth="1"/>
    <col min="2" max="2" width="47.42578125" style="33" customWidth="1"/>
    <col min="3" max="4" width="11.28515625" style="33" customWidth="1"/>
    <col min="5" max="8" width="12.85546875" style="33" customWidth="1"/>
    <col min="9" max="16384" width="10.42578125" style="33"/>
  </cols>
  <sheetData>
    <row r="1" spans="2:10" x14ac:dyDescent="0.2">
      <c r="B1" s="101"/>
      <c r="C1" s="101"/>
      <c r="D1" s="101"/>
      <c r="E1" s="101"/>
      <c r="F1" s="101"/>
      <c r="G1" s="101"/>
      <c r="H1" s="101"/>
    </row>
    <row r="2" spans="2:10" x14ac:dyDescent="0.2">
      <c r="B2" s="102" t="s">
        <v>1379</v>
      </c>
      <c r="C2" s="102"/>
      <c r="D2" s="102"/>
      <c r="E2" s="102"/>
      <c r="F2" s="102"/>
      <c r="G2" s="102"/>
      <c r="H2" s="102"/>
    </row>
    <row r="3" spans="2:10" x14ac:dyDescent="0.2">
      <c r="B3" s="102" t="s">
        <v>1107</v>
      </c>
      <c r="C3" s="102"/>
      <c r="D3" s="102"/>
      <c r="E3" s="102"/>
      <c r="F3" s="102"/>
      <c r="G3" s="102"/>
      <c r="H3" s="102"/>
    </row>
    <row r="4" spans="2:10" x14ac:dyDescent="0.2">
      <c r="B4" s="101"/>
      <c r="C4" s="101"/>
      <c r="D4" s="101"/>
      <c r="E4" s="101"/>
      <c r="F4" s="101"/>
      <c r="G4" s="101"/>
      <c r="H4" s="101"/>
    </row>
    <row r="5" spans="2:10" x14ac:dyDescent="0.2">
      <c r="B5" s="101"/>
      <c r="C5" s="103">
        <v>1</v>
      </c>
      <c r="D5" s="103">
        <f>C5+1</f>
        <v>2</v>
      </c>
      <c r="E5" s="103">
        <f>D5+1</f>
        <v>3</v>
      </c>
      <c r="F5" s="103">
        <f>E5+1</f>
        <v>4</v>
      </c>
      <c r="G5" s="103">
        <f>F5+1</f>
        <v>5</v>
      </c>
      <c r="H5" s="103">
        <f>G5+1</f>
        <v>6</v>
      </c>
      <c r="I5" s="103" t="s">
        <v>8</v>
      </c>
      <c r="J5" s="103" t="s">
        <v>9</v>
      </c>
    </row>
    <row r="6" spans="2:10" x14ac:dyDescent="0.2">
      <c r="B6" s="101"/>
      <c r="C6" s="103"/>
      <c r="D6" s="103"/>
      <c r="E6" s="103"/>
      <c r="F6" s="103"/>
      <c r="G6" s="104" t="s">
        <v>1108</v>
      </c>
      <c r="H6" s="105"/>
      <c r="I6" s="104" t="s">
        <v>1369</v>
      </c>
      <c r="J6" s="105"/>
    </row>
    <row r="7" spans="2:10" ht="38.25" x14ac:dyDescent="0.2">
      <c r="B7" s="106"/>
      <c r="C7" s="107" t="s">
        <v>1109</v>
      </c>
      <c r="D7" s="107" t="s">
        <v>1110</v>
      </c>
      <c r="E7" s="107" t="s">
        <v>1111</v>
      </c>
      <c r="F7" s="107" t="s">
        <v>1112</v>
      </c>
      <c r="G7" s="108" t="s">
        <v>1113</v>
      </c>
      <c r="H7" s="109" t="s">
        <v>1114</v>
      </c>
      <c r="I7" s="108" t="s">
        <v>1113</v>
      </c>
      <c r="J7" s="109" t="s">
        <v>1114</v>
      </c>
    </row>
    <row r="8" spans="2:10" x14ac:dyDescent="0.2">
      <c r="B8" s="101"/>
      <c r="C8" s="101"/>
      <c r="D8" s="101"/>
      <c r="E8" s="110"/>
      <c r="F8" s="110"/>
      <c r="G8" s="111"/>
      <c r="H8" s="112"/>
      <c r="I8" s="111"/>
      <c r="J8" s="112"/>
    </row>
    <row r="9" spans="2:10" x14ac:dyDescent="0.2">
      <c r="B9" s="113" t="s">
        <v>1115</v>
      </c>
      <c r="C9" s="110"/>
      <c r="D9" s="110"/>
      <c r="E9" s="101"/>
      <c r="F9" s="101"/>
      <c r="G9" s="111"/>
      <c r="H9" s="112"/>
      <c r="I9" s="111"/>
      <c r="J9" s="112"/>
    </row>
    <row r="10" spans="2:10" x14ac:dyDescent="0.2">
      <c r="B10" s="114" t="s">
        <v>1370</v>
      </c>
      <c r="C10" s="115">
        <v>3.0316666666666669E-2</v>
      </c>
      <c r="D10" s="116">
        <f>'RBH-3 Beta'!E31</f>
        <v>0.48488442664561066</v>
      </c>
      <c r="E10" s="117">
        <f>'RBH-2 MRP Bloomberg'!F7</f>
        <v>0.10607335216757487</v>
      </c>
      <c r="F10" s="117">
        <f>'RBH-2 MRP Value Line'!F7</f>
        <v>0.13715722020992185</v>
      </c>
      <c r="G10" s="118">
        <f>$C10+$D10*E10</f>
        <v>8.1749983214819147E-2</v>
      </c>
      <c r="H10" s="119">
        <f>$C10+$D10*F10</f>
        <v>9.6822066748460389E-2</v>
      </c>
      <c r="I10" s="118">
        <f>$C10+($D10*E10*0.75)+(0.25*E10)</f>
        <v>9.5409992119674741E-2</v>
      </c>
      <c r="J10" s="119">
        <f>$C10+($D10*F10*0.75)+(0.25*F10)</f>
        <v>0.11448502178049241</v>
      </c>
    </row>
    <row r="11" spans="2:10" x14ac:dyDescent="0.2">
      <c r="B11" s="120" t="s">
        <v>1371</v>
      </c>
      <c r="C11" s="39">
        <f>AVERAGE(3.1,3.1,3.2,3.3,3.4,3.4)/100</f>
        <v>3.2499999999999994E-2</v>
      </c>
      <c r="D11" s="121">
        <f>D10</f>
        <v>0.48488442664561066</v>
      </c>
      <c r="E11" s="122">
        <f>E10</f>
        <v>0.10607335216757487</v>
      </c>
      <c r="F11" s="123">
        <f>F10</f>
        <v>0.13715722020992185</v>
      </c>
      <c r="G11" s="118">
        <f>$C11+$D11*E11</f>
        <v>8.3933316548152476E-2</v>
      </c>
      <c r="H11" s="119">
        <f>$C11+$D11*F11</f>
        <v>9.9005400081793704E-2</v>
      </c>
      <c r="I11" s="118">
        <f>$C11+($D11*E11*0.75)+(0.25*E11)</f>
        <v>9.759332545300807E-2</v>
      </c>
      <c r="J11" s="119">
        <f>$C11+($D11*F11*0.75)+(0.25*F11)</f>
        <v>0.11666835511382573</v>
      </c>
    </row>
    <row r="12" spans="2:10" x14ac:dyDescent="0.2">
      <c r="B12" s="101" t="s">
        <v>1106</v>
      </c>
      <c r="C12" s="101"/>
      <c r="D12" s="101"/>
      <c r="E12" s="101"/>
      <c r="F12" s="101"/>
      <c r="G12" s="124">
        <f>AVERAGE(G10:G11)</f>
        <v>8.2841649881485818E-2</v>
      </c>
      <c r="H12" s="125">
        <f>AVERAGE(H10:H11)</f>
        <v>9.7913733415127047E-2</v>
      </c>
      <c r="I12" s="124">
        <f>AVERAGE(I10:I11)</f>
        <v>9.6501658786341399E-2</v>
      </c>
      <c r="J12" s="125">
        <f>AVERAGE(J10:J11)</f>
        <v>0.11557668844715907</v>
      </c>
    </row>
    <row r="13" spans="2:10" x14ac:dyDescent="0.2">
      <c r="B13" s="101"/>
      <c r="C13" s="101"/>
      <c r="D13" s="101"/>
      <c r="E13" s="101"/>
      <c r="F13" s="101"/>
      <c r="G13" s="117"/>
      <c r="H13" s="117"/>
    </row>
    <row r="14" spans="2:10" x14ac:dyDescent="0.2">
      <c r="B14" s="101"/>
      <c r="C14" s="101"/>
      <c r="D14" s="101"/>
      <c r="E14" s="101"/>
      <c r="F14" s="101"/>
      <c r="G14" s="104" t="s">
        <v>1108</v>
      </c>
      <c r="H14" s="105"/>
      <c r="I14" s="104" t="s">
        <v>1369</v>
      </c>
      <c r="J14" s="105"/>
    </row>
    <row r="15" spans="2:10" ht="38.25" x14ac:dyDescent="0.2">
      <c r="B15" s="106"/>
      <c r="C15" s="107" t="s">
        <v>1109</v>
      </c>
      <c r="D15" s="107" t="s">
        <v>1110</v>
      </c>
      <c r="E15" s="107" t="s">
        <v>1111</v>
      </c>
      <c r="F15" s="107" t="s">
        <v>1112</v>
      </c>
      <c r="G15" s="108" t="s">
        <v>1113</v>
      </c>
      <c r="H15" s="109" t="s">
        <v>1114</v>
      </c>
      <c r="I15" s="108" t="s">
        <v>1113</v>
      </c>
      <c r="J15" s="109" t="s">
        <v>1114</v>
      </c>
    </row>
    <row r="16" spans="2:10" x14ac:dyDescent="0.2">
      <c r="B16" s="101"/>
      <c r="C16" s="101"/>
      <c r="D16" s="101"/>
      <c r="E16" s="110"/>
      <c r="F16" s="110"/>
      <c r="G16" s="111"/>
      <c r="H16" s="112"/>
      <c r="I16" s="111"/>
      <c r="J16" s="112"/>
    </row>
    <row r="17" spans="2:10" x14ac:dyDescent="0.2">
      <c r="B17" s="113" t="s">
        <v>1116</v>
      </c>
      <c r="C17" s="110"/>
      <c r="D17" s="110"/>
      <c r="E17" s="101"/>
      <c r="F17" s="101"/>
      <c r="G17" s="111"/>
      <c r="H17" s="112"/>
      <c r="I17" s="111"/>
      <c r="J17" s="112"/>
    </row>
    <row r="18" spans="2:10" x14ac:dyDescent="0.2">
      <c r="B18" s="114" t="s">
        <v>1370</v>
      </c>
      <c r="C18" s="117">
        <f>C10</f>
        <v>3.0316666666666669E-2</v>
      </c>
      <c r="D18" s="116">
        <f>'RBH-3 Beta'!F31</f>
        <v>0.58795040161498757</v>
      </c>
      <c r="E18" s="117">
        <f>E10</f>
        <v>0.10607335216757487</v>
      </c>
      <c r="F18" s="117">
        <f>F10</f>
        <v>0.13715722020992185</v>
      </c>
      <c r="G18" s="118">
        <f>$C18+$D18*E18</f>
        <v>9.2682536674240326E-2</v>
      </c>
      <c r="H18" s="119">
        <f>$C18+$D18*F18</f>
        <v>0.11095830937348551</v>
      </c>
      <c r="I18" s="118">
        <f>$C18+($D18*E18*0.75)+(0.25*E18)</f>
        <v>0.10360940721424063</v>
      </c>
      <c r="J18" s="119">
        <f>$C18+($D18*F18*0.75)+(0.25*F18)</f>
        <v>0.12508720374926127</v>
      </c>
    </row>
    <row r="19" spans="2:10" x14ac:dyDescent="0.2">
      <c r="B19" s="120" t="s">
        <v>1371</v>
      </c>
      <c r="C19" s="122">
        <f>C11</f>
        <v>3.2499999999999994E-2</v>
      </c>
      <c r="D19" s="121">
        <f>D18</f>
        <v>0.58795040161498757</v>
      </c>
      <c r="E19" s="122">
        <f>E10</f>
        <v>0.10607335216757487</v>
      </c>
      <c r="F19" s="123">
        <f>F10</f>
        <v>0.13715722020992185</v>
      </c>
      <c r="G19" s="118">
        <f>$C19+$D19*E19</f>
        <v>9.4865870007573655E-2</v>
      </c>
      <c r="H19" s="119">
        <f>$C19+$D19*F19</f>
        <v>0.11314164270681884</v>
      </c>
      <c r="I19" s="118">
        <f>$C19+($D19*E19*0.75)+(0.25*E19)</f>
        <v>0.10579274054757395</v>
      </c>
      <c r="J19" s="119">
        <f>$C19+($D19*F19*0.75)+(0.25*F19)</f>
        <v>0.12727053708259459</v>
      </c>
    </row>
    <row r="20" spans="2:10" x14ac:dyDescent="0.2">
      <c r="B20" s="101" t="s">
        <v>1106</v>
      </c>
      <c r="C20" s="117"/>
      <c r="D20" s="116"/>
      <c r="E20" s="117"/>
      <c r="F20" s="117"/>
      <c r="G20" s="124">
        <f>AVERAGE(G18:G19)</f>
        <v>9.3774203340906997E-2</v>
      </c>
      <c r="H20" s="125">
        <f>AVERAGE(H18:H19)</f>
        <v>0.11204997604015218</v>
      </c>
      <c r="I20" s="124">
        <f>AVERAGE(I18:I19)</f>
        <v>0.1047010738809073</v>
      </c>
      <c r="J20" s="125">
        <f>AVERAGE(J18:J19)</f>
        <v>0.12617887041592793</v>
      </c>
    </row>
    <row r="21" spans="2:10" x14ac:dyDescent="0.2">
      <c r="B21" s="101"/>
      <c r="C21" s="101"/>
      <c r="D21" s="101"/>
      <c r="E21" s="101"/>
      <c r="F21" s="101"/>
      <c r="G21" s="117"/>
      <c r="H21" s="117"/>
    </row>
    <row r="22" spans="2:10" x14ac:dyDescent="0.2">
      <c r="B22" s="35" t="s">
        <v>77</v>
      </c>
      <c r="C22" s="35"/>
      <c r="D22" s="35"/>
      <c r="E22" s="35"/>
      <c r="F22" s="35"/>
      <c r="G22" s="35"/>
      <c r="H22" s="35"/>
    </row>
    <row r="23" spans="2:10" x14ac:dyDescent="0.2">
      <c r="B23" s="126" t="s">
        <v>1380</v>
      </c>
      <c r="C23" s="35"/>
      <c r="D23" s="35"/>
      <c r="E23" s="35"/>
      <c r="F23" s="35"/>
      <c r="G23" s="35"/>
      <c r="H23" s="35"/>
    </row>
    <row r="24" spans="2:10" x14ac:dyDescent="0.2">
      <c r="B24" s="328" t="s">
        <v>1376</v>
      </c>
      <c r="C24" s="35"/>
      <c r="D24" s="35"/>
      <c r="E24" s="35"/>
      <c r="F24" s="35"/>
      <c r="G24" s="35"/>
      <c r="H24" s="35"/>
    </row>
    <row r="25" spans="2:10" x14ac:dyDescent="0.2">
      <c r="B25" s="328" t="s">
        <v>1377</v>
      </c>
      <c r="C25" s="35"/>
      <c r="D25" s="35"/>
      <c r="E25" s="35"/>
      <c r="F25" s="35"/>
      <c r="G25" s="35"/>
      <c r="H25" s="35"/>
    </row>
    <row r="26" spans="2:10" x14ac:dyDescent="0.2">
      <c r="B26" s="328" t="s">
        <v>1378</v>
      </c>
      <c r="C26" s="35"/>
      <c r="D26" s="35"/>
      <c r="E26" s="35"/>
      <c r="F26" s="35"/>
      <c r="G26" s="35"/>
      <c r="H26" s="35"/>
    </row>
    <row r="27" spans="2:10" x14ac:dyDescent="0.2">
      <c r="B27" s="35" t="s">
        <v>1117</v>
      </c>
      <c r="C27" s="35"/>
      <c r="D27" s="35"/>
      <c r="E27" s="35"/>
      <c r="F27" s="35"/>
      <c r="G27" s="35"/>
      <c r="H27" s="35"/>
    </row>
    <row r="28" spans="2:10" x14ac:dyDescent="0.2">
      <c r="B28" s="35" t="s">
        <v>1118</v>
      </c>
      <c r="C28" s="35"/>
      <c r="D28" s="35"/>
      <c r="E28" s="35"/>
      <c r="F28" s="35"/>
      <c r="G28" s="35"/>
      <c r="H28" s="35"/>
    </row>
    <row r="29" spans="2:10" x14ac:dyDescent="0.2">
      <c r="B29" s="35" t="s">
        <v>1374</v>
      </c>
      <c r="C29" s="35"/>
      <c r="D29" s="35"/>
      <c r="E29" s="35"/>
      <c r="F29" s="35"/>
      <c r="G29" s="35"/>
      <c r="H29" s="35"/>
    </row>
    <row r="30" spans="2:10" x14ac:dyDescent="0.2">
      <c r="B30" s="35" t="s">
        <v>1375</v>
      </c>
      <c r="C30" s="35"/>
      <c r="D30" s="35"/>
      <c r="E30" s="35"/>
      <c r="F30" s="35"/>
      <c r="G30" s="35"/>
      <c r="H30" s="35"/>
    </row>
    <row r="31" spans="2:10" x14ac:dyDescent="0.2">
      <c r="B31" s="35" t="s">
        <v>1372</v>
      </c>
      <c r="C31" s="35"/>
      <c r="D31" s="35"/>
      <c r="E31" s="35"/>
      <c r="F31" s="35"/>
      <c r="G31" s="35"/>
      <c r="H31" s="35"/>
    </row>
    <row r="32" spans="2:10" x14ac:dyDescent="0.2">
      <c r="B32" s="35" t="s">
        <v>1373</v>
      </c>
    </row>
  </sheetData>
  <printOptions horizontalCentered="1"/>
  <pageMargins left="0.7" right="0.7" top="0.75" bottom="0.75" header="0.3" footer="0.3"/>
  <pageSetup scale="83" orientation="landscape" useFirstPageNumber="1" r:id="rId1"/>
  <headerFooter scaleWithDoc="0">
    <oddHeader>&amp;R&amp;"Arial,Regular"&amp;10EXHIBIT RBH-4
Page &amp;P of 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L1633"/>
  <sheetViews>
    <sheetView view="pageLayout" zoomScaleNormal="100" zoomScaleSheetLayoutView="85" workbookViewId="0">
      <selection activeCell="P3" sqref="P3"/>
    </sheetView>
  </sheetViews>
  <sheetFormatPr defaultColWidth="10.42578125" defaultRowHeight="12.75" x14ac:dyDescent="0.2"/>
  <cols>
    <col min="1" max="1" width="7" style="127" customWidth="1"/>
    <col min="2" max="2" width="14.42578125" style="128" customWidth="1"/>
    <col min="3" max="3" width="11.7109375" style="129" customWidth="1"/>
    <col min="4" max="4" width="11.85546875" style="129" customWidth="1"/>
    <col min="5" max="5" width="12" style="129" customWidth="1"/>
    <col min="6" max="6" width="11.42578125" style="128" customWidth="1"/>
    <col min="7" max="7" width="10.85546875" style="128" customWidth="1"/>
    <col min="8" max="8" width="14.42578125" style="128" customWidth="1"/>
    <col min="9" max="9" width="9.5703125" style="128" customWidth="1"/>
    <col min="10" max="16384" width="10.42578125" style="128"/>
  </cols>
  <sheetData>
    <row r="2" spans="2:7" x14ac:dyDescent="0.2">
      <c r="C2" s="130" t="s">
        <v>1119</v>
      </c>
      <c r="D2" s="131"/>
      <c r="E2" s="131"/>
      <c r="F2" s="131"/>
      <c r="G2" s="130"/>
    </row>
    <row r="3" spans="2:7" x14ac:dyDescent="0.2">
      <c r="C3" s="130"/>
      <c r="D3" s="131"/>
      <c r="E3" s="131"/>
      <c r="F3" s="131"/>
      <c r="G3" s="130"/>
    </row>
    <row r="4" spans="2:7" x14ac:dyDescent="0.2">
      <c r="C4" s="132" t="s">
        <v>2</v>
      </c>
      <c r="D4" s="133" t="s">
        <v>3</v>
      </c>
      <c r="E4" s="133" t="s">
        <v>4</v>
      </c>
      <c r="F4" s="133" t="s">
        <v>5</v>
      </c>
      <c r="G4" s="132" t="s">
        <v>6</v>
      </c>
    </row>
    <row r="5" spans="2:7" ht="38.25" x14ac:dyDescent="0.2">
      <c r="C5" s="134" t="s">
        <v>1120</v>
      </c>
      <c r="D5" s="134" t="s">
        <v>1121</v>
      </c>
      <c r="E5" s="134" t="s">
        <v>1122</v>
      </c>
      <c r="F5" s="134" t="s">
        <v>1123</v>
      </c>
      <c r="G5" s="134" t="s">
        <v>1124</v>
      </c>
    </row>
    <row r="6" spans="2:7" x14ac:dyDescent="0.2">
      <c r="C6" s="135">
        <f>INTERCEPT(G46:G1629,LN(F46:F1629))</f>
        <v>-2.4847305145528416E-2</v>
      </c>
      <c r="D6" s="136">
        <f>SLOPE(G46:G1629,LN(F46:F1629))</f>
        <v>-2.6837421324619908E-2</v>
      </c>
      <c r="E6" s="137"/>
      <c r="F6" s="138"/>
      <c r="G6" s="139"/>
    </row>
    <row r="7" spans="2:7" x14ac:dyDescent="0.2">
      <c r="C7" s="133"/>
      <c r="D7" s="140" t="s">
        <v>1125</v>
      </c>
      <c r="E7" s="329">
        <f>'RBH-4 CAPM'!C10</f>
        <v>3.0316666666666669E-2</v>
      </c>
      <c r="F7" s="133">
        <f>($C$6+LN(E7)*$D$6)</f>
        <v>6.8977867323144759E-2</v>
      </c>
      <c r="G7" s="133">
        <f>E7+F7</f>
        <v>9.9294533989811432E-2</v>
      </c>
    </row>
    <row r="8" spans="2:7" x14ac:dyDescent="0.2">
      <c r="C8" s="133"/>
      <c r="D8" s="140" t="s">
        <v>1126</v>
      </c>
      <c r="E8" s="329">
        <f>'RBH-4 CAPM'!C11</f>
        <v>3.2499999999999994E-2</v>
      </c>
      <c r="F8" s="133">
        <f>($C$6+LN(E8)*$D$6)</f>
        <v>6.7111526674223126E-2</v>
      </c>
      <c r="G8" s="133">
        <f>E8+F8</f>
        <v>9.9611526674223128E-2</v>
      </c>
    </row>
    <row r="9" spans="2:7" x14ac:dyDescent="0.2">
      <c r="B9" s="142"/>
      <c r="C9" s="143"/>
      <c r="D9" s="144" t="s">
        <v>1127</v>
      </c>
      <c r="E9" s="145">
        <f>AVERAGE(3.9,4.2)/100</f>
        <v>4.0500000000000001E-2</v>
      </c>
      <c r="F9" s="143">
        <f>($C$6+LN(E9)*$D$6)</f>
        <v>6.120563315497813E-2</v>
      </c>
      <c r="G9" s="143">
        <f>E9+F9</f>
        <v>0.10170563315497813</v>
      </c>
    </row>
    <row r="10" spans="2:7" x14ac:dyDescent="0.2">
      <c r="B10" s="133"/>
      <c r="C10" s="146"/>
      <c r="D10" s="141"/>
      <c r="E10" s="133"/>
      <c r="F10" s="133"/>
    </row>
    <row r="11" spans="2:7" x14ac:dyDescent="0.2">
      <c r="B11" s="133"/>
      <c r="C11" s="146"/>
      <c r="D11" s="141"/>
      <c r="E11" s="133"/>
      <c r="F11" s="133"/>
    </row>
    <row r="12" spans="2:7" x14ac:dyDescent="0.2">
      <c r="B12" s="133"/>
      <c r="C12" s="146"/>
      <c r="D12" s="141"/>
      <c r="E12" s="133"/>
      <c r="F12" s="133"/>
    </row>
    <row r="13" spans="2:7" x14ac:dyDescent="0.2">
      <c r="B13" s="133"/>
      <c r="C13" s="146"/>
      <c r="D13" s="141"/>
      <c r="E13" s="133"/>
      <c r="F13" s="133"/>
    </row>
    <row r="14" spans="2:7" x14ac:dyDescent="0.2">
      <c r="B14" s="133"/>
      <c r="C14" s="146"/>
      <c r="D14" s="141"/>
      <c r="E14" s="133"/>
      <c r="F14" s="133"/>
    </row>
    <row r="15" spans="2:7" x14ac:dyDescent="0.2">
      <c r="B15" s="133"/>
      <c r="C15" s="146"/>
      <c r="D15" s="141"/>
      <c r="E15" s="133"/>
      <c r="F15" s="133"/>
    </row>
    <row r="16" spans="2:7" x14ac:dyDescent="0.2">
      <c r="B16" s="133"/>
      <c r="C16" s="146"/>
      <c r="D16" s="141"/>
      <c r="E16" s="133"/>
      <c r="F16" s="133"/>
    </row>
    <row r="17" spans="2:6" x14ac:dyDescent="0.2">
      <c r="B17" s="133"/>
      <c r="C17" s="146"/>
      <c r="D17" s="141"/>
      <c r="E17" s="133"/>
      <c r="F17" s="133"/>
    </row>
    <row r="18" spans="2:6" x14ac:dyDescent="0.2">
      <c r="B18" s="133"/>
      <c r="C18" s="146"/>
      <c r="D18" s="141"/>
      <c r="E18" s="133"/>
      <c r="F18" s="133"/>
    </row>
    <row r="19" spans="2:6" x14ac:dyDescent="0.2">
      <c r="B19" s="133"/>
      <c r="C19" s="146"/>
      <c r="D19" s="141"/>
      <c r="E19" s="133"/>
      <c r="F19" s="133"/>
    </row>
    <row r="20" spans="2:6" x14ac:dyDescent="0.2">
      <c r="B20" s="133"/>
      <c r="C20" s="146"/>
      <c r="D20" s="141"/>
      <c r="E20" s="133"/>
      <c r="F20" s="133"/>
    </row>
    <row r="21" spans="2:6" x14ac:dyDescent="0.2">
      <c r="B21" s="133"/>
      <c r="C21" s="146"/>
      <c r="D21" s="141"/>
      <c r="E21" s="133"/>
      <c r="F21" s="133"/>
    </row>
    <row r="22" spans="2:6" x14ac:dyDescent="0.2">
      <c r="B22" s="133"/>
      <c r="C22" s="146"/>
      <c r="D22" s="141"/>
      <c r="E22" s="133"/>
      <c r="F22" s="133"/>
    </row>
    <row r="23" spans="2:6" x14ac:dyDescent="0.2">
      <c r="B23" s="133"/>
      <c r="C23" s="146"/>
      <c r="D23" s="141"/>
      <c r="E23" s="133"/>
      <c r="F23" s="133"/>
    </row>
    <row r="24" spans="2:6" x14ac:dyDescent="0.2">
      <c r="B24" s="133"/>
      <c r="C24" s="146"/>
      <c r="D24" s="141"/>
      <c r="E24" s="133"/>
      <c r="F24" s="133"/>
    </row>
    <row r="25" spans="2:6" x14ac:dyDescent="0.2">
      <c r="B25" s="133"/>
      <c r="C25" s="146"/>
      <c r="D25" s="141"/>
      <c r="E25" s="133"/>
      <c r="F25" s="133"/>
    </row>
    <row r="26" spans="2:6" x14ac:dyDescent="0.2">
      <c r="B26" s="133"/>
      <c r="C26" s="146"/>
      <c r="D26" s="141"/>
      <c r="E26" s="133"/>
      <c r="F26" s="133"/>
    </row>
    <row r="27" spans="2:6" x14ac:dyDescent="0.2">
      <c r="B27" s="133"/>
      <c r="C27" s="146"/>
      <c r="D27" s="141"/>
      <c r="E27" s="133"/>
      <c r="F27" s="133"/>
    </row>
    <row r="28" spans="2:6" x14ac:dyDescent="0.2">
      <c r="B28" s="133"/>
      <c r="C28" s="146"/>
      <c r="D28" s="141"/>
      <c r="E28" s="133"/>
      <c r="F28" s="133"/>
    </row>
    <row r="29" spans="2:6" x14ac:dyDescent="0.2">
      <c r="B29" s="133"/>
      <c r="C29" s="146"/>
      <c r="D29" s="141"/>
      <c r="E29" s="133"/>
      <c r="F29" s="133"/>
    </row>
    <row r="30" spans="2:6" x14ac:dyDescent="0.2">
      <c r="B30" s="147" t="s">
        <v>77</v>
      </c>
      <c r="C30" s="133"/>
      <c r="D30" s="133"/>
      <c r="E30" s="133"/>
      <c r="F30" s="133"/>
    </row>
    <row r="31" spans="2:6" x14ac:dyDescent="0.2">
      <c r="B31" s="129" t="s">
        <v>1128</v>
      </c>
      <c r="C31" s="133"/>
      <c r="D31" s="133"/>
      <c r="E31" s="133"/>
      <c r="F31" s="133"/>
    </row>
    <row r="32" spans="2:6" x14ac:dyDescent="0.2">
      <c r="B32" s="129" t="s">
        <v>1129</v>
      </c>
      <c r="C32" s="133"/>
      <c r="D32" s="133"/>
      <c r="E32" s="133"/>
      <c r="F32" s="133"/>
    </row>
    <row r="33" spans="1:12" x14ac:dyDescent="0.2">
      <c r="B33" s="129" t="s">
        <v>1130</v>
      </c>
      <c r="C33" s="133"/>
      <c r="D33" s="133"/>
      <c r="E33" s="133"/>
      <c r="F33" s="133"/>
    </row>
    <row r="34" spans="1:12" x14ac:dyDescent="0.2">
      <c r="B34" s="129" t="s">
        <v>1131</v>
      </c>
      <c r="C34" s="133"/>
      <c r="D34" s="133"/>
      <c r="E34" s="133"/>
      <c r="F34" s="133"/>
    </row>
    <row r="35" spans="1:12" x14ac:dyDescent="0.2">
      <c r="B35" s="129" t="s">
        <v>1132</v>
      </c>
      <c r="C35" s="133"/>
      <c r="D35" s="133"/>
      <c r="E35" s="133"/>
      <c r="F35" s="133"/>
    </row>
    <row r="36" spans="1:12" x14ac:dyDescent="0.2">
      <c r="B36" s="129" t="s">
        <v>1133</v>
      </c>
      <c r="C36" s="133"/>
      <c r="D36" s="133"/>
      <c r="E36" s="133"/>
      <c r="F36" s="133"/>
    </row>
    <row r="37" spans="1:12" x14ac:dyDescent="0.2">
      <c r="B37" s="148" t="s">
        <v>1134</v>
      </c>
    </row>
    <row r="38" spans="1:12" x14ac:dyDescent="0.2">
      <c r="B38" s="149" t="s">
        <v>1135</v>
      </c>
    </row>
    <row r="39" spans="1:12" x14ac:dyDescent="0.2">
      <c r="B39" s="149" t="s">
        <v>1136</v>
      </c>
    </row>
    <row r="40" spans="1:12" x14ac:dyDescent="0.2">
      <c r="B40" s="149" t="s">
        <v>1137</v>
      </c>
    </row>
    <row r="41" spans="1:12" x14ac:dyDescent="0.2">
      <c r="B41" s="150" t="s">
        <v>1138</v>
      </c>
    </row>
    <row r="42" spans="1:12" x14ac:dyDescent="0.2">
      <c r="B42" s="151"/>
    </row>
    <row r="43" spans="1:12" x14ac:dyDescent="0.2">
      <c r="C43" s="128"/>
      <c r="D43" s="152" t="str">
        <f>C2</f>
        <v>Bond Yield Plus Risk Premium</v>
      </c>
      <c r="E43" s="152"/>
      <c r="F43" s="152"/>
      <c r="G43" s="152"/>
      <c r="H43" s="153"/>
    </row>
    <row r="44" spans="1:12" x14ac:dyDescent="0.2">
      <c r="C44" s="128"/>
      <c r="D44" s="153" t="s">
        <v>7</v>
      </c>
      <c r="E44" s="153" t="s">
        <v>8</v>
      </c>
      <c r="F44" s="153" t="s">
        <v>9</v>
      </c>
      <c r="G44" s="154" t="s">
        <v>10</v>
      </c>
    </row>
    <row r="45" spans="1:12" s="156" customFormat="1" ht="38.25" x14ac:dyDescent="0.2">
      <c r="A45" s="155"/>
      <c r="D45" s="157" t="s">
        <v>1139</v>
      </c>
      <c r="E45" s="158" t="s">
        <v>1124</v>
      </c>
      <c r="F45" s="158" t="s">
        <v>1122</v>
      </c>
      <c r="G45" s="158" t="s">
        <v>1123</v>
      </c>
      <c r="I45" s="159" t="s">
        <v>1140</v>
      </c>
    </row>
    <row r="46" spans="1:12" s="156" customFormat="1" x14ac:dyDescent="0.2">
      <c r="A46" s="127"/>
      <c r="D46" s="160">
        <v>29221</v>
      </c>
      <c r="E46" s="161">
        <v>0.14499999999999999</v>
      </c>
      <c r="F46" s="161">
        <v>9.357899999999994E-2</v>
      </c>
      <c r="G46" s="133">
        <f t="shared" ref="G46:G109" si="0">E46-F46</f>
        <v>5.142100000000005E-2</v>
      </c>
      <c r="I46" s="156">
        <f>--(Risk_Prem2[[#This Row],[Return on Equity]]&lt;0.09)</f>
        <v>0</v>
      </c>
      <c r="K46" s="128"/>
      <c r="L46" s="128"/>
    </row>
    <row r="47" spans="1:12" s="156" customFormat="1" x14ac:dyDescent="0.2">
      <c r="A47" s="127"/>
      <c r="D47" s="160">
        <v>29227</v>
      </c>
      <c r="E47" s="161">
        <v>0.1439</v>
      </c>
      <c r="F47" s="161">
        <v>9.3833499999999931E-2</v>
      </c>
      <c r="G47" s="133">
        <f t="shared" si="0"/>
        <v>5.0066500000000069E-2</v>
      </c>
      <c r="I47" s="156">
        <f>--(Risk_Prem2[[#This Row],[Return on Equity]]&lt;0.09)</f>
        <v>0</v>
      </c>
      <c r="K47" s="128"/>
      <c r="L47" s="128"/>
    </row>
    <row r="48" spans="1:12" s="156" customFormat="1" x14ac:dyDescent="0.2">
      <c r="A48" s="127"/>
      <c r="D48" s="160">
        <v>29229</v>
      </c>
      <c r="E48" s="161">
        <v>0.15</v>
      </c>
      <c r="F48" s="161">
        <v>9.3958499999999903E-2</v>
      </c>
      <c r="G48" s="133">
        <f t="shared" si="0"/>
        <v>5.6041500000000091E-2</v>
      </c>
      <c r="I48" s="156">
        <f>--(Risk_Prem2[[#This Row],[Return on Equity]]&lt;0.09)</f>
        <v>0</v>
      </c>
      <c r="K48" s="128"/>
      <c r="L48" s="128"/>
    </row>
    <row r="49" spans="1:12" s="156" customFormat="1" x14ac:dyDescent="0.2">
      <c r="A49" s="127"/>
      <c r="D49" s="160">
        <v>29234</v>
      </c>
      <c r="E49" s="161">
        <v>0.1517</v>
      </c>
      <c r="F49" s="161">
        <v>9.4156499999999921E-2</v>
      </c>
      <c r="G49" s="133">
        <f t="shared" si="0"/>
        <v>5.7543500000000081E-2</v>
      </c>
      <c r="I49" s="156">
        <f>--(Risk_Prem2[[#This Row],[Return on Equity]]&lt;0.09)</f>
        <v>0</v>
      </c>
      <c r="K49" s="128"/>
      <c r="L49" s="128"/>
    </row>
    <row r="50" spans="1:12" s="156" customFormat="1" x14ac:dyDescent="0.2">
      <c r="A50" s="127"/>
      <c r="D50" s="160">
        <v>29237</v>
      </c>
      <c r="E50" s="161">
        <v>0.13930000000000001</v>
      </c>
      <c r="F50" s="161">
        <v>9.4368999999999939E-2</v>
      </c>
      <c r="G50" s="133">
        <f t="shared" si="0"/>
        <v>4.4931000000000068E-2</v>
      </c>
      <c r="I50" s="156">
        <f>--(Risk_Prem2[[#This Row],[Return on Equity]]&lt;0.09)</f>
        <v>0</v>
      </c>
      <c r="K50" s="128"/>
      <c r="L50" s="128"/>
    </row>
    <row r="51" spans="1:12" s="156" customFormat="1" x14ac:dyDescent="0.2">
      <c r="A51" s="127"/>
      <c r="D51" s="160">
        <v>29243</v>
      </c>
      <c r="E51" s="161">
        <v>0.155</v>
      </c>
      <c r="F51" s="161">
        <v>9.4704499999999955E-2</v>
      </c>
      <c r="G51" s="133">
        <f t="shared" si="0"/>
        <v>6.0295500000000044E-2</v>
      </c>
      <c r="I51" s="156">
        <f>--(Risk_Prem2[[#This Row],[Return on Equity]]&lt;0.09)</f>
        <v>0</v>
      </c>
      <c r="K51" s="128"/>
      <c r="L51" s="128"/>
    </row>
    <row r="52" spans="1:12" s="156" customFormat="1" x14ac:dyDescent="0.2">
      <c r="A52" s="127"/>
      <c r="D52" s="160">
        <v>29250</v>
      </c>
      <c r="E52" s="161">
        <v>0.1386</v>
      </c>
      <c r="F52" s="161">
        <v>9.5205499999999971E-2</v>
      </c>
      <c r="G52" s="133">
        <f t="shared" si="0"/>
        <v>4.339450000000003E-2</v>
      </c>
      <c r="I52" s="156">
        <f>--(Risk_Prem2[[#This Row],[Return on Equity]]&lt;0.09)</f>
        <v>0</v>
      </c>
      <c r="K52" s="128"/>
      <c r="L52" s="128"/>
    </row>
    <row r="53" spans="1:12" s="156" customFormat="1" x14ac:dyDescent="0.2">
      <c r="A53" s="127"/>
      <c r="D53" s="160">
        <v>29251</v>
      </c>
      <c r="E53" s="161">
        <v>0.12609999999999999</v>
      </c>
      <c r="F53" s="161">
        <v>9.530599999999996E-2</v>
      </c>
      <c r="G53" s="133">
        <f t="shared" si="0"/>
        <v>3.079400000000003E-2</v>
      </c>
      <c r="I53" s="156">
        <f>--(Risk_Prem2[[#This Row],[Return on Equity]]&lt;0.09)</f>
        <v>0</v>
      </c>
      <c r="K53" s="128"/>
      <c r="L53" s="128"/>
    </row>
    <row r="54" spans="1:12" s="156" customFormat="1" x14ac:dyDescent="0.2">
      <c r="A54" s="127"/>
      <c r="D54" s="160">
        <v>29257</v>
      </c>
      <c r="E54" s="161">
        <v>0.1371</v>
      </c>
      <c r="F54" s="161">
        <v>9.5788999999999902E-2</v>
      </c>
      <c r="G54" s="133">
        <f t="shared" si="0"/>
        <v>4.1311000000000098E-2</v>
      </c>
      <c r="I54" s="156">
        <f>--(Risk_Prem2[[#This Row],[Return on Equity]]&lt;0.09)</f>
        <v>0</v>
      </c>
      <c r="K54" s="128"/>
      <c r="L54" s="128"/>
    </row>
    <row r="55" spans="1:12" s="156" customFormat="1" x14ac:dyDescent="0.2">
      <c r="A55" s="127"/>
      <c r="D55" s="160">
        <v>29264</v>
      </c>
      <c r="E55" s="161">
        <v>0.128</v>
      </c>
      <c r="F55" s="161">
        <v>9.6325999999999912E-2</v>
      </c>
      <c r="G55" s="133">
        <f t="shared" si="0"/>
        <v>3.1674000000000091E-2</v>
      </c>
      <c r="I55" s="156">
        <f>--(Risk_Prem2[[#This Row],[Return on Equity]]&lt;0.09)</f>
        <v>0</v>
      </c>
      <c r="K55" s="128"/>
      <c r="L55" s="128"/>
    </row>
    <row r="56" spans="1:12" s="156" customFormat="1" x14ac:dyDescent="0.2">
      <c r="A56" s="127"/>
      <c r="D56" s="160">
        <v>29265</v>
      </c>
      <c r="E56" s="161">
        <v>0.13</v>
      </c>
      <c r="F56" s="161">
        <v>9.6464499999999939E-2</v>
      </c>
      <c r="G56" s="133">
        <f t="shared" si="0"/>
        <v>3.3535500000000065E-2</v>
      </c>
      <c r="I56" s="156">
        <f>--(Risk_Prem2[[#This Row],[Return on Equity]]&lt;0.09)</f>
        <v>0</v>
      </c>
      <c r="K56" s="128"/>
      <c r="L56" s="128"/>
    </row>
    <row r="57" spans="1:12" s="156" customFormat="1" x14ac:dyDescent="0.2">
      <c r="A57" s="127"/>
      <c r="D57" s="160">
        <v>29270</v>
      </c>
      <c r="E57" s="161">
        <v>0.13500000000000001</v>
      </c>
      <c r="F57" s="161">
        <v>9.6781999999999951E-2</v>
      </c>
      <c r="G57" s="133">
        <f t="shared" si="0"/>
        <v>3.8218000000000057E-2</v>
      </c>
      <c r="I57" s="156">
        <f>--(Risk_Prem2[[#This Row],[Return on Equity]]&lt;0.09)</f>
        <v>0</v>
      </c>
      <c r="K57" s="128"/>
      <c r="L57" s="128"/>
    </row>
    <row r="58" spans="1:12" s="156" customFormat="1" x14ac:dyDescent="0.2">
      <c r="A58" s="127"/>
      <c r="D58" s="160">
        <v>29278</v>
      </c>
      <c r="E58" s="161">
        <v>0.13750000000000001</v>
      </c>
      <c r="F58" s="161">
        <v>9.7818500000000003E-2</v>
      </c>
      <c r="G58" s="133">
        <f t="shared" si="0"/>
        <v>3.9681500000000008E-2</v>
      </c>
      <c r="I58" s="156">
        <f>--(Risk_Prem2[[#This Row],[Return on Equity]]&lt;0.09)</f>
        <v>0</v>
      </c>
      <c r="K58" s="128"/>
      <c r="L58" s="128"/>
    </row>
    <row r="59" spans="1:12" s="156" customFormat="1" x14ac:dyDescent="0.2">
      <c r="A59" s="127"/>
      <c r="D59" s="160">
        <v>29280</v>
      </c>
      <c r="E59" s="161">
        <v>0.13750000000000001</v>
      </c>
      <c r="F59" s="161">
        <v>9.8118500000000011E-2</v>
      </c>
      <c r="G59" s="133">
        <f t="shared" si="0"/>
        <v>3.93815E-2</v>
      </c>
      <c r="I59" s="156">
        <f>--(Risk_Prem2[[#This Row],[Return on Equity]]&lt;0.09)</f>
        <v>0</v>
      </c>
      <c r="K59" s="128"/>
      <c r="L59" s="128"/>
    </row>
    <row r="60" spans="1:12" s="156" customFormat="1" x14ac:dyDescent="0.2">
      <c r="A60" s="127"/>
      <c r="D60" s="160">
        <v>29280</v>
      </c>
      <c r="E60" s="161">
        <v>0.14000000000000001</v>
      </c>
      <c r="F60" s="161">
        <v>9.8118500000000011E-2</v>
      </c>
      <c r="G60" s="133">
        <f t="shared" si="0"/>
        <v>4.1881500000000002E-2</v>
      </c>
      <c r="I60" s="156">
        <f>--(Risk_Prem2[[#This Row],[Return on Equity]]&lt;0.09)</f>
        <v>0</v>
      </c>
      <c r="K60" s="128"/>
      <c r="L60" s="128"/>
    </row>
    <row r="61" spans="1:12" s="156" customFormat="1" x14ac:dyDescent="0.2">
      <c r="A61" s="127"/>
      <c r="D61" s="160">
        <v>29280</v>
      </c>
      <c r="E61" s="161">
        <v>0.1477</v>
      </c>
      <c r="F61" s="161">
        <v>9.8118500000000011E-2</v>
      </c>
      <c r="G61" s="133">
        <f t="shared" si="0"/>
        <v>4.9581499999999987E-2</v>
      </c>
      <c r="I61" s="156">
        <f>--(Risk_Prem2[[#This Row],[Return on Equity]]&lt;0.09)</f>
        <v>0</v>
      </c>
      <c r="K61" s="128"/>
      <c r="L61" s="128"/>
    </row>
    <row r="62" spans="1:12" s="156" customFormat="1" x14ac:dyDescent="0.2">
      <c r="A62" s="127"/>
      <c r="D62" s="160">
        <v>29287</v>
      </c>
      <c r="E62" s="161">
        <v>0.127</v>
      </c>
      <c r="F62" s="161">
        <v>9.8918499999999993E-2</v>
      </c>
      <c r="G62" s="133">
        <f t="shared" si="0"/>
        <v>2.8081500000000009E-2</v>
      </c>
      <c r="I62" s="156">
        <f>--(Risk_Prem2[[#This Row],[Return on Equity]]&lt;0.09)</f>
        <v>0</v>
      </c>
      <c r="K62" s="128"/>
      <c r="L62" s="128"/>
    </row>
    <row r="63" spans="1:12" s="156" customFormat="1" x14ac:dyDescent="0.2">
      <c r="A63" s="127"/>
      <c r="D63" s="160">
        <v>29294</v>
      </c>
      <c r="E63" s="161">
        <v>0.13500000000000001</v>
      </c>
      <c r="F63" s="161">
        <v>9.9685000000000024E-2</v>
      </c>
      <c r="G63" s="133">
        <f t="shared" si="0"/>
        <v>3.5314999999999985E-2</v>
      </c>
      <c r="I63" s="156">
        <f>--(Risk_Prem2[[#This Row],[Return on Equity]]&lt;0.09)</f>
        <v>0</v>
      </c>
      <c r="K63" s="128"/>
      <c r="L63" s="128"/>
    </row>
    <row r="64" spans="1:12" s="156" customFormat="1" x14ac:dyDescent="0.2">
      <c r="A64" s="127"/>
      <c r="D64" s="160">
        <v>29306</v>
      </c>
      <c r="E64" s="161">
        <v>0.1416</v>
      </c>
      <c r="F64" s="161">
        <v>0.10099500000000008</v>
      </c>
      <c r="G64" s="133">
        <f t="shared" si="0"/>
        <v>4.0604999999999919E-2</v>
      </c>
      <c r="I64" s="156">
        <f>--(Risk_Prem2[[#This Row],[Return on Equity]]&lt;0.09)</f>
        <v>0</v>
      </c>
      <c r="K64" s="128"/>
      <c r="L64" s="128"/>
    </row>
    <row r="65" spans="1:12" s="156" customFormat="1" x14ac:dyDescent="0.2">
      <c r="A65" s="127"/>
      <c r="D65" s="160">
        <v>29307</v>
      </c>
      <c r="E65" s="161">
        <v>0.1424</v>
      </c>
      <c r="F65" s="161">
        <v>0.10117500000000008</v>
      </c>
      <c r="G65" s="133">
        <f t="shared" si="0"/>
        <v>4.1224999999999914E-2</v>
      </c>
      <c r="I65" s="156">
        <f>--(Risk_Prem2[[#This Row],[Return on Equity]]&lt;0.09)</f>
        <v>0</v>
      </c>
      <c r="K65" s="128"/>
      <c r="L65" s="128"/>
    </row>
    <row r="66" spans="1:12" s="156" customFormat="1" x14ac:dyDescent="0.2">
      <c r="A66" s="127"/>
      <c r="D66" s="160">
        <v>29308</v>
      </c>
      <c r="E66" s="161">
        <v>0.14499999999999999</v>
      </c>
      <c r="F66" s="161">
        <v>0.10134700000000009</v>
      </c>
      <c r="G66" s="133">
        <f t="shared" si="0"/>
        <v>4.36529999999999E-2</v>
      </c>
      <c r="I66" s="156">
        <f>--(Risk_Prem2[[#This Row],[Return on Equity]]&lt;0.09)</f>
        <v>0</v>
      </c>
      <c r="K66" s="128"/>
      <c r="L66" s="128"/>
    </row>
    <row r="67" spans="1:12" s="156" customFormat="1" x14ac:dyDescent="0.2">
      <c r="A67" s="127"/>
      <c r="D67" s="160">
        <v>29322</v>
      </c>
      <c r="E67" s="161">
        <v>0.1275</v>
      </c>
      <c r="F67" s="161">
        <v>0.10273700000000006</v>
      </c>
      <c r="G67" s="133">
        <f t="shared" si="0"/>
        <v>2.4762999999999938E-2</v>
      </c>
      <c r="I67" s="156">
        <f>--(Risk_Prem2[[#This Row],[Return on Equity]]&lt;0.09)</f>
        <v>0</v>
      </c>
      <c r="K67" s="128"/>
      <c r="L67" s="128"/>
    </row>
    <row r="68" spans="1:12" s="156" customFormat="1" x14ac:dyDescent="0.2">
      <c r="A68" s="127"/>
      <c r="D68" s="160">
        <v>29325</v>
      </c>
      <c r="E68" s="161">
        <v>0.13849999999999998</v>
      </c>
      <c r="F68" s="161">
        <v>0.10286450000000008</v>
      </c>
      <c r="G68" s="133">
        <f t="shared" si="0"/>
        <v>3.5635499999999903E-2</v>
      </c>
      <c r="I68" s="156">
        <f>--(Risk_Prem2[[#This Row],[Return on Equity]]&lt;0.09)</f>
        <v>0</v>
      </c>
      <c r="K68" s="128"/>
      <c r="L68" s="128"/>
    </row>
    <row r="69" spans="1:12" s="156" customFormat="1" x14ac:dyDescent="0.2">
      <c r="A69" s="127"/>
      <c r="D69" s="160">
        <v>29327</v>
      </c>
      <c r="E69" s="161">
        <v>0.155</v>
      </c>
      <c r="F69" s="161">
        <v>0.10309550000000005</v>
      </c>
      <c r="G69" s="133">
        <f t="shared" si="0"/>
        <v>5.1904499999999951E-2</v>
      </c>
      <c r="I69" s="156">
        <f>--(Risk_Prem2[[#This Row],[Return on Equity]]&lt;0.09)</f>
        <v>0</v>
      </c>
      <c r="K69" s="128"/>
      <c r="L69" s="128"/>
    </row>
    <row r="70" spans="1:12" s="156" customFormat="1" x14ac:dyDescent="0.2">
      <c r="A70" s="127"/>
      <c r="D70" s="160">
        <v>29333</v>
      </c>
      <c r="E70" s="161">
        <v>0.13250000000000001</v>
      </c>
      <c r="F70" s="161">
        <v>0.10352400000000003</v>
      </c>
      <c r="G70" s="133">
        <f t="shared" si="0"/>
        <v>2.8975999999999974E-2</v>
      </c>
      <c r="I70" s="156">
        <f>--(Risk_Prem2[[#This Row],[Return on Equity]]&lt;0.09)</f>
        <v>0</v>
      </c>
      <c r="K70" s="128"/>
      <c r="L70" s="128"/>
    </row>
    <row r="71" spans="1:12" s="156" customFormat="1" x14ac:dyDescent="0.2">
      <c r="A71" s="127"/>
      <c r="D71" s="160">
        <v>29333</v>
      </c>
      <c r="E71" s="161">
        <v>0.13900000000000001</v>
      </c>
      <c r="F71" s="161">
        <v>0.10352400000000003</v>
      </c>
      <c r="G71" s="133">
        <f t="shared" si="0"/>
        <v>3.547599999999998E-2</v>
      </c>
      <c r="I71" s="156">
        <f>--(Risk_Prem2[[#This Row],[Return on Equity]]&lt;0.09)</f>
        <v>0</v>
      </c>
      <c r="K71" s="128"/>
      <c r="L71" s="128"/>
    </row>
    <row r="72" spans="1:12" s="156" customFormat="1" x14ac:dyDescent="0.2">
      <c r="A72" s="127"/>
      <c r="D72" s="160">
        <v>29335</v>
      </c>
      <c r="E72" s="161">
        <v>0.16800000000000001</v>
      </c>
      <c r="F72" s="161">
        <v>0.10375000000000002</v>
      </c>
      <c r="G72" s="133">
        <f t="shared" si="0"/>
        <v>6.4249999999999988E-2</v>
      </c>
      <c r="I72" s="156">
        <f>--(Risk_Prem2[[#This Row],[Return on Equity]]&lt;0.09)</f>
        <v>0</v>
      </c>
      <c r="K72" s="128"/>
      <c r="L72" s="128"/>
    </row>
    <row r="73" spans="1:12" s="156" customFormat="1" x14ac:dyDescent="0.2">
      <c r="A73" s="127"/>
      <c r="D73" s="160">
        <v>29340</v>
      </c>
      <c r="E73" s="161">
        <v>0.155</v>
      </c>
      <c r="F73" s="161">
        <v>0.10406750000000001</v>
      </c>
      <c r="G73" s="133">
        <f t="shared" si="0"/>
        <v>5.0932499999999992E-2</v>
      </c>
      <c r="I73" s="156">
        <f>--(Risk_Prem2[[#This Row],[Return on Equity]]&lt;0.09)</f>
        <v>0</v>
      </c>
      <c r="K73" s="128"/>
      <c r="L73" s="128"/>
    </row>
    <row r="74" spans="1:12" s="156" customFormat="1" x14ac:dyDescent="0.2">
      <c r="A74" s="127"/>
      <c r="D74" s="160">
        <v>29347</v>
      </c>
      <c r="E74" s="161">
        <v>0.13699999999999998</v>
      </c>
      <c r="F74" s="161">
        <v>0.10446700000000002</v>
      </c>
      <c r="G74" s="133">
        <f t="shared" si="0"/>
        <v>3.2532999999999965E-2</v>
      </c>
      <c r="I74" s="156">
        <f>--(Risk_Prem2[[#This Row],[Return on Equity]]&lt;0.09)</f>
        <v>0</v>
      </c>
      <c r="K74" s="128"/>
      <c r="L74" s="128"/>
    </row>
    <row r="75" spans="1:12" s="156" customFormat="1" x14ac:dyDescent="0.2">
      <c r="A75" s="127"/>
      <c r="D75" s="160">
        <v>29348</v>
      </c>
      <c r="E75" s="161">
        <v>0.15</v>
      </c>
      <c r="F75" s="161">
        <v>0.10452700000000002</v>
      </c>
      <c r="G75" s="133">
        <f t="shared" si="0"/>
        <v>4.5472999999999972E-2</v>
      </c>
      <c r="I75" s="156">
        <f>--(Risk_Prem2[[#This Row],[Return on Equity]]&lt;0.09)</f>
        <v>0</v>
      </c>
      <c r="K75" s="128"/>
      <c r="L75" s="128"/>
    </row>
    <row r="76" spans="1:12" s="156" customFormat="1" x14ac:dyDescent="0.2">
      <c r="A76" s="127"/>
      <c r="D76" s="160">
        <v>29349</v>
      </c>
      <c r="E76" s="161">
        <v>0.13750000000000001</v>
      </c>
      <c r="F76" s="161">
        <v>0.10459449999999998</v>
      </c>
      <c r="G76" s="133">
        <f t="shared" si="0"/>
        <v>3.2905500000000032E-2</v>
      </c>
      <c r="I76" s="156">
        <f>--(Risk_Prem2[[#This Row],[Return on Equity]]&lt;0.09)</f>
        <v>0</v>
      </c>
      <c r="K76" s="128"/>
      <c r="L76" s="128"/>
    </row>
    <row r="77" spans="1:12" s="156" customFormat="1" x14ac:dyDescent="0.2">
      <c r="A77" s="127"/>
      <c r="D77" s="160">
        <v>29350</v>
      </c>
      <c r="E77" s="161">
        <v>0.14349999999999999</v>
      </c>
      <c r="F77" s="161">
        <v>0.1046675</v>
      </c>
      <c r="G77" s="133">
        <f t="shared" si="0"/>
        <v>3.8832499999999992E-2</v>
      </c>
      <c r="I77" s="156">
        <f>--(Risk_Prem2[[#This Row],[Return on Equity]]&lt;0.09)</f>
        <v>0</v>
      </c>
      <c r="K77" s="128"/>
      <c r="L77" s="128"/>
    </row>
    <row r="78" spans="1:12" s="156" customFormat="1" x14ac:dyDescent="0.2">
      <c r="A78" s="127"/>
      <c r="D78" s="160">
        <v>29354</v>
      </c>
      <c r="E78" s="161">
        <v>0.13600000000000001</v>
      </c>
      <c r="F78" s="161">
        <v>0.10480400000000001</v>
      </c>
      <c r="G78" s="133">
        <f t="shared" si="0"/>
        <v>3.1196000000000002E-2</v>
      </c>
      <c r="I78" s="156">
        <f>--(Risk_Prem2[[#This Row],[Return on Equity]]&lt;0.09)</f>
        <v>0</v>
      </c>
      <c r="K78" s="128"/>
      <c r="L78" s="128"/>
    </row>
    <row r="79" spans="1:12" s="156" customFormat="1" x14ac:dyDescent="0.2">
      <c r="A79" s="127"/>
      <c r="D79" s="160">
        <v>29356</v>
      </c>
      <c r="E79" s="161">
        <v>0.13250000000000001</v>
      </c>
      <c r="F79" s="161">
        <v>0.10494250000000001</v>
      </c>
      <c r="G79" s="133">
        <f t="shared" si="0"/>
        <v>2.7557499999999999E-2</v>
      </c>
      <c r="I79" s="156">
        <f>--(Risk_Prem2[[#This Row],[Return on Equity]]&lt;0.09)</f>
        <v>0</v>
      </c>
      <c r="K79" s="128"/>
      <c r="L79" s="128"/>
    </row>
    <row r="80" spans="1:12" s="156" customFormat="1" x14ac:dyDescent="0.2">
      <c r="A80" s="127"/>
      <c r="D80" s="160">
        <v>29360</v>
      </c>
      <c r="E80" s="161">
        <v>0.13750000000000001</v>
      </c>
      <c r="F80" s="161">
        <v>0.10510200000000001</v>
      </c>
      <c r="G80" s="133">
        <f t="shared" si="0"/>
        <v>3.2397999999999996E-2</v>
      </c>
      <c r="I80" s="156">
        <f>--(Risk_Prem2[[#This Row],[Return on Equity]]&lt;0.09)</f>
        <v>0</v>
      </c>
      <c r="K80" s="128"/>
      <c r="L80" s="128"/>
    </row>
    <row r="81" spans="1:12" s="156" customFormat="1" x14ac:dyDescent="0.2">
      <c r="A81" s="127"/>
      <c r="D81" s="160">
        <v>29368</v>
      </c>
      <c r="E81" s="161">
        <v>0.13619999999999999</v>
      </c>
      <c r="F81" s="161">
        <v>0.10543049999999995</v>
      </c>
      <c r="G81" s="133">
        <f t="shared" si="0"/>
        <v>3.0769500000000033E-2</v>
      </c>
      <c r="I81" s="156">
        <f>--(Risk_Prem2[[#This Row],[Return on Equity]]&lt;0.09)</f>
        <v>0</v>
      </c>
      <c r="K81" s="128"/>
      <c r="L81" s="128"/>
    </row>
    <row r="82" spans="1:12" s="156" customFormat="1" x14ac:dyDescent="0.2">
      <c r="A82" s="127"/>
      <c r="D82" s="160">
        <v>29368</v>
      </c>
      <c r="E82" s="161">
        <v>0.14599999999999999</v>
      </c>
      <c r="F82" s="161">
        <v>0.10543049999999995</v>
      </c>
      <c r="G82" s="133">
        <f t="shared" si="0"/>
        <v>4.0569500000000036E-2</v>
      </c>
      <c r="I82" s="156">
        <f>--(Risk_Prem2[[#This Row],[Return on Equity]]&lt;0.09)</f>
        <v>0</v>
      </c>
      <c r="K82" s="128"/>
      <c r="L82" s="128"/>
    </row>
    <row r="83" spans="1:12" s="156" customFormat="1" x14ac:dyDescent="0.2">
      <c r="A83" s="127"/>
      <c r="D83" s="160">
        <v>29370</v>
      </c>
      <c r="E83" s="161">
        <v>0.16</v>
      </c>
      <c r="F83" s="161">
        <v>0.10556699999999999</v>
      </c>
      <c r="G83" s="133">
        <f t="shared" si="0"/>
        <v>5.4433000000000009E-2</v>
      </c>
      <c r="I83" s="156">
        <f>--(Risk_Prem2[[#This Row],[Return on Equity]]&lt;0.09)</f>
        <v>0</v>
      </c>
      <c r="K83" s="128"/>
      <c r="L83" s="128"/>
    </row>
    <row r="84" spans="1:12" s="156" customFormat="1" x14ac:dyDescent="0.2">
      <c r="A84" s="127"/>
      <c r="D84" s="160">
        <v>29371</v>
      </c>
      <c r="E84" s="161">
        <v>0.13800000000000001</v>
      </c>
      <c r="F84" s="161">
        <v>0.10563800000000001</v>
      </c>
      <c r="G84" s="133">
        <f t="shared" si="0"/>
        <v>3.2362000000000002E-2</v>
      </c>
      <c r="I84" s="156">
        <f>--(Risk_Prem2[[#This Row],[Return on Equity]]&lt;0.09)</f>
        <v>0</v>
      </c>
      <c r="K84" s="128"/>
      <c r="L84" s="128"/>
    </row>
    <row r="85" spans="1:12" s="156" customFormat="1" x14ac:dyDescent="0.2">
      <c r="A85" s="127"/>
      <c r="D85" s="160">
        <v>29374</v>
      </c>
      <c r="E85" s="161">
        <v>0.15629999999999999</v>
      </c>
      <c r="F85" s="161">
        <v>0.10571200000000001</v>
      </c>
      <c r="G85" s="133">
        <f t="shared" si="0"/>
        <v>5.058799999999998E-2</v>
      </c>
      <c r="I85" s="156">
        <f>--(Risk_Prem2[[#This Row],[Return on Equity]]&lt;0.09)</f>
        <v>0</v>
      </c>
      <c r="K85" s="128"/>
      <c r="L85" s="128"/>
    </row>
    <row r="86" spans="1:12" s="156" customFormat="1" x14ac:dyDescent="0.2">
      <c r="A86" s="127"/>
      <c r="D86" s="160">
        <v>29381</v>
      </c>
      <c r="E86" s="161">
        <v>0.159</v>
      </c>
      <c r="F86" s="161">
        <v>0.10598149999999999</v>
      </c>
      <c r="G86" s="133">
        <f t="shared" si="0"/>
        <v>5.301850000000001E-2</v>
      </c>
      <c r="I86" s="156">
        <f>--(Risk_Prem2[[#This Row],[Return on Equity]]&lt;0.09)</f>
        <v>0</v>
      </c>
      <c r="K86" s="128"/>
      <c r="L86" s="128"/>
    </row>
    <row r="87" spans="1:12" s="156" customFormat="1" x14ac:dyDescent="0.2">
      <c r="A87" s="127"/>
      <c r="D87" s="160">
        <v>29382</v>
      </c>
      <c r="E87" s="161">
        <v>0.13780000000000001</v>
      </c>
      <c r="F87" s="161">
        <v>0.10602749999999993</v>
      </c>
      <c r="G87" s="133">
        <f t="shared" si="0"/>
        <v>3.1772500000000078E-2</v>
      </c>
      <c r="I87" s="156">
        <f>--(Risk_Prem2[[#This Row],[Return on Equity]]&lt;0.09)</f>
        <v>0</v>
      </c>
      <c r="K87" s="128"/>
      <c r="L87" s="128"/>
    </row>
    <row r="88" spans="1:12" s="156" customFormat="1" x14ac:dyDescent="0.2">
      <c r="A88" s="127"/>
      <c r="D88" s="160">
        <v>29384</v>
      </c>
      <c r="E88" s="161">
        <v>0.14249999999999999</v>
      </c>
      <c r="F88" s="161">
        <v>0.10609799999999997</v>
      </c>
      <c r="G88" s="133">
        <f t="shared" si="0"/>
        <v>3.6402000000000018E-2</v>
      </c>
      <c r="I88" s="156">
        <f>--(Risk_Prem2[[#This Row],[Return on Equity]]&lt;0.09)</f>
        <v>0</v>
      </c>
      <c r="K88" s="128"/>
      <c r="L88" s="128"/>
    </row>
    <row r="89" spans="1:12" s="156" customFormat="1" x14ac:dyDescent="0.2">
      <c r="A89" s="127"/>
      <c r="D89" s="160">
        <v>29391</v>
      </c>
      <c r="E89" s="161">
        <v>0.13400000000000001</v>
      </c>
      <c r="F89" s="161">
        <v>0.10622499999999999</v>
      </c>
      <c r="G89" s="133">
        <f t="shared" si="0"/>
        <v>2.7775000000000022E-2</v>
      </c>
      <c r="I89" s="156">
        <f>--(Risk_Prem2[[#This Row],[Return on Equity]]&lt;0.09)</f>
        <v>0</v>
      </c>
      <c r="K89" s="128"/>
      <c r="L89" s="128"/>
    </row>
    <row r="90" spans="1:12" s="156" customFormat="1" x14ac:dyDescent="0.2">
      <c r="A90" s="127"/>
      <c r="D90" s="160">
        <v>29402</v>
      </c>
      <c r="E90" s="161">
        <v>0.13</v>
      </c>
      <c r="F90" s="161">
        <v>0.106452</v>
      </c>
      <c r="G90" s="133">
        <f t="shared" si="0"/>
        <v>2.3547999999999999E-2</v>
      </c>
      <c r="I90" s="156">
        <f>--(Risk_Prem2[[#This Row],[Return on Equity]]&lt;0.09)</f>
        <v>0</v>
      </c>
      <c r="K90" s="128"/>
      <c r="L90" s="128"/>
    </row>
    <row r="91" spans="1:12" s="156" customFormat="1" x14ac:dyDescent="0.2">
      <c r="A91" s="127"/>
      <c r="D91" s="160">
        <v>29402</v>
      </c>
      <c r="E91" s="161">
        <v>0.13400000000000001</v>
      </c>
      <c r="F91" s="161">
        <v>0.106452</v>
      </c>
      <c r="G91" s="133">
        <f t="shared" si="0"/>
        <v>2.7548000000000003E-2</v>
      </c>
      <c r="I91" s="156">
        <f>--(Risk_Prem2[[#This Row],[Return on Equity]]&lt;0.09)</f>
        <v>0</v>
      </c>
      <c r="K91" s="128"/>
      <c r="L91" s="128"/>
    </row>
    <row r="92" spans="1:12" s="156" customFormat="1" x14ac:dyDescent="0.2">
      <c r="A92" s="127"/>
      <c r="D92" s="160">
        <v>29411</v>
      </c>
      <c r="E92" s="161">
        <v>0.14749999999999999</v>
      </c>
      <c r="F92" s="161">
        <v>0.10673699999999998</v>
      </c>
      <c r="G92" s="133">
        <f t="shared" si="0"/>
        <v>4.0763000000000008E-2</v>
      </c>
      <c r="I92" s="156">
        <f>--(Risk_Prem2[[#This Row],[Return on Equity]]&lt;0.09)</f>
        <v>0</v>
      </c>
      <c r="K92" s="128"/>
      <c r="L92" s="128"/>
    </row>
    <row r="93" spans="1:12" s="156" customFormat="1" x14ac:dyDescent="0.2">
      <c r="A93" s="127"/>
      <c r="D93" s="160">
        <v>29412</v>
      </c>
      <c r="E93" s="161">
        <v>0.15</v>
      </c>
      <c r="F93" s="161">
        <v>0.10678949999999998</v>
      </c>
      <c r="G93" s="133">
        <f t="shared" si="0"/>
        <v>4.3210500000000013E-2</v>
      </c>
      <c r="I93" s="156">
        <f>--(Risk_Prem2[[#This Row],[Return on Equity]]&lt;0.09)</f>
        <v>0</v>
      </c>
      <c r="K93" s="128"/>
      <c r="L93" s="128"/>
    </row>
    <row r="94" spans="1:12" s="156" customFormat="1" x14ac:dyDescent="0.2">
      <c r="A94" s="127"/>
      <c r="D94" s="160">
        <v>29417</v>
      </c>
      <c r="E94" s="161">
        <v>0.158</v>
      </c>
      <c r="F94" s="161">
        <v>0.10696149999999999</v>
      </c>
      <c r="G94" s="133">
        <f t="shared" si="0"/>
        <v>5.1038500000000014E-2</v>
      </c>
      <c r="I94" s="156">
        <f>--(Risk_Prem2[[#This Row],[Return on Equity]]&lt;0.09)</f>
        <v>0</v>
      </c>
      <c r="K94" s="128"/>
      <c r="L94" s="128"/>
    </row>
    <row r="95" spans="1:12" s="156" customFormat="1" x14ac:dyDescent="0.2">
      <c r="A95" s="127"/>
      <c r="D95" s="160">
        <v>29420</v>
      </c>
      <c r="E95" s="161">
        <v>0.13800000000000001</v>
      </c>
      <c r="F95" s="161">
        <v>0.10710050000000003</v>
      </c>
      <c r="G95" s="133">
        <f t="shared" si="0"/>
        <v>3.0899499999999983E-2</v>
      </c>
      <c r="I95" s="156">
        <f>--(Risk_Prem2[[#This Row],[Return on Equity]]&lt;0.09)</f>
        <v>0</v>
      </c>
      <c r="K95" s="128"/>
      <c r="L95" s="128"/>
    </row>
    <row r="96" spans="1:12" s="156" customFormat="1" x14ac:dyDescent="0.2">
      <c r="A96" s="127"/>
      <c r="D96" s="160">
        <v>29424</v>
      </c>
      <c r="E96" s="161">
        <v>0.14099999999999999</v>
      </c>
      <c r="F96" s="161">
        <v>0.10718649999999999</v>
      </c>
      <c r="G96" s="133">
        <f t="shared" si="0"/>
        <v>3.3813499999999996E-2</v>
      </c>
      <c r="I96" s="156">
        <f>--(Risk_Prem2[[#This Row],[Return on Equity]]&lt;0.09)</f>
        <v>0</v>
      </c>
      <c r="K96" s="128"/>
      <c r="L96" s="128"/>
    </row>
    <row r="97" spans="1:12" s="156" customFormat="1" x14ac:dyDescent="0.2">
      <c r="A97" s="127"/>
      <c r="D97" s="160">
        <v>29426</v>
      </c>
      <c r="E97" s="161">
        <v>0.15</v>
      </c>
      <c r="F97" s="161">
        <v>0.10727700000000001</v>
      </c>
      <c r="G97" s="133">
        <f t="shared" si="0"/>
        <v>4.2722999999999983E-2</v>
      </c>
      <c r="I97" s="156">
        <f>--(Risk_Prem2[[#This Row],[Return on Equity]]&lt;0.09)</f>
        <v>0</v>
      </c>
      <c r="K97" s="128"/>
      <c r="L97" s="128"/>
    </row>
    <row r="98" spans="1:12" s="156" customFormat="1" x14ac:dyDescent="0.2">
      <c r="A98" s="127"/>
      <c r="D98" s="160">
        <v>29427</v>
      </c>
      <c r="E98" s="161">
        <v>0.1348</v>
      </c>
      <c r="F98" s="161">
        <v>0.10732649999999999</v>
      </c>
      <c r="G98" s="133">
        <f t="shared" si="0"/>
        <v>2.7473500000000012E-2</v>
      </c>
      <c r="I98" s="156">
        <f>--(Risk_Prem2[[#This Row],[Return on Equity]]&lt;0.09)</f>
        <v>0</v>
      </c>
      <c r="K98" s="128"/>
      <c r="L98" s="128"/>
    </row>
    <row r="99" spans="1:12" s="156" customFormat="1" x14ac:dyDescent="0.2">
      <c r="A99" s="127"/>
      <c r="D99" s="160">
        <v>29433</v>
      </c>
      <c r="E99" s="161">
        <v>0.14580000000000001</v>
      </c>
      <c r="F99" s="161">
        <v>0.10751150000000001</v>
      </c>
      <c r="G99" s="133">
        <f t="shared" si="0"/>
        <v>3.8288500000000003E-2</v>
      </c>
      <c r="I99" s="156">
        <f>--(Risk_Prem2[[#This Row],[Return on Equity]]&lt;0.09)</f>
        <v>0</v>
      </c>
      <c r="K99" s="128"/>
      <c r="L99" s="128"/>
    </row>
    <row r="100" spans="1:12" s="156" customFormat="1" x14ac:dyDescent="0.2">
      <c r="A100" s="127"/>
      <c r="D100" s="160">
        <v>29441</v>
      </c>
      <c r="E100" s="161">
        <v>0.13500000000000001</v>
      </c>
      <c r="F100" s="161">
        <v>0.107776</v>
      </c>
      <c r="G100" s="133">
        <f t="shared" si="0"/>
        <v>2.7224000000000012E-2</v>
      </c>
      <c r="I100" s="156">
        <f>--(Risk_Prem2[[#This Row],[Return on Equity]]&lt;0.09)</f>
        <v>0</v>
      </c>
      <c r="K100" s="128"/>
      <c r="L100" s="128"/>
    </row>
    <row r="101" spans="1:12" s="156" customFormat="1" x14ac:dyDescent="0.2">
      <c r="A101" s="127"/>
      <c r="D101" s="160">
        <v>29441</v>
      </c>
      <c r="E101" s="161">
        <v>0.14000000000000001</v>
      </c>
      <c r="F101" s="161">
        <v>0.107776</v>
      </c>
      <c r="G101" s="133">
        <f t="shared" si="0"/>
        <v>3.2224000000000017E-2</v>
      </c>
      <c r="I101" s="156">
        <f>--(Risk_Prem2[[#This Row],[Return on Equity]]&lt;0.09)</f>
        <v>0</v>
      </c>
      <c r="K101" s="128"/>
      <c r="L101" s="128"/>
    </row>
    <row r="102" spans="1:12" s="156" customFormat="1" x14ac:dyDescent="0.2">
      <c r="A102" s="127"/>
      <c r="D102" s="160">
        <v>29441</v>
      </c>
      <c r="E102" s="161">
        <v>0.1545</v>
      </c>
      <c r="F102" s="161">
        <v>0.107776</v>
      </c>
      <c r="G102" s="133">
        <f t="shared" si="0"/>
        <v>4.6724000000000002E-2</v>
      </c>
      <c r="I102" s="156">
        <f>--(Risk_Prem2[[#This Row],[Return on Equity]]&lt;0.09)</f>
        <v>0</v>
      </c>
      <c r="K102" s="128"/>
      <c r="L102" s="128"/>
    </row>
    <row r="103" spans="1:12" s="156" customFormat="1" x14ac:dyDescent="0.2">
      <c r="A103" s="127"/>
      <c r="D103" s="160">
        <v>29444</v>
      </c>
      <c r="E103" s="161">
        <v>0.14849999999999999</v>
      </c>
      <c r="F103" s="161">
        <v>0.10781400000000002</v>
      </c>
      <c r="G103" s="133">
        <f t="shared" si="0"/>
        <v>4.0685999999999972E-2</v>
      </c>
      <c r="I103" s="156">
        <f>--(Risk_Prem2[[#This Row],[Return on Equity]]&lt;0.09)</f>
        <v>0</v>
      </c>
      <c r="K103" s="128"/>
      <c r="L103" s="128"/>
    </row>
    <row r="104" spans="1:12" s="156" customFormat="1" x14ac:dyDescent="0.2">
      <c r="A104" s="127"/>
      <c r="D104" s="160">
        <v>29447</v>
      </c>
      <c r="E104" s="161">
        <v>0.14000000000000001</v>
      </c>
      <c r="F104" s="161">
        <v>0.10791400000000001</v>
      </c>
      <c r="G104" s="133">
        <f t="shared" si="0"/>
        <v>3.2086000000000003E-2</v>
      </c>
      <c r="I104" s="156">
        <f>--(Risk_Prem2[[#This Row],[Return on Equity]]&lt;0.09)</f>
        <v>0</v>
      </c>
      <c r="K104" s="128"/>
      <c r="L104" s="128"/>
    </row>
    <row r="105" spans="1:12" s="156" customFormat="1" x14ac:dyDescent="0.2">
      <c r="A105" s="127"/>
      <c r="D105" s="160">
        <v>29447</v>
      </c>
      <c r="E105" s="161">
        <v>0.16250000000000001</v>
      </c>
      <c r="F105" s="161">
        <v>0.10791400000000001</v>
      </c>
      <c r="G105" s="133">
        <f t="shared" si="0"/>
        <v>5.4585999999999996E-2</v>
      </c>
      <c r="I105" s="156">
        <f>--(Risk_Prem2[[#This Row],[Return on Equity]]&lt;0.09)</f>
        <v>0</v>
      </c>
      <c r="K105" s="128"/>
      <c r="L105" s="128"/>
    </row>
    <row r="106" spans="1:12" s="156" customFormat="1" x14ac:dyDescent="0.2">
      <c r="A106" s="127"/>
      <c r="D106" s="160">
        <v>29458</v>
      </c>
      <c r="E106" s="161">
        <v>0.13750000000000001</v>
      </c>
      <c r="F106" s="161">
        <v>0.10819500000000001</v>
      </c>
      <c r="G106" s="133">
        <f t="shared" si="0"/>
        <v>2.9304999999999998E-2</v>
      </c>
      <c r="I106" s="156">
        <f>--(Risk_Prem2[[#This Row],[Return on Equity]]&lt;0.09)</f>
        <v>0</v>
      </c>
      <c r="K106" s="128"/>
      <c r="L106" s="128"/>
    </row>
    <row r="107" spans="1:12" s="156" customFormat="1" x14ac:dyDescent="0.2">
      <c r="A107" s="127"/>
      <c r="D107" s="160">
        <v>29460</v>
      </c>
      <c r="E107" s="161">
        <v>0.13800000000000001</v>
      </c>
      <c r="F107" s="161">
        <v>0.1082685</v>
      </c>
      <c r="G107" s="133">
        <f t="shared" si="0"/>
        <v>2.9731500000000008E-2</v>
      </c>
      <c r="I107" s="156">
        <f>--(Risk_Prem2[[#This Row],[Return on Equity]]&lt;0.09)</f>
        <v>0</v>
      </c>
      <c r="K107" s="128"/>
      <c r="L107" s="128"/>
    </row>
    <row r="108" spans="1:12" s="156" customFormat="1" x14ac:dyDescent="0.2">
      <c r="A108" s="127"/>
      <c r="D108" s="160">
        <v>29462</v>
      </c>
      <c r="E108" s="161">
        <v>0.125</v>
      </c>
      <c r="F108" s="161">
        <v>0.10837050000000001</v>
      </c>
      <c r="G108" s="133">
        <f t="shared" si="0"/>
        <v>1.6629499999999992E-2</v>
      </c>
      <c r="I108" s="156">
        <f>--(Risk_Prem2[[#This Row],[Return on Equity]]&lt;0.09)</f>
        <v>0</v>
      </c>
      <c r="K108" s="128"/>
      <c r="L108" s="128"/>
    </row>
    <row r="109" spans="1:12" s="156" customFormat="1" x14ac:dyDescent="0.2">
      <c r="A109" s="155"/>
      <c r="D109" s="160">
        <v>29479</v>
      </c>
      <c r="E109" s="161">
        <v>0.13500000000000001</v>
      </c>
      <c r="F109" s="161">
        <v>0.10878700000000001</v>
      </c>
      <c r="G109" s="133">
        <f t="shared" si="0"/>
        <v>2.6213E-2</v>
      </c>
      <c r="I109" s="156">
        <f>--(Risk_Prem2[[#This Row],[Return on Equity]]&lt;0.09)</f>
        <v>0</v>
      </c>
      <c r="K109" s="128"/>
      <c r="L109" s="128"/>
    </row>
    <row r="110" spans="1:12" s="156" customFormat="1" x14ac:dyDescent="0.2">
      <c r="A110" s="155"/>
      <c r="D110" s="160">
        <v>29479</v>
      </c>
      <c r="E110" s="161">
        <v>0.13930000000000001</v>
      </c>
      <c r="F110" s="161">
        <v>0.10878700000000001</v>
      </c>
      <c r="G110" s="133">
        <f t="shared" ref="G110:G173" si="1">E110-F110</f>
        <v>3.0512999999999998E-2</v>
      </c>
      <c r="I110" s="156">
        <f>--(Risk_Prem2[[#This Row],[Return on Equity]]&lt;0.09)</f>
        <v>0</v>
      </c>
      <c r="K110" s="128"/>
      <c r="L110" s="128"/>
    </row>
    <row r="111" spans="1:12" s="156" customFormat="1" x14ac:dyDescent="0.2">
      <c r="A111" s="155"/>
      <c r="D111" s="160">
        <v>29479</v>
      </c>
      <c r="E111" s="161">
        <v>0.158</v>
      </c>
      <c r="F111" s="161">
        <v>0.10878700000000001</v>
      </c>
      <c r="G111" s="133">
        <f t="shared" si="1"/>
        <v>4.9212999999999993E-2</v>
      </c>
      <c r="I111" s="156">
        <f>--(Risk_Prem2[[#This Row],[Return on Equity]]&lt;0.09)</f>
        <v>0</v>
      </c>
      <c r="K111" s="128"/>
      <c r="L111" s="128"/>
    </row>
    <row r="112" spans="1:12" s="156" customFormat="1" x14ac:dyDescent="0.2">
      <c r="A112" s="155"/>
      <c r="D112" s="160">
        <v>29488</v>
      </c>
      <c r="E112" s="161">
        <v>0.125</v>
      </c>
      <c r="F112" s="161">
        <v>0.109273</v>
      </c>
      <c r="G112" s="133">
        <f t="shared" si="1"/>
        <v>1.5727000000000005E-2</v>
      </c>
      <c r="I112" s="156">
        <f>--(Risk_Prem2[[#This Row],[Return on Equity]]&lt;0.09)</f>
        <v>0</v>
      </c>
      <c r="K112" s="128"/>
      <c r="L112" s="128"/>
    </row>
    <row r="113" spans="1:12" s="156" customFormat="1" x14ac:dyDescent="0.2">
      <c r="A113" s="155"/>
      <c r="D113" s="160">
        <v>29488</v>
      </c>
      <c r="E113" s="161">
        <v>0.15</v>
      </c>
      <c r="F113" s="161">
        <v>0.109273</v>
      </c>
      <c r="G113" s="133">
        <f t="shared" si="1"/>
        <v>4.0726999999999999E-2</v>
      </c>
      <c r="I113" s="156">
        <f>--(Risk_Prem2[[#This Row],[Return on Equity]]&lt;0.09)</f>
        <v>0</v>
      </c>
      <c r="K113" s="128"/>
      <c r="L113" s="128"/>
    </row>
    <row r="114" spans="1:12" s="156" customFormat="1" x14ac:dyDescent="0.2">
      <c r="A114" s="155"/>
      <c r="D114" s="160">
        <v>29490</v>
      </c>
      <c r="E114" s="161">
        <v>0.13750000000000001</v>
      </c>
      <c r="F114" s="161">
        <v>0.10943600000000001</v>
      </c>
      <c r="G114" s="133">
        <f t="shared" si="1"/>
        <v>2.8064000000000006E-2</v>
      </c>
      <c r="I114" s="156">
        <f>--(Risk_Prem2[[#This Row],[Return on Equity]]&lt;0.09)</f>
        <v>0</v>
      </c>
      <c r="K114" s="128"/>
      <c r="L114" s="128"/>
    </row>
    <row r="115" spans="1:12" s="156" customFormat="1" x14ac:dyDescent="0.2">
      <c r="A115" s="155"/>
      <c r="D115" s="160">
        <v>29494</v>
      </c>
      <c r="E115" s="161">
        <v>0.14099999999999999</v>
      </c>
      <c r="F115" s="161">
        <v>0.10959250000000001</v>
      </c>
      <c r="G115" s="133">
        <f t="shared" si="1"/>
        <v>3.1407499999999977E-2</v>
      </c>
      <c r="I115" s="156">
        <f>--(Risk_Prem2[[#This Row],[Return on Equity]]&lt;0.09)</f>
        <v>0</v>
      </c>
      <c r="K115" s="128"/>
      <c r="L115" s="128"/>
    </row>
    <row r="116" spans="1:12" s="156" customFormat="1" x14ac:dyDescent="0.2">
      <c r="A116" s="155"/>
      <c r="D116" s="160">
        <v>29494</v>
      </c>
      <c r="E116" s="161">
        <v>0.14199999999999999</v>
      </c>
      <c r="F116" s="161">
        <v>0.10959250000000001</v>
      </c>
      <c r="G116" s="133">
        <f t="shared" si="1"/>
        <v>3.2407499999999978E-2</v>
      </c>
      <c r="I116" s="156">
        <f>--(Risk_Prem2[[#This Row],[Return on Equity]]&lt;0.09)</f>
        <v>0</v>
      </c>
      <c r="K116" s="128"/>
      <c r="L116" s="128"/>
    </row>
    <row r="117" spans="1:12" s="156" customFormat="1" x14ac:dyDescent="0.2">
      <c r="A117" s="155"/>
      <c r="D117" s="160">
        <v>29495</v>
      </c>
      <c r="E117" s="161">
        <v>0.13900000000000001</v>
      </c>
      <c r="F117" s="161">
        <v>0.10966849999999997</v>
      </c>
      <c r="G117" s="133">
        <f t="shared" si="1"/>
        <v>2.9331500000000038E-2</v>
      </c>
      <c r="I117" s="156">
        <f>--(Risk_Prem2[[#This Row],[Return on Equity]]&lt;0.09)</f>
        <v>0</v>
      </c>
      <c r="K117" s="128"/>
      <c r="L117" s="128"/>
    </row>
    <row r="118" spans="1:12" s="156" customFormat="1" x14ac:dyDescent="0.2">
      <c r="A118" s="155"/>
      <c r="D118" s="160">
        <v>29497</v>
      </c>
      <c r="E118" s="161">
        <v>0.155</v>
      </c>
      <c r="F118" s="161">
        <v>0.10980549999999997</v>
      </c>
      <c r="G118" s="133">
        <f t="shared" si="1"/>
        <v>4.5194500000000026E-2</v>
      </c>
      <c r="I118" s="156">
        <f>--(Risk_Prem2[[#This Row],[Return on Equity]]&lt;0.09)</f>
        <v>0</v>
      </c>
      <c r="K118" s="128"/>
      <c r="L118" s="128"/>
    </row>
    <row r="119" spans="1:12" s="156" customFormat="1" x14ac:dyDescent="0.2">
      <c r="A119" s="155"/>
      <c r="D119" s="160">
        <v>29501</v>
      </c>
      <c r="E119" s="161">
        <v>0.125</v>
      </c>
      <c r="F119" s="161">
        <v>0.10992249999999998</v>
      </c>
      <c r="G119" s="133">
        <f t="shared" si="1"/>
        <v>1.5077500000000021E-2</v>
      </c>
      <c r="I119" s="156">
        <f>--(Risk_Prem2[[#This Row],[Return on Equity]]&lt;0.09)</f>
        <v>0</v>
      </c>
      <c r="K119" s="128"/>
      <c r="L119" s="128"/>
    </row>
    <row r="120" spans="1:12" s="156" customFormat="1" x14ac:dyDescent="0.2">
      <c r="A120" s="155"/>
      <c r="D120" s="160">
        <v>29503</v>
      </c>
      <c r="E120" s="161">
        <v>0.13250000000000001</v>
      </c>
      <c r="F120" s="161">
        <v>0.11003499999999999</v>
      </c>
      <c r="G120" s="133">
        <f t="shared" si="1"/>
        <v>2.2465000000000013E-2</v>
      </c>
      <c r="I120" s="156">
        <f>--(Risk_Prem2[[#This Row],[Return on Equity]]&lt;0.09)</f>
        <v>0</v>
      </c>
      <c r="K120" s="128"/>
      <c r="L120" s="128"/>
    </row>
    <row r="121" spans="1:12" s="156" customFormat="1" x14ac:dyDescent="0.2">
      <c r="A121" s="155"/>
      <c r="D121" s="160">
        <v>29503</v>
      </c>
      <c r="E121" s="161">
        <v>0.14499999999999999</v>
      </c>
      <c r="F121" s="161">
        <v>0.11003499999999999</v>
      </c>
      <c r="G121" s="133">
        <f t="shared" si="1"/>
        <v>3.4964999999999996E-2</v>
      </c>
      <c r="I121" s="156">
        <f>--(Risk_Prem2[[#This Row],[Return on Equity]]&lt;0.09)</f>
        <v>0</v>
      </c>
      <c r="K121" s="128"/>
      <c r="L121" s="128"/>
    </row>
    <row r="122" spans="1:12" s="156" customFormat="1" x14ac:dyDescent="0.2">
      <c r="A122" s="155"/>
      <c r="D122" s="160">
        <v>29503</v>
      </c>
      <c r="E122" s="161">
        <v>0.14499999999999999</v>
      </c>
      <c r="F122" s="161">
        <v>0.11003499999999999</v>
      </c>
      <c r="G122" s="133">
        <f t="shared" si="1"/>
        <v>3.4964999999999996E-2</v>
      </c>
      <c r="I122" s="156">
        <f>--(Risk_Prem2[[#This Row],[Return on Equity]]&lt;0.09)</f>
        <v>0</v>
      </c>
      <c r="K122" s="128"/>
      <c r="L122" s="128"/>
    </row>
    <row r="123" spans="1:12" s="156" customFormat="1" x14ac:dyDescent="0.2">
      <c r="A123" s="155"/>
      <c r="D123" s="160">
        <v>29510</v>
      </c>
      <c r="E123" s="161">
        <v>0.161</v>
      </c>
      <c r="F123" s="161">
        <v>0.11024199999999999</v>
      </c>
      <c r="G123" s="133">
        <f t="shared" si="1"/>
        <v>5.0758000000000011E-2</v>
      </c>
      <c r="I123" s="156">
        <f>--(Risk_Prem2[[#This Row],[Return on Equity]]&lt;0.09)</f>
        <v>0</v>
      </c>
      <c r="K123" s="128"/>
      <c r="L123" s="128"/>
    </row>
    <row r="124" spans="1:12" s="156" customFormat="1" x14ac:dyDescent="0.2">
      <c r="A124" s="155"/>
      <c r="D124" s="160">
        <v>29511</v>
      </c>
      <c r="E124" s="161">
        <v>0.14499999999999999</v>
      </c>
      <c r="F124" s="161">
        <v>0.11030250000000001</v>
      </c>
      <c r="G124" s="133">
        <f t="shared" si="1"/>
        <v>3.4697499999999978E-2</v>
      </c>
      <c r="I124" s="156">
        <f>--(Risk_Prem2[[#This Row],[Return on Equity]]&lt;0.09)</f>
        <v>0</v>
      </c>
      <c r="K124" s="128"/>
      <c r="L124" s="128"/>
    </row>
    <row r="125" spans="1:12" s="156" customFormat="1" x14ac:dyDescent="0.2">
      <c r="A125" s="155"/>
      <c r="D125" s="160">
        <v>29525</v>
      </c>
      <c r="E125" s="161">
        <v>0.13750000000000001</v>
      </c>
      <c r="F125" s="161">
        <v>0.11107250000000005</v>
      </c>
      <c r="G125" s="133">
        <f t="shared" si="1"/>
        <v>2.6427499999999965E-2</v>
      </c>
      <c r="I125" s="156">
        <f>--(Risk_Prem2[[#This Row],[Return on Equity]]&lt;0.09)</f>
        <v>0</v>
      </c>
      <c r="K125" s="128"/>
      <c r="L125" s="128"/>
    </row>
    <row r="126" spans="1:12" s="156" customFormat="1" x14ac:dyDescent="0.2">
      <c r="A126" s="155"/>
      <c r="D126" s="160">
        <v>29525</v>
      </c>
      <c r="E126" s="161">
        <v>0.14249999999999999</v>
      </c>
      <c r="F126" s="161">
        <v>0.11107250000000005</v>
      </c>
      <c r="G126" s="133">
        <f t="shared" si="1"/>
        <v>3.1427499999999942E-2</v>
      </c>
      <c r="I126" s="156">
        <f>--(Risk_Prem2[[#This Row],[Return on Equity]]&lt;0.09)</f>
        <v>0</v>
      </c>
      <c r="K126" s="128"/>
      <c r="L126" s="128"/>
    </row>
    <row r="127" spans="1:12" s="156" customFormat="1" x14ac:dyDescent="0.2">
      <c r="A127" s="155"/>
      <c r="D127" s="160">
        <v>29529</v>
      </c>
      <c r="E127" s="161">
        <v>0.15</v>
      </c>
      <c r="F127" s="161">
        <v>0.11116000000000004</v>
      </c>
      <c r="G127" s="133">
        <f t="shared" si="1"/>
        <v>3.8839999999999958E-2</v>
      </c>
      <c r="I127" s="156">
        <f>--(Risk_Prem2[[#This Row],[Return on Equity]]&lt;0.09)</f>
        <v>0</v>
      </c>
      <c r="K127" s="128"/>
      <c r="L127" s="128"/>
    </row>
    <row r="128" spans="1:12" s="156" customFormat="1" x14ac:dyDescent="0.2">
      <c r="A128" s="155"/>
      <c r="D128" s="160">
        <v>29530</v>
      </c>
      <c r="E128" s="161">
        <v>0.13750000000000001</v>
      </c>
      <c r="F128" s="161">
        <v>0.1112475</v>
      </c>
      <c r="G128" s="133">
        <f t="shared" si="1"/>
        <v>2.6252500000000012E-2</v>
      </c>
      <c r="I128" s="156">
        <f>--(Risk_Prem2[[#This Row],[Return on Equity]]&lt;0.09)</f>
        <v>0</v>
      </c>
      <c r="K128" s="128"/>
      <c r="L128" s="128"/>
    </row>
    <row r="129" spans="1:12" s="156" customFormat="1" x14ac:dyDescent="0.2">
      <c r="A129" s="155"/>
      <c r="D129" s="160">
        <v>29530</v>
      </c>
      <c r="E129" s="161">
        <v>0.14000000000000001</v>
      </c>
      <c r="F129" s="161">
        <v>0.1112475</v>
      </c>
      <c r="G129" s="133">
        <f t="shared" si="1"/>
        <v>2.8752500000000014E-2</v>
      </c>
      <c r="I129" s="156">
        <f>--(Risk_Prem2[[#This Row],[Return on Equity]]&lt;0.09)</f>
        <v>0</v>
      </c>
      <c r="K129" s="128"/>
      <c r="L129" s="128"/>
    </row>
    <row r="130" spans="1:12" s="156" customFormat="1" x14ac:dyDescent="0.2">
      <c r="A130" s="155"/>
      <c r="D130" s="160">
        <v>29533</v>
      </c>
      <c r="E130" s="161">
        <v>0.13750000000000001</v>
      </c>
      <c r="F130" s="161">
        <v>0.11143350000000002</v>
      </c>
      <c r="G130" s="133">
        <f t="shared" si="1"/>
        <v>2.6066499999999992E-2</v>
      </c>
      <c r="I130" s="156">
        <f>--(Risk_Prem2[[#This Row],[Return on Equity]]&lt;0.09)</f>
        <v>0</v>
      </c>
      <c r="K130" s="128"/>
      <c r="L130" s="128"/>
    </row>
    <row r="131" spans="1:12" s="156" customFormat="1" x14ac:dyDescent="0.2">
      <c r="A131" s="155"/>
      <c r="D131" s="160">
        <v>29535</v>
      </c>
      <c r="E131" s="161">
        <v>0.14849999999999999</v>
      </c>
      <c r="F131" s="161">
        <v>0.11153500000000001</v>
      </c>
      <c r="G131" s="133">
        <f t="shared" si="1"/>
        <v>3.6964999999999984E-2</v>
      </c>
      <c r="I131" s="156">
        <f>--(Risk_Prem2[[#This Row],[Return on Equity]]&lt;0.09)</f>
        <v>0</v>
      </c>
      <c r="K131" s="128"/>
      <c r="L131" s="128"/>
    </row>
    <row r="132" spans="1:12" s="156" customFormat="1" x14ac:dyDescent="0.2">
      <c r="A132" s="155"/>
      <c r="D132" s="160">
        <v>29542</v>
      </c>
      <c r="E132" s="161">
        <v>0.14000000000000001</v>
      </c>
      <c r="F132" s="161">
        <v>0.11181100000000002</v>
      </c>
      <c r="G132" s="133">
        <f t="shared" si="1"/>
        <v>2.8188999999999992E-2</v>
      </c>
      <c r="I132" s="156">
        <f>--(Risk_Prem2[[#This Row],[Return on Equity]]&lt;0.09)</f>
        <v>0</v>
      </c>
      <c r="K132" s="128"/>
      <c r="L132" s="128"/>
    </row>
    <row r="133" spans="1:12" s="156" customFormat="1" x14ac:dyDescent="0.2">
      <c r="A133" s="155"/>
      <c r="D133" s="160">
        <v>29543</v>
      </c>
      <c r="E133" s="161">
        <v>0.14000000000000001</v>
      </c>
      <c r="F133" s="161">
        <v>0.11187000000000005</v>
      </c>
      <c r="G133" s="133">
        <f t="shared" si="1"/>
        <v>2.8129999999999961E-2</v>
      </c>
      <c r="I133" s="156">
        <f>--(Risk_Prem2[[#This Row],[Return on Equity]]&lt;0.09)</f>
        <v>0</v>
      </c>
      <c r="K133" s="128"/>
      <c r="L133" s="128"/>
    </row>
    <row r="134" spans="1:12" s="156" customFormat="1" x14ac:dyDescent="0.2">
      <c r="A134" s="155"/>
      <c r="D134" s="160">
        <v>29544</v>
      </c>
      <c r="E134" s="161">
        <v>0.13</v>
      </c>
      <c r="F134" s="161">
        <v>0.11192500000000004</v>
      </c>
      <c r="G134" s="133">
        <f t="shared" si="1"/>
        <v>1.8074999999999966E-2</v>
      </c>
      <c r="I134" s="156">
        <f>--(Risk_Prem2[[#This Row],[Return on Equity]]&lt;0.09)</f>
        <v>0</v>
      </c>
      <c r="K134" s="128"/>
      <c r="L134" s="128"/>
    </row>
    <row r="135" spans="1:12" s="156" customFormat="1" x14ac:dyDescent="0.2">
      <c r="A135" s="155"/>
      <c r="D135" s="160">
        <v>29549</v>
      </c>
      <c r="E135" s="161">
        <v>0.14000000000000001</v>
      </c>
      <c r="F135" s="161">
        <v>0.11206050000000004</v>
      </c>
      <c r="G135" s="133">
        <f t="shared" si="1"/>
        <v>2.7939499999999978E-2</v>
      </c>
      <c r="I135" s="156">
        <f>--(Risk_Prem2[[#This Row],[Return on Equity]]&lt;0.09)</f>
        <v>0</v>
      </c>
      <c r="K135" s="128"/>
      <c r="L135" s="128"/>
    </row>
    <row r="136" spans="1:12" s="156" customFormat="1" x14ac:dyDescent="0.2">
      <c r="A136" s="155"/>
      <c r="D136" s="160">
        <v>29551</v>
      </c>
      <c r="E136" s="161">
        <v>0.14000000000000001</v>
      </c>
      <c r="F136" s="161">
        <v>0.11211500000000001</v>
      </c>
      <c r="G136" s="133">
        <f t="shared" si="1"/>
        <v>2.7885000000000007E-2</v>
      </c>
      <c r="I136" s="156">
        <f>--(Risk_Prem2[[#This Row],[Return on Equity]]&lt;0.09)</f>
        <v>0</v>
      </c>
      <c r="K136" s="128"/>
      <c r="L136" s="128"/>
    </row>
    <row r="137" spans="1:12" s="156" customFormat="1" x14ac:dyDescent="0.2">
      <c r="A137" s="155"/>
      <c r="D137" s="160">
        <v>29563</v>
      </c>
      <c r="E137" s="161">
        <v>0.14150000000000001</v>
      </c>
      <c r="F137" s="161">
        <v>0.11222860000000001</v>
      </c>
      <c r="G137" s="133">
        <f t="shared" si="1"/>
        <v>2.9271400000000003E-2</v>
      </c>
      <c r="I137" s="156">
        <f>--(Risk_Prem2[[#This Row],[Return on Equity]]&lt;0.09)</f>
        <v>0</v>
      </c>
      <c r="K137" s="128"/>
      <c r="L137" s="128"/>
    </row>
    <row r="138" spans="1:12" s="156" customFormat="1" x14ac:dyDescent="0.2">
      <c r="A138" s="155"/>
      <c r="D138" s="160">
        <v>29563</v>
      </c>
      <c r="E138" s="161">
        <v>0.151</v>
      </c>
      <c r="F138" s="161">
        <v>0.11222860000000001</v>
      </c>
      <c r="G138" s="133">
        <f t="shared" si="1"/>
        <v>3.8771399999999984E-2</v>
      </c>
      <c r="I138" s="156">
        <f>--(Risk_Prem2[[#This Row],[Return on Equity]]&lt;0.09)</f>
        <v>0</v>
      </c>
      <c r="K138" s="128"/>
      <c r="L138" s="128"/>
    </row>
    <row r="139" spans="1:12" s="156" customFormat="1" x14ac:dyDescent="0.2">
      <c r="A139" s="155"/>
      <c r="D139" s="160">
        <v>29564</v>
      </c>
      <c r="E139" s="161">
        <v>0.1535</v>
      </c>
      <c r="F139" s="161">
        <v>0.1122242</v>
      </c>
      <c r="G139" s="133">
        <f t="shared" si="1"/>
        <v>4.1275800000000001E-2</v>
      </c>
      <c r="I139" s="156">
        <f>--(Risk_Prem2[[#This Row],[Return on Equity]]&lt;0.09)</f>
        <v>0</v>
      </c>
      <c r="K139" s="128"/>
      <c r="L139" s="128"/>
    </row>
    <row r="140" spans="1:12" s="156" customFormat="1" x14ac:dyDescent="0.2">
      <c r="A140" s="155"/>
      <c r="D140" s="160">
        <v>29567</v>
      </c>
      <c r="E140" s="161">
        <v>0.1545</v>
      </c>
      <c r="F140" s="161">
        <v>0.11225749999999998</v>
      </c>
      <c r="G140" s="133">
        <f t="shared" si="1"/>
        <v>4.2242500000000016E-2</v>
      </c>
      <c r="I140" s="156">
        <f>--(Risk_Prem2[[#This Row],[Return on Equity]]&lt;0.09)</f>
        <v>0</v>
      </c>
      <c r="K140" s="128"/>
      <c r="L140" s="128"/>
    </row>
    <row r="141" spans="1:12" s="156" customFormat="1" x14ac:dyDescent="0.2">
      <c r="A141" s="155"/>
      <c r="D141" s="160">
        <v>29572</v>
      </c>
      <c r="E141" s="161">
        <v>0.13250000000000001</v>
      </c>
      <c r="F141" s="161">
        <v>0.11231979999999998</v>
      </c>
      <c r="G141" s="133">
        <f t="shared" si="1"/>
        <v>2.0180200000000023E-2</v>
      </c>
      <c r="I141" s="156">
        <f>--(Risk_Prem2[[#This Row],[Return on Equity]]&lt;0.09)</f>
        <v>0</v>
      </c>
      <c r="K141" s="128"/>
      <c r="L141" s="128"/>
    </row>
    <row r="142" spans="1:12" s="156" customFormat="1" x14ac:dyDescent="0.2">
      <c r="A142" s="155"/>
      <c r="D142" s="160">
        <v>29573</v>
      </c>
      <c r="E142" s="161">
        <v>0.158</v>
      </c>
      <c r="F142" s="161">
        <v>0.1123349</v>
      </c>
      <c r="G142" s="133">
        <f t="shared" si="1"/>
        <v>4.56651E-2</v>
      </c>
      <c r="I142" s="156">
        <f>--(Risk_Prem2[[#This Row],[Return on Equity]]&lt;0.09)</f>
        <v>0</v>
      </c>
      <c r="K142" s="128"/>
      <c r="L142" s="128"/>
    </row>
    <row r="143" spans="1:12" s="156" customFormat="1" x14ac:dyDescent="0.2">
      <c r="A143" s="155"/>
      <c r="D143" s="160">
        <v>29574</v>
      </c>
      <c r="E143" s="161">
        <v>0.14499999999999999</v>
      </c>
      <c r="F143" s="161">
        <v>0.1123285</v>
      </c>
      <c r="G143" s="133">
        <f t="shared" si="1"/>
        <v>3.2671499999999992E-2</v>
      </c>
      <c r="I143" s="156">
        <f>--(Risk_Prem2[[#This Row],[Return on Equity]]&lt;0.09)</f>
        <v>0</v>
      </c>
      <c r="K143" s="128"/>
      <c r="L143" s="128"/>
    </row>
    <row r="144" spans="1:12" s="156" customFormat="1" x14ac:dyDescent="0.2">
      <c r="A144" s="155"/>
      <c r="D144" s="160">
        <v>29574</v>
      </c>
      <c r="E144" s="161">
        <v>0.1464</v>
      </c>
      <c r="F144" s="161">
        <v>0.1123285</v>
      </c>
      <c r="G144" s="133">
        <f t="shared" si="1"/>
        <v>3.4071500000000005E-2</v>
      </c>
      <c r="I144" s="156">
        <f>--(Risk_Prem2[[#This Row],[Return on Equity]]&lt;0.09)</f>
        <v>0</v>
      </c>
      <c r="K144" s="128"/>
      <c r="L144" s="128"/>
    </row>
    <row r="145" spans="1:12" s="156" customFormat="1" x14ac:dyDescent="0.2">
      <c r="A145" s="155"/>
      <c r="D145" s="160">
        <v>29577</v>
      </c>
      <c r="E145" s="161">
        <v>0.13449999999999998</v>
      </c>
      <c r="F145" s="161">
        <v>0.1122961</v>
      </c>
      <c r="G145" s="133">
        <f t="shared" si="1"/>
        <v>2.2203899999999985E-2</v>
      </c>
      <c r="I145" s="156">
        <f>--(Risk_Prem2[[#This Row],[Return on Equity]]&lt;0.09)</f>
        <v>0</v>
      </c>
      <c r="K145" s="128"/>
      <c r="L145" s="128"/>
    </row>
    <row r="146" spans="1:12" s="156" customFormat="1" x14ac:dyDescent="0.2">
      <c r="A146" s="155"/>
      <c r="D146" s="160">
        <v>29577</v>
      </c>
      <c r="E146" s="161">
        <v>0.15</v>
      </c>
      <c r="F146" s="161">
        <v>0.1122961</v>
      </c>
      <c r="G146" s="133">
        <f t="shared" si="1"/>
        <v>3.7703899999999999E-2</v>
      </c>
      <c r="I146" s="156">
        <f>--(Risk_Prem2[[#This Row],[Return on Equity]]&lt;0.09)</f>
        <v>0</v>
      </c>
      <c r="K146" s="128"/>
      <c r="L146" s="128"/>
    </row>
    <row r="147" spans="1:12" s="156" customFormat="1" x14ac:dyDescent="0.2">
      <c r="A147" s="155"/>
      <c r="D147" s="160">
        <v>29585</v>
      </c>
      <c r="E147" s="161">
        <v>0.14499999999999999</v>
      </c>
      <c r="F147" s="161">
        <v>0.1121776</v>
      </c>
      <c r="G147" s="133">
        <f t="shared" si="1"/>
        <v>3.2822399999999988E-2</v>
      </c>
      <c r="I147" s="156">
        <f>--(Risk_Prem2[[#This Row],[Return on Equity]]&lt;0.09)</f>
        <v>0</v>
      </c>
      <c r="K147" s="128"/>
      <c r="L147" s="128"/>
    </row>
    <row r="148" spans="1:12" s="156" customFormat="1" x14ac:dyDescent="0.2">
      <c r="A148" s="155"/>
      <c r="D148" s="160">
        <v>29585</v>
      </c>
      <c r="E148" s="161">
        <v>0.14949999999999999</v>
      </c>
      <c r="F148" s="161">
        <v>0.1121776</v>
      </c>
      <c r="G148" s="133">
        <f t="shared" si="1"/>
        <v>3.7322399999999992E-2</v>
      </c>
      <c r="I148" s="156">
        <f>--(Risk_Prem2[[#This Row],[Return on Equity]]&lt;0.09)</f>
        <v>0</v>
      </c>
      <c r="K148" s="128"/>
      <c r="L148" s="128"/>
    </row>
    <row r="149" spans="1:12" s="156" customFormat="1" x14ac:dyDescent="0.2">
      <c r="A149" s="155"/>
      <c r="D149" s="160">
        <v>29586</v>
      </c>
      <c r="E149" s="161">
        <v>0.13390000000000002</v>
      </c>
      <c r="F149" s="161">
        <v>0.11216720000000002</v>
      </c>
      <c r="G149" s="133">
        <f t="shared" si="1"/>
        <v>2.1732799999999997E-2</v>
      </c>
      <c r="I149" s="156">
        <f>--(Risk_Prem2[[#This Row],[Return on Equity]]&lt;0.09)</f>
        <v>0</v>
      </c>
      <c r="K149" s="128"/>
      <c r="L149" s="128"/>
    </row>
    <row r="150" spans="1:12" s="156" customFormat="1" x14ac:dyDescent="0.2">
      <c r="A150" s="155"/>
      <c r="D150" s="160">
        <v>29588</v>
      </c>
      <c r="E150" s="161">
        <v>0.1525</v>
      </c>
      <c r="F150" s="161">
        <v>0.11215730000000003</v>
      </c>
      <c r="G150" s="133">
        <f t="shared" si="1"/>
        <v>4.0342699999999967E-2</v>
      </c>
      <c r="I150" s="156">
        <f>--(Risk_Prem2[[#This Row],[Return on Equity]]&lt;0.09)</f>
        <v>0</v>
      </c>
      <c r="K150" s="128"/>
      <c r="L150" s="128"/>
    </row>
    <row r="151" spans="1:12" s="156" customFormat="1" x14ac:dyDescent="0.2">
      <c r="A151" s="155"/>
      <c r="D151" s="160">
        <v>29593</v>
      </c>
      <c r="E151" s="161">
        <v>0.14300000000000002</v>
      </c>
      <c r="F151" s="161">
        <v>0.1121106</v>
      </c>
      <c r="G151" s="133">
        <f t="shared" si="1"/>
        <v>3.0889400000000011E-2</v>
      </c>
      <c r="I151" s="156">
        <f>--(Risk_Prem2[[#This Row],[Return on Equity]]&lt;0.09)</f>
        <v>0</v>
      </c>
      <c r="K151" s="128"/>
      <c r="L151" s="128"/>
    </row>
    <row r="152" spans="1:12" s="156" customFormat="1" x14ac:dyDescent="0.2">
      <c r="A152" s="155"/>
      <c r="D152" s="160">
        <v>29605</v>
      </c>
      <c r="E152" s="161">
        <v>0.1525</v>
      </c>
      <c r="F152" s="161">
        <v>0.11197739999999998</v>
      </c>
      <c r="G152" s="133">
        <f t="shared" si="1"/>
        <v>4.052260000000002E-2</v>
      </c>
      <c r="I152" s="156">
        <f>--(Risk_Prem2[[#This Row],[Return on Equity]]&lt;0.09)</f>
        <v>0</v>
      </c>
      <c r="K152" s="128"/>
      <c r="L152" s="128"/>
    </row>
    <row r="153" spans="1:12" s="156" customFormat="1" x14ac:dyDescent="0.2">
      <c r="A153" s="155"/>
      <c r="D153" s="160">
        <v>29609</v>
      </c>
      <c r="E153" s="161">
        <v>0.13100000000000001</v>
      </c>
      <c r="F153" s="161">
        <v>0.11200329999999997</v>
      </c>
      <c r="G153" s="133">
        <f t="shared" si="1"/>
        <v>1.8996700000000033E-2</v>
      </c>
      <c r="I153" s="156">
        <f>--(Risk_Prem2[[#This Row],[Return on Equity]]&lt;0.09)</f>
        <v>0</v>
      </c>
      <c r="K153" s="128"/>
      <c r="L153" s="128"/>
    </row>
    <row r="154" spans="1:12" s="156" customFormat="1" x14ac:dyDescent="0.2">
      <c r="A154" s="155"/>
      <c r="D154" s="160">
        <v>29609</v>
      </c>
      <c r="E154" s="161">
        <v>0.14400000000000002</v>
      </c>
      <c r="F154" s="161">
        <v>0.11200329999999997</v>
      </c>
      <c r="G154" s="133">
        <f t="shared" si="1"/>
        <v>3.1996700000000045E-2</v>
      </c>
      <c r="I154" s="156">
        <f>--(Risk_Prem2[[#This Row],[Return on Equity]]&lt;0.09)</f>
        <v>0</v>
      </c>
      <c r="K154" s="128"/>
      <c r="L154" s="128"/>
    </row>
    <row r="155" spans="1:12" s="156" customFormat="1" x14ac:dyDescent="0.2">
      <c r="A155" s="155"/>
      <c r="D155" s="160">
        <v>29612</v>
      </c>
      <c r="E155" s="161">
        <v>0.1525</v>
      </c>
      <c r="F155" s="161">
        <v>0.11202489999999996</v>
      </c>
      <c r="G155" s="133">
        <f t="shared" si="1"/>
        <v>4.0475100000000042E-2</v>
      </c>
      <c r="I155" s="156">
        <f>--(Risk_Prem2[[#This Row],[Return on Equity]]&lt;0.09)</f>
        <v>0</v>
      </c>
      <c r="K155" s="128"/>
      <c r="L155" s="128"/>
    </row>
    <row r="156" spans="1:12" s="156" customFormat="1" x14ac:dyDescent="0.2">
      <c r="A156" s="155"/>
      <c r="D156" s="160">
        <v>29613</v>
      </c>
      <c r="E156" s="161">
        <v>0.15</v>
      </c>
      <c r="F156" s="161">
        <v>0.11205099999999996</v>
      </c>
      <c r="G156" s="133">
        <f t="shared" si="1"/>
        <v>3.7949000000000038E-2</v>
      </c>
      <c r="I156" s="156">
        <f>--(Risk_Prem2[[#This Row],[Return on Equity]]&lt;0.09)</f>
        <v>0</v>
      </c>
      <c r="K156" s="128"/>
      <c r="L156" s="128"/>
    </row>
    <row r="157" spans="1:12" s="156" customFormat="1" x14ac:dyDescent="0.2">
      <c r="A157" s="155"/>
      <c r="D157" s="160">
        <v>29617</v>
      </c>
      <c r="E157" s="161">
        <v>0.13470000000000001</v>
      </c>
      <c r="F157" s="161">
        <v>0.11216229999999999</v>
      </c>
      <c r="G157" s="133">
        <f t="shared" si="1"/>
        <v>2.2537700000000022E-2</v>
      </c>
      <c r="I157" s="156">
        <f>--(Risk_Prem2[[#This Row],[Return on Equity]]&lt;0.09)</f>
        <v>0</v>
      </c>
      <c r="K157" s="128"/>
      <c r="L157" s="128"/>
    </row>
    <row r="158" spans="1:12" s="156" customFormat="1" x14ac:dyDescent="0.2">
      <c r="A158" s="155"/>
      <c r="D158" s="160">
        <v>29620</v>
      </c>
      <c r="E158" s="161">
        <v>0.1525</v>
      </c>
      <c r="F158" s="161">
        <v>0.11229649999999998</v>
      </c>
      <c r="G158" s="133">
        <f t="shared" si="1"/>
        <v>4.0203500000000017E-2</v>
      </c>
      <c r="I158" s="156">
        <f>--(Risk_Prem2[[#This Row],[Return on Equity]]&lt;0.09)</f>
        <v>0</v>
      </c>
      <c r="K158" s="128"/>
      <c r="L158" s="128"/>
    </row>
    <row r="159" spans="1:12" s="156" customFormat="1" x14ac:dyDescent="0.2">
      <c r="A159" s="155"/>
      <c r="D159" s="160">
        <v>29622</v>
      </c>
      <c r="E159" s="161">
        <v>0.1575</v>
      </c>
      <c r="F159" s="161">
        <v>0.11245769999999997</v>
      </c>
      <c r="G159" s="133">
        <f t="shared" si="1"/>
        <v>4.5042300000000035E-2</v>
      </c>
      <c r="I159" s="156">
        <f>--(Risk_Prem2[[#This Row],[Return on Equity]]&lt;0.09)</f>
        <v>0</v>
      </c>
      <c r="K159" s="128"/>
      <c r="L159" s="128"/>
    </row>
    <row r="160" spans="1:12" s="156" customFormat="1" x14ac:dyDescent="0.2">
      <c r="A160" s="155"/>
      <c r="D160" s="160">
        <v>29628</v>
      </c>
      <c r="E160" s="161">
        <v>0.156</v>
      </c>
      <c r="F160" s="161">
        <v>0.11282909999999997</v>
      </c>
      <c r="G160" s="133">
        <f t="shared" si="1"/>
        <v>4.3170900000000026E-2</v>
      </c>
      <c r="I160" s="156">
        <f>--(Risk_Prem2[[#This Row],[Return on Equity]]&lt;0.09)</f>
        <v>0</v>
      </c>
      <c r="K160" s="128"/>
      <c r="L160" s="128"/>
    </row>
    <row r="161" spans="1:12" s="156" customFormat="1" x14ac:dyDescent="0.2">
      <c r="A161" s="155"/>
      <c r="D161" s="160">
        <v>29637</v>
      </c>
      <c r="E161" s="161">
        <v>0.1525</v>
      </c>
      <c r="F161" s="161">
        <v>0.1133156</v>
      </c>
      <c r="G161" s="133">
        <f t="shared" si="1"/>
        <v>3.9184399999999994E-2</v>
      </c>
      <c r="I161" s="156">
        <f>--(Risk_Prem2[[#This Row],[Return on Equity]]&lt;0.09)</f>
        <v>0</v>
      </c>
      <c r="K161" s="128"/>
      <c r="L161" s="128"/>
    </row>
    <row r="162" spans="1:12" s="156" customFormat="1" x14ac:dyDescent="0.2">
      <c r="A162" s="155"/>
      <c r="D162" s="160">
        <v>29656</v>
      </c>
      <c r="E162" s="161">
        <v>0.154</v>
      </c>
      <c r="F162" s="161">
        <v>0.11493489999999998</v>
      </c>
      <c r="G162" s="133">
        <f t="shared" si="1"/>
        <v>3.9065100000000019E-2</v>
      </c>
      <c r="I162" s="156">
        <f>--(Risk_Prem2[[#This Row],[Return on Equity]]&lt;0.09)</f>
        <v>0</v>
      </c>
      <c r="K162" s="128"/>
      <c r="L162" s="128"/>
    </row>
    <row r="163" spans="1:12" s="156" customFormat="1" x14ac:dyDescent="0.2">
      <c r="A163" s="155"/>
      <c r="D163" s="160">
        <v>29657</v>
      </c>
      <c r="E163" s="161">
        <v>0.14510000000000001</v>
      </c>
      <c r="F163" s="161">
        <v>0.11504899999999997</v>
      </c>
      <c r="G163" s="133">
        <f t="shared" si="1"/>
        <v>3.0051000000000036E-2</v>
      </c>
      <c r="I163" s="156">
        <f>--(Risk_Prem2[[#This Row],[Return on Equity]]&lt;0.09)</f>
        <v>0</v>
      </c>
      <c r="K163" s="128"/>
      <c r="L163" s="128"/>
    </row>
    <row r="164" spans="1:12" s="156" customFormat="1" x14ac:dyDescent="0.2">
      <c r="A164" s="155"/>
      <c r="D164" s="160">
        <v>29657</v>
      </c>
      <c r="E164" s="161">
        <v>0.16</v>
      </c>
      <c r="F164" s="161">
        <v>0.11504899999999997</v>
      </c>
      <c r="G164" s="133">
        <f t="shared" si="1"/>
        <v>4.4951000000000033E-2</v>
      </c>
      <c r="I164" s="156">
        <f>--(Risk_Prem2[[#This Row],[Return on Equity]]&lt;0.09)</f>
        <v>0</v>
      </c>
      <c r="K164" s="128"/>
      <c r="L164" s="128"/>
    </row>
    <row r="165" spans="1:12" s="156" customFormat="1" x14ac:dyDescent="0.2">
      <c r="A165" s="155"/>
      <c r="D165" s="160">
        <v>29658</v>
      </c>
      <c r="E165" s="161">
        <v>0.13019999999999998</v>
      </c>
      <c r="F165" s="161">
        <v>0.11515309999999994</v>
      </c>
      <c r="G165" s="133">
        <f t="shared" si="1"/>
        <v>1.5046900000000044E-2</v>
      </c>
      <c r="I165" s="156">
        <f>--(Risk_Prem2[[#This Row],[Return on Equity]]&lt;0.09)</f>
        <v>0</v>
      </c>
      <c r="K165" s="128"/>
      <c r="L165" s="128"/>
    </row>
    <row r="166" spans="1:12" s="156" customFormat="1" x14ac:dyDescent="0.2">
      <c r="A166" s="155"/>
      <c r="D166" s="160">
        <v>29663</v>
      </c>
      <c r="E166" s="161">
        <v>0.16190000000000002</v>
      </c>
      <c r="F166" s="161">
        <v>0.11547389999999998</v>
      </c>
      <c r="G166" s="133">
        <f t="shared" si="1"/>
        <v>4.642610000000004E-2</v>
      </c>
      <c r="I166" s="156">
        <f>--(Risk_Prem2[[#This Row],[Return on Equity]]&lt;0.09)</f>
        <v>0</v>
      </c>
      <c r="K166" s="128"/>
      <c r="L166" s="128"/>
    </row>
    <row r="167" spans="1:12" s="156" customFormat="1" x14ac:dyDescent="0.2">
      <c r="A167" s="155"/>
      <c r="D167" s="160">
        <v>29664</v>
      </c>
      <c r="E167" s="161">
        <v>0.13750000000000001</v>
      </c>
      <c r="F167" s="161">
        <v>0.11557199999999997</v>
      </c>
      <c r="G167" s="133">
        <f t="shared" si="1"/>
        <v>2.1928000000000045E-2</v>
      </c>
      <c r="I167" s="156">
        <f>--(Risk_Prem2[[#This Row],[Return on Equity]]&lt;0.09)</f>
        <v>0</v>
      </c>
      <c r="K167" s="128"/>
      <c r="L167" s="128"/>
    </row>
    <row r="168" spans="1:12" s="156" customFormat="1" x14ac:dyDescent="0.2">
      <c r="A168" s="155"/>
      <c r="D168" s="160">
        <v>29668</v>
      </c>
      <c r="E168" s="161">
        <v>0.14300000000000002</v>
      </c>
      <c r="F168" s="161">
        <v>0.11578369999999996</v>
      </c>
      <c r="G168" s="133">
        <f t="shared" si="1"/>
        <v>2.7216300000000054E-2</v>
      </c>
      <c r="I168" s="156">
        <f>--(Risk_Prem2[[#This Row],[Return on Equity]]&lt;0.09)</f>
        <v>0</v>
      </c>
      <c r="K168" s="128"/>
      <c r="L168" s="128"/>
    </row>
    <row r="169" spans="1:12" s="156" customFormat="1" x14ac:dyDescent="0.2">
      <c r="A169" s="155"/>
      <c r="D169" s="160">
        <v>29670</v>
      </c>
      <c r="E169" s="161">
        <v>0.153</v>
      </c>
      <c r="F169" s="161">
        <v>0.11604089999999995</v>
      </c>
      <c r="G169" s="133">
        <f t="shared" si="1"/>
        <v>3.695910000000005E-2</v>
      </c>
      <c r="I169" s="156">
        <f>--(Risk_Prem2[[#This Row],[Return on Equity]]&lt;0.09)</f>
        <v>0</v>
      </c>
      <c r="K169" s="128"/>
      <c r="L169" s="128"/>
    </row>
    <row r="170" spans="1:12" s="156" customFormat="1" x14ac:dyDescent="0.2">
      <c r="A170" s="155"/>
      <c r="D170" s="160">
        <v>29677</v>
      </c>
      <c r="E170" s="161">
        <v>0.14529999999999998</v>
      </c>
      <c r="F170" s="161">
        <v>0.11677039999999993</v>
      </c>
      <c r="G170" s="133">
        <f t="shared" si="1"/>
        <v>2.8529600000000058E-2</v>
      </c>
      <c r="I170" s="156">
        <f>--(Risk_Prem2[[#This Row],[Return on Equity]]&lt;0.09)</f>
        <v>0</v>
      </c>
      <c r="K170" s="128"/>
      <c r="L170" s="128"/>
    </row>
    <row r="171" spans="1:12" s="156" customFormat="1" x14ac:dyDescent="0.2">
      <c r="A171" s="155"/>
      <c r="D171" s="160">
        <v>29679</v>
      </c>
      <c r="E171" s="161">
        <v>0.191</v>
      </c>
      <c r="F171" s="161">
        <v>0.11710309999999995</v>
      </c>
      <c r="G171" s="133">
        <f t="shared" si="1"/>
        <v>7.3896900000000057E-2</v>
      </c>
      <c r="I171" s="156">
        <f>--(Risk_Prem2[[#This Row],[Return on Equity]]&lt;0.09)</f>
        <v>0</v>
      </c>
      <c r="K171" s="128"/>
      <c r="L171" s="128"/>
    </row>
    <row r="172" spans="1:12" s="156" customFormat="1" x14ac:dyDescent="0.2">
      <c r="A172" s="155"/>
      <c r="D172" s="160">
        <v>29685</v>
      </c>
      <c r="E172" s="161">
        <v>0.15</v>
      </c>
      <c r="F172" s="161">
        <v>0.11781649999999995</v>
      </c>
      <c r="G172" s="133">
        <f t="shared" si="1"/>
        <v>3.2183500000000045E-2</v>
      </c>
      <c r="I172" s="156">
        <f>--(Risk_Prem2[[#This Row],[Return on Equity]]&lt;0.09)</f>
        <v>0</v>
      </c>
      <c r="K172" s="128"/>
      <c r="L172" s="128"/>
    </row>
    <row r="173" spans="1:12" s="156" customFormat="1" x14ac:dyDescent="0.2">
      <c r="A173" s="155"/>
      <c r="D173" s="160">
        <v>29685</v>
      </c>
      <c r="E173" s="161">
        <v>0.153</v>
      </c>
      <c r="F173" s="161">
        <v>0.11781649999999995</v>
      </c>
      <c r="G173" s="133">
        <f t="shared" si="1"/>
        <v>3.5183500000000048E-2</v>
      </c>
      <c r="I173" s="156">
        <f>--(Risk_Prem2[[#This Row],[Return on Equity]]&lt;0.09)</f>
        <v>0</v>
      </c>
      <c r="K173" s="128"/>
      <c r="L173" s="128"/>
    </row>
    <row r="174" spans="1:12" s="156" customFormat="1" x14ac:dyDescent="0.2">
      <c r="A174" s="155"/>
      <c r="D174" s="160">
        <v>29685</v>
      </c>
      <c r="E174" s="161">
        <v>0.16500000000000001</v>
      </c>
      <c r="F174" s="161">
        <v>0.11781649999999995</v>
      </c>
      <c r="G174" s="133">
        <f t="shared" ref="G174:G237" si="2">E174-F174</f>
        <v>4.7183500000000059E-2</v>
      </c>
      <c r="I174" s="156">
        <f>--(Risk_Prem2[[#This Row],[Return on Equity]]&lt;0.09)</f>
        <v>0</v>
      </c>
      <c r="K174" s="128"/>
      <c r="L174" s="128"/>
    </row>
    <row r="175" spans="1:12" s="156" customFormat="1" x14ac:dyDescent="0.2">
      <c r="A175" s="155"/>
      <c r="D175" s="160">
        <v>29685</v>
      </c>
      <c r="E175" s="161">
        <v>0.17</v>
      </c>
      <c r="F175" s="161">
        <v>0.11781649999999995</v>
      </c>
      <c r="G175" s="133">
        <f t="shared" si="2"/>
        <v>5.2183500000000063E-2</v>
      </c>
      <c r="I175" s="156">
        <f>--(Risk_Prem2[[#This Row],[Return on Equity]]&lt;0.09)</f>
        <v>0</v>
      </c>
      <c r="K175" s="128"/>
      <c r="L175" s="128"/>
    </row>
    <row r="176" spans="1:12" s="156" customFormat="1" x14ac:dyDescent="0.2">
      <c r="A176" s="155"/>
      <c r="D176" s="160">
        <v>29686</v>
      </c>
      <c r="E176" s="161">
        <v>0.13750000000000001</v>
      </c>
      <c r="F176" s="161">
        <v>0.11799909999999997</v>
      </c>
      <c r="G176" s="133">
        <f t="shared" si="2"/>
        <v>1.9500900000000043E-2</v>
      </c>
      <c r="I176" s="156">
        <f>--(Risk_Prem2[[#This Row],[Return on Equity]]&lt;0.09)</f>
        <v>0</v>
      </c>
      <c r="K176" s="128"/>
      <c r="L176" s="128"/>
    </row>
    <row r="177" spans="1:12" s="156" customFormat="1" x14ac:dyDescent="0.2">
      <c r="A177" s="155"/>
      <c r="D177" s="160">
        <v>29689</v>
      </c>
      <c r="E177" s="161">
        <v>0.13570000000000002</v>
      </c>
      <c r="F177" s="161">
        <v>0.11817769999999996</v>
      </c>
      <c r="G177" s="133">
        <f t="shared" si="2"/>
        <v>1.752230000000006E-2</v>
      </c>
      <c r="I177" s="156">
        <f>--(Risk_Prem2[[#This Row],[Return on Equity]]&lt;0.09)</f>
        <v>0</v>
      </c>
      <c r="K177" s="128"/>
      <c r="L177" s="128"/>
    </row>
    <row r="178" spans="1:12" s="156" customFormat="1" x14ac:dyDescent="0.2">
      <c r="A178" s="155"/>
      <c r="D178" s="160">
        <v>29691</v>
      </c>
      <c r="E178" s="161">
        <v>0.153</v>
      </c>
      <c r="F178" s="161">
        <v>0.11852439999999996</v>
      </c>
      <c r="G178" s="133">
        <f t="shared" si="2"/>
        <v>3.4475600000000037E-2</v>
      </c>
      <c r="I178" s="156">
        <f>--(Risk_Prem2[[#This Row],[Return on Equity]]&lt;0.09)</f>
        <v>0</v>
      </c>
      <c r="K178" s="128"/>
      <c r="L178" s="128"/>
    </row>
    <row r="179" spans="1:12" s="156" customFormat="1" x14ac:dyDescent="0.2">
      <c r="A179" s="155"/>
      <c r="D179" s="160">
        <v>29692</v>
      </c>
      <c r="E179" s="161">
        <v>0.13500000000000001</v>
      </c>
      <c r="F179" s="161">
        <v>0.11869499999999997</v>
      </c>
      <c r="G179" s="133">
        <f t="shared" si="2"/>
        <v>1.6305000000000042E-2</v>
      </c>
      <c r="I179" s="156">
        <f>--(Risk_Prem2[[#This Row],[Return on Equity]]&lt;0.09)</f>
        <v>0</v>
      </c>
      <c r="K179" s="128"/>
      <c r="L179" s="128"/>
    </row>
    <row r="180" spans="1:12" s="156" customFormat="1" x14ac:dyDescent="0.2">
      <c r="A180" s="155"/>
      <c r="D180" s="160">
        <v>29693</v>
      </c>
      <c r="E180" s="161">
        <v>0.14099999999999999</v>
      </c>
      <c r="F180" s="161">
        <v>0.11869499999999997</v>
      </c>
      <c r="G180" s="133">
        <f t="shared" si="2"/>
        <v>2.2305000000000019E-2</v>
      </c>
      <c r="I180" s="156">
        <f>--(Risk_Prem2[[#This Row],[Return on Equity]]&lt;0.09)</f>
        <v>0</v>
      </c>
      <c r="K180" s="128"/>
      <c r="L180" s="128"/>
    </row>
    <row r="181" spans="1:12" s="156" customFormat="1" x14ac:dyDescent="0.2">
      <c r="A181" s="155"/>
      <c r="D181" s="160">
        <v>29697</v>
      </c>
      <c r="E181" s="161">
        <v>0.14000000000000001</v>
      </c>
      <c r="F181" s="161">
        <v>0.11901569999999997</v>
      </c>
      <c r="G181" s="133">
        <f t="shared" si="2"/>
        <v>2.0984300000000039E-2</v>
      </c>
      <c r="I181" s="156">
        <f>--(Risk_Prem2[[#This Row],[Return on Equity]]&lt;0.09)</f>
        <v>0</v>
      </c>
      <c r="K181" s="128"/>
      <c r="L181" s="128"/>
    </row>
    <row r="182" spans="1:12" s="156" customFormat="1" x14ac:dyDescent="0.2">
      <c r="A182" s="155"/>
      <c r="D182" s="160">
        <v>29697</v>
      </c>
      <c r="E182" s="161">
        <v>0.16800000000000001</v>
      </c>
      <c r="F182" s="161">
        <v>0.11901569999999997</v>
      </c>
      <c r="G182" s="133">
        <f t="shared" si="2"/>
        <v>4.8984300000000036E-2</v>
      </c>
      <c r="I182" s="156">
        <f>--(Risk_Prem2[[#This Row],[Return on Equity]]&lt;0.09)</f>
        <v>0</v>
      </c>
      <c r="K182" s="128"/>
      <c r="L182" s="128"/>
    </row>
    <row r="183" spans="1:12" s="156" customFormat="1" x14ac:dyDescent="0.2">
      <c r="A183" s="155"/>
      <c r="D183" s="160">
        <v>29700</v>
      </c>
      <c r="E183" s="161">
        <v>0.16</v>
      </c>
      <c r="F183" s="161">
        <v>0.11949799999999998</v>
      </c>
      <c r="G183" s="133">
        <f t="shared" si="2"/>
        <v>4.0502000000000024E-2</v>
      </c>
      <c r="I183" s="156">
        <f>--(Risk_Prem2[[#This Row],[Return on Equity]]&lt;0.09)</f>
        <v>0</v>
      </c>
      <c r="K183" s="128"/>
      <c r="L183" s="128"/>
    </row>
    <row r="184" spans="1:12" s="156" customFormat="1" x14ac:dyDescent="0.2">
      <c r="A184" s="155"/>
      <c r="D184" s="160">
        <v>29703</v>
      </c>
      <c r="E184" s="161">
        <v>0.125</v>
      </c>
      <c r="F184" s="161">
        <v>0.1196561</v>
      </c>
      <c r="G184" s="133">
        <f t="shared" si="2"/>
        <v>5.3438999999999987E-3</v>
      </c>
      <c r="I184" s="156">
        <f>--(Risk_Prem2[[#This Row],[Return on Equity]]&lt;0.09)</f>
        <v>0</v>
      </c>
      <c r="K184" s="128"/>
      <c r="L184" s="128"/>
    </row>
    <row r="185" spans="1:12" s="156" customFormat="1" x14ac:dyDescent="0.2">
      <c r="A185" s="155"/>
      <c r="D185" s="160">
        <v>29703</v>
      </c>
      <c r="E185" s="161">
        <v>0.1361</v>
      </c>
      <c r="F185" s="161">
        <v>0.1196561</v>
      </c>
      <c r="G185" s="133">
        <f t="shared" si="2"/>
        <v>1.6443899999999997E-2</v>
      </c>
      <c r="I185" s="156">
        <f>--(Risk_Prem2[[#This Row],[Return on Equity]]&lt;0.09)</f>
        <v>0</v>
      </c>
      <c r="K185" s="128"/>
      <c r="L185" s="128"/>
    </row>
    <row r="186" spans="1:12" s="156" customFormat="1" x14ac:dyDescent="0.2">
      <c r="A186" s="155"/>
      <c r="D186" s="160">
        <v>29705</v>
      </c>
      <c r="E186" s="161">
        <v>0.13650000000000001</v>
      </c>
      <c r="F186" s="161">
        <v>0.11999079999999999</v>
      </c>
      <c r="G186" s="133">
        <f t="shared" si="2"/>
        <v>1.6509200000000016E-2</v>
      </c>
      <c r="I186" s="156">
        <f>--(Risk_Prem2[[#This Row],[Return on Equity]]&lt;0.09)</f>
        <v>0</v>
      </c>
      <c r="K186" s="128"/>
      <c r="L186" s="128"/>
    </row>
    <row r="187" spans="1:12" s="156" customFormat="1" x14ac:dyDescent="0.2">
      <c r="A187" s="155"/>
      <c r="D187" s="160">
        <v>29706</v>
      </c>
      <c r="E187" s="161">
        <v>0.13500000000000001</v>
      </c>
      <c r="F187" s="161">
        <v>0.1201629</v>
      </c>
      <c r="G187" s="133">
        <f t="shared" si="2"/>
        <v>1.4837100000000006E-2</v>
      </c>
      <c r="I187" s="156">
        <f>--(Risk_Prem2[[#This Row],[Return on Equity]]&lt;0.09)</f>
        <v>0</v>
      </c>
      <c r="K187" s="128"/>
      <c r="L187" s="128"/>
    </row>
    <row r="188" spans="1:12" s="156" customFormat="1" x14ac:dyDescent="0.2">
      <c r="A188" s="155"/>
      <c r="D188" s="160">
        <v>29710</v>
      </c>
      <c r="E188" s="161">
        <v>0.16219999999999998</v>
      </c>
      <c r="F188" s="161">
        <v>0.12050859999999998</v>
      </c>
      <c r="G188" s="133">
        <f t="shared" si="2"/>
        <v>4.1691400000000003E-2</v>
      </c>
      <c r="I188" s="156">
        <f>--(Risk_Prem2[[#This Row],[Return on Equity]]&lt;0.09)</f>
        <v>0</v>
      </c>
      <c r="K188" s="128"/>
      <c r="L188" s="128"/>
    </row>
    <row r="189" spans="1:12" s="156" customFormat="1" x14ac:dyDescent="0.2">
      <c r="A189" s="155"/>
      <c r="D189" s="160">
        <v>29711</v>
      </c>
      <c r="E189" s="161">
        <v>0.14400000000000002</v>
      </c>
      <c r="F189" s="161">
        <v>0.12070469999999998</v>
      </c>
      <c r="G189" s="133">
        <f t="shared" si="2"/>
        <v>2.3295300000000033E-2</v>
      </c>
      <c r="I189" s="156">
        <f>--(Risk_Prem2[[#This Row],[Return on Equity]]&lt;0.09)</f>
        <v>0</v>
      </c>
      <c r="K189" s="128"/>
      <c r="L189" s="128"/>
    </row>
    <row r="190" spans="1:12" s="156" customFormat="1" x14ac:dyDescent="0.2">
      <c r="A190" s="155"/>
      <c r="D190" s="160">
        <v>29713</v>
      </c>
      <c r="E190" s="161">
        <v>0.16250000000000001</v>
      </c>
      <c r="F190" s="161">
        <v>0.1210854</v>
      </c>
      <c r="G190" s="133">
        <f t="shared" si="2"/>
        <v>4.141460000000001E-2</v>
      </c>
      <c r="I190" s="156">
        <f>--(Risk_Prem2[[#This Row],[Return on Equity]]&lt;0.09)</f>
        <v>0</v>
      </c>
      <c r="K190" s="128"/>
      <c r="L190" s="128"/>
    </row>
    <row r="191" spans="1:12" s="156" customFormat="1" x14ac:dyDescent="0.2">
      <c r="A191" s="155"/>
      <c r="D191" s="160">
        <v>29713</v>
      </c>
      <c r="E191" s="161">
        <v>0.16269999999999998</v>
      </c>
      <c r="F191" s="161">
        <v>0.1210854</v>
      </c>
      <c r="G191" s="133">
        <f t="shared" si="2"/>
        <v>4.1614599999999988E-2</v>
      </c>
      <c r="I191" s="156">
        <f>--(Risk_Prem2[[#This Row],[Return on Equity]]&lt;0.09)</f>
        <v>0</v>
      </c>
      <c r="K191" s="128"/>
      <c r="L191" s="128"/>
    </row>
    <row r="192" spans="1:12" s="156" customFormat="1" x14ac:dyDescent="0.2">
      <c r="A192" s="155"/>
      <c r="D192" s="160">
        <v>29714</v>
      </c>
      <c r="E192" s="161">
        <v>0.13</v>
      </c>
      <c r="F192" s="161">
        <v>0.12126399999999998</v>
      </c>
      <c r="G192" s="133">
        <f t="shared" si="2"/>
        <v>8.7360000000000215E-3</v>
      </c>
      <c r="I192" s="156">
        <f>--(Risk_Prem2[[#This Row],[Return on Equity]]&lt;0.09)</f>
        <v>0</v>
      </c>
      <c r="K192" s="128"/>
      <c r="L192" s="128"/>
    </row>
    <row r="193" spans="1:12" s="156" customFormat="1" x14ac:dyDescent="0.2">
      <c r="A193" s="155"/>
      <c r="D193" s="160">
        <v>29714</v>
      </c>
      <c r="E193" s="161">
        <v>0.16</v>
      </c>
      <c r="F193" s="161">
        <v>0.12126399999999998</v>
      </c>
      <c r="G193" s="133">
        <f t="shared" si="2"/>
        <v>3.873600000000002E-2</v>
      </c>
      <c r="I193" s="156">
        <f>--(Risk_Prem2[[#This Row],[Return on Equity]]&lt;0.09)</f>
        <v>0</v>
      </c>
      <c r="K193" s="128"/>
      <c r="L193" s="128"/>
    </row>
    <row r="194" spans="1:12" s="156" customFormat="1" x14ac:dyDescent="0.2">
      <c r="A194" s="155"/>
      <c r="D194" s="160">
        <v>29718</v>
      </c>
      <c r="E194" s="161">
        <v>0.13500000000000001</v>
      </c>
      <c r="F194" s="161">
        <v>0.12164169999999999</v>
      </c>
      <c r="G194" s="133">
        <f t="shared" si="2"/>
        <v>1.3358300000000017E-2</v>
      </c>
      <c r="I194" s="156">
        <f>--(Risk_Prem2[[#This Row],[Return on Equity]]&lt;0.09)</f>
        <v>0</v>
      </c>
      <c r="K194" s="128"/>
      <c r="L194" s="128"/>
    </row>
    <row r="195" spans="1:12" s="156" customFormat="1" x14ac:dyDescent="0.2">
      <c r="A195" s="155"/>
      <c r="D195" s="160">
        <v>29721</v>
      </c>
      <c r="E195" s="161">
        <v>0.1575</v>
      </c>
      <c r="F195" s="161">
        <v>0.12216549999999998</v>
      </c>
      <c r="G195" s="133">
        <f t="shared" si="2"/>
        <v>3.5334500000000019E-2</v>
      </c>
      <c r="I195" s="156">
        <f>--(Risk_Prem2[[#This Row],[Return on Equity]]&lt;0.09)</f>
        <v>0</v>
      </c>
      <c r="K195" s="128"/>
      <c r="L195" s="128"/>
    </row>
    <row r="196" spans="1:12" s="156" customFormat="1" x14ac:dyDescent="0.2">
      <c r="A196" s="155"/>
      <c r="D196" s="160">
        <v>29724</v>
      </c>
      <c r="E196" s="161">
        <v>0.14880000000000002</v>
      </c>
      <c r="F196" s="161">
        <v>0.12231009999999998</v>
      </c>
      <c r="G196" s="133">
        <f t="shared" si="2"/>
        <v>2.6489900000000038E-2</v>
      </c>
      <c r="I196" s="156">
        <f>--(Risk_Prem2[[#This Row],[Return on Equity]]&lt;0.09)</f>
        <v>0</v>
      </c>
      <c r="K196" s="128"/>
      <c r="L196" s="128"/>
    </row>
    <row r="197" spans="1:12" s="156" customFormat="1" x14ac:dyDescent="0.2">
      <c r="A197" s="155"/>
      <c r="D197" s="160">
        <v>29726</v>
      </c>
      <c r="E197" s="161">
        <v>0.16</v>
      </c>
      <c r="F197" s="161">
        <v>0.12261079999999999</v>
      </c>
      <c r="G197" s="133">
        <f t="shared" si="2"/>
        <v>3.7389200000000011E-2</v>
      </c>
      <c r="I197" s="156">
        <f>--(Risk_Prem2[[#This Row],[Return on Equity]]&lt;0.09)</f>
        <v>0</v>
      </c>
      <c r="K197" s="128"/>
      <c r="L197" s="128"/>
    </row>
    <row r="198" spans="1:12" s="156" customFormat="1" x14ac:dyDescent="0.2">
      <c r="A198" s="155"/>
      <c r="D198" s="160">
        <v>29727</v>
      </c>
      <c r="E198" s="161">
        <v>0.14000000000000001</v>
      </c>
      <c r="F198" s="161">
        <v>0.12274739999999999</v>
      </c>
      <c r="G198" s="133">
        <f t="shared" si="2"/>
        <v>1.7252600000000021E-2</v>
      </c>
      <c r="I198" s="156">
        <f>--(Risk_Prem2[[#This Row],[Return on Equity]]&lt;0.09)</f>
        <v>0</v>
      </c>
      <c r="K198" s="128"/>
      <c r="L198" s="128"/>
    </row>
    <row r="199" spans="1:12" s="156" customFormat="1" x14ac:dyDescent="0.2">
      <c r="A199" s="155"/>
      <c r="D199" s="160">
        <v>29732</v>
      </c>
      <c r="E199" s="161">
        <v>0.14899999999999999</v>
      </c>
      <c r="F199" s="161">
        <v>0.12300459999999999</v>
      </c>
      <c r="G199" s="133">
        <f t="shared" si="2"/>
        <v>2.5995400000000002E-2</v>
      </c>
      <c r="I199" s="156">
        <f>--(Risk_Prem2[[#This Row],[Return on Equity]]&lt;0.09)</f>
        <v>0</v>
      </c>
      <c r="K199" s="128"/>
      <c r="L199" s="128"/>
    </row>
    <row r="200" spans="1:12" s="156" customFormat="1" x14ac:dyDescent="0.2">
      <c r="A200" s="155"/>
      <c r="D200" s="160">
        <v>29733</v>
      </c>
      <c r="E200" s="161">
        <v>0.15</v>
      </c>
      <c r="F200" s="161">
        <v>0.12313369999999998</v>
      </c>
      <c r="G200" s="133">
        <f t="shared" si="2"/>
        <v>2.686630000000001E-2</v>
      </c>
      <c r="I200" s="156">
        <f>--(Risk_Prem2[[#This Row],[Return on Equity]]&lt;0.09)</f>
        <v>0</v>
      </c>
      <c r="K200" s="128"/>
      <c r="L200" s="128"/>
    </row>
    <row r="201" spans="1:12" s="156" customFormat="1" x14ac:dyDescent="0.2">
      <c r="A201" s="155"/>
      <c r="D201" s="160">
        <v>29735</v>
      </c>
      <c r="E201" s="161">
        <v>0.155</v>
      </c>
      <c r="F201" s="161">
        <v>0.12337140000000002</v>
      </c>
      <c r="G201" s="133">
        <f t="shared" si="2"/>
        <v>3.1628599999999979E-2</v>
      </c>
      <c r="I201" s="156">
        <f>--(Risk_Prem2[[#This Row],[Return on Equity]]&lt;0.09)</f>
        <v>0</v>
      </c>
      <c r="K201" s="128"/>
      <c r="L201" s="128"/>
    </row>
    <row r="202" spans="1:12" s="156" customFormat="1" x14ac:dyDescent="0.2">
      <c r="A202" s="155"/>
      <c r="D202" s="160">
        <v>29738</v>
      </c>
      <c r="E202" s="161">
        <v>0.16500000000000001</v>
      </c>
      <c r="F202" s="161">
        <v>0.12347949999999998</v>
      </c>
      <c r="G202" s="133">
        <f t="shared" si="2"/>
        <v>4.152050000000003E-2</v>
      </c>
      <c r="I202" s="156">
        <f>--(Risk_Prem2[[#This Row],[Return on Equity]]&lt;0.09)</f>
        <v>0</v>
      </c>
      <c r="K202" s="128"/>
      <c r="L202" s="128"/>
    </row>
    <row r="203" spans="1:12" s="156" customFormat="1" x14ac:dyDescent="0.2">
      <c r="A203" s="155"/>
      <c r="D203" s="160">
        <v>29740</v>
      </c>
      <c r="E203" s="161">
        <v>0.1467</v>
      </c>
      <c r="F203" s="161">
        <v>0.1236872</v>
      </c>
      <c r="G203" s="133">
        <f t="shared" si="2"/>
        <v>2.30128E-2</v>
      </c>
      <c r="I203" s="156">
        <f>--(Risk_Prem2[[#This Row],[Return on Equity]]&lt;0.09)</f>
        <v>0</v>
      </c>
      <c r="K203" s="128"/>
      <c r="L203" s="128"/>
    </row>
    <row r="204" spans="1:12" s="156" customFormat="1" x14ac:dyDescent="0.2">
      <c r="A204" s="155"/>
      <c r="D204" s="160">
        <v>29742</v>
      </c>
      <c r="E204" s="161">
        <v>0.13</v>
      </c>
      <c r="F204" s="161">
        <v>0.12390339999999998</v>
      </c>
      <c r="G204" s="133">
        <f t="shared" si="2"/>
        <v>6.0966000000000214E-3</v>
      </c>
      <c r="I204" s="156">
        <f>--(Risk_Prem2[[#This Row],[Return on Equity]]&lt;0.09)</f>
        <v>0</v>
      </c>
      <c r="K204" s="128"/>
      <c r="L204" s="128"/>
    </row>
    <row r="205" spans="1:12" s="156" customFormat="1" x14ac:dyDescent="0.2">
      <c r="A205" s="155"/>
      <c r="D205" s="160">
        <v>29747</v>
      </c>
      <c r="E205" s="161">
        <v>0.16750000000000001</v>
      </c>
      <c r="F205" s="161">
        <v>0.12418219999999999</v>
      </c>
      <c r="G205" s="133">
        <f t="shared" si="2"/>
        <v>4.3317800000000017E-2</v>
      </c>
      <c r="I205" s="156">
        <f>--(Risk_Prem2[[#This Row],[Return on Equity]]&lt;0.09)</f>
        <v>0</v>
      </c>
      <c r="K205" s="128"/>
      <c r="L205" s="128"/>
    </row>
    <row r="206" spans="1:12" s="156" customFormat="1" x14ac:dyDescent="0.2">
      <c r="A206" s="155"/>
      <c r="D206" s="160">
        <v>29754</v>
      </c>
      <c r="E206" s="161">
        <v>0.14400000000000002</v>
      </c>
      <c r="F206" s="161">
        <v>0.12458070000000003</v>
      </c>
      <c r="G206" s="133">
        <f t="shared" si="2"/>
        <v>1.9419299999999987E-2</v>
      </c>
      <c r="I206" s="156">
        <f>--(Risk_Prem2[[#This Row],[Return on Equity]]&lt;0.09)</f>
        <v>0</v>
      </c>
      <c r="K206" s="128"/>
      <c r="L206" s="128"/>
    </row>
    <row r="207" spans="1:12" s="156" customFormat="1" x14ac:dyDescent="0.2">
      <c r="A207" s="155"/>
      <c r="D207" s="160">
        <v>29755</v>
      </c>
      <c r="E207" s="161">
        <v>0.16329999999999997</v>
      </c>
      <c r="F207" s="161">
        <v>0.1246633</v>
      </c>
      <c r="G207" s="133">
        <f t="shared" si="2"/>
        <v>3.8636699999999968E-2</v>
      </c>
      <c r="I207" s="156">
        <f>--(Risk_Prem2[[#This Row],[Return on Equity]]&lt;0.09)</f>
        <v>0</v>
      </c>
      <c r="K207" s="128"/>
      <c r="L207" s="128"/>
    </row>
    <row r="208" spans="1:12" s="156" customFormat="1" x14ac:dyDescent="0.2">
      <c r="A208" s="155"/>
      <c r="D208" s="160">
        <v>29762</v>
      </c>
      <c r="E208" s="161">
        <v>0.14749999999999999</v>
      </c>
      <c r="F208" s="161">
        <v>0.12512629999999997</v>
      </c>
      <c r="G208" s="133">
        <f t="shared" si="2"/>
        <v>2.2373700000000024E-2</v>
      </c>
      <c r="I208" s="156">
        <f>--(Risk_Prem2[[#This Row],[Return on Equity]]&lt;0.09)</f>
        <v>0</v>
      </c>
      <c r="K208" s="128"/>
      <c r="L208" s="128"/>
    </row>
    <row r="209" spans="1:12" s="156" customFormat="1" x14ac:dyDescent="0.2">
      <c r="A209" s="155"/>
      <c r="D209" s="160">
        <v>29763</v>
      </c>
      <c r="E209" s="161">
        <v>0.16</v>
      </c>
      <c r="F209" s="161">
        <v>0.12523039999999996</v>
      </c>
      <c r="G209" s="133">
        <f t="shared" si="2"/>
        <v>3.4769600000000039E-2</v>
      </c>
      <c r="I209" s="156">
        <f>--(Risk_Prem2[[#This Row],[Return on Equity]]&lt;0.09)</f>
        <v>0</v>
      </c>
      <c r="K209" s="128"/>
      <c r="L209" s="128"/>
    </row>
    <row r="210" spans="1:12" s="156" customFormat="1" x14ac:dyDescent="0.2">
      <c r="A210" s="155"/>
      <c r="D210" s="160">
        <v>29767</v>
      </c>
      <c r="E210" s="161">
        <v>0.1525</v>
      </c>
      <c r="F210" s="161">
        <v>0.1254411</v>
      </c>
      <c r="G210" s="133">
        <f t="shared" si="2"/>
        <v>2.7058899999999997E-2</v>
      </c>
      <c r="I210" s="156">
        <f>--(Risk_Prem2[[#This Row],[Return on Equity]]&lt;0.09)</f>
        <v>0</v>
      </c>
      <c r="K210" s="128"/>
      <c r="L210" s="128"/>
    </row>
    <row r="211" spans="1:12" s="156" customFormat="1" x14ac:dyDescent="0.2">
      <c r="A211" s="155"/>
      <c r="D211" s="160">
        <v>29768</v>
      </c>
      <c r="E211" s="161">
        <v>0.155</v>
      </c>
      <c r="F211" s="161">
        <v>0.1255637</v>
      </c>
      <c r="G211" s="133">
        <f t="shared" si="2"/>
        <v>2.9436299999999999E-2</v>
      </c>
      <c r="I211" s="156">
        <f>--(Risk_Prem2[[#This Row],[Return on Equity]]&lt;0.09)</f>
        <v>0</v>
      </c>
      <c r="K211" s="128"/>
      <c r="L211" s="128"/>
    </row>
    <row r="212" spans="1:12" s="156" customFormat="1" x14ac:dyDescent="0.2">
      <c r="A212" s="155"/>
      <c r="D212" s="160">
        <v>29768</v>
      </c>
      <c r="E212" s="161">
        <v>0.17499999999999999</v>
      </c>
      <c r="F212" s="161">
        <v>0.1255637</v>
      </c>
      <c r="G212" s="133">
        <f t="shared" si="2"/>
        <v>4.9436299999999989E-2</v>
      </c>
      <c r="I212" s="156">
        <f>--(Risk_Prem2[[#This Row],[Return on Equity]]&lt;0.09)</f>
        <v>0</v>
      </c>
      <c r="K212" s="128"/>
      <c r="L212" s="128"/>
    </row>
    <row r="213" spans="1:12" s="156" customFormat="1" x14ac:dyDescent="0.2">
      <c r="A213" s="155"/>
      <c r="D213" s="160">
        <v>29777</v>
      </c>
      <c r="E213" s="161">
        <v>0.16</v>
      </c>
      <c r="F213" s="161">
        <v>0.12617979999999998</v>
      </c>
      <c r="G213" s="133">
        <f t="shared" si="2"/>
        <v>3.3820200000000022E-2</v>
      </c>
      <c r="I213" s="156">
        <f>--(Risk_Prem2[[#This Row],[Return on Equity]]&lt;0.09)</f>
        <v>0</v>
      </c>
      <c r="K213" s="128"/>
      <c r="L213" s="128"/>
    </row>
    <row r="214" spans="1:12" s="156" customFormat="1" x14ac:dyDescent="0.2">
      <c r="A214" s="155"/>
      <c r="D214" s="160">
        <v>29781</v>
      </c>
      <c r="E214" s="161">
        <v>0.16899999999999998</v>
      </c>
      <c r="F214" s="161">
        <v>0.12637849999999998</v>
      </c>
      <c r="G214" s="133">
        <f t="shared" si="2"/>
        <v>4.2621500000000007E-2</v>
      </c>
      <c r="I214" s="156">
        <f>--(Risk_Prem2[[#This Row],[Return on Equity]]&lt;0.09)</f>
        <v>0</v>
      </c>
      <c r="K214" s="128"/>
      <c r="L214" s="128"/>
    </row>
    <row r="215" spans="1:12" s="156" customFormat="1" x14ac:dyDescent="0.2">
      <c r="A215" s="155"/>
      <c r="D215" s="160">
        <v>29782</v>
      </c>
      <c r="E215" s="161">
        <v>0.16</v>
      </c>
      <c r="F215" s="161">
        <v>0.12646959999999999</v>
      </c>
      <c r="G215" s="133">
        <f t="shared" si="2"/>
        <v>3.3530400000000016E-2</v>
      </c>
      <c r="I215" s="156">
        <f>--(Risk_Prem2[[#This Row],[Return on Equity]]&lt;0.09)</f>
        <v>0</v>
      </c>
      <c r="K215" s="128"/>
      <c r="L215" s="128"/>
    </row>
    <row r="216" spans="1:12" s="156" customFormat="1" x14ac:dyDescent="0.2">
      <c r="A216" s="155"/>
      <c r="D216" s="160">
        <v>29784</v>
      </c>
      <c r="E216" s="161">
        <v>0.15</v>
      </c>
      <c r="F216" s="161">
        <v>0.12665230000000002</v>
      </c>
      <c r="G216" s="133">
        <f t="shared" si="2"/>
        <v>2.3347699999999971E-2</v>
      </c>
      <c r="I216" s="156">
        <f>--(Risk_Prem2[[#This Row],[Return on Equity]]&lt;0.09)</f>
        <v>0</v>
      </c>
      <c r="K216" s="128"/>
      <c r="L216" s="128"/>
    </row>
    <row r="217" spans="1:12" s="156" customFormat="1" x14ac:dyDescent="0.2">
      <c r="A217" s="155"/>
      <c r="D217" s="160">
        <v>29787</v>
      </c>
      <c r="E217" s="161">
        <v>0.15</v>
      </c>
      <c r="F217" s="161">
        <v>0.12675539999999999</v>
      </c>
      <c r="G217" s="133">
        <f t="shared" si="2"/>
        <v>2.3244600000000004E-2</v>
      </c>
      <c r="I217" s="156">
        <f>--(Risk_Prem2[[#This Row],[Return on Equity]]&lt;0.09)</f>
        <v>0</v>
      </c>
      <c r="K217" s="128"/>
      <c r="L217" s="128"/>
    </row>
    <row r="218" spans="1:12" s="156" customFormat="1" x14ac:dyDescent="0.2">
      <c r="A218" s="155"/>
      <c r="D218" s="160">
        <v>29788</v>
      </c>
      <c r="E218" s="161">
        <v>0.14000000000000001</v>
      </c>
      <c r="F218" s="161">
        <v>0.12685100000000002</v>
      </c>
      <c r="G218" s="133">
        <f t="shared" si="2"/>
        <v>1.3148999999999994E-2</v>
      </c>
      <c r="I218" s="156">
        <f>--(Risk_Prem2[[#This Row],[Return on Equity]]&lt;0.09)</f>
        <v>0</v>
      </c>
      <c r="K218" s="128"/>
      <c r="L218" s="128"/>
    </row>
    <row r="219" spans="1:12" s="156" customFormat="1" x14ac:dyDescent="0.2">
      <c r="A219" s="155"/>
      <c r="D219" s="160">
        <v>29795</v>
      </c>
      <c r="E219" s="161">
        <v>0.1348</v>
      </c>
      <c r="F219" s="161">
        <v>0.12741050000000001</v>
      </c>
      <c r="G219" s="133">
        <f t="shared" si="2"/>
        <v>7.3894999999999933E-3</v>
      </c>
      <c r="I219" s="156">
        <f>--(Risk_Prem2[[#This Row],[Return on Equity]]&lt;0.09)</f>
        <v>0</v>
      </c>
      <c r="K219" s="128"/>
      <c r="L219" s="128"/>
    </row>
    <row r="220" spans="1:12" s="156" customFormat="1" x14ac:dyDescent="0.2">
      <c r="A220" s="155"/>
      <c r="D220" s="160">
        <v>29798</v>
      </c>
      <c r="E220" s="161">
        <v>0.13500000000000001</v>
      </c>
      <c r="F220" s="161">
        <v>0.12780780000000003</v>
      </c>
      <c r="G220" s="133">
        <f t="shared" si="2"/>
        <v>7.1921999999999819E-3</v>
      </c>
      <c r="I220" s="156">
        <f>--(Risk_Prem2[[#This Row],[Return on Equity]]&lt;0.09)</f>
        <v>0</v>
      </c>
      <c r="K220" s="128"/>
      <c r="L220" s="128"/>
    </row>
    <row r="221" spans="1:12" s="156" customFormat="1" x14ac:dyDescent="0.2">
      <c r="A221" s="155"/>
      <c r="D221" s="160">
        <v>29798</v>
      </c>
      <c r="E221" s="161">
        <v>0.15</v>
      </c>
      <c r="F221" s="161">
        <v>0.12780780000000003</v>
      </c>
      <c r="G221" s="133">
        <f t="shared" si="2"/>
        <v>2.2192199999999968E-2</v>
      </c>
      <c r="I221" s="156">
        <f>--(Risk_Prem2[[#This Row],[Return on Equity]]&lt;0.09)</f>
        <v>0</v>
      </c>
      <c r="K221" s="128"/>
      <c r="L221" s="128"/>
    </row>
    <row r="222" spans="1:12" s="156" customFormat="1" x14ac:dyDescent="0.2">
      <c r="A222" s="155"/>
      <c r="D222" s="160">
        <v>29798</v>
      </c>
      <c r="E222" s="161">
        <v>0.16</v>
      </c>
      <c r="F222" s="161">
        <v>0.12780780000000003</v>
      </c>
      <c r="G222" s="133">
        <f t="shared" si="2"/>
        <v>3.2192199999999976E-2</v>
      </c>
      <c r="I222" s="156">
        <f>--(Risk_Prem2[[#This Row],[Return on Equity]]&lt;0.09)</f>
        <v>0</v>
      </c>
      <c r="K222" s="128"/>
      <c r="L222" s="128"/>
    </row>
    <row r="223" spans="1:12" s="156" customFormat="1" x14ac:dyDescent="0.2">
      <c r="A223" s="155"/>
      <c r="D223" s="160">
        <v>29803</v>
      </c>
      <c r="E223" s="161">
        <v>0.15710000000000002</v>
      </c>
      <c r="F223" s="161">
        <v>0.12826110000000004</v>
      </c>
      <c r="G223" s="133">
        <f t="shared" si="2"/>
        <v>2.8838899999999973E-2</v>
      </c>
      <c r="I223" s="156">
        <f>--(Risk_Prem2[[#This Row],[Return on Equity]]&lt;0.09)</f>
        <v>0</v>
      </c>
      <c r="K223" s="128"/>
      <c r="L223" s="128"/>
    </row>
    <row r="224" spans="1:12" s="156" customFormat="1" x14ac:dyDescent="0.2">
      <c r="A224" s="155"/>
      <c r="D224" s="160">
        <v>29808</v>
      </c>
      <c r="E224" s="161">
        <v>0.14499999999999999</v>
      </c>
      <c r="F224" s="161">
        <v>0.12865340000000006</v>
      </c>
      <c r="G224" s="133">
        <f t="shared" si="2"/>
        <v>1.6346599999999933E-2</v>
      </c>
      <c r="I224" s="156">
        <f>--(Risk_Prem2[[#This Row],[Return on Equity]]&lt;0.09)</f>
        <v>0</v>
      </c>
      <c r="K224" s="128"/>
      <c r="L224" s="128"/>
    </row>
    <row r="225" spans="1:12" s="156" customFormat="1" x14ac:dyDescent="0.2">
      <c r="A225" s="155"/>
      <c r="D225" s="160">
        <v>29809</v>
      </c>
      <c r="E225" s="161">
        <v>0.15</v>
      </c>
      <c r="F225" s="161">
        <v>0.12875850000000008</v>
      </c>
      <c r="G225" s="133">
        <f t="shared" si="2"/>
        <v>2.1241499999999913E-2</v>
      </c>
      <c r="I225" s="156">
        <f>--(Risk_Prem2[[#This Row],[Return on Equity]]&lt;0.09)</f>
        <v>0</v>
      </c>
      <c r="K225" s="128"/>
      <c r="L225" s="128"/>
    </row>
    <row r="226" spans="1:12" s="156" customFormat="1" x14ac:dyDescent="0.2">
      <c r="A226" s="155"/>
      <c r="D226" s="160">
        <v>29818</v>
      </c>
      <c r="E226" s="161">
        <v>0.13500000000000001</v>
      </c>
      <c r="F226" s="161">
        <v>0.12945470000000003</v>
      </c>
      <c r="G226" s="133">
        <f t="shared" si="2"/>
        <v>5.5452999999999752E-3</v>
      </c>
      <c r="I226" s="156">
        <f>--(Risk_Prem2[[#This Row],[Return on Equity]]&lt;0.09)</f>
        <v>0</v>
      </c>
      <c r="K226" s="128"/>
      <c r="L226" s="128"/>
    </row>
    <row r="227" spans="1:12" s="156" customFormat="1" x14ac:dyDescent="0.2">
      <c r="A227" s="155"/>
      <c r="D227" s="160">
        <v>29818</v>
      </c>
      <c r="E227" s="161">
        <v>0.16500000000000001</v>
      </c>
      <c r="F227" s="161">
        <v>0.12945470000000003</v>
      </c>
      <c r="G227" s="133">
        <f t="shared" si="2"/>
        <v>3.5545299999999974E-2</v>
      </c>
      <c r="I227" s="156">
        <f>--(Risk_Prem2[[#This Row],[Return on Equity]]&lt;0.09)</f>
        <v>0</v>
      </c>
      <c r="K227" s="128"/>
      <c r="L227" s="128"/>
    </row>
    <row r="228" spans="1:12" s="156" customFormat="1" x14ac:dyDescent="0.2">
      <c r="A228" s="155"/>
      <c r="D228" s="160">
        <v>29822</v>
      </c>
      <c r="E228" s="161">
        <v>0.15</v>
      </c>
      <c r="F228" s="161">
        <v>0.12966790000000006</v>
      </c>
      <c r="G228" s="133">
        <f t="shared" si="2"/>
        <v>2.0332099999999936E-2</v>
      </c>
      <c r="I228" s="156">
        <f>--(Risk_Prem2[[#This Row],[Return on Equity]]&lt;0.09)</f>
        <v>0</v>
      </c>
      <c r="K228" s="128"/>
      <c r="L228" s="128"/>
    </row>
    <row r="229" spans="1:12" s="156" customFormat="1" x14ac:dyDescent="0.2">
      <c r="A229" s="155"/>
      <c r="D229" s="160">
        <v>29826</v>
      </c>
      <c r="E229" s="161">
        <v>0.15</v>
      </c>
      <c r="F229" s="161">
        <v>0.13007030000000003</v>
      </c>
      <c r="G229" s="133">
        <f t="shared" si="2"/>
        <v>1.9929699999999967E-2</v>
      </c>
      <c r="I229" s="156">
        <f>--(Risk_Prem2[[#This Row],[Return on Equity]]&lt;0.09)</f>
        <v>0</v>
      </c>
      <c r="K229" s="128"/>
      <c r="L229" s="128"/>
    </row>
    <row r="230" spans="1:12" s="156" customFormat="1" x14ac:dyDescent="0.2">
      <c r="A230" s="155"/>
      <c r="D230" s="160">
        <v>29832</v>
      </c>
      <c r="E230" s="161">
        <v>0.14499999999999999</v>
      </c>
      <c r="F230" s="161">
        <v>0.13054370000000007</v>
      </c>
      <c r="G230" s="133">
        <f t="shared" si="2"/>
        <v>1.4456299999999922E-2</v>
      </c>
      <c r="I230" s="156">
        <f>--(Risk_Prem2[[#This Row],[Return on Equity]]&lt;0.09)</f>
        <v>0</v>
      </c>
      <c r="K230" s="128"/>
      <c r="L230" s="128"/>
    </row>
    <row r="231" spans="1:12" s="156" customFormat="1" x14ac:dyDescent="0.2">
      <c r="A231" s="155"/>
      <c r="D231" s="160">
        <v>29839</v>
      </c>
      <c r="E231" s="161">
        <v>0.14499999999999999</v>
      </c>
      <c r="F231" s="161">
        <v>0.13105260000000007</v>
      </c>
      <c r="G231" s="133">
        <f t="shared" si="2"/>
        <v>1.3947399999999915E-2</v>
      </c>
      <c r="I231" s="156">
        <f>--(Risk_Prem2[[#This Row],[Return on Equity]]&lt;0.09)</f>
        <v>0</v>
      </c>
      <c r="K231" s="128"/>
      <c r="L231" s="128"/>
    </row>
    <row r="232" spans="1:12" s="156" customFormat="1" x14ac:dyDescent="0.2">
      <c r="A232" s="155"/>
      <c r="D232" s="160">
        <v>29840</v>
      </c>
      <c r="E232" s="161">
        <v>0.16</v>
      </c>
      <c r="F232" s="161">
        <v>0.13116170000000008</v>
      </c>
      <c r="G232" s="133">
        <f t="shared" si="2"/>
        <v>2.8838299999999928E-2</v>
      </c>
      <c r="I232" s="156">
        <f>--(Risk_Prem2[[#This Row],[Return on Equity]]&lt;0.09)</f>
        <v>0</v>
      </c>
      <c r="K232" s="128"/>
      <c r="L232" s="128"/>
    </row>
    <row r="233" spans="1:12" s="156" customFormat="1" x14ac:dyDescent="0.2">
      <c r="A233" s="155"/>
      <c r="D233" s="160">
        <v>29845</v>
      </c>
      <c r="E233" s="161">
        <v>0.16</v>
      </c>
      <c r="F233" s="161">
        <v>0.13148600000000008</v>
      </c>
      <c r="G233" s="133">
        <f t="shared" si="2"/>
        <v>2.8513999999999928E-2</v>
      </c>
      <c r="I233" s="156">
        <f>--(Risk_Prem2[[#This Row],[Return on Equity]]&lt;0.09)</f>
        <v>0</v>
      </c>
      <c r="K233" s="128"/>
      <c r="L233" s="128"/>
    </row>
    <row r="234" spans="1:12" s="156" customFormat="1" x14ac:dyDescent="0.2">
      <c r="A234" s="155"/>
      <c r="D234" s="160">
        <v>29846</v>
      </c>
      <c r="E234" s="161">
        <v>0.16500000000000001</v>
      </c>
      <c r="F234" s="161">
        <v>0.13157350000000009</v>
      </c>
      <c r="G234" s="133">
        <f t="shared" si="2"/>
        <v>3.3426499999999915E-2</v>
      </c>
      <c r="I234" s="156">
        <f>--(Risk_Prem2[[#This Row],[Return on Equity]]&lt;0.09)</f>
        <v>0</v>
      </c>
      <c r="K234" s="128"/>
      <c r="L234" s="128"/>
    </row>
    <row r="235" spans="1:12" s="156" customFormat="1" x14ac:dyDescent="0.2">
      <c r="A235" s="155"/>
      <c r="D235" s="160">
        <v>29852</v>
      </c>
      <c r="E235" s="161">
        <v>0.1585</v>
      </c>
      <c r="F235" s="161">
        <v>0.13195250000000006</v>
      </c>
      <c r="G235" s="133">
        <f t="shared" si="2"/>
        <v>2.6547499999999946E-2</v>
      </c>
      <c r="I235" s="156">
        <f>--(Risk_Prem2[[#This Row],[Return on Equity]]&lt;0.09)</f>
        <v>0</v>
      </c>
      <c r="K235" s="128"/>
      <c r="L235" s="128"/>
    </row>
    <row r="236" spans="1:12" s="156" customFormat="1" x14ac:dyDescent="0.2">
      <c r="A236" s="155"/>
      <c r="D236" s="160">
        <v>29857</v>
      </c>
      <c r="E236" s="161">
        <v>0.155</v>
      </c>
      <c r="F236" s="161">
        <v>0.13229650000000004</v>
      </c>
      <c r="G236" s="133">
        <f t="shared" si="2"/>
        <v>2.270349999999996E-2</v>
      </c>
      <c r="I236" s="156">
        <f>--(Risk_Prem2[[#This Row],[Return on Equity]]&lt;0.09)</f>
        <v>0</v>
      </c>
      <c r="K236" s="128"/>
      <c r="L236" s="128"/>
    </row>
    <row r="237" spans="1:12" s="156" customFormat="1" x14ac:dyDescent="0.2">
      <c r="A237" s="155"/>
      <c r="D237" s="160">
        <v>29868</v>
      </c>
      <c r="E237" s="161">
        <v>0.1575</v>
      </c>
      <c r="F237" s="161">
        <v>0.13328350000000003</v>
      </c>
      <c r="G237" s="133">
        <f t="shared" si="2"/>
        <v>2.4216499999999974E-2</v>
      </c>
      <c r="I237" s="156">
        <f>--(Risk_Prem2[[#This Row],[Return on Equity]]&lt;0.09)</f>
        <v>0</v>
      </c>
      <c r="K237" s="128"/>
      <c r="L237" s="128"/>
    </row>
    <row r="238" spans="1:12" s="156" customFormat="1" x14ac:dyDescent="0.2">
      <c r="A238" s="155"/>
      <c r="D238" s="160">
        <v>29874</v>
      </c>
      <c r="E238" s="161">
        <v>0.16250000000000001</v>
      </c>
      <c r="F238" s="161">
        <v>0.13366350000000002</v>
      </c>
      <c r="G238" s="133">
        <f t="shared" ref="G238:G301" si="3">E238-F238</f>
        <v>2.8836499999999987E-2</v>
      </c>
      <c r="I238" s="156">
        <f>--(Risk_Prem2[[#This Row],[Return on Equity]]&lt;0.09)</f>
        <v>0</v>
      </c>
      <c r="K238" s="128"/>
      <c r="L238" s="128"/>
    </row>
    <row r="239" spans="1:12" s="156" customFormat="1" x14ac:dyDescent="0.2">
      <c r="A239" s="155"/>
      <c r="D239" s="160">
        <v>29875</v>
      </c>
      <c r="E239" s="161">
        <v>0.155</v>
      </c>
      <c r="F239" s="161">
        <v>0.133793</v>
      </c>
      <c r="G239" s="133">
        <f t="shared" si="3"/>
        <v>2.1207000000000004E-2</v>
      </c>
      <c r="I239" s="156">
        <f>--(Risk_Prem2[[#This Row],[Return on Equity]]&lt;0.09)</f>
        <v>0</v>
      </c>
      <c r="K239" s="128"/>
      <c r="L239" s="128"/>
    </row>
    <row r="240" spans="1:12" s="156" customFormat="1" x14ac:dyDescent="0.2">
      <c r="A240" s="155"/>
      <c r="D240" s="160">
        <v>29875</v>
      </c>
      <c r="E240" s="161">
        <v>0.16500000000000001</v>
      </c>
      <c r="F240" s="161">
        <v>0.133793</v>
      </c>
      <c r="G240" s="133">
        <f t="shared" si="3"/>
        <v>3.1207000000000013E-2</v>
      </c>
      <c r="I240" s="156">
        <f>--(Risk_Prem2[[#This Row],[Return on Equity]]&lt;0.09)</f>
        <v>0</v>
      </c>
      <c r="K240" s="128"/>
      <c r="L240" s="128"/>
    </row>
    <row r="241" spans="1:12" s="156" customFormat="1" x14ac:dyDescent="0.2">
      <c r="A241" s="155"/>
      <c r="D241" s="160">
        <v>29878</v>
      </c>
      <c r="E241" s="161">
        <v>0.14249999999999999</v>
      </c>
      <c r="F241" s="161">
        <v>0.13391999999999998</v>
      </c>
      <c r="G241" s="133">
        <f t="shared" si="3"/>
        <v>8.5800000000000043E-3</v>
      </c>
      <c r="I241" s="156">
        <f>--(Risk_Prem2[[#This Row],[Return on Equity]]&lt;0.09)</f>
        <v>0</v>
      </c>
      <c r="K241" s="128"/>
      <c r="L241" s="128"/>
    </row>
    <row r="242" spans="1:12" s="156" customFormat="1" x14ac:dyDescent="0.2">
      <c r="A242" s="155"/>
      <c r="D242" s="160">
        <v>29879</v>
      </c>
      <c r="E242" s="161">
        <v>0.1525</v>
      </c>
      <c r="F242" s="161">
        <v>0.13405249999999999</v>
      </c>
      <c r="G242" s="133">
        <f t="shared" si="3"/>
        <v>1.8447500000000006E-2</v>
      </c>
      <c r="I242" s="156">
        <f>--(Risk_Prem2[[#This Row],[Return on Equity]]&lt;0.09)</f>
        <v>0</v>
      </c>
      <c r="K242" s="128"/>
      <c r="L242" s="128"/>
    </row>
    <row r="243" spans="1:12" s="156" customFormat="1" x14ac:dyDescent="0.2">
      <c r="A243" s="155"/>
      <c r="D243" s="160">
        <v>29879</v>
      </c>
      <c r="E243" s="161">
        <v>0.17</v>
      </c>
      <c r="F243" s="161">
        <v>0.13405249999999999</v>
      </c>
      <c r="G243" s="133">
        <f t="shared" si="3"/>
        <v>3.5947500000000021E-2</v>
      </c>
      <c r="I243" s="156">
        <f>--(Risk_Prem2[[#This Row],[Return on Equity]]&lt;0.09)</f>
        <v>0</v>
      </c>
      <c r="K243" s="128"/>
      <c r="L243" s="128"/>
    </row>
    <row r="244" spans="1:12" s="156" customFormat="1" x14ac:dyDescent="0.2">
      <c r="A244" s="155"/>
      <c r="D244" s="160">
        <v>29882</v>
      </c>
      <c r="E244" s="161">
        <v>0.16</v>
      </c>
      <c r="F244" s="161">
        <v>0.13452399999999998</v>
      </c>
      <c r="G244" s="133">
        <f t="shared" si="3"/>
        <v>2.5476000000000026E-2</v>
      </c>
      <c r="I244" s="156">
        <f>--(Risk_Prem2[[#This Row],[Return on Equity]]&lt;0.09)</f>
        <v>0</v>
      </c>
      <c r="K244" s="128"/>
      <c r="L244" s="128"/>
    </row>
    <row r="245" spans="1:12" s="156" customFormat="1" x14ac:dyDescent="0.2">
      <c r="A245" s="155"/>
      <c r="D245" s="160">
        <v>29886</v>
      </c>
      <c r="E245" s="161">
        <v>0.1</v>
      </c>
      <c r="F245" s="161">
        <v>0.13483699999999998</v>
      </c>
      <c r="G245" s="133">
        <f t="shared" si="3"/>
        <v>-3.4836999999999979E-2</v>
      </c>
      <c r="I245" s="156">
        <f>--(Risk_Prem2[[#This Row],[Return on Equity]]&lt;0.09)</f>
        <v>0</v>
      </c>
      <c r="K245" s="128"/>
      <c r="L245" s="128"/>
    </row>
    <row r="246" spans="1:12" s="156" customFormat="1" x14ac:dyDescent="0.2">
      <c r="A246" s="155"/>
      <c r="D246" s="160">
        <v>29888</v>
      </c>
      <c r="E246" s="161">
        <v>0.14749999999999999</v>
      </c>
      <c r="F246" s="161">
        <v>0.1351135</v>
      </c>
      <c r="G246" s="133">
        <f t="shared" si="3"/>
        <v>1.2386499999999995E-2</v>
      </c>
      <c r="I246" s="156">
        <f>--(Risk_Prem2[[#This Row],[Return on Equity]]&lt;0.09)</f>
        <v>0</v>
      </c>
      <c r="K246" s="128"/>
      <c r="L246" s="128"/>
    </row>
    <row r="247" spans="1:12" s="156" customFormat="1" x14ac:dyDescent="0.2">
      <c r="A247" s="155"/>
      <c r="D247" s="160">
        <v>29888</v>
      </c>
      <c r="E247" s="161">
        <v>0.16500000000000001</v>
      </c>
      <c r="F247" s="161">
        <v>0.1351135</v>
      </c>
      <c r="G247" s="133">
        <f t="shared" si="3"/>
        <v>2.988650000000001E-2</v>
      </c>
      <c r="I247" s="156">
        <f>--(Risk_Prem2[[#This Row],[Return on Equity]]&lt;0.09)</f>
        <v>0</v>
      </c>
      <c r="K247" s="128"/>
      <c r="L247" s="128"/>
    </row>
    <row r="248" spans="1:12" s="156" customFormat="1" x14ac:dyDescent="0.2">
      <c r="A248" s="155"/>
      <c r="D248" s="160">
        <v>29893</v>
      </c>
      <c r="E248" s="161">
        <v>0.1517</v>
      </c>
      <c r="F248" s="161">
        <v>0.13533600000000004</v>
      </c>
      <c r="G248" s="133">
        <f t="shared" si="3"/>
        <v>1.6363999999999962E-2</v>
      </c>
      <c r="I248" s="156">
        <f>--(Risk_Prem2[[#This Row],[Return on Equity]]&lt;0.09)</f>
        <v>0</v>
      </c>
      <c r="K248" s="128"/>
      <c r="L248" s="128"/>
    </row>
    <row r="249" spans="1:12" s="156" customFormat="1" x14ac:dyDescent="0.2">
      <c r="A249" s="155"/>
      <c r="D249" s="160">
        <v>29895</v>
      </c>
      <c r="E249" s="161">
        <v>0.16600000000000001</v>
      </c>
      <c r="F249" s="161">
        <v>0.135518</v>
      </c>
      <c r="G249" s="133">
        <f t="shared" si="3"/>
        <v>3.0482000000000009E-2</v>
      </c>
      <c r="I249" s="156">
        <f>--(Risk_Prem2[[#This Row],[Return on Equity]]&lt;0.09)</f>
        <v>0</v>
      </c>
      <c r="K249" s="128"/>
      <c r="L249" s="128"/>
    </row>
    <row r="250" spans="1:12" s="156" customFormat="1" x14ac:dyDescent="0.2">
      <c r="A250" s="155"/>
      <c r="D250" s="160">
        <v>29896</v>
      </c>
      <c r="E250" s="161">
        <v>0.1517</v>
      </c>
      <c r="F250" s="161">
        <v>0.135605</v>
      </c>
      <c r="G250" s="133">
        <f t="shared" si="3"/>
        <v>1.6094999999999998E-2</v>
      </c>
      <c r="I250" s="156">
        <f>--(Risk_Prem2[[#This Row],[Return on Equity]]&lt;0.09)</f>
        <v>0</v>
      </c>
      <c r="K250" s="128"/>
      <c r="L250" s="128"/>
    </row>
    <row r="251" spans="1:12" s="156" customFormat="1" x14ac:dyDescent="0.2">
      <c r="A251" s="155"/>
      <c r="D251" s="160">
        <v>29914</v>
      </c>
      <c r="E251" s="161">
        <v>0.155</v>
      </c>
      <c r="F251" s="161">
        <v>0.13606850000000001</v>
      </c>
      <c r="G251" s="133">
        <f t="shared" si="3"/>
        <v>1.893149999999999E-2</v>
      </c>
      <c r="I251" s="156">
        <f>--(Risk_Prem2[[#This Row],[Return on Equity]]&lt;0.09)</f>
        <v>0</v>
      </c>
      <c r="K251" s="128"/>
      <c r="L251" s="128"/>
    </row>
    <row r="252" spans="1:12" s="156" customFormat="1" x14ac:dyDescent="0.2">
      <c r="A252" s="155"/>
      <c r="D252" s="160">
        <v>29915</v>
      </c>
      <c r="E252" s="161">
        <v>0.1525</v>
      </c>
      <c r="F252" s="161">
        <v>0.13607499999999997</v>
      </c>
      <c r="G252" s="133">
        <f t="shared" si="3"/>
        <v>1.6425000000000023E-2</v>
      </c>
      <c r="I252" s="156">
        <f>--(Risk_Prem2[[#This Row],[Return on Equity]]&lt;0.09)</f>
        <v>0</v>
      </c>
      <c r="K252" s="128"/>
      <c r="L252" s="128"/>
    </row>
    <row r="253" spans="1:12" s="156" customFormat="1" x14ac:dyDescent="0.2">
      <c r="A253" s="155"/>
      <c r="D253" s="160">
        <v>29915</v>
      </c>
      <c r="E253" s="161">
        <v>0.1535</v>
      </c>
      <c r="F253" s="161">
        <v>0.13607499999999997</v>
      </c>
      <c r="G253" s="133">
        <f t="shared" si="3"/>
        <v>1.7425000000000024E-2</v>
      </c>
      <c r="I253" s="156">
        <f>--(Risk_Prem2[[#This Row],[Return on Equity]]&lt;0.09)</f>
        <v>0</v>
      </c>
      <c r="K253" s="128"/>
      <c r="L253" s="128"/>
    </row>
    <row r="254" spans="1:12" s="156" customFormat="1" x14ac:dyDescent="0.2">
      <c r="A254" s="155"/>
      <c r="D254" s="160">
        <v>29915</v>
      </c>
      <c r="E254" s="161">
        <v>0.161</v>
      </c>
      <c r="F254" s="161">
        <v>0.13607499999999997</v>
      </c>
      <c r="G254" s="133">
        <f t="shared" si="3"/>
        <v>2.492500000000003E-2</v>
      </c>
      <c r="I254" s="156">
        <f>--(Risk_Prem2[[#This Row],[Return on Equity]]&lt;0.09)</f>
        <v>0</v>
      </c>
      <c r="K254" s="128"/>
      <c r="L254" s="128"/>
    </row>
    <row r="255" spans="1:12" s="156" customFormat="1" x14ac:dyDescent="0.2">
      <c r="A255" s="155"/>
      <c r="D255" s="160">
        <v>29915</v>
      </c>
      <c r="E255" s="161">
        <v>0.161</v>
      </c>
      <c r="F255" s="161">
        <v>0.13607499999999997</v>
      </c>
      <c r="G255" s="133">
        <f t="shared" si="3"/>
        <v>2.492500000000003E-2</v>
      </c>
      <c r="I255" s="156">
        <f>--(Risk_Prem2[[#This Row],[Return on Equity]]&lt;0.09)</f>
        <v>0</v>
      </c>
      <c r="K255" s="128"/>
      <c r="L255" s="128"/>
    </row>
    <row r="256" spans="1:12" s="156" customFormat="1" x14ac:dyDescent="0.2">
      <c r="A256" s="155"/>
      <c r="D256" s="160">
        <v>29921</v>
      </c>
      <c r="E256" s="161">
        <v>0.157</v>
      </c>
      <c r="F256" s="161">
        <v>0.13608849999999995</v>
      </c>
      <c r="G256" s="133">
        <f t="shared" si="3"/>
        <v>2.0911500000000055E-2</v>
      </c>
      <c r="I256" s="156">
        <f>--(Risk_Prem2[[#This Row],[Return on Equity]]&lt;0.09)</f>
        <v>0</v>
      </c>
      <c r="K256" s="128"/>
      <c r="L256" s="128"/>
    </row>
    <row r="257" spans="1:12" s="156" customFormat="1" x14ac:dyDescent="0.2">
      <c r="A257" s="155"/>
      <c r="D257" s="160">
        <v>29921</v>
      </c>
      <c r="E257" s="161">
        <v>0.16</v>
      </c>
      <c r="F257" s="161">
        <v>0.13608849999999995</v>
      </c>
      <c r="G257" s="133">
        <f t="shared" si="3"/>
        <v>2.3911500000000058E-2</v>
      </c>
      <c r="I257" s="156">
        <f>--(Risk_Prem2[[#This Row],[Return on Equity]]&lt;0.09)</f>
        <v>0</v>
      </c>
      <c r="K257" s="128"/>
      <c r="L257" s="128"/>
    </row>
    <row r="258" spans="1:12" s="156" customFormat="1" x14ac:dyDescent="0.2">
      <c r="A258" s="155"/>
      <c r="D258" s="160">
        <v>29921</v>
      </c>
      <c r="E258" s="161">
        <v>0.16489999999999999</v>
      </c>
      <c r="F258" s="161">
        <v>0.13608849999999995</v>
      </c>
      <c r="G258" s="133">
        <f t="shared" si="3"/>
        <v>2.8811500000000045E-2</v>
      </c>
      <c r="I258" s="156">
        <f>--(Risk_Prem2[[#This Row],[Return on Equity]]&lt;0.09)</f>
        <v>0</v>
      </c>
      <c r="K258" s="128"/>
      <c r="L258" s="128"/>
    </row>
    <row r="259" spans="1:12" s="156" customFormat="1" x14ac:dyDescent="0.2">
      <c r="A259" s="155"/>
      <c r="D259" s="160">
        <v>29921</v>
      </c>
      <c r="E259" s="161">
        <v>0.16500000000000001</v>
      </c>
      <c r="F259" s="161">
        <v>0.13608849999999995</v>
      </c>
      <c r="G259" s="133">
        <f t="shared" si="3"/>
        <v>2.8911500000000062E-2</v>
      </c>
      <c r="I259" s="156">
        <f>--(Risk_Prem2[[#This Row],[Return on Equity]]&lt;0.09)</f>
        <v>0</v>
      </c>
      <c r="K259" s="128"/>
      <c r="L259" s="128"/>
    </row>
    <row r="260" spans="1:12" s="156" customFormat="1" x14ac:dyDescent="0.2">
      <c r="A260" s="155"/>
      <c r="D260" s="160">
        <v>29924</v>
      </c>
      <c r="E260" s="161">
        <v>0.16</v>
      </c>
      <c r="F260" s="161">
        <v>0.13609449999999992</v>
      </c>
      <c r="G260" s="133">
        <f t="shared" si="3"/>
        <v>2.3905500000000079E-2</v>
      </c>
      <c r="I260" s="156">
        <f>--(Risk_Prem2[[#This Row],[Return on Equity]]&lt;0.09)</f>
        <v>0</v>
      </c>
      <c r="K260" s="128"/>
      <c r="L260" s="128"/>
    </row>
    <row r="261" spans="1:12" s="156" customFormat="1" x14ac:dyDescent="0.2">
      <c r="A261" s="155"/>
      <c r="D261" s="160">
        <v>29931</v>
      </c>
      <c r="E261" s="161">
        <v>0.16250000000000001</v>
      </c>
      <c r="F261" s="161">
        <v>0.13625799999999996</v>
      </c>
      <c r="G261" s="133">
        <f t="shared" si="3"/>
        <v>2.6242000000000043E-2</v>
      </c>
      <c r="I261" s="156">
        <f>--(Risk_Prem2[[#This Row],[Return on Equity]]&lt;0.09)</f>
        <v>0</v>
      </c>
      <c r="K261" s="128"/>
      <c r="L261" s="128"/>
    </row>
    <row r="262" spans="1:12" s="156" customFormat="1" x14ac:dyDescent="0.2">
      <c r="A262" s="155"/>
      <c r="D262" s="160">
        <v>29934</v>
      </c>
      <c r="E262" s="161">
        <v>0.14000000000000001</v>
      </c>
      <c r="F262" s="161">
        <v>0.13628049999999994</v>
      </c>
      <c r="G262" s="133">
        <f t="shared" si="3"/>
        <v>3.71950000000007E-3</v>
      </c>
      <c r="I262" s="156">
        <f>--(Risk_Prem2[[#This Row],[Return on Equity]]&lt;0.09)</f>
        <v>0</v>
      </c>
      <c r="K262" s="128"/>
      <c r="L262" s="128"/>
    </row>
    <row r="263" spans="1:12" s="156" customFormat="1" x14ac:dyDescent="0.2">
      <c r="A263" s="155"/>
      <c r="D263" s="160">
        <v>29935</v>
      </c>
      <c r="E263" s="161">
        <v>0.15810000000000002</v>
      </c>
      <c r="F263" s="161">
        <v>0.13629649999999993</v>
      </c>
      <c r="G263" s="133">
        <f t="shared" si="3"/>
        <v>2.1803500000000087E-2</v>
      </c>
      <c r="I263" s="156">
        <f>--(Risk_Prem2[[#This Row],[Return on Equity]]&lt;0.09)</f>
        <v>0</v>
      </c>
      <c r="K263" s="128"/>
      <c r="L263" s="128"/>
    </row>
    <row r="264" spans="1:12" s="156" customFormat="1" x14ac:dyDescent="0.2">
      <c r="A264" s="155"/>
      <c r="D264" s="160">
        <v>29935</v>
      </c>
      <c r="E264" s="161">
        <v>0.16</v>
      </c>
      <c r="F264" s="161">
        <v>0.13629649999999993</v>
      </c>
      <c r="G264" s="133">
        <f t="shared" si="3"/>
        <v>2.3703500000000072E-2</v>
      </c>
      <c r="I264" s="156">
        <f>--(Risk_Prem2[[#This Row],[Return on Equity]]&lt;0.09)</f>
        <v>0</v>
      </c>
      <c r="K264" s="128"/>
      <c r="L264" s="128"/>
    </row>
    <row r="265" spans="1:12" s="156" customFormat="1" x14ac:dyDescent="0.2">
      <c r="A265" s="155"/>
      <c r="D265" s="160">
        <v>29936</v>
      </c>
      <c r="E265" s="161">
        <v>0.1525</v>
      </c>
      <c r="F265" s="161">
        <v>0.13631399999999994</v>
      </c>
      <c r="G265" s="133">
        <f t="shared" si="3"/>
        <v>1.6186000000000061E-2</v>
      </c>
      <c r="I265" s="156">
        <f>--(Risk_Prem2[[#This Row],[Return on Equity]]&lt;0.09)</f>
        <v>0</v>
      </c>
      <c r="K265" s="128"/>
      <c r="L265" s="128"/>
    </row>
    <row r="266" spans="1:12" s="156" customFormat="1" x14ac:dyDescent="0.2">
      <c r="A266" s="155"/>
      <c r="D266" s="160">
        <v>29937</v>
      </c>
      <c r="E266" s="161">
        <v>0.16500000000000001</v>
      </c>
      <c r="F266" s="161">
        <v>0.13632849999999994</v>
      </c>
      <c r="G266" s="133">
        <f t="shared" si="3"/>
        <v>2.8671500000000072E-2</v>
      </c>
      <c r="I266" s="156">
        <f>--(Risk_Prem2[[#This Row],[Return on Equity]]&lt;0.09)</f>
        <v>0</v>
      </c>
      <c r="K266" s="128"/>
      <c r="L266" s="128"/>
    </row>
    <row r="267" spans="1:12" s="156" customFormat="1" x14ac:dyDescent="0.2">
      <c r="A267" s="155"/>
      <c r="D267" s="160">
        <v>29938</v>
      </c>
      <c r="E267" s="161">
        <v>0.1545</v>
      </c>
      <c r="F267" s="161">
        <v>0.13634349999999998</v>
      </c>
      <c r="G267" s="133">
        <f t="shared" si="3"/>
        <v>1.815650000000002E-2</v>
      </c>
      <c r="I267" s="156">
        <f>--(Risk_Prem2[[#This Row],[Return on Equity]]&lt;0.09)</f>
        <v>0</v>
      </c>
      <c r="K267" s="128"/>
      <c r="L267" s="128"/>
    </row>
    <row r="268" spans="1:12" s="156" customFormat="1" x14ac:dyDescent="0.2">
      <c r="A268" s="155"/>
      <c r="D268" s="160">
        <v>29950</v>
      </c>
      <c r="E268" s="161">
        <v>0.14249999999999999</v>
      </c>
      <c r="F268" s="161">
        <v>0.13668599999999997</v>
      </c>
      <c r="G268" s="133">
        <f t="shared" si="3"/>
        <v>5.8140000000000136E-3</v>
      </c>
      <c r="I268" s="156">
        <f>--(Risk_Prem2[[#This Row],[Return on Equity]]&lt;0.09)</f>
        <v>0</v>
      </c>
      <c r="K268" s="128"/>
      <c r="L268" s="128"/>
    </row>
    <row r="269" spans="1:12" s="156" customFormat="1" x14ac:dyDescent="0.2">
      <c r="A269" s="155"/>
      <c r="D269" s="160">
        <v>29950</v>
      </c>
      <c r="E269" s="161">
        <v>0.16</v>
      </c>
      <c r="F269" s="161">
        <v>0.13668599999999997</v>
      </c>
      <c r="G269" s="133">
        <f t="shared" si="3"/>
        <v>2.3314000000000029E-2</v>
      </c>
      <c r="I269" s="156">
        <f>--(Risk_Prem2[[#This Row],[Return on Equity]]&lt;0.09)</f>
        <v>0</v>
      </c>
      <c r="K269" s="128"/>
      <c r="L269" s="128"/>
    </row>
    <row r="270" spans="1:12" s="156" customFormat="1" x14ac:dyDescent="0.2">
      <c r="A270" s="155"/>
      <c r="D270" s="160">
        <v>29950</v>
      </c>
      <c r="E270" s="161">
        <v>0.16250000000000001</v>
      </c>
      <c r="F270" s="161">
        <v>0.13668599999999997</v>
      </c>
      <c r="G270" s="133">
        <f t="shared" si="3"/>
        <v>2.5814000000000031E-2</v>
      </c>
      <c r="I270" s="156">
        <f>--(Risk_Prem2[[#This Row],[Return on Equity]]&lt;0.09)</f>
        <v>0</v>
      </c>
      <c r="K270" s="128"/>
      <c r="L270" s="128"/>
    </row>
    <row r="271" spans="1:12" s="156" customFormat="1" x14ac:dyDescent="0.2">
      <c r="A271" s="155"/>
      <c r="D271" s="160">
        <v>29951</v>
      </c>
      <c r="E271" s="161">
        <v>0.16149999999999998</v>
      </c>
      <c r="F271" s="161">
        <v>0.13674749999999997</v>
      </c>
      <c r="G271" s="133">
        <f t="shared" si="3"/>
        <v>2.4752500000000011E-2</v>
      </c>
      <c r="I271" s="156">
        <f>--(Risk_Prem2[[#This Row],[Return on Equity]]&lt;0.09)</f>
        <v>0</v>
      </c>
      <c r="K271" s="128"/>
      <c r="L271" s="128"/>
    </row>
    <row r="272" spans="1:12" s="156" customFormat="1" x14ac:dyDescent="0.2">
      <c r="A272" s="155"/>
      <c r="D272" s="160">
        <v>29955</v>
      </c>
      <c r="E272" s="161">
        <v>0.155</v>
      </c>
      <c r="F272" s="161">
        <v>0.13674749999999997</v>
      </c>
      <c r="G272" s="133">
        <f t="shared" si="3"/>
        <v>1.8252500000000033E-2</v>
      </c>
      <c r="I272" s="156">
        <f>--(Risk_Prem2[[#This Row],[Return on Equity]]&lt;0.09)</f>
        <v>0</v>
      </c>
      <c r="K272" s="128"/>
      <c r="L272" s="128"/>
    </row>
    <row r="273" spans="1:12" s="156" customFormat="1" x14ac:dyDescent="0.2">
      <c r="A273" s="155"/>
      <c r="D273" s="160">
        <v>29962</v>
      </c>
      <c r="E273" s="161">
        <v>0.14499999999999999</v>
      </c>
      <c r="F273" s="161">
        <v>0.13724049999999996</v>
      </c>
      <c r="G273" s="133">
        <f t="shared" si="3"/>
        <v>7.7595000000000303E-3</v>
      </c>
      <c r="I273" s="156">
        <f>--(Risk_Prem2[[#This Row],[Return on Equity]]&lt;0.09)</f>
        <v>0</v>
      </c>
      <c r="K273" s="128"/>
      <c r="L273" s="128"/>
    </row>
    <row r="274" spans="1:12" s="156" customFormat="1" x14ac:dyDescent="0.2">
      <c r="A274" s="155"/>
      <c r="D274" s="160">
        <v>29962</v>
      </c>
      <c r="E274" s="161">
        <v>0.17</v>
      </c>
      <c r="F274" s="161">
        <v>0.13724049999999996</v>
      </c>
      <c r="G274" s="133">
        <f t="shared" si="3"/>
        <v>3.2759500000000052E-2</v>
      </c>
      <c r="I274" s="156">
        <f>--(Risk_Prem2[[#This Row],[Return on Equity]]&lt;0.09)</f>
        <v>0</v>
      </c>
      <c r="K274" s="128"/>
      <c r="L274" s="128"/>
    </row>
    <row r="275" spans="1:12" s="156" customFormat="1" x14ac:dyDescent="0.2">
      <c r="A275" s="155"/>
      <c r="D275" s="160">
        <v>29964</v>
      </c>
      <c r="E275" s="161">
        <v>0.14749999999999999</v>
      </c>
      <c r="F275" s="161">
        <v>0.13739999999999997</v>
      </c>
      <c r="G275" s="133">
        <f t="shared" si="3"/>
        <v>1.0100000000000026E-2</v>
      </c>
      <c r="I275" s="156">
        <f>--(Risk_Prem2[[#This Row],[Return on Equity]]&lt;0.09)</f>
        <v>0</v>
      </c>
      <c r="K275" s="128"/>
      <c r="L275" s="128"/>
    </row>
    <row r="276" spans="1:12" s="156" customFormat="1" x14ac:dyDescent="0.2">
      <c r="A276" s="155"/>
      <c r="D276" s="160">
        <v>29965</v>
      </c>
      <c r="E276" s="161">
        <v>0.1575</v>
      </c>
      <c r="F276" s="161">
        <v>0.13747699999999999</v>
      </c>
      <c r="G276" s="133">
        <f t="shared" si="3"/>
        <v>2.0023000000000013E-2</v>
      </c>
      <c r="I276" s="156">
        <f>--(Risk_Prem2[[#This Row],[Return on Equity]]&lt;0.09)</f>
        <v>0</v>
      </c>
      <c r="K276" s="128"/>
      <c r="L276" s="128"/>
    </row>
    <row r="277" spans="1:12" s="156" customFormat="1" x14ac:dyDescent="0.2">
      <c r="A277" s="155"/>
      <c r="D277" s="160">
        <v>29966</v>
      </c>
      <c r="E277" s="161">
        <v>0.15</v>
      </c>
      <c r="F277" s="161">
        <v>0.13755149999999999</v>
      </c>
      <c r="G277" s="133">
        <f t="shared" si="3"/>
        <v>1.2448500000000001E-2</v>
      </c>
      <c r="I277" s="156">
        <f>--(Risk_Prem2[[#This Row],[Return on Equity]]&lt;0.09)</f>
        <v>0</v>
      </c>
      <c r="K277" s="128"/>
      <c r="L277" s="128"/>
    </row>
    <row r="278" spans="1:12" s="156" customFormat="1" x14ac:dyDescent="0.2">
      <c r="A278" s="155"/>
      <c r="D278" s="160">
        <v>29966</v>
      </c>
      <c r="E278" s="161">
        <v>0.16500000000000001</v>
      </c>
      <c r="F278" s="161">
        <v>0.13755149999999999</v>
      </c>
      <c r="G278" s="133">
        <f t="shared" si="3"/>
        <v>2.7448500000000015E-2</v>
      </c>
      <c r="I278" s="156">
        <f>--(Risk_Prem2[[#This Row],[Return on Equity]]&lt;0.09)</f>
        <v>0</v>
      </c>
      <c r="K278" s="128"/>
      <c r="L278" s="128"/>
    </row>
    <row r="279" spans="1:12" s="156" customFormat="1" x14ac:dyDescent="0.2">
      <c r="A279" s="155"/>
      <c r="D279" s="160">
        <v>29973</v>
      </c>
      <c r="E279" s="161">
        <v>0.16250000000000001</v>
      </c>
      <c r="F279" s="161">
        <v>0.13793</v>
      </c>
      <c r="G279" s="133">
        <f t="shared" si="3"/>
        <v>2.4570000000000008E-2</v>
      </c>
      <c r="I279" s="156">
        <f>--(Risk_Prem2[[#This Row],[Return on Equity]]&lt;0.09)</f>
        <v>0</v>
      </c>
      <c r="K279" s="128"/>
      <c r="L279" s="128"/>
    </row>
    <row r="280" spans="1:12" s="156" customFormat="1" x14ac:dyDescent="0.2">
      <c r="A280" s="155"/>
      <c r="D280" s="160">
        <v>29978</v>
      </c>
      <c r="E280" s="161">
        <v>0.16839999999999999</v>
      </c>
      <c r="F280" s="161">
        <v>0.13809750000000001</v>
      </c>
      <c r="G280" s="133">
        <f t="shared" si="3"/>
        <v>3.0302499999999982E-2</v>
      </c>
      <c r="I280" s="156">
        <f>--(Risk_Prem2[[#This Row],[Return on Equity]]&lt;0.09)</f>
        <v>0</v>
      </c>
      <c r="K280" s="128"/>
      <c r="L280" s="128"/>
    </row>
    <row r="281" spans="1:12" s="156" customFormat="1" x14ac:dyDescent="0.2">
      <c r="A281" s="155"/>
      <c r="D281" s="160">
        <v>29979</v>
      </c>
      <c r="E281" s="161">
        <v>0.13</v>
      </c>
      <c r="F281" s="161">
        <v>0.13813900000000001</v>
      </c>
      <c r="G281" s="133">
        <f t="shared" si="3"/>
        <v>-8.1390000000000073E-3</v>
      </c>
      <c r="I281" s="156">
        <f>--(Risk_Prem2[[#This Row],[Return on Equity]]&lt;0.09)</f>
        <v>0</v>
      </c>
      <c r="K281" s="128"/>
      <c r="L281" s="128"/>
    </row>
    <row r="282" spans="1:12" s="156" customFormat="1" x14ac:dyDescent="0.2">
      <c r="A282" s="155"/>
      <c r="D282" s="160">
        <v>29980</v>
      </c>
      <c r="E282" s="161">
        <v>0.155</v>
      </c>
      <c r="F282" s="161">
        <v>0.13818350000000001</v>
      </c>
      <c r="G282" s="133">
        <f t="shared" si="3"/>
        <v>1.6816499999999984E-2</v>
      </c>
      <c r="I282" s="156">
        <f>--(Risk_Prem2[[#This Row],[Return on Equity]]&lt;0.09)</f>
        <v>0</v>
      </c>
      <c r="K282" s="128"/>
      <c r="L282" s="128"/>
    </row>
    <row r="283" spans="1:12" s="156" customFormat="1" x14ac:dyDescent="0.2">
      <c r="A283" s="155"/>
      <c r="D283" s="160">
        <v>29983</v>
      </c>
      <c r="E283" s="161">
        <v>0.1585</v>
      </c>
      <c r="F283" s="161">
        <v>0.13824250000000002</v>
      </c>
      <c r="G283" s="133">
        <f t="shared" si="3"/>
        <v>2.0257499999999984E-2</v>
      </c>
      <c r="I283" s="156">
        <f>--(Risk_Prem2[[#This Row],[Return on Equity]]&lt;0.09)</f>
        <v>0</v>
      </c>
      <c r="K283" s="128"/>
      <c r="L283" s="128"/>
    </row>
    <row r="284" spans="1:12" s="156" customFormat="1" x14ac:dyDescent="0.2">
      <c r="A284" s="155"/>
      <c r="D284" s="160">
        <v>29985</v>
      </c>
      <c r="E284" s="161">
        <v>0.16440000000000002</v>
      </c>
      <c r="F284" s="161">
        <v>0.13835800000000004</v>
      </c>
      <c r="G284" s="133">
        <f t="shared" si="3"/>
        <v>2.6041999999999982E-2</v>
      </c>
      <c r="I284" s="156">
        <f>--(Risk_Prem2[[#This Row],[Return on Equity]]&lt;0.09)</f>
        <v>0</v>
      </c>
      <c r="K284" s="128"/>
      <c r="L284" s="128"/>
    </row>
    <row r="285" spans="1:12" s="156" customFormat="1" x14ac:dyDescent="0.2">
      <c r="A285" s="155"/>
      <c r="D285" s="160">
        <v>29990</v>
      </c>
      <c r="E285" s="161">
        <v>0.155</v>
      </c>
      <c r="F285" s="161">
        <v>0.13855450000000002</v>
      </c>
      <c r="G285" s="133">
        <f t="shared" si="3"/>
        <v>1.6445499999999974E-2</v>
      </c>
      <c r="I285" s="156">
        <f>--(Risk_Prem2[[#This Row],[Return on Equity]]&lt;0.09)</f>
        <v>0</v>
      </c>
      <c r="K285" s="128"/>
      <c r="L285" s="128"/>
    </row>
    <row r="286" spans="1:12" s="156" customFormat="1" x14ac:dyDescent="0.2">
      <c r="A286" s="155"/>
      <c r="D286" s="160">
        <v>29993</v>
      </c>
      <c r="E286" s="161">
        <v>0.16</v>
      </c>
      <c r="F286" s="161">
        <v>0.13876700000000003</v>
      </c>
      <c r="G286" s="133">
        <f t="shared" si="3"/>
        <v>2.1232999999999974E-2</v>
      </c>
      <c r="I286" s="156">
        <f>--(Risk_Prem2[[#This Row],[Return on Equity]]&lt;0.09)</f>
        <v>0</v>
      </c>
      <c r="K286" s="128"/>
      <c r="L286" s="128"/>
    </row>
    <row r="287" spans="1:12" s="156" customFormat="1" x14ac:dyDescent="0.2">
      <c r="A287" s="155"/>
      <c r="D287" s="160">
        <v>29993</v>
      </c>
      <c r="E287" s="161">
        <v>0.16200000000000001</v>
      </c>
      <c r="F287" s="161">
        <v>0.13876700000000003</v>
      </c>
      <c r="G287" s="133">
        <f t="shared" si="3"/>
        <v>2.3232999999999976E-2</v>
      </c>
      <c r="I287" s="156">
        <f>--(Risk_Prem2[[#This Row],[Return on Equity]]&lt;0.09)</f>
        <v>0</v>
      </c>
      <c r="K287" s="128"/>
      <c r="L287" s="128"/>
    </row>
    <row r="288" spans="1:12" s="156" customFormat="1" x14ac:dyDescent="0.2">
      <c r="A288" s="155"/>
      <c r="D288" s="160">
        <v>29999</v>
      </c>
      <c r="E288" s="161">
        <v>0.15</v>
      </c>
      <c r="F288" s="161">
        <v>0.13886200000000001</v>
      </c>
      <c r="G288" s="133">
        <f t="shared" si="3"/>
        <v>1.1137999999999981E-2</v>
      </c>
      <c r="I288" s="156">
        <f>--(Risk_Prem2[[#This Row],[Return on Equity]]&lt;0.09)</f>
        <v>0</v>
      </c>
      <c r="K288" s="128"/>
      <c r="L288" s="128"/>
    </row>
    <row r="289" spans="1:12" s="156" customFormat="1" x14ac:dyDescent="0.2">
      <c r="A289" s="155"/>
      <c r="D289" s="160">
        <v>30001</v>
      </c>
      <c r="E289" s="161">
        <v>0.1517</v>
      </c>
      <c r="F289" s="161">
        <v>0.13892150000000003</v>
      </c>
      <c r="G289" s="133">
        <f t="shared" si="3"/>
        <v>1.277849999999997E-2</v>
      </c>
      <c r="I289" s="156">
        <f>--(Risk_Prem2[[#This Row],[Return on Equity]]&lt;0.09)</f>
        <v>0</v>
      </c>
      <c r="K289" s="128"/>
      <c r="L289" s="128"/>
    </row>
    <row r="290" spans="1:12" s="156" customFormat="1" x14ac:dyDescent="0.2">
      <c r="A290" s="155"/>
      <c r="D290" s="160">
        <v>30008</v>
      </c>
      <c r="E290" s="161">
        <v>0.1525</v>
      </c>
      <c r="F290" s="161">
        <v>0.13888400000000004</v>
      </c>
      <c r="G290" s="133">
        <f t="shared" si="3"/>
        <v>1.3615999999999961E-2</v>
      </c>
      <c r="I290" s="156">
        <f>--(Risk_Prem2[[#This Row],[Return on Equity]]&lt;0.09)</f>
        <v>0</v>
      </c>
      <c r="K290" s="128"/>
      <c r="L290" s="128"/>
    </row>
    <row r="291" spans="1:12" s="156" customFormat="1" x14ac:dyDescent="0.2">
      <c r="A291" s="155"/>
      <c r="D291" s="160">
        <v>30011</v>
      </c>
      <c r="E291" s="161">
        <v>0.15029999999999999</v>
      </c>
      <c r="F291" s="161">
        <v>0.13887350000000004</v>
      </c>
      <c r="G291" s="133">
        <f t="shared" si="3"/>
        <v>1.1426499999999951E-2</v>
      </c>
      <c r="I291" s="156">
        <f>--(Risk_Prem2[[#This Row],[Return on Equity]]&lt;0.09)</f>
        <v>0</v>
      </c>
      <c r="K291" s="128"/>
      <c r="L291" s="128"/>
    </row>
    <row r="292" spans="1:12" s="156" customFormat="1" x14ac:dyDescent="0.2">
      <c r="A292" s="155"/>
      <c r="D292" s="160">
        <v>30011</v>
      </c>
      <c r="E292" s="161">
        <v>0.16</v>
      </c>
      <c r="F292" s="161">
        <v>0.13887350000000004</v>
      </c>
      <c r="G292" s="133">
        <f t="shared" si="3"/>
        <v>2.1126499999999965E-2</v>
      </c>
      <c r="I292" s="156">
        <f>--(Risk_Prem2[[#This Row],[Return on Equity]]&lt;0.09)</f>
        <v>0</v>
      </c>
      <c r="K292" s="128"/>
      <c r="L292" s="128"/>
    </row>
    <row r="293" spans="1:12" s="156" customFormat="1" x14ac:dyDescent="0.2">
      <c r="A293" s="155"/>
      <c r="D293" s="160">
        <v>30013</v>
      </c>
      <c r="E293" s="161">
        <v>0.15</v>
      </c>
      <c r="F293" s="161">
        <v>0.13883250000000005</v>
      </c>
      <c r="G293" s="133">
        <f t="shared" si="3"/>
        <v>1.1167499999999941E-2</v>
      </c>
      <c r="I293" s="156">
        <f>--(Risk_Prem2[[#This Row],[Return on Equity]]&lt;0.09)</f>
        <v>0</v>
      </c>
      <c r="K293" s="128"/>
      <c r="L293" s="128"/>
    </row>
    <row r="294" spans="1:12" s="156" customFormat="1" x14ac:dyDescent="0.2">
      <c r="A294" s="155"/>
      <c r="D294" s="160">
        <v>30018</v>
      </c>
      <c r="E294" s="161">
        <v>0.17100000000000001</v>
      </c>
      <c r="F294" s="161">
        <v>0.13876400000000003</v>
      </c>
      <c r="G294" s="133">
        <f t="shared" si="3"/>
        <v>3.2235999999999987E-2</v>
      </c>
      <c r="I294" s="156">
        <f>--(Risk_Prem2[[#This Row],[Return on Equity]]&lt;0.09)</f>
        <v>0</v>
      </c>
      <c r="K294" s="128"/>
      <c r="L294" s="128"/>
    </row>
    <row r="295" spans="1:12" s="156" customFormat="1" x14ac:dyDescent="0.2">
      <c r="A295" s="155"/>
      <c r="D295" s="160">
        <v>30022</v>
      </c>
      <c r="E295" s="161">
        <v>0.16250000000000001</v>
      </c>
      <c r="F295" s="161">
        <v>0.13878500000000005</v>
      </c>
      <c r="G295" s="133">
        <f t="shared" si="3"/>
        <v>2.3714999999999958E-2</v>
      </c>
      <c r="I295" s="156">
        <f>--(Risk_Prem2[[#This Row],[Return on Equity]]&lt;0.09)</f>
        <v>0</v>
      </c>
      <c r="K295" s="128"/>
      <c r="L295" s="128"/>
    </row>
    <row r="296" spans="1:12" s="156" customFormat="1" x14ac:dyDescent="0.2">
      <c r="A296" s="155"/>
      <c r="D296" s="160">
        <v>30027</v>
      </c>
      <c r="E296" s="161">
        <v>0.17300000000000001</v>
      </c>
      <c r="F296" s="161">
        <v>0.13881200000000005</v>
      </c>
      <c r="G296" s="133">
        <f t="shared" si="3"/>
        <v>3.4187999999999968E-2</v>
      </c>
      <c r="I296" s="156">
        <f>--(Risk_Prem2[[#This Row],[Return on Equity]]&lt;0.09)</f>
        <v>0</v>
      </c>
      <c r="K296" s="128"/>
      <c r="L296" s="128"/>
    </row>
    <row r="297" spans="1:12" s="156" customFormat="1" x14ac:dyDescent="0.2">
      <c r="A297" s="155"/>
      <c r="D297" s="160">
        <v>30032</v>
      </c>
      <c r="E297" s="161">
        <v>0.151</v>
      </c>
      <c r="F297" s="161">
        <v>0.13886250000000006</v>
      </c>
      <c r="G297" s="133">
        <f t="shared" si="3"/>
        <v>1.213749999999994E-2</v>
      </c>
      <c r="I297" s="156">
        <f>--(Risk_Prem2[[#This Row],[Return on Equity]]&lt;0.09)</f>
        <v>0</v>
      </c>
      <c r="K297" s="128"/>
      <c r="L297" s="128"/>
    </row>
    <row r="298" spans="1:12" s="156" customFormat="1" x14ac:dyDescent="0.2">
      <c r="A298" s="155"/>
      <c r="D298" s="160">
        <v>30037</v>
      </c>
      <c r="E298" s="161">
        <v>0.154</v>
      </c>
      <c r="F298" s="161">
        <v>0.13894750000000006</v>
      </c>
      <c r="G298" s="133">
        <f t="shared" si="3"/>
        <v>1.5052499999999941E-2</v>
      </c>
      <c r="I298" s="156">
        <f>--(Risk_Prem2[[#This Row],[Return on Equity]]&lt;0.09)</f>
        <v>0</v>
      </c>
      <c r="K298" s="128"/>
      <c r="L298" s="128"/>
    </row>
    <row r="299" spans="1:12" s="156" customFormat="1" x14ac:dyDescent="0.2">
      <c r="A299" s="155"/>
      <c r="D299" s="160">
        <v>30040</v>
      </c>
      <c r="E299" s="161">
        <v>0.155</v>
      </c>
      <c r="F299" s="161">
        <v>0.13902850000000005</v>
      </c>
      <c r="G299" s="133">
        <f t="shared" si="3"/>
        <v>1.5971499999999944E-2</v>
      </c>
      <c r="I299" s="156">
        <f>--(Risk_Prem2[[#This Row],[Return on Equity]]&lt;0.09)</f>
        <v>0</v>
      </c>
      <c r="K299" s="128"/>
      <c r="L299" s="128"/>
    </row>
    <row r="300" spans="1:12" s="156" customFormat="1" x14ac:dyDescent="0.2">
      <c r="A300" s="155"/>
      <c r="D300" s="160">
        <v>30041</v>
      </c>
      <c r="E300" s="161">
        <v>0.17</v>
      </c>
      <c r="F300" s="161">
        <v>0.13906800000000005</v>
      </c>
      <c r="G300" s="133">
        <f t="shared" si="3"/>
        <v>3.093199999999996E-2</v>
      </c>
      <c r="I300" s="156">
        <f>--(Risk_Prem2[[#This Row],[Return on Equity]]&lt;0.09)</f>
        <v>0</v>
      </c>
      <c r="K300" s="128"/>
      <c r="L300" s="128"/>
    </row>
    <row r="301" spans="1:12" s="156" customFormat="1" x14ac:dyDescent="0.2">
      <c r="A301" s="155"/>
      <c r="D301" s="160">
        <v>30042</v>
      </c>
      <c r="E301" s="161">
        <v>0.14699999999999999</v>
      </c>
      <c r="F301" s="161">
        <v>0.13910700000000006</v>
      </c>
      <c r="G301" s="133">
        <f t="shared" si="3"/>
        <v>7.8929999999999279E-3</v>
      </c>
      <c r="I301" s="156">
        <f>--(Risk_Prem2[[#This Row],[Return on Equity]]&lt;0.09)</f>
        <v>0</v>
      </c>
      <c r="K301" s="128"/>
      <c r="L301" s="128"/>
    </row>
    <row r="302" spans="1:12" s="156" customFormat="1" x14ac:dyDescent="0.2">
      <c r="A302" s="155"/>
      <c r="D302" s="160">
        <v>30042</v>
      </c>
      <c r="E302" s="161">
        <v>0.16500000000000001</v>
      </c>
      <c r="F302" s="161">
        <v>0.13910700000000006</v>
      </c>
      <c r="G302" s="133">
        <f t="shared" ref="G302:G365" si="4">E302-F302</f>
        <v>2.5892999999999944E-2</v>
      </c>
      <c r="I302" s="156">
        <f>--(Risk_Prem2[[#This Row],[Return on Equity]]&lt;0.09)</f>
        <v>0</v>
      </c>
      <c r="K302" s="128"/>
      <c r="L302" s="128"/>
    </row>
    <row r="303" spans="1:12" s="156" customFormat="1" x14ac:dyDescent="0.2">
      <c r="A303" s="155"/>
      <c r="D303" s="160">
        <v>30043</v>
      </c>
      <c r="E303" s="161">
        <v>0.155</v>
      </c>
      <c r="F303" s="161">
        <v>0.13914550000000006</v>
      </c>
      <c r="G303" s="133">
        <f t="shared" si="4"/>
        <v>1.5854499999999938E-2</v>
      </c>
      <c r="I303" s="156">
        <f>--(Risk_Prem2[[#This Row],[Return on Equity]]&lt;0.09)</f>
        <v>0</v>
      </c>
      <c r="K303" s="128"/>
      <c r="L303" s="128"/>
    </row>
    <row r="304" spans="1:12" s="156" customFormat="1" x14ac:dyDescent="0.2">
      <c r="A304" s="155"/>
      <c r="D304" s="160">
        <v>30046</v>
      </c>
      <c r="E304" s="161">
        <v>0.155</v>
      </c>
      <c r="F304" s="161">
        <v>0.13918950000000008</v>
      </c>
      <c r="G304" s="133">
        <f t="shared" si="4"/>
        <v>1.5810499999999922E-2</v>
      </c>
      <c r="I304" s="156">
        <f>--(Risk_Prem2[[#This Row],[Return on Equity]]&lt;0.09)</f>
        <v>0</v>
      </c>
      <c r="K304" s="128"/>
      <c r="L304" s="128"/>
    </row>
    <row r="305" spans="1:12" s="156" customFormat="1" x14ac:dyDescent="0.2">
      <c r="A305" s="155"/>
      <c r="D305" s="160">
        <v>30049</v>
      </c>
      <c r="E305" s="161">
        <v>0.16399999999999998</v>
      </c>
      <c r="F305" s="161">
        <v>0.13933900000000007</v>
      </c>
      <c r="G305" s="133">
        <f t="shared" si="4"/>
        <v>2.4660999999999905E-2</v>
      </c>
      <c r="I305" s="156">
        <f>--(Risk_Prem2[[#This Row],[Return on Equity]]&lt;0.09)</f>
        <v>0</v>
      </c>
      <c r="K305" s="128"/>
      <c r="L305" s="128"/>
    </row>
    <row r="306" spans="1:12" s="156" customFormat="1" x14ac:dyDescent="0.2">
      <c r="A306" s="155"/>
      <c r="D306" s="160">
        <v>30054</v>
      </c>
      <c r="E306" s="161">
        <v>0.14499999999999999</v>
      </c>
      <c r="F306" s="161">
        <v>0.13937600000000006</v>
      </c>
      <c r="G306" s="133">
        <f t="shared" si="4"/>
        <v>5.6239999999999346E-3</v>
      </c>
      <c r="I306" s="156">
        <f>--(Risk_Prem2[[#This Row],[Return on Equity]]&lt;0.09)</f>
        <v>0</v>
      </c>
      <c r="K306" s="128"/>
      <c r="L306" s="128"/>
    </row>
    <row r="307" spans="1:12" s="156" customFormat="1" x14ac:dyDescent="0.2">
      <c r="A307" s="155"/>
      <c r="D307" s="160">
        <v>30064</v>
      </c>
      <c r="E307" s="161">
        <v>0.1575</v>
      </c>
      <c r="F307" s="161">
        <v>0.13941300000000006</v>
      </c>
      <c r="G307" s="133">
        <f t="shared" si="4"/>
        <v>1.8086999999999936E-2</v>
      </c>
      <c r="I307" s="156">
        <f>--(Risk_Prem2[[#This Row],[Return on Equity]]&lt;0.09)</f>
        <v>0</v>
      </c>
      <c r="K307" s="128"/>
      <c r="L307" s="128"/>
    </row>
    <row r="308" spans="1:12" s="156" customFormat="1" x14ac:dyDescent="0.2">
      <c r="A308" s="155"/>
      <c r="D308" s="160">
        <v>30068</v>
      </c>
      <c r="E308" s="161">
        <v>0.15</v>
      </c>
      <c r="F308" s="161">
        <v>0.13940350000000004</v>
      </c>
      <c r="G308" s="133">
        <f t="shared" si="4"/>
        <v>1.0596499999999953E-2</v>
      </c>
      <c r="I308" s="156">
        <f>--(Risk_Prem2[[#This Row],[Return on Equity]]&lt;0.09)</f>
        <v>0</v>
      </c>
      <c r="K308" s="128"/>
      <c r="L308" s="128"/>
    </row>
    <row r="309" spans="1:12" s="156" customFormat="1" x14ac:dyDescent="0.2">
      <c r="A309" s="155"/>
      <c r="D309" s="160">
        <v>30069</v>
      </c>
      <c r="E309" s="161">
        <v>0.1575</v>
      </c>
      <c r="F309" s="161">
        <v>0.13939600000000005</v>
      </c>
      <c r="G309" s="133">
        <f t="shared" si="4"/>
        <v>1.8103999999999953E-2</v>
      </c>
      <c r="I309" s="156">
        <f>--(Risk_Prem2[[#This Row],[Return on Equity]]&lt;0.09)</f>
        <v>0</v>
      </c>
      <c r="K309" s="128"/>
      <c r="L309" s="128"/>
    </row>
    <row r="310" spans="1:12" s="156" customFormat="1" x14ac:dyDescent="0.2">
      <c r="A310" s="155"/>
      <c r="D310" s="160">
        <v>30071</v>
      </c>
      <c r="E310" s="161">
        <v>0.14699999999999999</v>
      </c>
      <c r="F310" s="161">
        <v>0.13938950000000003</v>
      </c>
      <c r="G310" s="133">
        <f t="shared" si="4"/>
        <v>7.6104999999999645E-3</v>
      </c>
      <c r="I310" s="156">
        <f>--(Risk_Prem2[[#This Row],[Return on Equity]]&lt;0.09)</f>
        <v>0</v>
      </c>
      <c r="K310" s="128"/>
      <c r="L310" s="128"/>
    </row>
    <row r="311" spans="1:12" s="156" customFormat="1" x14ac:dyDescent="0.2">
      <c r="A311" s="155"/>
      <c r="D311" s="160">
        <v>30071</v>
      </c>
      <c r="E311" s="161">
        <v>0.155</v>
      </c>
      <c r="F311" s="161">
        <v>0.13938950000000003</v>
      </c>
      <c r="G311" s="133">
        <f t="shared" si="4"/>
        <v>1.5610499999999972E-2</v>
      </c>
      <c r="I311" s="156">
        <f>--(Risk_Prem2[[#This Row],[Return on Equity]]&lt;0.09)</f>
        <v>0</v>
      </c>
      <c r="K311" s="128"/>
      <c r="L311" s="128"/>
    </row>
    <row r="312" spans="1:12" s="156" customFormat="1" x14ac:dyDescent="0.2">
      <c r="A312" s="155"/>
      <c r="D312" s="160">
        <v>30074</v>
      </c>
      <c r="E312" s="161">
        <v>0.16600000000000001</v>
      </c>
      <c r="F312" s="161">
        <v>0.13939950000000004</v>
      </c>
      <c r="G312" s="133">
        <f t="shared" si="4"/>
        <v>2.6600499999999971E-2</v>
      </c>
      <c r="I312" s="156">
        <f>--(Risk_Prem2[[#This Row],[Return on Equity]]&lt;0.09)</f>
        <v>0</v>
      </c>
      <c r="K312" s="128"/>
      <c r="L312" s="128"/>
    </row>
    <row r="313" spans="1:12" s="156" customFormat="1" x14ac:dyDescent="0.2">
      <c r="A313" s="155"/>
      <c r="D313" s="160">
        <v>30075</v>
      </c>
      <c r="E313" s="161">
        <v>0.16</v>
      </c>
      <c r="F313" s="161">
        <v>0.13940150000000004</v>
      </c>
      <c r="G313" s="133">
        <f t="shared" si="4"/>
        <v>2.0598499999999964E-2</v>
      </c>
      <c r="I313" s="156">
        <f>--(Risk_Prem2[[#This Row],[Return on Equity]]&lt;0.09)</f>
        <v>0</v>
      </c>
      <c r="K313" s="128"/>
      <c r="L313" s="128"/>
    </row>
    <row r="314" spans="1:12" s="156" customFormat="1" x14ac:dyDescent="0.2">
      <c r="A314" s="155"/>
      <c r="D314" s="160">
        <v>30085</v>
      </c>
      <c r="E314" s="161">
        <v>0.155</v>
      </c>
      <c r="F314" s="161">
        <v>0.13921900000000004</v>
      </c>
      <c r="G314" s="133">
        <f t="shared" si="4"/>
        <v>1.5780999999999962E-2</v>
      </c>
      <c r="I314" s="156">
        <f>--(Risk_Prem2[[#This Row],[Return on Equity]]&lt;0.09)</f>
        <v>0</v>
      </c>
      <c r="K314" s="128"/>
      <c r="L314" s="128"/>
    </row>
    <row r="315" spans="1:12" s="156" customFormat="1" x14ac:dyDescent="0.2">
      <c r="A315" s="155"/>
      <c r="D315" s="160">
        <v>30089</v>
      </c>
      <c r="E315" s="161">
        <v>0.1542</v>
      </c>
      <c r="F315" s="161">
        <v>0.13917900000000005</v>
      </c>
      <c r="G315" s="133">
        <f t="shared" si="4"/>
        <v>1.5020999999999951E-2</v>
      </c>
      <c r="I315" s="156">
        <f>--(Risk_Prem2[[#This Row],[Return on Equity]]&lt;0.09)</f>
        <v>0</v>
      </c>
      <c r="K315" s="128"/>
      <c r="L315" s="128"/>
    </row>
    <row r="316" spans="1:12" s="156" customFormat="1" x14ac:dyDescent="0.2">
      <c r="A316" s="155"/>
      <c r="D316" s="160">
        <v>30090</v>
      </c>
      <c r="E316" s="161">
        <v>0.1469</v>
      </c>
      <c r="F316" s="161">
        <v>0.13915400000000003</v>
      </c>
      <c r="G316" s="133">
        <f t="shared" si="4"/>
        <v>7.7459999999999751E-3</v>
      </c>
      <c r="I316" s="156">
        <f>--(Risk_Prem2[[#This Row],[Return on Equity]]&lt;0.09)</f>
        <v>0</v>
      </c>
      <c r="K316" s="128"/>
      <c r="L316" s="128"/>
    </row>
    <row r="317" spans="1:12" s="156" customFormat="1" x14ac:dyDescent="0.2">
      <c r="A317" s="155"/>
      <c r="D317" s="160">
        <v>30091</v>
      </c>
      <c r="E317" s="161">
        <v>0.15</v>
      </c>
      <c r="F317" s="161">
        <v>0.1391165</v>
      </c>
      <c r="G317" s="133">
        <f t="shared" si="4"/>
        <v>1.088349999999999E-2</v>
      </c>
      <c r="I317" s="156">
        <f>--(Risk_Prem2[[#This Row],[Return on Equity]]&lt;0.09)</f>
        <v>0</v>
      </c>
      <c r="K317" s="128"/>
      <c r="L317" s="128"/>
    </row>
    <row r="318" spans="1:12" s="156" customFormat="1" x14ac:dyDescent="0.2">
      <c r="A318" s="155"/>
      <c r="D318" s="160">
        <v>30091</v>
      </c>
      <c r="E318" s="161">
        <v>0.151</v>
      </c>
      <c r="F318" s="161">
        <v>0.1391165</v>
      </c>
      <c r="G318" s="133">
        <f t="shared" si="4"/>
        <v>1.1883499999999991E-2</v>
      </c>
      <c r="I318" s="156">
        <f>--(Risk_Prem2[[#This Row],[Return on Equity]]&lt;0.09)</f>
        <v>0</v>
      </c>
      <c r="K318" s="128"/>
      <c r="L318" s="128"/>
    </row>
    <row r="319" spans="1:12" s="156" customFormat="1" x14ac:dyDescent="0.2">
      <c r="A319" s="155"/>
      <c r="D319" s="160">
        <v>30091</v>
      </c>
      <c r="E319" s="161">
        <v>0.155</v>
      </c>
      <c r="F319" s="161">
        <v>0.1391165</v>
      </c>
      <c r="G319" s="133">
        <f t="shared" si="4"/>
        <v>1.5883499999999995E-2</v>
      </c>
      <c r="I319" s="156">
        <f>--(Risk_Prem2[[#This Row],[Return on Equity]]&lt;0.09)</f>
        <v>0</v>
      </c>
      <c r="K319" s="128"/>
      <c r="L319" s="128"/>
    </row>
    <row r="320" spans="1:12" s="156" customFormat="1" x14ac:dyDescent="0.2">
      <c r="A320" s="155"/>
      <c r="D320" s="160">
        <v>30091</v>
      </c>
      <c r="E320" s="161">
        <v>0.16300000000000001</v>
      </c>
      <c r="F320" s="161">
        <v>0.1391165</v>
      </c>
      <c r="G320" s="133">
        <f t="shared" si="4"/>
        <v>2.3883500000000002E-2</v>
      </c>
      <c r="I320" s="156">
        <f>--(Risk_Prem2[[#This Row],[Return on Equity]]&lt;0.09)</f>
        <v>0</v>
      </c>
      <c r="K320" s="128"/>
      <c r="L320" s="128"/>
    </row>
    <row r="321" spans="1:12" s="156" customFormat="1" x14ac:dyDescent="0.2">
      <c r="A321" s="155"/>
      <c r="D321" s="160">
        <v>30092</v>
      </c>
      <c r="E321" s="161">
        <v>0.17749999999999999</v>
      </c>
      <c r="F321" s="161">
        <v>0.13907750000000002</v>
      </c>
      <c r="G321" s="133">
        <f t="shared" si="4"/>
        <v>3.8422499999999971E-2</v>
      </c>
      <c r="I321" s="156">
        <f>--(Risk_Prem2[[#This Row],[Return on Equity]]&lt;0.09)</f>
        <v>0</v>
      </c>
      <c r="K321" s="128"/>
      <c r="L321" s="128"/>
    </row>
    <row r="322" spans="1:12" s="156" customFormat="1" x14ac:dyDescent="0.2">
      <c r="A322" s="155"/>
      <c r="D322" s="160">
        <v>30098</v>
      </c>
      <c r="E322" s="161">
        <v>0.15</v>
      </c>
      <c r="F322" s="161">
        <v>0.13891700000000004</v>
      </c>
      <c r="G322" s="133">
        <f t="shared" si="4"/>
        <v>1.1082999999999954E-2</v>
      </c>
      <c r="I322" s="156">
        <f>--(Risk_Prem2[[#This Row],[Return on Equity]]&lt;0.09)</f>
        <v>0</v>
      </c>
      <c r="K322" s="128"/>
      <c r="L322" s="128"/>
    </row>
    <row r="323" spans="1:12" s="156" customFormat="1" x14ac:dyDescent="0.2">
      <c r="A323" s="155"/>
      <c r="D323" s="160">
        <v>30099</v>
      </c>
      <c r="E323" s="161">
        <v>0.155</v>
      </c>
      <c r="F323" s="161">
        <v>0.13888450000000005</v>
      </c>
      <c r="G323" s="133">
        <f t="shared" si="4"/>
        <v>1.6115499999999949E-2</v>
      </c>
      <c r="I323" s="156">
        <f>--(Risk_Prem2[[#This Row],[Return on Equity]]&lt;0.09)</f>
        <v>0</v>
      </c>
      <c r="K323" s="128"/>
      <c r="L323" s="128"/>
    </row>
    <row r="324" spans="1:12" s="156" customFormat="1" x14ac:dyDescent="0.2">
      <c r="A324" s="155"/>
      <c r="D324" s="160">
        <v>30099</v>
      </c>
      <c r="E324" s="161">
        <v>0.17</v>
      </c>
      <c r="F324" s="161">
        <v>0.13888450000000005</v>
      </c>
      <c r="G324" s="133">
        <f t="shared" si="4"/>
        <v>3.1115499999999963E-2</v>
      </c>
      <c r="I324" s="156">
        <f>--(Risk_Prem2[[#This Row],[Return on Equity]]&lt;0.09)</f>
        <v>0</v>
      </c>
      <c r="K324" s="128"/>
      <c r="L324" s="128"/>
    </row>
    <row r="325" spans="1:12" s="156" customFormat="1" x14ac:dyDescent="0.2">
      <c r="A325" s="155"/>
      <c r="D325" s="160">
        <v>30103</v>
      </c>
      <c r="E325" s="161">
        <v>0.13750000000000001</v>
      </c>
      <c r="F325" s="161">
        <v>0.13886400000000004</v>
      </c>
      <c r="G325" s="133">
        <f t="shared" si="4"/>
        <v>-1.3640000000000319E-3</v>
      </c>
      <c r="I325" s="156">
        <f>--(Risk_Prem2[[#This Row],[Return on Equity]]&lt;0.09)</f>
        <v>0</v>
      </c>
      <c r="K325" s="128"/>
      <c r="L325" s="128"/>
    </row>
    <row r="326" spans="1:12" s="156" customFormat="1" x14ac:dyDescent="0.2">
      <c r="A326" s="155"/>
      <c r="D326" s="160">
        <v>30103</v>
      </c>
      <c r="E326" s="161">
        <v>0.16600000000000001</v>
      </c>
      <c r="F326" s="161">
        <v>0.13886400000000004</v>
      </c>
      <c r="G326" s="133">
        <f t="shared" si="4"/>
        <v>2.7135999999999966E-2</v>
      </c>
      <c r="I326" s="156">
        <f>--(Risk_Prem2[[#This Row],[Return on Equity]]&lt;0.09)</f>
        <v>0</v>
      </c>
      <c r="K326" s="128"/>
      <c r="L326" s="128"/>
    </row>
    <row r="327" spans="1:12" s="156" customFormat="1" x14ac:dyDescent="0.2">
      <c r="A327" s="155"/>
      <c r="D327" s="160">
        <v>30111</v>
      </c>
      <c r="E327" s="161">
        <v>0.17859999999999998</v>
      </c>
      <c r="F327" s="161">
        <v>0.13881600000000005</v>
      </c>
      <c r="G327" s="133">
        <f t="shared" si="4"/>
        <v>3.9783999999999931E-2</v>
      </c>
      <c r="I327" s="156">
        <f>--(Risk_Prem2[[#This Row],[Return on Equity]]&lt;0.09)</f>
        <v>0</v>
      </c>
      <c r="K327" s="128"/>
      <c r="L327" s="128"/>
    </row>
    <row r="328" spans="1:12" s="156" customFormat="1" x14ac:dyDescent="0.2">
      <c r="A328" s="155"/>
      <c r="D328" s="160">
        <v>30116</v>
      </c>
      <c r="E328" s="161">
        <v>0.1575</v>
      </c>
      <c r="F328" s="161">
        <v>0.13877800000000001</v>
      </c>
      <c r="G328" s="133">
        <f t="shared" si="4"/>
        <v>1.8721999999999989E-2</v>
      </c>
      <c r="I328" s="156">
        <f>--(Risk_Prem2[[#This Row],[Return on Equity]]&lt;0.09)</f>
        <v>0</v>
      </c>
      <c r="K328" s="128"/>
      <c r="L328" s="128"/>
    </row>
    <row r="329" spans="1:12" s="156" customFormat="1" x14ac:dyDescent="0.2">
      <c r="A329" s="155"/>
      <c r="D329" s="160">
        <v>30117</v>
      </c>
      <c r="E329" s="161">
        <v>0.14849999999999999</v>
      </c>
      <c r="F329" s="161">
        <v>0.13876450000000001</v>
      </c>
      <c r="G329" s="133">
        <f t="shared" si="4"/>
        <v>9.7354999999999803E-3</v>
      </c>
      <c r="I329" s="156">
        <f>--(Risk_Prem2[[#This Row],[Return on Equity]]&lt;0.09)</f>
        <v>0</v>
      </c>
      <c r="K329" s="128"/>
      <c r="L329" s="128"/>
    </row>
    <row r="330" spans="1:12" s="156" customFormat="1" x14ac:dyDescent="0.2">
      <c r="A330" s="155"/>
      <c r="D330" s="160">
        <v>30120</v>
      </c>
      <c r="E330" s="161">
        <v>0.155</v>
      </c>
      <c r="F330" s="161">
        <v>0.13868550000000002</v>
      </c>
      <c r="G330" s="133">
        <f t="shared" si="4"/>
        <v>1.6314499999999982E-2</v>
      </c>
      <c r="I330" s="156">
        <f>--(Risk_Prem2[[#This Row],[Return on Equity]]&lt;0.09)</f>
        <v>0</v>
      </c>
      <c r="K330" s="128"/>
      <c r="L330" s="128"/>
    </row>
    <row r="331" spans="1:12" s="156" customFormat="1" x14ac:dyDescent="0.2">
      <c r="A331" s="155"/>
      <c r="D331" s="160">
        <v>30123</v>
      </c>
      <c r="E331" s="161">
        <v>0.14899999999999999</v>
      </c>
      <c r="F331" s="161">
        <v>0.1386635</v>
      </c>
      <c r="G331" s="133">
        <f t="shared" si="4"/>
        <v>1.0336499999999998E-2</v>
      </c>
      <c r="I331" s="156">
        <f>--(Risk_Prem2[[#This Row],[Return on Equity]]&lt;0.09)</f>
        <v>0</v>
      </c>
      <c r="K331" s="128"/>
      <c r="L331" s="128"/>
    </row>
    <row r="332" spans="1:12" s="156" customFormat="1" x14ac:dyDescent="0.2">
      <c r="A332" s="155"/>
      <c r="D332" s="160">
        <v>30125</v>
      </c>
      <c r="E332" s="161">
        <v>0.16</v>
      </c>
      <c r="F332" s="161">
        <v>0.13862350000000001</v>
      </c>
      <c r="G332" s="133">
        <f t="shared" si="4"/>
        <v>2.1376499999999993E-2</v>
      </c>
      <c r="I332" s="156">
        <f>--(Risk_Prem2[[#This Row],[Return on Equity]]&lt;0.09)</f>
        <v>0</v>
      </c>
      <c r="K332" s="128"/>
      <c r="L332" s="128"/>
    </row>
    <row r="333" spans="1:12" s="156" customFormat="1" x14ac:dyDescent="0.2">
      <c r="A333" s="155"/>
      <c r="D333" s="160">
        <v>30125</v>
      </c>
      <c r="E333" s="161">
        <v>0.16170000000000001</v>
      </c>
      <c r="F333" s="161">
        <v>0.13862350000000001</v>
      </c>
      <c r="G333" s="133">
        <f t="shared" si="4"/>
        <v>2.30765E-2</v>
      </c>
      <c r="I333" s="156">
        <f>--(Risk_Prem2[[#This Row],[Return on Equity]]&lt;0.09)</f>
        <v>0</v>
      </c>
      <c r="K333" s="128"/>
      <c r="L333" s="128"/>
    </row>
    <row r="334" spans="1:12" s="156" customFormat="1" x14ac:dyDescent="0.2">
      <c r="A334" s="155"/>
      <c r="D334" s="160">
        <v>30126</v>
      </c>
      <c r="E334" s="161">
        <v>0.14849999999999999</v>
      </c>
      <c r="F334" s="161">
        <v>0.13859850000000001</v>
      </c>
      <c r="G334" s="133">
        <f t="shared" si="4"/>
        <v>9.9014999999999798E-3</v>
      </c>
      <c r="I334" s="156">
        <f>--(Risk_Prem2[[#This Row],[Return on Equity]]&lt;0.09)</f>
        <v>0</v>
      </c>
      <c r="K334" s="128"/>
      <c r="L334" s="128"/>
    </row>
    <row r="335" spans="1:12" s="156" customFormat="1" x14ac:dyDescent="0.2">
      <c r="A335" s="155"/>
      <c r="D335" s="160">
        <v>30127</v>
      </c>
      <c r="E335" s="161">
        <v>0.14699999999999999</v>
      </c>
      <c r="F335" s="161">
        <v>0.13857549999999999</v>
      </c>
      <c r="G335" s="133">
        <f t="shared" si="4"/>
        <v>8.4245000000000014E-3</v>
      </c>
      <c r="I335" s="156">
        <f>--(Risk_Prem2[[#This Row],[Return on Equity]]&lt;0.09)</f>
        <v>0</v>
      </c>
      <c r="K335" s="128"/>
      <c r="L335" s="128"/>
    </row>
    <row r="336" spans="1:12" s="156" customFormat="1" x14ac:dyDescent="0.2">
      <c r="A336" s="155"/>
      <c r="D336" s="160">
        <v>30133</v>
      </c>
      <c r="E336" s="161">
        <v>0.16</v>
      </c>
      <c r="F336" s="161">
        <v>0.13841199999999998</v>
      </c>
      <c r="G336" s="133">
        <f t="shared" si="4"/>
        <v>2.1588000000000024E-2</v>
      </c>
      <c r="I336" s="156">
        <f>--(Risk_Prem2[[#This Row],[Return on Equity]]&lt;0.09)</f>
        <v>0</v>
      </c>
      <c r="K336" s="128"/>
      <c r="L336" s="128"/>
    </row>
    <row r="337" spans="1:12" s="156" customFormat="1" x14ac:dyDescent="0.2">
      <c r="A337" s="155"/>
      <c r="D337" s="160">
        <v>30134</v>
      </c>
      <c r="E337" s="161">
        <v>0.15620000000000001</v>
      </c>
      <c r="F337" s="161">
        <v>0.13837949999999999</v>
      </c>
      <c r="G337" s="133">
        <f t="shared" si="4"/>
        <v>1.7820500000000017E-2</v>
      </c>
      <c r="I337" s="156">
        <f>--(Risk_Prem2[[#This Row],[Return on Equity]]&lt;0.09)</f>
        <v>0</v>
      </c>
      <c r="K337" s="128"/>
      <c r="L337" s="128"/>
    </row>
    <row r="338" spans="1:12" s="156" customFormat="1" x14ac:dyDescent="0.2">
      <c r="A338" s="155"/>
      <c r="D338" s="160">
        <v>30134</v>
      </c>
      <c r="E338" s="161">
        <v>0.17</v>
      </c>
      <c r="F338" s="161">
        <v>0.13837949999999999</v>
      </c>
      <c r="G338" s="133">
        <f t="shared" si="4"/>
        <v>3.1620500000000024E-2</v>
      </c>
      <c r="I338" s="156">
        <f>--(Risk_Prem2[[#This Row],[Return on Equity]]&lt;0.09)</f>
        <v>0</v>
      </c>
      <c r="K338" s="128"/>
      <c r="L338" s="128"/>
    </row>
    <row r="339" spans="1:12" s="156" customFormat="1" x14ac:dyDescent="0.2">
      <c r="A339" s="155"/>
      <c r="D339" s="160">
        <v>30145</v>
      </c>
      <c r="E339" s="161">
        <v>0.14000000000000001</v>
      </c>
      <c r="F339" s="161">
        <v>0.13817449999999998</v>
      </c>
      <c r="G339" s="133">
        <f t="shared" si="4"/>
        <v>1.8255000000000354E-3</v>
      </c>
      <c r="I339" s="156">
        <f>--(Risk_Prem2[[#This Row],[Return on Equity]]&lt;0.09)</f>
        <v>0</v>
      </c>
      <c r="K339" s="128"/>
      <c r="L339" s="128"/>
    </row>
    <row r="340" spans="1:12" s="156" customFormat="1" x14ac:dyDescent="0.2">
      <c r="A340" s="155"/>
      <c r="D340" s="160">
        <v>30145</v>
      </c>
      <c r="E340" s="161">
        <v>0.16800000000000001</v>
      </c>
      <c r="F340" s="161">
        <v>0.13817449999999998</v>
      </c>
      <c r="G340" s="133">
        <f t="shared" si="4"/>
        <v>2.9825500000000033E-2</v>
      </c>
      <c r="I340" s="156">
        <f>--(Risk_Prem2[[#This Row],[Return on Equity]]&lt;0.09)</f>
        <v>0</v>
      </c>
      <c r="K340" s="128"/>
      <c r="L340" s="128"/>
    </row>
    <row r="341" spans="1:12" s="156" customFormat="1" x14ac:dyDescent="0.2">
      <c r="A341" s="155"/>
      <c r="D341" s="160">
        <v>30146</v>
      </c>
      <c r="E341" s="161">
        <v>0.15759999999999999</v>
      </c>
      <c r="F341" s="161">
        <v>0.138154</v>
      </c>
      <c r="G341" s="133">
        <f t="shared" si="4"/>
        <v>1.9445999999999991E-2</v>
      </c>
      <c r="I341" s="156">
        <f>--(Risk_Prem2[[#This Row],[Return on Equity]]&lt;0.09)</f>
        <v>0</v>
      </c>
      <c r="K341" s="128"/>
      <c r="L341" s="128"/>
    </row>
    <row r="342" spans="1:12" s="156" customFormat="1" x14ac:dyDescent="0.2">
      <c r="A342" s="155"/>
      <c r="D342" s="160">
        <v>30146</v>
      </c>
      <c r="E342" s="161">
        <v>0.16020000000000001</v>
      </c>
      <c r="F342" s="161">
        <v>0.138154</v>
      </c>
      <c r="G342" s="133">
        <f t="shared" si="4"/>
        <v>2.204600000000001E-2</v>
      </c>
      <c r="I342" s="156">
        <f>--(Risk_Prem2[[#This Row],[Return on Equity]]&lt;0.09)</f>
        <v>0</v>
      </c>
      <c r="K342" s="128"/>
      <c r="L342" s="128"/>
    </row>
    <row r="343" spans="1:12" s="156" customFormat="1" x14ac:dyDescent="0.2">
      <c r="A343" s="155"/>
      <c r="D343" s="160">
        <v>30151</v>
      </c>
      <c r="E343" s="161">
        <v>0.16500000000000001</v>
      </c>
      <c r="F343" s="161">
        <v>0.13798549999999996</v>
      </c>
      <c r="G343" s="133">
        <f t="shared" si="4"/>
        <v>2.7014500000000052E-2</v>
      </c>
      <c r="I343" s="156">
        <f>--(Risk_Prem2[[#This Row],[Return on Equity]]&lt;0.09)</f>
        <v>0</v>
      </c>
      <c r="K343" s="128"/>
      <c r="L343" s="128"/>
    </row>
    <row r="344" spans="1:12" s="156" customFormat="1" x14ac:dyDescent="0.2">
      <c r="A344" s="155"/>
      <c r="D344" s="160">
        <v>30154</v>
      </c>
      <c r="E344" s="161">
        <v>0.14499999999999999</v>
      </c>
      <c r="F344" s="161">
        <v>0.13770799999999991</v>
      </c>
      <c r="G344" s="133">
        <f t="shared" si="4"/>
        <v>7.2920000000000762E-3</v>
      </c>
      <c r="I344" s="156">
        <f>--(Risk_Prem2[[#This Row],[Return on Equity]]&lt;0.09)</f>
        <v>0</v>
      </c>
      <c r="K344" s="128"/>
      <c r="L344" s="128"/>
    </row>
    <row r="345" spans="1:12" s="156" customFormat="1" x14ac:dyDescent="0.2">
      <c r="A345" s="155"/>
      <c r="D345" s="160">
        <v>30154</v>
      </c>
      <c r="E345" s="161">
        <v>0.17</v>
      </c>
      <c r="F345" s="161">
        <v>0.13770799999999991</v>
      </c>
      <c r="G345" s="133">
        <f t="shared" si="4"/>
        <v>3.2292000000000098E-2</v>
      </c>
      <c r="I345" s="156">
        <f>--(Risk_Prem2[[#This Row],[Return on Equity]]&lt;0.09)</f>
        <v>0</v>
      </c>
      <c r="K345" s="128"/>
      <c r="L345" s="128"/>
    </row>
    <row r="346" spans="1:12" s="156" customFormat="1" x14ac:dyDescent="0.2">
      <c r="A346" s="155"/>
      <c r="D346" s="160">
        <v>30159</v>
      </c>
      <c r="E346" s="161">
        <v>0.16750000000000001</v>
      </c>
      <c r="F346" s="161">
        <v>0.13746099999999994</v>
      </c>
      <c r="G346" s="133">
        <f t="shared" si="4"/>
        <v>3.0039000000000066E-2</v>
      </c>
      <c r="I346" s="156">
        <f>--(Risk_Prem2[[#This Row],[Return on Equity]]&lt;0.09)</f>
        <v>0</v>
      </c>
      <c r="K346" s="128"/>
      <c r="L346" s="128"/>
    </row>
    <row r="347" spans="1:12" s="156" customFormat="1" x14ac:dyDescent="0.2">
      <c r="A347" s="155"/>
      <c r="D347" s="160">
        <v>30161</v>
      </c>
      <c r="E347" s="161">
        <v>0.16500000000000001</v>
      </c>
      <c r="F347" s="161">
        <v>0.13735549999999994</v>
      </c>
      <c r="G347" s="133">
        <f t="shared" si="4"/>
        <v>2.7644500000000072E-2</v>
      </c>
      <c r="I347" s="156">
        <f>--(Risk_Prem2[[#This Row],[Return on Equity]]&lt;0.09)</f>
        <v>0</v>
      </c>
      <c r="K347" s="128"/>
      <c r="L347" s="128"/>
    </row>
    <row r="348" spans="1:12" s="156" customFormat="1" x14ac:dyDescent="0.2">
      <c r="A348" s="155"/>
      <c r="D348" s="160">
        <v>30174</v>
      </c>
      <c r="E348" s="161">
        <v>0.17499999999999999</v>
      </c>
      <c r="F348" s="161">
        <v>0.13682899999999995</v>
      </c>
      <c r="G348" s="133">
        <f t="shared" si="4"/>
        <v>3.8171000000000038E-2</v>
      </c>
      <c r="I348" s="156">
        <f>--(Risk_Prem2[[#This Row],[Return on Equity]]&lt;0.09)</f>
        <v>0</v>
      </c>
      <c r="K348" s="128"/>
      <c r="L348" s="128"/>
    </row>
    <row r="349" spans="1:12" s="156" customFormat="1" x14ac:dyDescent="0.2">
      <c r="A349" s="155"/>
      <c r="D349" s="160">
        <v>30181</v>
      </c>
      <c r="E349" s="161">
        <v>0.17069999999999999</v>
      </c>
      <c r="F349" s="161">
        <v>0.13627799999999995</v>
      </c>
      <c r="G349" s="133">
        <f t="shared" si="4"/>
        <v>3.4422000000000036E-2</v>
      </c>
      <c r="I349" s="156">
        <f>--(Risk_Prem2[[#This Row],[Return on Equity]]&lt;0.09)</f>
        <v>0</v>
      </c>
      <c r="K349" s="128"/>
      <c r="L349" s="128"/>
    </row>
    <row r="350" spans="1:12" s="156" customFormat="1" x14ac:dyDescent="0.2">
      <c r="A350" s="155"/>
      <c r="D350" s="160">
        <v>30183</v>
      </c>
      <c r="E350" s="161">
        <v>0.1573</v>
      </c>
      <c r="F350" s="161">
        <v>0.13601599999999997</v>
      </c>
      <c r="G350" s="133">
        <f t="shared" si="4"/>
        <v>2.1284000000000025E-2</v>
      </c>
      <c r="I350" s="156">
        <f>--(Risk_Prem2[[#This Row],[Return on Equity]]&lt;0.09)</f>
        <v>0</v>
      </c>
      <c r="K350" s="128"/>
      <c r="L350" s="128"/>
    </row>
    <row r="351" spans="1:12" s="156" customFormat="1" x14ac:dyDescent="0.2">
      <c r="A351" s="155"/>
      <c r="D351" s="160">
        <v>30188</v>
      </c>
      <c r="E351" s="161">
        <v>0.16</v>
      </c>
      <c r="F351" s="161">
        <v>0.13571249999999999</v>
      </c>
      <c r="G351" s="133">
        <f t="shared" si="4"/>
        <v>2.4287500000000017E-2</v>
      </c>
      <c r="I351" s="156">
        <f>--(Risk_Prem2[[#This Row],[Return on Equity]]&lt;0.09)</f>
        <v>0</v>
      </c>
      <c r="K351" s="128"/>
      <c r="L351" s="128"/>
    </row>
    <row r="352" spans="1:12" s="156" customFormat="1" x14ac:dyDescent="0.2">
      <c r="A352" s="155"/>
      <c r="D352" s="160">
        <v>30189</v>
      </c>
      <c r="E352" s="161">
        <v>0.155</v>
      </c>
      <c r="F352" s="161">
        <v>0.135625</v>
      </c>
      <c r="G352" s="133">
        <f t="shared" si="4"/>
        <v>1.9375000000000003E-2</v>
      </c>
      <c r="I352" s="156">
        <f>--(Risk_Prem2[[#This Row],[Return on Equity]]&lt;0.09)</f>
        <v>0</v>
      </c>
      <c r="K352" s="128"/>
      <c r="L352" s="128"/>
    </row>
    <row r="353" spans="1:12" s="156" customFormat="1" x14ac:dyDescent="0.2">
      <c r="A353" s="155"/>
      <c r="D353" s="160">
        <v>30193</v>
      </c>
      <c r="E353" s="161">
        <v>0.15</v>
      </c>
      <c r="F353" s="161">
        <v>0.13550849999999998</v>
      </c>
      <c r="G353" s="133">
        <f t="shared" si="4"/>
        <v>1.4491500000000018E-2</v>
      </c>
      <c r="I353" s="156">
        <f>--(Risk_Prem2[[#This Row],[Return on Equity]]&lt;0.09)</f>
        <v>0</v>
      </c>
      <c r="K353" s="128"/>
      <c r="L353" s="128"/>
    </row>
    <row r="354" spans="1:12" s="156" customFormat="1" x14ac:dyDescent="0.2">
      <c r="A354" s="155"/>
      <c r="D354" s="160">
        <v>30197</v>
      </c>
      <c r="E354" s="161">
        <v>0.16200000000000001</v>
      </c>
      <c r="F354" s="161">
        <v>0.13532049999999998</v>
      </c>
      <c r="G354" s="133">
        <f t="shared" si="4"/>
        <v>2.6679500000000023E-2</v>
      </c>
      <c r="I354" s="156">
        <f>--(Risk_Prem2[[#This Row],[Return on Equity]]&lt;0.09)</f>
        <v>0</v>
      </c>
      <c r="K354" s="128"/>
      <c r="L354" s="128"/>
    </row>
    <row r="355" spans="1:12" s="156" customFormat="1" x14ac:dyDescent="0.2">
      <c r="A355" s="155"/>
      <c r="D355" s="160">
        <v>30202</v>
      </c>
      <c r="E355" s="161">
        <v>0.15</v>
      </c>
      <c r="F355" s="161">
        <v>0.1352235</v>
      </c>
      <c r="G355" s="133">
        <f t="shared" si="4"/>
        <v>1.4776499999999998E-2</v>
      </c>
      <c r="I355" s="156">
        <f>--(Risk_Prem2[[#This Row],[Return on Equity]]&lt;0.09)</f>
        <v>0</v>
      </c>
      <c r="K355" s="128"/>
      <c r="L355" s="128"/>
    </row>
    <row r="356" spans="1:12" s="156" customFormat="1" x14ac:dyDescent="0.2">
      <c r="A356" s="155"/>
      <c r="D356" s="160">
        <v>30209</v>
      </c>
      <c r="E356" s="161">
        <v>0.1308</v>
      </c>
      <c r="F356" s="161">
        <v>0.13502149999999999</v>
      </c>
      <c r="G356" s="133">
        <f t="shared" si="4"/>
        <v>-4.2214999999999892E-3</v>
      </c>
      <c r="I356" s="156">
        <f>--(Risk_Prem2[[#This Row],[Return on Equity]]&lt;0.09)</f>
        <v>0</v>
      </c>
      <c r="K356" s="128"/>
      <c r="L356" s="128"/>
    </row>
    <row r="357" spans="1:12" s="156" customFormat="1" x14ac:dyDescent="0.2">
      <c r="A357" s="155"/>
      <c r="D357" s="160">
        <v>30209</v>
      </c>
      <c r="E357" s="161">
        <v>0.16250000000000001</v>
      </c>
      <c r="F357" s="161">
        <v>0.13502149999999999</v>
      </c>
      <c r="G357" s="133">
        <f t="shared" si="4"/>
        <v>2.7478500000000017E-2</v>
      </c>
      <c r="I357" s="156">
        <f>--(Risk_Prem2[[#This Row],[Return on Equity]]&lt;0.09)</f>
        <v>0</v>
      </c>
      <c r="K357" s="128"/>
      <c r="L357" s="128"/>
    </row>
    <row r="358" spans="1:12" s="156" customFormat="1" x14ac:dyDescent="0.2">
      <c r="A358" s="155"/>
      <c r="D358" s="160">
        <v>30210</v>
      </c>
      <c r="E358" s="161">
        <v>0.16</v>
      </c>
      <c r="F358" s="161">
        <v>0.13499249999999999</v>
      </c>
      <c r="G358" s="133">
        <f t="shared" si="4"/>
        <v>2.5007500000000016E-2</v>
      </c>
      <c r="I358" s="156">
        <f>--(Risk_Prem2[[#This Row],[Return on Equity]]&lt;0.09)</f>
        <v>0</v>
      </c>
      <c r="K358" s="128"/>
      <c r="L358" s="128"/>
    </row>
    <row r="359" spans="1:12" s="156" customFormat="1" x14ac:dyDescent="0.2">
      <c r="A359" s="155"/>
      <c r="D359" s="160">
        <v>30211</v>
      </c>
      <c r="E359" s="161">
        <v>0.1525</v>
      </c>
      <c r="F359" s="161">
        <v>0.13495299999999999</v>
      </c>
      <c r="G359" s="133">
        <f t="shared" si="4"/>
        <v>1.7547000000000007E-2</v>
      </c>
      <c r="I359" s="156">
        <f>--(Risk_Prem2[[#This Row],[Return on Equity]]&lt;0.09)</f>
        <v>0</v>
      </c>
      <c r="K359" s="128"/>
      <c r="L359" s="128"/>
    </row>
    <row r="360" spans="1:12" s="156" customFormat="1" x14ac:dyDescent="0.2">
      <c r="A360" s="155"/>
      <c r="D360" s="160">
        <v>30217</v>
      </c>
      <c r="E360" s="161">
        <v>0.17170000000000002</v>
      </c>
      <c r="F360" s="161">
        <v>0.134709</v>
      </c>
      <c r="G360" s="133">
        <f t="shared" si="4"/>
        <v>3.6991000000000024E-2</v>
      </c>
      <c r="I360" s="156">
        <f>--(Risk_Prem2[[#This Row],[Return on Equity]]&lt;0.09)</f>
        <v>0</v>
      </c>
      <c r="K360" s="128"/>
      <c r="L360" s="128"/>
    </row>
    <row r="361" spans="1:12" s="156" customFormat="1" x14ac:dyDescent="0.2">
      <c r="A361" s="155"/>
      <c r="D361" s="160">
        <v>30218</v>
      </c>
      <c r="E361" s="161">
        <v>0.14499999999999999</v>
      </c>
      <c r="F361" s="161">
        <v>0.13463999999999998</v>
      </c>
      <c r="G361" s="133">
        <f t="shared" si="4"/>
        <v>1.0360000000000008E-2</v>
      </c>
      <c r="I361" s="156">
        <f>--(Risk_Prem2[[#This Row],[Return on Equity]]&lt;0.09)</f>
        <v>0</v>
      </c>
      <c r="K361" s="128"/>
      <c r="L361" s="128"/>
    </row>
    <row r="362" spans="1:12" s="156" customFormat="1" x14ac:dyDescent="0.2">
      <c r="A362" s="155"/>
      <c r="D362" s="160">
        <v>30221</v>
      </c>
      <c r="E362" s="161">
        <v>0.1525</v>
      </c>
      <c r="F362" s="161">
        <v>0.13456899999999999</v>
      </c>
      <c r="G362" s="133">
        <f t="shared" si="4"/>
        <v>1.7931000000000002E-2</v>
      </c>
      <c r="I362" s="156">
        <f>--(Risk_Prem2[[#This Row],[Return on Equity]]&lt;0.09)</f>
        <v>0</v>
      </c>
      <c r="K362" s="128"/>
      <c r="L362" s="128"/>
    </row>
    <row r="363" spans="1:12" s="156" customFormat="1" x14ac:dyDescent="0.2">
      <c r="A363" s="155"/>
      <c r="D363" s="160">
        <v>30225</v>
      </c>
      <c r="E363" s="161">
        <v>0.155</v>
      </c>
      <c r="F363" s="161">
        <v>0.1342255</v>
      </c>
      <c r="G363" s="133">
        <f t="shared" si="4"/>
        <v>2.0774500000000001E-2</v>
      </c>
      <c r="I363" s="156">
        <f>--(Risk_Prem2[[#This Row],[Return on Equity]]&lt;0.09)</f>
        <v>0</v>
      </c>
      <c r="K363" s="128"/>
      <c r="L363" s="128"/>
    </row>
    <row r="364" spans="1:12" s="156" customFormat="1" x14ac:dyDescent="0.2">
      <c r="A364" s="155"/>
      <c r="D364" s="160">
        <v>30239</v>
      </c>
      <c r="E364" s="161">
        <v>0.159</v>
      </c>
      <c r="F364" s="161">
        <v>0.13319399999999998</v>
      </c>
      <c r="G364" s="133">
        <f t="shared" si="4"/>
        <v>2.5806000000000023E-2</v>
      </c>
      <c r="I364" s="156">
        <f>--(Risk_Prem2[[#This Row],[Return on Equity]]&lt;0.09)</f>
        <v>0</v>
      </c>
      <c r="K364" s="128"/>
      <c r="L364" s="128"/>
    </row>
    <row r="365" spans="1:12" s="156" customFormat="1" x14ac:dyDescent="0.2">
      <c r="A365" s="155"/>
      <c r="D365" s="160">
        <v>30246</v>
      </c>
      <c r="E365" s="161">
        <v>0.1575</v>
      </c>
      <c r="F365" s="161">
        <v>0.13243500000000002</v>
      </c>
      <c r="G365" s="133">
        <f t="shared" si="4"/>
        <v>2.5064999999999976E-2</v>
      </c>
      <c r="I365" s="156">
        <f>--(Risk_Prem2[[#This Row],[Return on Equity]]&lt;0.09)</f>
        <v>0</v>
      </c>
      <c r="K365" s="128"/>
      <c r="L365" s="128"/>
    </row>
    <row r="366" spans="1:12" s="156" customFormat="1" x14ac:dyDescent="0.2">
      <c r="A366" s="155"/>
      <c r="D366" s="160">
        <v>30246</v>
      </c>
      <c r="E366" s="161">
        <v>0.17149999999999999</v>
      </c>
      <c r="F366" s="161">
        <v>0.13243500000000002</v>
      </c>
      <c r="G366" s="133">
        <f t="shared" ref="G366:G429" si="5">E366-F366</f>
        <v>3.9064999999999961E-2</v>
      </c>
      <c r="I366" s="156">
        <f>--(Risk_Prem2[[#This Row],[Return on Equity]]&lt;0.09)</f>
        <v>0</v>
      </c>
      <c r="K366" s="128"/>
      <c r="L366" s="128"/>
    </row>
    <row r="367" spans="1:12" s="156" customFormat="1" x14ac:dyDescent="0.2">
      <c r="A367" s="155"/>
      <c r="D367" s="160">
        <v>30253</v>
      </c>
      <c r="E367" s="161">
        <v>0.15539999999999998</v>
      </c>
      <c r="F367" s="161">
        <v>0.13164300000000001</v>
      </c>
      <c r="G367" s="133">
        <f t="shared" si="5"/>
        <v>2.3756999999999973E-2</v>
      </c>
      <c r="I367" s="156">
        <f>--(Risk_Prem2[[#This Row],[Return on Equity]]&lt;0.09)</f>
        <v>0</v>
      </c>
      <c r="K367" s="128"/>
      <c r="L367" s="128"/>
    </row>
    <row r="368" spans="1:12" s="156" customFormat="1" x14ac:dyDescent="0.2">
      <c r="A368" s="155"/>
      <c r="D368" s="160">
        <v>30256</v>
      </c>
      <c r="E368" s="161">
        <v>0.155</v>
      </c>
      <c r="F368" s="161">
        <v>0.13146950000000002</v>
      </c>
      <c r="G368" s="133">
        <f t="shared" si="5"/>
        <v>2.3530499999999982E-2</v>
      </c>
      <c r="I368" s="156">
        <f>--(Risk_Prem2[[#This Row],[Return on Equity]]&lt;0.09)</f>
        <v>0</v>
      </c>
      <c r="K368" s="128"/>
      <c r="L368" s="128"/>
    </row>
    <row r="369" spans="1:12" s="156" customFormat="1" x14ac:dyDescent="0.2">
      <c r="A369" s="155"/>
      <c r="D369" s="160">
        <v>30258</v>
      </c>
      <c r="E369" s="161">
        <v>0.17199999999999999</v>
      </c>
      <c r="F369" s="161">
        <v>0.13128500000000001</v>
      </c>
      <c r="G369" s="133">
        <f t="shared" si="5"/>
        <v>4.0714999999999973E-2</v>
      </c>
      <c r="I369" s="156">
        <f>--(Risk_Prem2[[#This Row],[Return on Equity]]&lt;0.09)</f>
        <v>0</v>
      </c>
      <c r="K369" s="128"/>
      <c r="L369" s="128"/>
    </row>
    <row r="370" spans="1:12" s="156" customFormat="1" x14ac:dyDescent="0.2">
      <c r="A370" s="155"/>
      <c r="D370" s="160">
        <v>30259</v>
      </c>
      <c r="E370" s="161">
        <v>0.16250000000000001</v>
      </c>
      <c r="F370" s="161">
        <v>0.13110450000000001</v>
      </c>
      <c r="G370" s="133">
        <f t="shared" si="5"/>
        <v>3.1395499999999993E-2</v>
      </c>
      <c r="I370" s="156">
        <f>--(Risk_Prem2[[#This Row],[Return on Equity]]&lt;0.09)</f>
        <v>0</v>
      </c>
      <c r="K370" s="128"/>
      <c r="L370" s="128"/>
    </row>
    <row r="371" spans="1:12" s="156" customFormat="1" x14ac:dyDescent="0.2">
      <c r="A371" s="155"/>
      <c r="D371" s="160">
        <v>30260</v>
      </c>
      <c r="E371" s="161">
        <v>0.16200000000000001</v>
      </c>
      <c r="F371" s="161">
        <v>0.13091600000000003</v>
      </c>
      <c r="G371" s="133">
        <f t="shared" si="5"/>
        <v>3.1083999999999973E-2</v>
      </c>
      <c r="I371" s="156">
        <f>--(Risk_Prem2[[#This Row],[Return on Equity]]&lt;0.09)</f>
        <v>0</v>
      </c>
      <c r="K371" s="128"/>
      <c r="L371" s="128"/>
    </row>
    <row r="372" spans="1:12" s="156" customFormat="1" x14ac:dyDescent="0.2">
      <c r="A372" s="155"/>
      <c r="D372" s="160">
        <v>30264</v>
      </c>
      <c r="E372" s="161">
        <v>0.16</v>
      </c>
      <c r="F372" s="161">
        <v>0.13054200000000002</v>
      </c>
      <c r="G372" s="133">
        <f t="shared" si="5"/>
        <v>2.9457999999999984E-2</v>
      </c>
      <c r="I372" s="156">
        <f>--(Risk_Prem2[[#This Row],[Return on Equity]]&lt;0.09)</f>
        <v>0</v>
      </c>
      <c r="K372" s="128"/>
      <c r="L372" s="128"/>
    </row>
    <row r="373" spans="1:12" s="156" customFormat="1" x14ac:dyDescent="0.2">
      <c r="A373" s="155"/>
      <c r="D373" s="160">
        <v>30278</v>
      </c>
      <c r="E373" s="161">
        <v>0.155</v>
      </c>
      <c r="F373" s="161">
        <v>0.12885900000000003</v>
      </c>
      <c r="G373" s="133">
        <f t="shared" si="5"/>
        <v>2.614099999999997E-2</v>
      </c>
      <c r="I373" s="156">
        <f>--(Risk_Prem2[[#This Row],[Return on Equity]]&lt;0.09)</f>
        <v>0</v>
      </c>
      <c r="K373" s="128"/>
      <c r="L373" s="128"/>
    </row>
    <row r="374" spans="1:12" s="156" customFormat="1" x14ac:dyDescent="0.2">
      <c r="A374" s="155"/>
      <c r="D374" s="160">
        <v>30278</v>
      </c>
      <c r="E374" s="161">
        <v>0.1585</v>
      </c>
      <c r="F374" s="161">
        <v>0.12885900000000003</v>
      </c>
      <c r="G374" s="133">
        <f t="shared" si="5"/>
        <v>2.9640999999999973E-2</v>
      </c>
      <c r="I374" s="156">
        <f>--(Risk_Prem2[[#This Row],[Return on Equity]]&lt;0.09)</f>
        <v>0</v>
      </c>
      <c r="K374" s="128"/>
      <c r="L374" s="128"/>
    </row>
    <row r="375" spans="1:12" s="156" customFormat="1" x14ac:dyDescent="0.2">
      <c r="A375" s="155"/>
      <c r="D375" s="160">
        <v>30285</v>
      </c>
      <c r="E375" s="161">
        <v>0.16500000000000001</v>
      </c>
      <c r="F375" s="161">
        <v>0.12805400000000003</v>
      </c>
      <c r="G375" s="133">
        <f t="shared" si="5"/>
        <v>3.6945999999999979E-2</v>
      </c>
      <c r="I375" s="156">
        <f>--(Risk_Prem2[[#This Row],[Return on Equity]]&lt;0.09)</f>
        <v>0</v>
      </c>
      <c r="K375" s="128"/>
      <c r="L375" s="128"/>
    </row>
    <row r="376" spans="1:12" s="156" customFormat="1" x14ac:dyDescent="0.2">
      <c r="A376" s="155"/>
      <c r="D376" s="160">
        <v>30286</v>
      </c>
      <c r="E376" s="161">
        <v>0.1704</v>
      </c>
      <c r="F376" s="161">
        <v>0.12785650000000004</v>
      </c>
      <c r="G376" s="133">
        <f t="shared" si="5"/>
        <v>4.2543499999999956E-2</v>
      </c>
      <c r="I376" s="156">
        <f>--(Risk_Prem2[[#This Row],[Return on Equity]]&lt;0.09)</f>
        <v>0</v>
      </c>
      <c r="K376" s="128"/>
      <c r="L376" s="128"/>
    </row>
    <row r="377" spans="1:12" s="156" customFormat="1" x14ac:dyDescent="0.2">
      <c r="A377" s="155"/>
      <c r="D377" s="160">
        <v>30291</v>
      </c>
      <c r="E377" s="161">
        <v>0.15</v>
      </c>
      <c r="F377" s="161">
        <v>0.12727200000000005</v>
      </c>
      <c r="G377" s="133">
        <f t="shared" si="5"/>
        <v>2.2727999999999943E-2</v>
      </c>
      <c r="I377" s="156">
        <f>--(Risk_Prem2[[#This Row],[Return on Equity]]&lt;0.09)</f>
        <v>0</v>
      </c>
      <c r="K377" s="128"/>
      <c r="L377" s="128"/>
    </row>
    <row r="378" spans="1:12" s="156" customFormat="1" x14ac:dyDescent="0.2">
      <c r="A378" s="155"/>
      <c r="D378" s="160">
        <v>30291</v>
      </c>
      <c r="E378" s="161">
        <v>0.16350000000000001</v>
      </c>
      <c r="F378" s="161">
        <v>0.12727200000000005</v>
      </c>
      <c r="G378" s="133">
        <f t="shared" si="5"/>
        <v>3.6227999999999955E-2</v>
      </c>
      <c r="I378" s="156">
        <f>--(Risk_Prem2[[#This Row],[Return on Equity]]&lt;0.09)</f>
        <v>0</v>
      </c>
      <c r="K378" s="128"/>
      <c r="L378" s="128"/>
    </row>
    <row r="379" spans="1:12" s="156" customFormat="1" x14ac:dyDescent="0.2">
      <c r="A379" s="155"/>
      <c r="D379" s="160">
        <v>30295</v>
      </c>
      <c r="E379" s="161">
        <v>0.155</v>
      </c>
      <c r="F379" s="161">
        <v>0.12660600000000005</v>
      </c>
      <c r="G379" s="133">
        <f t="shared" si="5"/>
        <v>2.8393999999999947E-2</v>
      </c>
      <c r="I379" s="156">
        <f>--(Risk_Prem2[[#This Row],[Return on Equity]]&lt;0.09)</f>
        <v>0</v>
      </c>
      <c r="K379" s="128"/>
      <c r="L379" s="128"/>
    </row>
    <row r="380" spans="1:12" s="156" customFormat="1" x14ac:dyDescent="0.2">
      <c r="A380" s="155"/>
      <c r="D380" s="160">
        <v>30298</v>
      </c>
      <c r="E380" s="161">
        <v>0.16</v>
      </c>
      <c r="F380" s="161">
        <v>0.12645350000000005</v>
      </c>
      <c r="G380" s="133">
        <f t="shared" si="5"/>
        <v>3.3546499999999951E-2</v>
      </c>
      <c r="I380" s="156">
        <f>--(Risk_Prem2[[#This Row],[Return on Equity]]&lt;0.09)</f>
        <v>0</v>
      </c>
      <c r="K380" s="128"/>
      <c r="L380" s="128"/>
    </row>
    <row r="381" spans="1:12" s="156" customFormat="1" x14ac:dyDescent="0.2">
      <c r="A381" s="155"/>
      <c r="D381" s="160">
        <v>30299</v>
      </c>
      <c r="E381" s="161">
        <v>0.153</v>
      </c>
      <c r="F381" s="161">
        <v>0.12629150000000003</v>
      </c>
      <c r="G381" s="133">
        <f t="shared" si="5"/>
        <v>2.6708499999999968E-2</v>
      </c>
      <c r="I381" s="156">
        <f>--(Risk_Prem2[[#This Row],[Return on Equity]]&lt;0.09)</f>
        <v>0</v>
      </c>
      <c r="K381" s="128"/>
      <c r="L381" s="128"/>
    </row>
    <row r="382" spans="1:12" s="156" customFormat="1" x14ac:dyDescent="0.2">
      <c r="A382" s="155"/>
      <c r="D382" s="160">
        <v>30299</v>
      </c>
      <c r="E382" s="161">
        <v>0.16399999999999998</v>
      </c>
      <c r="F382" s="161">
        <v>0.12629150000000003</v>
      </c>
      <c r="G382" s="133">
        <f t="shared" si="5"/>
        <v>3.770849999999995E-2</v>
      </c>
      <c r="I382" s="156">
        <f>--(Risk_Prem2[[#This Row],[Return on Equity]]&lt;0.09)</f>
        <v>0</v>
      </c>
      <c r="K382" s="128"/>
      <c r="L382" s="128"/>
    </row>
    <row r="383" spans="1:12" s="156" customFormat="1" x14ac:dyDescent="0.2">
      <c r="A383" s="155"/>
      <c r="D383" s="160">
        <v>30305</v>
      </c>
      <c r="E383" s="161">
        <v>0.16</v>
      </c>
      <c r="F383" s="161">
        <v>0.12571050000000003</v>
      </c>
      <c r="G383" s="133">
        <f t="shared" si="5"/>
        <v>3.4289499999999973E-2</v>
      </c>
      <c r="I383" s="156">
        <f>--(Risk_Prem2[[#This Row],[Return on Equity]]&lt;0.09)</f>
        <v>0</v>
      </c>
      <c r="K383" s="128"/>
      <c r="L383" s="128"/>
    </row>
    <row r="384" spans="1:12" s="156" customFormat="1" x14ac:dyDescent="0.2">
      <c r="A384" s="155"/>
      <c r="D384" s="160">
        <v>30306</v>
      </c>
      <c r="E384" s="161">
        <v>0.14749999999999999</v>
      </c>
      <c r="F384" s="161">
        <v>0.12556950000000003</v>
      </c>
      <c r="G384" s="133">
        <f t="shared" si="5"/>
        <v>2.1930499999999964E-2</v>
      </c>
      <c r="I384" s="156">
        <f>--(Risk_Prem2[[#This Row],[Return on Equity]]&lt;0.09)</f>
        <v>0</v>
      </c>
      <c r="K384" s="128"/>
      <c r="L384" s="128"/>
    </row>
    <row r="385" spans="1:12" s="156" customFormat="1" x14ac:dyDescent="0.2">
      <c r="A385" s="155"/>
      <c r="D385" s="160">
        <v>30306</v>
      </c>
      <c r="E385" s="161">
        <v>0.1585</v>
      </c>
      <c r="F385" s="161">
        <v>0.12556950000000003</v>
      </c>
      <c r="G385" s="133">
        <f t="shared" si="5"/>
        <v>3.2930499999999974E-2</v>
      </c>
      <c r="I385" s="156">
        <f>--(Risk_Prem2[[#This Row],[Return on Equity]]&lt;0.09)</f>
        <v>0</v>
      </c>
      <c r="K385" s="128"/>
      <c r="L385" s="128"/>
    </row>
    <row r="386" spans="1:12" s="156" customFormat="1" x14ac:dyDescent="0.2">
      <c r="A386" s="155"/>
      <c r="D386" s="160">
        <v>30307</v>
      </c>
      <c r="E386" s="161">
        <v>0.16250000000000001</v>
      </c>
      <c r="F386" s="161">
        <v>0.1254295</v>
      </c>
      <c r="G386" s="133">
        <f t="shared" si="5"/>
        <v>3.7070500000000006E-2</v>
      </c>
      <c r="I386" s="156">
        <f>--(Risk_Prem2[[#This Row],[Return on Equity]]&lt;0.09)</f>
        <v>0</v>
      </c>
      <c r="K386" s="128"/>
      <c r="L386" s="128"/>
    </row>
    <row r="387" spans="1:12" s="156" customFormat="1" x14ac:dyDescent="0.2">
      <c r="A387" s="155"/>
      <c r="D387" s="160">
        <v>30307</v>
      </c>
      <c r="E387" s="161">
        <v>0.16579999999999998</v>
      </c>
      <c r="F387" s="161">
        <v>0.1254295</v>
      </c>
      <c r="G387" s="133">
        <f t="shared" si="5"/>
        <v>4.0370499999999976E-2</v>
      </c>
      <c r="I387" s="156">
        <f>--(Risk_Prem2[[#This Row],[Return on Equity]]&lt;0.09)</f>
        <v>0</v>
      </c>
      <c r="K387" s="128"/>
      <c r="L387" s="128"/>
    </row>
    <row r="388" spans="1:12" s="156" customFormat="1" x14ac:dyDescent="0.2">
      <c r="A388" s="155"/>
      <c r="D388" s="160">
        <v>30307</v>
      </c>
      <c r="E388" s="161">
        <v>0.16750000000000001</v>
      </c>
      <c r="F388" s="161">
        <v>0.1254295</v>
      </c>
      <c r="G388" s="133">
        <f t="shared" si="5"/>
        <v>4.2070500000000011E-2</v>
      </c>
      <c r="I388" s="156">
        <f>--(Risk_Prem2[[#This Row],[Return on Equity]]&lt;0.09)</f>
        <v>0</v>
      </c>
      <c r="K388" s="128"/>
      <c r="L388" s="128"/>
    </row>
    <row r="389" spans="1:12" s="156" customFormat="1" x14ac:dyDescent="0.2">
      <c r="A389" s="155"/>
      <c r="D389" s="160">
        <v>30314</v>
      </c>
      <c r="E389" s="161">
        <v>0.14899999999999999</v>
      </c>
      <c r="F389" s="161">
        <v>0.12481899999999997</v>
      </c>
      <c r="G389" s="133">
        <f t="shared" si="5"/>
        <v>2.4181000000000022E-2</v>
      </c>
      <c r="I389" s="156">
        <f>--(Risk_Prem2[[#This Row],[Return on Equity]]&lt;0.09)</f>
        <v>0</v>
      </c>
      <c r="K389" s="128"/>
      <c r="L389" s="128"/>
    </row>
    <row r="390" spans="1:12" s="156" customFormat="1" x14ac:dyDescent="0.2">
      <c r="A390" s="155"/>
      <c r="D390" s="160">
        <v>30314</v>
      </c>
      <c r="E390" s="161">
        <v>0.16250000000000001</v>
      </c>
      <c r="F390" s="161">
        <v>0.12481899999999997</v>
      </c>
      <c r="G390" s="133">
        <f t="shared" si="5"/>
        <v>3.7681000000000034E-2</v>
      </c>
      <c r="I390" s="156">
        <f>--(Risk_Prem2[[#This Row],[Return on Equity]]&lt;0.09)</f>
        <v>0</v>
      </c>
      <c r="K390" s="128"/>
      <c r="L390" s="128"/>
    </row>
    <row r="391" spans="1:12" s="156" customFormat="1" x14ac:dyDescent="0.2">
      <c r="A391" s="155"/>
      <c r="D391" s="160">
        <v>30315</v>
      </c>
      <c r="E391" s="161">
        <v>0.16</v>
      </c>
      <c r="F391" s="161">
        <v>0.12465949999999998</v>
      </c>
      <c r="G391" s="133">
        <f t="shared" si="5"/>
        <v>3.5340500000000025E-2</v>
      </c>
      <c r="I391" s="156">
        <f>--(Risk_Prem2[[#This Row],[Return on Equity]]&lt;0.09)</f>
        <v>0</v>
      </c>
      <c r="K391" s="128"/>
      <c r="L391" s="128"/>
    </row>
    <row r="392" spans="1:12" s="156" customFormat="1" x14ac:dyDescent="0.2">
      <c r="A392" s="155"/>
      <c r="D392" s="160">
        <v>30315</v>
      </c>
      <c r="E392" s="161">
        <v>0.16350000000000001</v>
      </c>
      <c r="F392" s="161">
        <v>0.12465949999999998</v>
      </c>
      <c r="G392" s="133">
        <f t="shared" si="5"/>
        <v>3.8840500000000028E-2</v>
      </c>
      <c r="I392" s="156">
        <f>--(Risk_Prem2[[#This Row],[Return on Equity]]&lt;0.09)</f>
        <v>0</v>
      </c>
      <c r="K392" s="128"/>
      <c r="L392" s="128"/>
    </row>
    <row r="393" spans="1:12" s="156" customFormat="1" x14ac:dyDescent="0.2">
      <c r="A393" s="155"/>
      <c r="D393" s="160">
        <v>30315</v>
      </c>
      <c r="E393" s="161">
        <v>0.16769999999999999</v>
      </c>
      <c r="F393" s="161">
        <v>0.12465949999999998</v>
      </c>
      <c r="G393" s="133">
        <f t="shared" si="5"/>
        <v>4.3040500000000009E-2</v>
      </c>
      <c r="I393" s="156">
        <f>--(Risk_Prem2[[#This Row],[Return on Equity]]&lt;0.09)</f>
        <v>0</v>
      </c>
      <c r="K393" s="128"/>
      <c r="L393" s="128"/>
    </row>
    <row r="394" spans="1:12" s="156" customFormat="1" x14ac:dyDescent="0.2">
      <c r="A394" s="155"/>
      <c r="D394" s="160">
        <v>30321</v>
      </c>
      <c r="E394" s="161">
        <v>0.17329999999999998</v>
      </c>
      <c r="F394" s="161">
        <v>0.12403849999999998</v>
      </c>
      <c r="G394" s="133">
        <f t="shared" si="5"/>
        <v>4.92615E-2</v>
      </c>
      <c r="I394" s="156">
        <f>--(Risk_Prem2[[#This Row],[Return on Equity]]&lt;0.09)</f>
        <v>0</v>
      </c>
      <c r="K394" s="128"/>
      <c r="L394" s="128"/>
    </row>
    <row r="395" spans="1:12" s="156" customFormat="1" x14ac:dyDescent="0.2">
      <c r="A395" s="155"/>
      <c r="D395" s="160">
        <v>30327</v>
      </c>
      <c r="E395" s="161">
        <v>0.159</v>
      </c>
      <c r="F395" s="161">
        <v>0.12344799999999996</v>
      </c>
      <c r="G395" s="133">
        <f t="shared" si="5"/>
        <v>3.5552000000000042E-2</v>
      </c>
      <c r="I395" s="156">
        <f>--(Risk_Prem2[[#This Row],[Return on Equity]]&lt;0.09)</f>
        <v>0</v>
      </c>
      <c r="K395" s="128"/>
      <c r="L395" s="128"/>
    </row>
    <row r="396" spans="1:12" s="156" customFormat="1" x14ac:dyDescent="0.2">
      <c r="A396" s="155"/>
      <c r="D396" s="160">
        <v>30328</v>
      </c>
      <c r="E396" s="161">
        <v>0.14630000000000001</v>
      </c>
      <c r="F396" s="161">
        <v>0.12329649999999996</v>
      </c>
      <c r="G396" s="133">
        <f t="shared" si="5"/>
        <v>2.3003500000000052E-2</v>
      </c>
      <c r="I396" s="156">
        <f>--(Risk_Prem2[[#This Row],[Return on Equity]]&lt;0.09)</f>
        <v>0</v>
      </c>
      <c r="K396" s="128"/>
      <c r="L396" s="128"/>
    </row>
    <row r="397" spans="1:12" s="156" customFormat="1" x14ac:dyDescent="0.2">
      <c r="A397" s="155"/>
      <c r="D397" s="160">
        <v>30328</v>
      </c>
      <c r="E397" s="161">
        <v>0.155</v>
      </c>
      <c r="F397" s="161">
        <v>0.12329649999999996</v>
      </c>
      <c r="G397" s="133">
        <f t="shared" si="5"/>
        <v>3.1703500000000037E-2</v>
      </c>
      <c r="I397" s="156">
        <f>--(Risk_Prem2[[#This Row],[Return on Equity]]&lt;0.09)</f>
        <v>0</v>
      </c>
      <c r="K397" s="128"/>
      <c r="L397" s="128"/>
    </row>
    <row r="398" spans="1:12" s="156" customFormat="1" x14ac:dyDescent="0.2">
      <c r="A398" s="155"/>
      <c r="D398" s="160">
        <v>30336</v>
      </c>
      <c r="E398" s="161">
        <v>0.17749999999999999</v>
      </c>
      <c r="F398" s="161">
        <v>0.12235649999999994</v>
      </c>
      <c r="G398" s="133">
        <f t="shared" si="5"/>
        <v>5.5143500000000054E-2</v>
      </c>
      <c r="I398" s="156">
        <f>--(Risk_Prem2[[#This Row],[Return on Equity]]&lt;0.09)</f>
        <v>0</v>
      </c>
      <c r="K398" s="128"/>
      <c r="L398" s="128"/>
    </row>
    <row r="399" spans="1:12" s="156" customFormat="1" x14ac:dyDescent="0.2">
      <c r="A399" s="155"/>
      <c r="D399" s="160">
        <v>30337</v>
      </c>
      <c r="E399" s="161">
        <v>0.15</v>
      </c>
      <c r="F399" s="161">
        <v>0.12220949999999994</v>
      </c>
      <c r="G399" s="133">
        <f t="shared" si="5"/>
        <v>2.7790500000000051E-2</v>
      </c>
      <c r="I399" s="156">
        <f>--(Risk_Prem2[[#This Row],[Return on Equity]]&lt;0.09)</f>
        <v>0</v>
      </c>
      <c r="K399" s="128"/>
      <c r="L399" s="128"/>
    </row>
    <row r="400" spans="1:12" s="156" customFormat="1" x14ac:dyDescent="0.2">
      <c r="A400" s="155"/>
      <c r="D400" s="160">
        <v>30340</v>
      </c>
      <c r="E400" s="161">
        <v>0.14499999999999999</v>
      </c>
      <c r="F400" s="161">
        <v>0.12206699999999994</v>
      </c>
      <c r="G400" s="133">
        <f t="shared" si="5"/>
        <v>2.2933000000000051E-2</v>
      </c>
      <c r="I400" s="156">
        <f>--(Risk_Prem2[[#This Row],[Return on Equity]]&lt;0.09)</f>
        <v>0</v>
      </c>
      <c r="K400" s="128"/>
      <c r="L400" s="128"/>
    </row>
    <row r="401" spans="1:12" s="156" customFormat="1" x14ac:dyDescent="0.2">
      <c r="A401" s="155"/>
      <c r="D401" s="160">
        <v>30340</v>
      </c>
      <c r="E401" s="161">
        <v>0.155</v>
      </c>
      <c r="F401" s="161">
        <v>0.12206699999999994</v>
      </c>
      <c r="G401" s="133">
        <f t="shared" si="5"/>
        <v>3.2933000000000059E-2</v>
      </c>
      <c r="I401" s="156">
        <f>--(Risk_Prem2[[#This Row],[Return on Equity]]&lt;0.09)</f>
        <v>0</v>
      </c>
      <c r="K401" s="128"/>
      <c r="L401" s="128"/>
    </row>
    <row r="402" spans="1:12" s="156" customFormat="1" x14ac:dyDescent="0.2">
      <c r="A402" s="155"/>
      <c r="D402" s="160">
        <v>30341</v>
      </c>
      <c r="E402" s="161">
        <v>0.1585</v>
      </c>
      <c r="F402" s="161">
        <v>0.12192249999999995</v>
      </c>
      <c r="G402" s="133">
        <f t="shared" si="5"/>
        <v>3.6577500000000054E-2</v>
      </c>
      <c r="I402" s="156">
        <f>--(Risk_Prem2[[#This Row],[Return on Equity]]&lt;0.09)</f>
        <v>0</v>
      </c>
      <c r="K402" s="128"/>
      <c r="L402" s="128"/>
    </row>
    <row r="403" spans="1:12" s="156" customFormat="1" x14ac:dyDescent="0.2">
      <c r="A403" s="155"/>
      <c r="D403" s="160">
        <v>30343</v>
      </c>
      <c r="E403" s="161">
        <v>0.16140000000000002</v>
      </c>
      <c r="F403" s="161">
        <v>0.12167199999999996</v>
      </c>
      <c r="G403" s="133">
        <f t="shared" si="5"/>
        <v>3.9728000000000055E-2</v>
      </c>
      <c r="I403" s="156">
        <f>--(Risk_Prem2[[#This Row],[Return on Equity]]&lt;0.09)</f>
        <v>0</v>
      </c>
      <c r="K403" s="128"/>
      <c r="L403" s="128"/>
    </row>
    <row r="404" spans="1:12" s="156" customFormat="1" x14ac:dyDescent="0.2">
      <c r="A404" s="155"/>
      <c r="D404" s="160">
        <v>30348</v>
      </c>
      <c r="E404" s="161">
        <v>0.185</v>
      </c>
      <c r="F404" s="161">
        <v>0.12131099999999995</v>
      </c>
      <c r="G404" s="133">
        <f t="shared" si="5"/>
        <v>6.3689000000000051E-2</v>
      </c>
      <c r="I404" s="156">
        <f>--(Risk_Prem2[[#This Row],[Return on Equity]]&lt;0.09)</f>
        <v>0</v>
      </c>
      <c r="K404" s="128"/>
      <c r="L404" s="128"/>
    </row>
    <row r="405" spans="1:12" s="156" customFormat="1" x14ac:dyDescent="0.2">
      <c r="A405" s="155"/>
      <c r="D405" s="160">
        <v>30351</v>
      </c>
      <c r="E405" s="161">
        <v>0.14000000000000001</v>
      </c>
      <c r="F405" s="161">
        <v>0.1209909999999999</v>
      </c>
      <c r="G405" s="133">
        <f t="shared" si="5"/>
        <v>1.9009000000000109E-2</v>
      </c>
      <c r="I405" s="156">
        <f>--(Risk_Prem2[[#This Row],[Return on Equity]]&lt;0.09)</f>
        <v>0</v>
      </c>
      <c r="K405" s="128"/>
      <c r="L405" s="128"/>
    </row>
    <row r="406" spans="1:12" s="156" customFormat="1" x14ac:dyDescent="0.2">
      <c r="A406" s="155"/>
      <c r="D406" s="160">
        <v>30357</v>
      </c>
      <c r="E406" s="161">
        <v>0.15</v>
      </c>
      <c r="F406" s="161">
        <v>0.12056949999999994</v>
      </c>
      <c r="G406" s="133">
        <f t="shared" si="5"/>
        <v>2.9430500000000054E-2</v>
      </c>
      <c r="I406" s="156">
        <f>--(Risk_Prem2[[#This Row],[Return on Equity]]&lt;0.09)</f>
        <v>0</v>
      </c>
      <c r="K406" s="128"/>
      <c r="L406" s="128"/>
    </row>
    <row r="407" spans="1:12" s="156" customFormat="1" x14ac:dyDescent="0.2">
      <c r="A407" s="155"/>
      <c r="D407" s="160">
        <v>30368</v>
      </c>
      <c r="E407" s="161">
        <v>0.155</v>
      </c>
      <c r="F407" s="161">
        <v>0.11984049999999993</v>
      </c>
      <c r="G407" s="133">
        <f t="shared" si="5"/>
        <v>3.5159500000000066E-2</v>
      </c>
      <c r="I407" s="156">
        <f>--(Risk_Prem2[[#This Row],[Return on Equity]]&lt;0.09)</f>
        <v>0</v>
      </c>
      <c r="K407" s="128"/>
      <c r="L407" s="128"/>
    </row>
    <row r="408" spans="1:12" s="156" customFormat="1" x14ac:dyDescent="0.2">
      <c r="A408" s="155"/>
      <c r="D408" s="160">
        <v>30369</v>
      </c>
      <c r="E408" s="161">
        <v>0.155</v>
      </c>
      <c r="F408" s="161">
        <v>0.11970499999999992</v>
      </c>
      <c r="G408" s="133">
        <f t="shared" si="5"/>
        <v>3.5295000000000076E-2</v>
      </c>
      <c r="I408" s="156">
        <f>--(Risk_Prem2[[#This Row],[Return on Equity]]&lt;0.09)</f>
        <v>0</v>
      </c>
      <c r="K408" s="128"/>
      <c r="L408" s="128"/>
    </row>
    <row r="409" spans="1:12" s="156" customFormat="1" x14ac:dyDescent="0.2">
      <c r="A409" s="155"/>
      <c r="D409" s="160">
        <v>30370</v>
      </c>
      <c r="E409" s="161">
        <v>0.151</v>
      </c>
      <c r="F409" s="161">
        <v>0.11957949999999994</v>
      </c>
      <c r="G409" s="133">
        <f t="shared" si="5"/>
        <v>3.1420500000000059E-2</v>
      </c>
      <c r="I409" s="156">
        <f>--(Risk_Prem2[[#This Row],[Return on Equity]]&lt;0.09)</f>
        <v>0</v>
      </c>
      <c r="K409" s="128"/>
      <c r="L409" s="128"/>
    </row>
    <row r="410" spans="1:12" s="156" customFormat="1" x14ac:dyDescent="0.2">
      <c r="A410" s="155"/>
      <c r="D410" s="160">
        <v>30370</v>
      </c>
      <c r="E410" s="161">
        <v>0.16</v>
      </c>
      <c r="F410" s="161">
        <v>0.11957949999999994</v>
      </c>
      <c r="G410" s="133">
        <f t="shared" si="5"/>
        <v>4.0420500000000067E-2</v>
      </c>
      <c r="I410" s="156">
        <f>--(Risk_Prem2[[#This Row],[Return on Equity]]&lt;0.09)</f>
        <v>0</v>
      </c>
      <c r="K410" s="128"/>
      <c r="L410" s="128"/>
    </row>
    <row r="411" spans="1:12" s="156" customFormat="1" x14ac:dyDescent="0.2">
      <c r="A411" s="155"/>
      <c r="D411" s="160">
        <v>30377</v>
      </c>
      <c r="E411" s="161">
        <v>0.1525</v>
      </c>
      <c r="F411" s="161">
        <v>0.11891849999999991</v>
      </c>
      <c r="G411" s="133">
        <f t="shared" si="5"/>
        <v>3.3581500000000084E-2</v>
      </c>
      <c r="I411" s="156">
        <f>--(Risk_Prem2[[#This Row],[Return on Equity]]&lt;0.09)</f>
        <v>0</v>
      </c>
      <c r="K411" s="128"/>
      <c r="L411" s="128"/>
    </row>
    <row r="412" spans="1:12" s="156" customFormat="1" x14ac:dyDescent="0.2">
      <c r="A412" s="155"/>
      <c r="D412" s="160">
        <v>30384</v>
      </c>
      <c r="E412" s="161">
        <v>0.152</v>
      </c>
      <c r="F412" s="161">
        <v>0.11824799999999991</v>
      </c>
      <c r="G412" s="133">
        <f t="shared" si="5"/>
        <v>3.3752000000000087E-2</v>
      </c>
      <c r="I412" s="156">
        <f>--(Risk_Prem2[[#This Row],[Return on Equity]]&lt;0.09)</f>
        <v>0</v>
      </c>
      <c r="K412" s="128"/>
      <c r="L412" s="128"/>
    </row>
    <row r="413" spans="1:12" s="156" customFormat="1" x14ac:dyDescent="0.2">
      <c r="A413" s="155"/>
      <c r="D413" s="160">
        <v>30390</v>
      </c>
      <c r="E413" s="161">
        <v>0.13</v>
      </c>
      <c r="F413" s="161">
        <v>0.11772549999999987</v>
      </c>
      <c r="G413" s="133">
        <f t="shared" si="5"/>
        <v>1.2274500000000133E-2</v>
      </c>
      <c r="I413" s="156">
        <f>--(Risk_Prem2[[#This Row],[Return on Equity]]&lt;0.09)</f>
        <v>0</v>
      </c>
      <c r="K413" s="128"/>
      <c r="L413" s="128"/>
    </row>
    <row r="414" spans="1:12" s="156" customFormat="1" x14ac:dyDescent="0.2">
      <c r="A414" s="155"/>
      <c r="D414" s="160">
        <v>30393</v>
      </c>
      <c r="E414" s="161">
        <v>0.1525</v>
      </c>
      <c r="F414" s="161">
        <v>0.11730849999999986</v>
      </c>
      <c r="G414" s="133">
        <f t="shared" si="5"/>
        <v>3.5191500000000139E-2</v>
      </c>
      <c r="I414" s="156">
        <f>--(Risk_Prem2[[#This Row],[Return on Equity]]&lt;0.09)</f>
        <v>0</v>
      </c>
      <c r="K414" s="128"/>
      <c r="L414" s="128"/>
    </row>
    <row r="415" spans="1:12" s="156" customFormat="1" x14ac:dyDescent="0.2">
      <c r="A415" s="155"/>
      <c r="D415" s="160">
        <v>30398</v>
      </c>
      <c r="E415" s="161">
        <v>0.154</v>
      </c>
      <c r="F415" s="161">
        <v>0.11686049999999987</v>
      </c>
      <c r="G415" s="133">
        <f t="shared" si="5"/>
        <v>3.7139500000000131E-2</v>
      </c>
      <c r="I415" s="156">
        <f>--(Risk_Prem2[[#This Row],[Return on Equity]]&lt;0.09)</f>
        <v>0</v>
      </c>
      <c r="K415" s="128"/>
      <c r="L415" s="128"/>
    </row>
    <row r="416" spans="1:12" s="156" customFormat="1" x14ac:dyDescent="0.2">
      <c r="A416" s="155"/>
      <c r="D416" s="160">
        <v>30399</v>
      </c>
      <c r="E416" s="161">
        <v>0.15</v>
      </c>
      <c r="F416" s="161">
        <v>0.11670799999999987</v>
      </c>
      <c r="G416" s="133">
        <f t="shared" si="5"/>
        <v>3.3292000000000127E-2</v>
      </c>
      <c r="I416" s="156">
        <f>--(Risk_Prem2[[#This Row],[Return on Equity]]&lt;0.09)</f>
        <v>0</v>
      </c>
      <c r="K416" s="128"/>
      <c r="L416" s="128"/>
    </row>
    <row r="417" spans="1:12" s="156" customFormat="1" x14ac:dyDescent="0.2">
      <c r="A417" s="155"/>
      <c r="D417" s="160">
        <v>30404</v>
      </c>
      <c r="E417" s="161">
        <v>0.155</v>
      </c>
      <c r="F417" s="161">
        <v>0.11625449999999987</v>
      </c>
      <c r="G417" s="133">
        <f t="shared" si="5"/>
        <v>3.8745500000000127E-2</v>
      </c>
      <c r="I417" s="156">
        <f>--(Risk_Prem2[[#This Row],[Return on Equity]]&lt;0.09)</f>
        <v>0</v>
      </c>
      <c r="K417" s="128"/>
      <c r="L417" s="128"/>
    </row>
    <row r="418" spans="1:12" s="156" customFormat="1" x14ac:dyDescent="0.2">
      <c r="A418" s="155"/>
      <c r="D418" s="160">
        <v>30405</v>
      </c>
      <c r="E418" s="161">
        <v>0.1671</v>
      </c>
      <c r="F418" s="161">
        <v>0.11610649999999988</v>
      </c>
      <c r="G418" s="133">
        <f t="shared" si="5"/>
        <v>5.0993500000000122E-2</v>
      </c>
      <c r="I418" s="156">
        <f>--(Risk_Prem2[[#This Row],[Return on Equity]]&lt;0.09)</f>
        <v>0</v>
      </c>
      <c r="K418" s="128"/>
      <c r="L418" s="128"/>
    </row>
    <row r="419" spans="1:12" s="156" customFormat="1" x14ac:dyDescent="0.2">
      <c r="A419" s="155"/>
      <c r="D419" s="160">
        <v>30406</v>
      </c>
      <c r="E419" s="161">
        <v>0.15</v>
      </c>
      <c r="F419" s="161">
        <v>0.1159464999999999</v>
      </c>
      <c r="G419" s="133">
        <f t="shared" si="5"/>
        <v>3.4053500000000098E-2</v>
      </c>
      <c r="I419" s="156">
        <f>--(Risk_Prem2[[#This Row],[Return on Equity]]&lt;0.09)</f>
        <v>0</v>
      </c>
      <c r="K419" s="128"/>
      <c r="L419" s="128"/>
    </row>
    <row r="420" spans="1:12" s="156" customFormat="1" x14ac:dyDescent="0.2">
      <c r="A420" s="155"/>
      <c r="D420" s="160">
        <v>30410</v>
      </c>
      <c r="E420" s="161">
        <v>0.152</v>
      </c>
      <c r="F420" s="161">
        <v>0.11578649999999989</v>
      </c>
      <c r="G420" s="133">
        <f t="shared" si="5"/>
        <v>3.6213500000000107E-2</v>
      </c>
      <c r="I420" s="156">
        <f>--(Risk_Prem2[[#This Row],[Return on Equity]]&lt;0.09)</f>
        <v>0</v>
      </c>
      <c r="K420" s="128"/>
      <c r="L420" s="128"/>
    </row>
    <row r="421" spans="1:12" s="156" customFormat="1" x14ac:dyDescent="0.2">
      <c r="A421" s="155"/>
      <c r="D421" s="160">
        <v>30414</v>
      </c>
      <c r="E421" s="161">
        <v>0.155</v>
      </c>
      <c r="F421" s="161">
        <v>0.11508049999999991</v>
      </c>
      <c r="G421" s="133">
        <f t="shared" si="5"/>
        <v>3.9919500000000094E-2</v>
      </c>
      <c r="I421" s="156">
        <f>--(Risk_Prem2[[#This Row],[Return on Equity]]&lt;0.09)</f>
        <v>0</v>
      </c>
      <c r="K421" s="128"/>
      <c r="L421" s="128"/>
    </row>
    <row r="422" spans="1:12" s="156" customFormat="1" x14ac:dyDescent="0.2">
      <c r="A422" s="155"/>
      <c r="D422" s="160">
        <v>30417</v>
      </c>
      <c r="E422" s="161">
        <v>0.14810000000000001</v>
      </c>
      <c r="F422" s="161">
        <v>0.11489299999999993</v>
      </c>
      <c r="G422" s="133">
        <f t="shared" si="5"/>
        <v>3.3207000000000084E-2</v>
      </c>
      <c r="I422" s="156">
        <f>--(Risk_Prem2[[#This Row],[Return on Equity]]&lt;0.09)</f>
        <v>0</v>
      </c>
      <c r="K422" s="128"/>
      <c r="L422" s="128"/>
    </row>
    <row r="423" spans="1:12" s="156" customFormat="1" x14ac:dyDescent="0.2">
      <c r="A423" s="155"/>
      <c r="D423" s="160">
        <v>30425</v>
      </c>
      <c r="E423" s="161">
        <v>0.14499999999999999</v>
      </c>
      <c r="F423" s="161">
        <v>0.11377149999999993</v>
      </c>
      <c r="G423" s="133">
        <f t="shared" si="5"/>
        <v>3.1228500000000062E-2</v>
      </c>
      <c r="I423" s="156">
        <f>--(Risk_Prem2[[#This Row],[Return on Equity]]&lt;0.09)</f>
        <v>0</v>
      </c>
      <c r="K423" s="128"/>
      <c r="L423" s="128"/>
    </row>
    <row r="424" spans="1:12" s="156" customFormat="1" x14ac:dyDescent="0.2">
      <c r="A424" s="155"/>
      <c r="D424" s="160">
        <v>30426</v>
      </c>
      <c r="E424" s="161">
        <v>0.16</v>
      </c>
      <c r="F424" s="161">
        <v>0.11360049999999994</v>
      </c>
      <c r="G424" s="133">
        <f t="shared" si="5"/>
        <v>4.6399500000000066E-2</v>
      </c>
      <c r="I424" s="156">
        <f>--(Risk_Prem2[[#This Row],[Return on Equity]]&lt;0.09)</f>
        <v>0</v>
      </c>
      <c r="K424" s="128"/>
      <c r="L424" s="128"/>
    </row>
    <row r="425" spans="1:12" s="156" customFormat="1" x14ac:dyDescent="0.2">
      <c r="A425" s="155"/>
      <c r="D425" s="160">
        <v>30435</v>
      </c>
      <c r="E425" s="161">
        <v>0.16</v>
      </c>
      <c r="F425" s="161">
        <v>0.11244799999999999</v>
      </c>
      <c r="G425" s="133">
        <f t="shared" si="5"/>
        <v>4.7552000000000011E-2</v>
      </c>
      <c r="I425" s="156">
        <f>--(Risk_Prem2[[#This Row],[Return on Equity]]&lt;0.09)</f>
        <v>0</v>
      </c>
      <c r="K425" s="128"/>
      <c r="L425" s="128"/>
    </row>
    <row r="426" spans="1:12" s="156" customFormat="1" x14ac:dyDescent="0.2">
      <c r="A426" s="155"/>
      <c r="D426" s="160">
        <v>30437</v>
      </c>
      <c r="E426" s="161">
        <v>0.14499999999999999</v>
      </c>
      <c r="F426" s="161">
        <v>0.11244799999999999</v>
      </c>
      <c r="G426" s="133">
        <f t="shared" si="5"/>
        <v>3.2551999999999998E-2</v>
      </c>
      <c r="I426" s="156">
        <f>--(Risk_Prem2[[#This Row],[Return on Equity]]&lt;0.09)</f>
        <v>0</v>
      </c>
      <c r="K426" s="128"/>
      <c r="L426" s="128"/>
    </row>
    <row r="427" spans="1:12" s="156" customFormat="1" x14ac:dyDescent="0.2">
      <c r="A427" s="155"/>
      <c r="D427" s="160">
        <v>30445</v>
      </c>
      <c r="E427" s="161">
        <v>0.155</v>
      </c>
      <c r="F427" s="161">
        <v>0.11152350000000003</v>
      </c>
      <c r="G427" s="133">
        <f t="shared" si="5"/>
        <v>4.3476499999999974E-2</v>
      </c>
      <c r="I427" s="156">
        <f>--(Risk_Prem2[[#This Row],[Return on Equity]]&lt;0.09)</f>
        <v>0</v>
      </c>
      <c r="K427" s="128"/>
      <c r="L427" s="128"/>
    </row>
    <row r="428" spans="1:12" s="156" customFormat="1" x14ac:dyDescent="0.2">
      <c r="A428" s="155"/>
      <c r="D428" s="160">
        <v>30447</v>
      </c>
      <c r="E428" s="161">
        <v>0.1646</v>
      </c>
      <c r="F428" s="161">
        <v>0.11123250000000003</v>
      </c>
      <c r="G428" s="133">
        <f t="shared" si="5"/>
        <v>5.3367499999999971E-2</v>
      </c>
      <c r="I428" s="156">
        <f>--(Risk_Prem2[[#This Row],[Return on Equity]]&lt;0.09)</f>
        <v>0</v>
      </c>
      <c r="K428" s="128"/>
      <c r="L428" s="128"/>
    </row>
    <row r="429" spans="1:12" s="156" customFormat="1" x14ac:dyDescent="0.2">
      <c r="A429" s="155"/>
      <c r="D429" s="160">
        <v>30448</v>
      </c>
      <c r="E429" s="161">
        <v>0.1414</v>
      </c>
      <c r="F429" s="161">
        <v>0.11107850000000002</v>
      </c>
      <c r="G429" s="133">
        <f t="shared" si="5"/>
        <v>3.0321499999999973E-2</v>
      </c>
      <c r="I429" s="156">
        <f>--(Risk_Prem2[[#This Row],[Return on Equity]]&lt;0.09)</f>
        <v>0</v>
      </c>
      <c r="K429" s="128"/>
      <c r="L429" s="128"/>
    </row>
    <row r="430" spans="1:12" s="156" customFormat="1" x14ac:dyDescent="0.2">
      <c r="A430" s="155"/>
      <c r="D430" s="160">
        <v>30454</v>
      </c>
      <c r="E430" s="161">
        <v>0.15</v>
      </c>
      <c r="F430" s="161">
        <v>0.11048350000000003</v>
      </c>
      <c r="G430" s="133">
        <f t="shared" ref="G430:G493" si="6">E430-F430</f>
        <v>3.9516499999999968E-2</v>
      </c>
      <c r="I430" s="156">
        <f>--(Risk_Prem2[[#This Row],[Return on Equity]]&lt;0.09)</f>
        <v>0</v>
      </c>
      <c r="K430" s="128"/>
      <c r="L430" s="128"/>
    </row>
    <row r="431" spans="1:12" s="156" customFormat="1" x14ac:dyDescent="0.2">
      <c r="A431" s="155"/>
      <c r="D431" s="160">
        <v>30459</v>
      </c>
      <c r="E431" s="161">
        <v>0.14899999999999999</v>
      </c>
      <c r="F431" s="161">
        <v>0.11010150000000003</v>
      </c>
      <c r="G431" s="133">
        <f t="shared" si="6"/>
        <v>3.8898499999999961E-2</v>
      </c>
      <c r="I431" s="156">
        <f>--(Risk_Prem2[[#This Row],[Return on Equity]]&lt;0.09)</f>
        <v>0</v>
      </c>
      <c r="K431" s="128"/>
      <c r="L431" s="128"/>
    </row>
    <row r="432" spans="1:12" s="156" customFormat="1" x14ac:dyDescent="0.2">
      <c r="A432" s="155"/>
      <c r="D432" s="160">
        <v>30459</v>
      </c>
      <c r="E432" s="161">
        <v>0.155</v>
      </c>
      <c r="F432" s="161">
        <v>0.11010150000000003</v>
      </c>
      <c r="G432" s="133">
        <f t="shared" si="6"/>
        <v>4.4898499999999966E-2</v>
      </c>
      <c r="I432" s="156">
        <f>--(Risk_Prem2[[#This Row],[Return on Equity]]&lt;0.09)</f>
        <v>0</v>
      </c>
      <c r="K432" s="128"/>
      <c r="L432" s="128"/>
    </row>
    <row r="433" spans="1:12" s="156" customFormat="1" x14ac:dyDescent="0.2">
      <c r="A433" s="155"/>
      <c r="D433" s="160">
        <v>30461</v>
      </c>
      <c r="E433" s="161">
        <v>0.155</v>
      </c>
      <c r="F433" s="161">
        <v>0.10983650000000006</v>
      </c>
      <c r="G433" s="133">
        <f t="shared" si="6"/>
        <v>4.516349999999994E-2</v>
      </c>
      <c r="I433" s="156">
        <f>--(Risk_Prem2[[#This Row],[Return on Equity]]&lt;0.09)</f>
        <v>0</v>
      </c>
      <c r="K433" s="128"/>
      <c r="L433" s="128"/>
    </row>
    <row r="434" spans="1:12" s="156" customFormat="1" x14ac:dyDescent="0.2">
      <c r="A434" s="155"/>
      <c r="D434" s="160">
        <v>30463</v>
      </c>
      <c r="E434" s="161">
        <v>0.15</v>
      </c>
      <c r="F434" s="161">
        <v>0.10958450000000004</v>
      </c>
      <c r="G434" s="133">
        <f t="shared" si="6"/>
        <v>4.0415499999999951E-2</v>
      </c>
      <c r="I434" s="156">
        <f>--(Risk_Prem2[[#This Row],[Return on Equity]]&lt;0.09)</f>
        <v>0</v>
      </c>
      <c r="K434" s="128"/>
      <c r="L434" s="128"/>
    </row>
    <row r="435" spans="1:12" s="156" customFormat="1" x14ac:dyDescent="0.2">
      <c r="A435" s="155"/>
      <c r="D435" s="160">
        <v>30467</v>
      </c>
      <c r="E435" s="161">
        <v>0.14000000000000001</v>
      </c>
      <c r="F435" s="161">
        <v>0.10946915000000006</v>
      </c>
      <c r="G435" s="133">
        <f t="shared" si="6"/>
        <v>3.0530849999999957E-2</v>
      </c>
      <c r="I435" s="156">
        <f>--(Risk_Prem2[[#This Row],[Return on Equity]]&lt;0.09)</f>
        <v>0</v>
      </c>
      <c r="K435" s="128"/>
      <c r="L435" s="128"/>
    </row>
    <row r="436" spans="1:12" s="156" customFormat="1" x14ac:dyDescent="0.2">
      <c r="A436" s="155"/>
      <c r="D436" s="160">
        <v>30467</v>
      </c>
      <c r="E436" s="161">
        <v>0.155</v>
      </c>
      <c r="F436" s="161">
        <v>0.10946915000000006</v>
      </c>
      <c r="G436" s="133">
        <f t="shared" si="6"/>
        <v>4.5530849999999942E-2</v>
      </c>
      <c r="I436" s="156">
        <f>--(Risk_Prem2[[#This Row],[Return on Equity]]&lt;0.09)</f>
        <v>0</v>
      </c>
      <c r="K436" s="128"/>
      <c r="L436" s="128"/>
    </row>
    <row r="437" spans="1:12" s="156" customFormat="1" x14ac:dyDescent="0.2">
      <c r="A437" s="155"/>
      <c r="D437" s="160">
        <v>30469</v>
      </c>
      <c r="E437" s="161">
        <v>0.14499999999999999</v>
      </c>
      <c r="F437" s="161">
        <v>0.10925160000000007</v>
      </c>
      <c r="G437" s="133">
        <f t="shared" si="6"/>
        <v>3.5748399999999916E-2</v>
      </c>
      <c r="I437" s="156">
        <f>--(Risk_Prem2[[#This Row],[Return on Equity]]&lt;0.09)</f>
        <v>0</v>
      </c>
      <c r="K437" s="128"/>
      <c r="L437" s="128"/>
    </row>
    <row r="438" spans="1:12" s="156" customFormat="1" x14ac:dyDescent="0.2">
      <c r="A438" s="155"/>
      <c r="D438" s="160">
        <v>30484</v>
      </c>
      <c r="E438" s="161">
        <v>0.15029999999999999</v>
      </c>
      <c r="F438" s="161">
        <v>0.10840485000000008</v>
      </c>
      <c r="G438" s="133">
        <f t="shared" si="6"/>
        <v>4.1895149999999909E-2</v>
      </c>
      <c r="I438" s="156">
        <f>--(Risk_Prem2[[#This Row],[Return on Equity]]&lt;0.09)</f>
        <v>0</v>
      </c>
      <c r="K438" s="128"/>
      <c r="L438" s="128"/>
    </row>
    <row r="439" spans="1:12" s="156" customFormat="1" x14ac:dyDescent="0.2">
      <c r="A439" s="155"/>
      <c r="D439" s="160">
        <v>30498</v>
      </c>
      <c r="E439" s="161">
        <v>0.14800000000000002</v>
      </c>
      <c r="F439" s="161">
        <v>0.10775645000000007</v>
      </c>
      <c r="G439" s="133">
        <f t="shared" si="6"/>
        <v>4.0243549999999947E-2</v>
      </c>
      <c r="I439" s="156">
        <f>--(Risk_Prem2[[#This Row],[Return on Equity]]&lt;0.09)</f>
        <v>0</v>
      </c>
      <c r="K439" s="128"/>
      <c r="L439" s="128"/>
    </row>
    <row r="440" spans="1:12" s="156" customFormat="1" x14ac:dyDescent="0.2">
      <c r="A440" s="155"/>
      <c r="D440" s="160">
        <v>30498</v>
      </c>
      <c r="E440" s="161">
        <v>0.14899999999999999</v>
      </c>
      <c r="F440" s="161">
        <v>0.10775645000000007</v>
      </c>
      <c r="G440" s="133">
        <f t="shared" si="6"/>
        <v>4.1243549999999921E-2</v>
      </c>
      <c r="I440" s="156">
        <f>--(Risk_Prem2[[#This Row],[Return on Equity]]&lt;0.09)</f>
        <v>0</v>
      </c>
      <c r="K440" s="128"/>
      <c r="L440" s="128"/>
    </row>
    <row r="441" spans="1:12" s="156" customFormat="1" x14ac:dyDescent="0.2">
      <c r="A441" s="155"/>
      <c r="D441" s="160">
        <v>30505</v>
      </c>
      <c r="E441" s="161">
        <v>0.16250000000000001</v>
      </c>
      <c r="F441" s="161">
        <v>0.10757595000000007</v>
      </c>
      <c r="G441" s="133">
        <f t="shared" si="6"/>
        <v>5.4924049999999933E-2</v>
      </c>
      <c r="I441" s="156">
        <f>--(Risk_Prem2[[#This Row],[Return on Equity]]&lt;0.09)</f>
        <v>0</v>
      </c>
      <c r="K441" s="128"/>
      <c r="L441" s="128"/>
    </row>
    <row r="442" spans="1:12" s="156" customFormat="1" x14ac:dyDescent="0.2">
      <c r="A442" s="155"/>
      <c r="D442" s="160">
        <v>30510</v>
      </c>
      <c r="E442" s="161">
        <v>0.13200000000000001</v>
      </c>
      <c r="F442" s="161">
        <v>0.10751065000000005</v>
      </c>
      <c r="G442" s="133">
        <f t="shared" si="6"/>
        <v>2.4489349999999951E-2</v>
      </c>
      <c r="I442" s="156">
        <f>--(Risk_Prem2[[#This Row],[Return on Equity]]&lt;0.09)</f>
        <v>0</v>
      </c>
      <c r="K442" s="128"/>
      <c r="L442" s="128"/>
    </row>
    <row r="443" spans="1:12" s="156" customFormat="1" x14ac:dyDescent="0.2">
      <c r="A443" s="155"/>
      <c r="D443" s="160">
        <v>30516</v>
      </c>
      <c r="E443" s="161">
        <v>0.15</v>
      </c>
      <c r="F443" s="161">
        <v>0.10741695000000005</v>
      </c>
      <c r="G443" s="133">
        <f t="shared" si="6"/>
        <v>4.2583049999999942E-2</v>
      </c>
      <c r="I443" s="156">
        <f>--(Risk_Prem2[[#This Row],[Return on Equity]]&lt;0.09)</f>
        <v>0</v>
      </c>
      <c r="K443" s="128"/>
      <c r="L443" s="128"/>
    </row>
    <row r="444" spans="1:12" s="156" customFormat="1" x14ac:dyDescent="0.2">
      <c r="A444" s="155"/>
      <c r="D444" s="160">
        <v>30516</v>
      </c>
      <c r="E444" s="161">
        <v>0.151</v>
      </c>
      <c r="F444" s="161">
        <v>0.10741695000000005</v>
      </c>
      <c r="G444" s="133">
        <f t="shared" si="6"/>
        <v>4.3583049999999943E-2</v>
      </c>
      <c r="I444" s="156">
        <f>--(Risk_Prem2[[#This Row],[Return on Equity]]&lt;0.09)</f>
        <v>0</v>
      </c>
      <c r="K444" s="128"/>
      <c r="L444" s="128"/>
    </row>
    <row r="445" spans="1:12" s="156" customFormat="1" x14ac:dyDescent="0.2">
      <c r="A445" s="155"/>
      <c r="D445" s="160">
        <v>30522</v>
      </c>
      <c r="E445" s="161">
        <v>0.16250000000000001</v>
      </c>
      <c r="F445" s="161">
        <v>0.10734425000000002</v>
      </c>
      <c r="G445" s="133">
        <f t="shared" si="6"/>
        <v>5.515574999999999E-2</v>
      </c>
      <c r="I445" s="156">
        <f>--(Risk_Prem2[[#This Row],[Return on Equity]]&lt;0.09)</f>
        <v>0</v>
      </c>
      <c r="K445" s="128"/>
      <c r="L445" s="128"/>
    </row>
    <row r="446" spans="1:12" s="156" customFormat="1" x14ac:dyDescent="0.2">
      <c r="A446" s="155"/>
      <c r="D446" s="160">
        <v>30525</v>
      </c>
      <c r="E446" s="161">
        <v>0.159</v>
      </c>
      <c r="F446" s="161">
        <v>0.10737085000000002</v>
      </c>
      <c r="G446" s="133">
        <f t="shared" si="6"/>
        <v>5.1629149999999985E-2</v>
      </c>
      <c r="I446" s="156">
        <f>--(Risk_Prem2[[#This Row],[Return on Equity]]&lt;0.09)</f>
        <v>0</v>
      </c>
      <c r="K446" s="128"/>
      <c r="L446" s="128"/>
    </row>
    <row r="447" spans="1:12" s="156" customFormat="1" x14ac:dyDescent="0.2">
      <c r="A447" s="155"/>
      <c r="D447" s="160">
        <v>30531</v>
      </c>
      <c r="E447" s="161">
        <v>0.16339999999999999</v>
      </c>
      <c r="F447" s="161">
        <v>0.10751795000000004</v>
      </c>
      <c r="G447" s="133">
        <f t="shared" si="6"/>
        <v>5.5882049999999947E-2</v>
      </c>
      <c r="I447" s="156">
        <f>--(Risk_Prem2[[#This Row],[Return on Equity]]&lt;0.09)</f>
        <v>0</v>
      </c>
      <c r="K447" s="128"/>
      <c r="L447" s="128"/>
    </row>
    <row r="448" spans="1:12" s="156" customFormat="1" x14ac:dyDescent="0.2">
      <c r="A448" s="155"/>
      <c r="D448" s="160">
        <v>30531</v>
      </c>
      <c r="E448" s="161">
        <v>0.16500000000000001</v>
      </c>
      <c r="F448" s="161">
        <v>0.10751795000000004</v>
      </c>
      <c r="G448" s="133">
        <f t="shared" si="6"/>
        <v>5.7482049999999965E-2</v>
      </c>
      <c r="I448" s="156">
        <f>--(Risk_Prem2[[#This Row],[Return on Equity]]&lt;0.09)</f>
        <v>0</v>
      </c>
      <c r="K448" s="128"/>
      <c r="L448" s="128"/>
    </row>
    <row r="449" spans="1:12" s="156" customFormat="1" x14ac:dyDescent="0.2">
      <c r="A449" s="155"/>
      <c r="D449" s="160">
        <v>30547</v>
      </c>
      <c r="E449" s="161">
        <v>0.15</v>
      </c>
      <c r="F449" s="161">
        <v>0.10798080000000003</v>
      </c>
      <c r="G449" s="133">
        <f t="shared" si="6"/>
        <v>4.2019199999999965E-2</v>
      </c>
      <c r="I449" s="156">
        <f>--(Risk_Prem2[[#This Row],[Return on Equity]]&lt;0.09)</f>
        <v>0</v>
      </c>
      <c r="K449" s="128"/>
      <c r="L449" s="128"/>
    </row>
    <row r="450" spans="1:12" s="156" customFormat="1" x14ac:dyDescent="0.2">
      <c r="A450" s="155"/>
      <c r="D450" s="160">
        <v>30550</v>
      </c>
      <c r="E450" s="161">
        <v>0.155</v>
      </c>
      <c r="F450" s="161">
        <v>0.10802160000000001</v>
      </c>
      <c r="G450" s="133">
        <f t="shared" si="6"/>
        <v>4.697839999999999E-2</v>
      </c>
      <c r="I450" s="156">
        <f>--(Risk_Prem2[[#This Row],[Return on Equity]]&lt;0.09)</f>
        <v>0</v>
      </c>
      <c r="K450" s="128"/>
      <c r="L450" s="128"/>
    </row>
    <row r="451" spans="1:12" s="156" customFormat="1" x14ac:dyDescent="0.2">
      <c r="A451" s="155"/>
      <c r="D451" s="160">
        <v>30550</v>
      </c>
      <c r="E451" s="161">
        <v>0.16399999999999998</v>
      </c>
      <c r="F451" s="161">
        <v>0.10802160000000001</v>
      </c>
      <c r="G451" s="133">
        <f t="shared" si="6"/>
        <v>5.597839999999997E-2</v>
      </c>
      <c r="I451" s="156">
        <f>--(Risk_Prem2[[#This Row],[Return on Equity]]&lt;0.09)</f>
        <v>0</v>
      </c>
      <c r="K451" s="128"/>
      <c r="L451" s="128"/>
    </row>
    <row r="452" spans="1:12" s="156" customFormat="1" x14ac:dyDescent="0.2">
      <c r="A452" s="155"/>
      <c r="D452" s="160">
        <v>30559</v>
      </c>
      <c r="E452" s="161">
        <v>0.14749999999999999</v>
      </c>
      <c r="F452" s="161">
        <v>0.10843825000000001</v>
      </c>
      <c r="G452" s="133">
        <f t="shared" si="6"/>
        <v>3.9061749999999978E-2</v>
      </c>
      <c r="I452" s="156">
        <f>--(Risk_Prem2[[#This Row],[Return on Equity]]&lt;0.09)</f>
        <v>0</v>
      </c>
      <c r="K452" s="128"/>
      <c r="L452" s="128"/>
    </row>
    <row r="453" spans="1:12" s="156" customFormat="1" x14ac:dyDescent="0.2">
      <c r="A453" s="155"/>
      <c r="D453" s="160">
        <v>30566</v>
      </c>
      <c r="E453" s="161">
        <v>0.15</v>
      </c>
      <c r="F453" s="161">
        <v>0.10863820000000002</v>
      </c>
      <c r="G453" s="133">
        <f t="shared" si="6"/>
        <v>4.1361799999999976E-2</v>
      </c>
      <c r="I453" s="156">
        <f>--(Risk_Prem2[[#This Row],[Return on Equity]]&lt;0.09)</f>
        <v>0</v>
      </c>
      <c r="K453" s="128"/>
      <c r="L453" s="128"/>
    </row>
    <row r="454" spans="1:12" s="156" customFormat="1" x14ac:dyDescent="0.2">
      <c r="A454" s="155"/>
      <c r="D454" s="160">
        <v>30573</v>
      </c>
      <c r="E454" s="161">
        <v>0.1578</v>
      </c>
      <c r="F454" s="161">
        <v>0.10893140000000001</v>
      </c>
      <c r="G454" s="133">
        <f t="shared" si="6"/>
        <v>4.8868599999999984E-2</v>
      </c>
      <c r="I454" s="156">
        <f>--(Risk_Prem2[[#This Row],[Return on Equity]]&lt;0.09)</f>
        <v>0</v>
      </c>
      <c r="K454" s="128"/>
      <c r="L454" s="128"/>
    </row>
    <row r="455" spans="1:12" s="156" customFormat="1" x14ac:dyDescent="0.2">
      <c r="A455" s="155"/>
      <c r="D455" s="160">
        <v>30575</v>
      </c>
      <c r="E455" s="161">
        <v>0.15</v>
      </c>
      <c r="F455" s="161">
        <v>0.10903325000000001</v>
      </c>
      <c r="G455" s="133">
        <f t="shared" si="6"/>
        <v>4.0966749999999982E-2</v>
      </c>
      <c r="I455" s="156">
        <f>--(Risk_Prem2[[#This Row],[Return on Equity]]&lt;0.09)</f>
        <v>0</v>
      </c>
      <c r="K455" s="128"/>
      <c r="L455" s="128"/>
    </row>
    <row r="456" spans="1:12" s="156" customFormat="1" x14ac:dyDescent="0.2">
      <c r="A456" s="155"/>
      <c r="D456" s="160">
        <v>30578</v>
      </c>
      <c r="E456" s="161">
        <v>0.14499999999999999</v>
      </c>
      <c r="F456" s="161">
        <v>0.1090793</v>
      </c>
      <c r="G456" s="133">
        <f t="shared" si="6"/>
        <v>3.5920699999999986E-2</v>
      </c>
      <c r="I456" s="156">
        <f>--(Risk_Prem2[[#This Row],[Return on Equity]]&lt;0.09)</f>
        <v>0</v>
      </c>
      <c r="K456" s="128"/>
      <c r="L456" s="128"/>
    </row>
    <row r="457" spans="1:12" s="156" customFormat="1" x14ac:dyDescent="0.2">
      <c r="A457" s="155"/>
      <c r="D457" s="160">
        <v>30579</v>
      </c>
      <c r="E457" s="161">
        <v>0.16500000000000001</v>
      </c>
      <c r="F457" s="161">
        <v>0.10912459999999999</v>
      </c>
      <c r="G457" s="133">
        <f t="shared" si="6"/>
        <v>5.5875400000000019E-2</v>
      </c>
      <c r="I457" s="156">
        <f>--(Risk_Prem2[[#This Row],[Return on Equity]]&lt;0.09)</f>
        <v>0</v>
      </c>
      <c r="K457" s="128"/>
      <c r="L457" s="128"/>
    </row>
    <row r="458" spans="1:12" s="156" customFormat="1" x14ac:dyDescent="0.2">
      <c r="A458" s="155"/>
      <c r="D458" s="160">
        <v>30587</v>
      </c>
      <c r="E458" s="161">
        <v>0.14499999999999999</v>
      </c>
      <c r="F458" s="161">
        <v>0.10941374999999999</v>
      </c>
      <c r="G458" s="133">
        <f t="shared" si="6"/>
        <v>3.558625E-2</v>
      </c>
      <c r="I458" s="156">
        <f>--(Risk_Prem2[[#This Row],[Return on Equity]]&lt;0.09)</f>
        <v>0</v>
      </c>
      <c r="K458" s="128"/>
      <c r="L458" s="128"/>
    </row>
    <row r="459" spans="1:12" s="156" customFormat="1" x14ac:dyDescent="0.2">
      <c r="A459" s="155"/>
      <c r="D459" s="160">
        <v>30588</v>
      </c>
      <c r="E459" s="161">
        <v>0.155</v>
      </c>
      <c r="F459" s="161">
        <v>0.10945684999999999</v>
      </c>
      <c r="G459" s="133">
        <f t="shared" si="6"/>
        <v>4.5543150000000004E-2</v>
      </c>
      <c r="I459" s="156">
        <f>--(Risk_Prem2[[#This Row],[Return on Equity]]&lt;0.09)</f>
        <v>0</v>
      </c>
      <c r="K459" s="128"/>
      <c r="L459" s="128"/>
    </row>
    <row r="460" spans="1:12" s="156" customFormat="1" x14ac:dyDescent="0.2">
      <c r="A460" s="155"/>
      <c r="D460" s="160">
        <v>30589</v>
      </c>
      <c r="E460" s="161">
        <v>0.1525</v>
      </c>
      <c r="F460" s="161">
        <v>0.10950299999999999</v>
      </c>
      <c r="G460" s="133">
        <f t="shared" si="6"/>
        <v>4.2997000000000007E-2</v>
      </c>
      <c r="I460" s="156">
        <f>--(Risk_Prem2[[#This Row],[Return on Equity]]&lt;0.09)</f>
        <v>0</v>
      </c>
      <c r="K460" s="128"/>
      <c r="L460" s="128"/>
    </row>
    <row r="461" spans="1:12" s="156" customFormat="1" x14ac:dyDescent="0.2">
      <c r="A461" s="155"/>
      <c r="D461" s="160">
        <v>30589</v>
      </c>
      <c r="E461" s="161">
        <v>0.16149999999999998</v>
      </c>
      <c r="F461" s="161">
        <v>0.10950299999999999</v>
      </c>
      <c r="G461" s="133">
        <f t="shared" si="6"/>
        <v>5.1996999999999988E-2</v>
      </c>
      <c r="I461" s="156">
        <f>--(Risk_Prem2[[#This Row],[Return on Equity]]&lt;0.09)</f>
        <v>0</v>
      </c>
      <c r="K461" s="128"/>
      <c r="L461" s="128"/>
    </row>
    <row r="462" spans="1:12" s="156" customFormat="1" x14ac:dyDescent="0.2">
      <c r="A462" s="155"/>
      <c r="D462" s="160">
        <v>30593</v>
      </c>
      <c r="E462" s="161">
        <v>0.14800000000000002</v>
      </c>
      <c r="F462" s="161">
        <v>0.10958385000000001</v>
      </c>
      <c r="G462" s="133">
        <f t="shared" si="6"/>
        <v>3.841615000000001E-2</v>
      </c>
      <c r="I462" s="156">
        <f>--(Risk_Prem2[[#This Row],[Return on Equity]]&lt;0.09)</f>
        <v>0</v>
      </c>
      <c r="K462" s="128"/>
      <c r="L462" s="128"/>
    </row>
    <row r="463" spans="1:12" s="156" customFormat="1" x14ac:dyDescent="0.2">
      <c r="A463" s="155"/>
      <c r="D463" s="160">
        <v>30596</v>
      </c>
      <c r="E463" s="161">
        <v>0.16</v>
      </c>
      <c r="F463" s="161">
        <v>0.10968635000000003</v>
      </c>
      <c r="G463" s="133">
        <f t="shared" si="6"/>
        <v>5.0313649999999974E-2</v>
      </c>
      <c r="I463" s="156">
        <f>--(Risk_Prem2[[#This Row],[Return on Equity]]&lt;0.09)</f>
        <v>0</v>
      </c>
      <c r="K463" s="128"/>
      <c r="L463" s="128"/>
    </row>
    <row r="464" spans="1:12" s="156" customFormat="1" x14ac:dyDescent="0.2">
      <c r="A464" s="155"/>
      <c r="D464" s="160">
        <v>30602</v>
      </c>
      <c r="E464" s="161">
        <v>0.1552</v>
      </c>
      <c r="F464" s="161">
        <v>0.10985320000000004</v>
      </c>
      <c r="G464" s="133">
        <f t="shared" si="6"/>
        <v>4.5346799999999965E-2</v>
      </c>
      <c r="I464" s="156">
        <f>--(Risk_Prem2[[#This Row],[Return on Equity]]&lt;0.09)</f>
        <v>0</v>
      </c>
      <c r="K464" s="128"/>
      <c r="L464" s="128"/>
    </row>
    <row r="465" spans="1:12" s="156" customFormat="1" x14ac:dyDescent="0.2">
      <c r="A465" s="155"/>
      <c r="D465" s="160">
        <v>30606</v>
      </c>
      <c r="E465" s="161">
        <v>0.155</v>
      </c>
      <c r="F465" s="161">
        <v>0.10995655000000001</v>
      </c>
      <c r="G465" s="133">
        <f t="shared" si="6"/>
        <v>4.5043449999999985E-2</v>
      </c>
      <c r="I465" s="156">
        <f>--(Risk_Prem2[[#This Row],[Return on Equity]]&lt;0.09)</f>
        <v>0</v>
      </c>
      <c r="K465" s="128"/>
      <c r="L465" s="128"/>
    </row>
    <row r="466" spans="1:12" s="156" customFormat="1" x14ac:dyDescent="0.2">
      <c r="A466" s="155"/>
      <c r="D466" s="160">
        <v>30607</v>
      </c>
      <c r="E466" s="161">
        <v>0.14499999999999999</v>
      </c>
      <c r="F466" s="161">
        <v>0.11001024999999999</v>
      </c>
      <c r="G466" s="133">
        <f t="shared" si="6"/>
        <v>3.498975E-2</v>
      </c>
      <c r="I466" s="156">
        <f>--(Risk_Prem2[[#This Row],[Return on Equity]]&lt;0.09)</f>
        <v>0</v>
      </c>
      <c r="K466" s="128"/>
      <c r="L466" s="128"/>
    </row>
    <row r="467" spans="1:12" s="156" customFormat="1" x14ac:dyDescent="0.2">
      <c r="A467" s="155"/>
      <c r="D467" s="160">
        <v>30608</v>
      </c>
      <c r="E467" s="161">
        <v>0.16250000000000001</v>
      </c>
      <c r="F467" s="161">
        <v>0.11006359999999998</v>
      </c>
      <c r="G467" s="133">
        <f t="shared" si="6"/>
        <v>5.2436400000000022E-2</v>
      </c>
      <c r="I467" s="156">
        <f>--(Risk_Prem2[[#This Row],[Return on Equity]]&lt;0.09)</f>
        <v>0</v>
      </c>
      <c r="K467" s="128"/>
      <c r="L467" s="128"/>
    </row>
    <row r="468" spans="1:12" s="156" customFormat="1" x14ac:dyDescent="0.2">
      <c r="A468" s="155"/>
      <c r="D468" s="160">
        <v>30608</v>
      </c>
      <c r="E468" s="161">
        <v>0.16500000000000001</v>
      </c>
      <c r="F468" s="161">
        <v>0.11006359999999998</v>
      </c>
      <c r="G468" s="133">
        <f t="shared" si="6"/>
        <v>5.4936400000000024E-2</v>
      </c>
      <c r="I468" s="156">
        <f>--(Risk_Prem2[[#This Row],[Return on Equity]]&lt;0.09)</f>
        <v>0</v>
      </c>
      <c r="K468" s="128"/>
      <c r="L468" s="128"/>
    </row>
    <row r="469" spans="1:12" s="156" customFormat="1" x14ac:dyDescent="0.2">
      <c r="A469" s="155"/>
      <c r="D469" s="160">
        <v>30615</v>
      </c>
      <c r="E469" s="161">
        <v>0.15</v>
      </c>
      <c r="F469" s="161">
        <v>0.11035989999999998</v>
      </c>
      <c r="G469" s="133">
        <f t="shared" si="6"/>
        <v>3.9640100000000011E-2</v>
      </c>
      <c r="I469" s="156">
        <f>--(Risk_Prem2[[#This Row],[Return on Equity]]&lt;0.09)</f>
        <v>0</v>
      </c>
      <c r="K469" s="128"/>
      <c r="L469" s="128"/>
    </row>
    <row r="470" spans="1:12" s="156" customFormat="1" x14ac:dyDescent="0.2">
      <c r="A470" s="155"/>
      <c r="D470" s="160">
        <v>30616</v>
      </c>
      <c r="E470" s="161">
        <v>0.152</v>
      </c>
      <c r="F470" s="161">
        <v>0.11041899999999996</v>
      </c>
      <c r="G470" s="133">
        <f t="shared" si="6"/>
        <v>4.1581000000000035E-2</v>
      </c>
      <c r="I470" s="156">
        <f>--(Risk_Prem2[[#This Row],[Return on Equity]]&lt;0.09)</f>
        <v>0</v>
      </c>
      <c r="K470" s="128"/>
      <c r="L470" s="128"/>
    </row>
    <row r="471" spans="1:12" s="156" customFormat="1" x14ac:dyDescent="0.2">
      <c r="A471" s="155"/>
      <c r="D471" s="160">
        <v>30621</v>
      </c>
      <c r="E471" s="161">
        <v>0.16</v>
      </c>
      <c r="F471" s="161">
        <v>0.11061244999999992</v>
      </c>
      <c r="G471" s="133">
        <f t="shared" si="6"/>
        <v>4.9387550000000086E-2</v>
      </c>
      <c r="I471" s="156">
        <f>--(Risk_Prem2[[#This Row],[Return on Equity]]&lt;0.09)</f>
        <v>0</v>
      </c>
      <c r="K471" s="128"/>
      <c r="L471" s="128"/>
    </row>
    <row r="472" spans="1:12" s="156" customFormat="1" x14ac:dyDescent="0.2">
      <c r="A472" s="155"/>
      <c r="D472" s="160">
        <v>30629</v>
      </c>
      <c r="E472" s="161">
        <v>0.14899999999999999</v>
      </c>
      <c r="F472" s="161">
        <v>0.11092819999999998</v>
      </c>
      <c r="G472" s="133">
        <f t="shared" si="6"/>
        <v>3.8071800000000017E-2</v>
      </c>
      <c r="I472" s="156">
        <f>--(Risk_Prem2[[#This Row],[Return on Equity]]&lt;0.09)</f>
        <v>0</v>
      </c>
      <c r="K472" s="128"/>
      <c r="L472" s="128"/>
    </row>
    <row r="473" spans="1:12" s="156" customFormat="1" x14ac:dyDescent="0.2">
      <c r="A473" s="155"/>
      <c r="D473" s="160">
        <v>30630</v>
      </c>
      <c r="E473" s="161">
        <v>0.14349999999999999</v>
      </c>
      <c r="F473" s="161">
        <v>0.11097264999999998</v>
      </c>
      <c r="G473" s="133">
        <f t="shared" si="6"/>
        <v>3.252735000000001E-2</v>
      </c>
      <c r="I473" s="156">
        <f>--(Risk_Prem2[[#This Row],[Return on Equity]]&lt;0.09)</f>
        <v>0</v>
      </c>
      <c r="K473" s="128"/>
      <c r="L473" s="128"/>
    </row>
    <row r="474" spans="1:12" s="156" customFormat="1" x14ac:dyDescent="0.2">
      <c r="A474" s="155"/>
      <c r="D474" s="160">
        <v>30643</v>
      </c>
      <c r="E474" s="161">
        <v>0.16</v>
      </c>
      <c r="F474" s="161">
        <v>0.11128789999999997</v>
      </c>
      <c r="G474" s="133">
        <f t="shared" si="6"/>
        <v>4.8712100000000036E-2</v>
      </c>
      <c r="I474" s="156">
        <f>--(Risk_Prem2[[#This Row],[Return on Equity]]&lt;0.09)</f>
        <v>0</v>
      </c>
      <c r="K474" s="128"/>
      <c r="L474" s="128"/>
    </row>
    <row r="475" spans="1:12" s="156" customFormat="1" x14ac:dyDescent="0.2">
      <c r="A475" s="155"/>
      <c r="D475" s="160">
        <v>30643</v>
      </c>
      <c r="E475" s="161">
        <v>0.16149999999999998</v>
      </c>
      <c r="F475" s="161">
        <v>0.11128789999999997</v>
      </c>
      <c r="G475" s="133">
        <f t="shared" si="6"/>
        <v>5.021210000000001E-2</v>
      </c>
      <c r="I475" s="156">
        <f>--(Risk_Prem2[[#This Row],[Return on Equity]]&lt;0.09)</f>
        <v>0</v>
      </c>
      <c r="K475" s="128"/>
      <c r="L475" s="128"/>
    </row>
    <row r="476" spans="1:12" s="156" customFormat="1" x14ac:dyDescent="0.2">
      <c r="A476" s="155"/>
      <c r="D476" s="160">
        <v>30650</v>
      </c>
      <c r="E476" s="161">
        <v>0.15</v>
      </c>
      <c r="F476" s="161">
        <v>0.11139364999999996</v>
      </c>
      <c r="G476" s="133">
        <f t="shared" si="6"/>
        <v>3.8606350000000039E-2</v>
      </c>
      <c r="I476" s="156">
        <f>--(Risk_Prem2[[#This Row],[Return on Equity]]&lt;0.09)</f>
        <v>0</v>
      </c>
      <c r="K476" s="128"/>
      <c r="L476" s="128"/>
    </row>
    <row r="477" spans="1:12" s="156" customFormat="1" x14ac:dyDescent="0.2">
      <c r="A477" s="155"/>
      <c r="D477" s="160">
        <v>30655</v>
      </c>
      <c r="E477" s="161">
        <v>0.1525</v>
      </c>
      <c r="F477" s="161">
        <v>0.11150269999999995</v>
      </c>
      <c r="G477" s="133">
        <f t="shared" si="6"/>
        <v>4.0997300000000042E-2</v>
      </c>
      <c r="I477" s="156">
        <f>--(Risk_Prem2[[#This Row],[Return on Equity]]&lt;0.09)</f>
        <v>0</v>
      </c>
      <c r="K477" s="128"/>
      <c r="L477" s="128"/>
    </row>
    <row r="478" spans="1:12" s="156" customFormat="1" x14ac:dyDescent="0.2">
      <c r="A478" s="155"/>
      <c r="D478" s="160">
        <v>30656</v>
      </c>
      <c r="E478" s="161">
        <v>0.1507</v>
      </c>
      <c r="F478" s="161">
        <v>0.11154474999999996</v>
      </c>
      <c r="G478" s="133">
        <f t="shared" si="6"/>
        <v>3.9155250000000044E-2</v>
      </c>
      <c r="I478" s="156">
        <f>--(Risk_Prem2[[#This Row],[Return on Equity]]&lt;0.09)</f>
        <v>0</v>
      </c>
      <c r="K478" s="128"/>
      <c r="L478" s="128"/>
    </row>
    <row r="479" spans="1:12" s="156" customFormat="1" x14ac:dyDescent="0.2">
      <c r="A479" s="155"/>
      <c r="D479" s="160">
        <v>30658</v>
      </c>
      <c r="E479" s="161">
        <v>0.159</v>
      </c>
      <c r="F479" s="161">
        <v>0.11163384999999995</v>
      </c>
      <c r="G479" s="133">
        <f t="shared" si="6"/>
        <v>4.7366150000000051E-2</v>
      </c>
      <c r="I479" s="156">
        <f>--(Risk_Prem2[[#This Row],[Return on Equity]]&lt;0.09)</f>
        <v>0</v>
      </c>
      <c r="K479" s="128"/>
      <c r="L479" s="128"/>
    </row>
    <row r="480" spans="1:12" s="156" customFormat="1" x14ac:dyDescent="0.2">
      <c r="A480" s="155"/>
      <c r="D480" s="160">
        <v>30659</v>
      </c>
      <c r="E480" s="161">
        <v>0.14749999999999999</v>
      </c>
      <c r="F480" s="161">
        <v>0.11168509999999995</v>
      </c>
      <c r="G480" s="133">
        <f t="shared" si="6"/>
        <v>3.5814900000000038E-2</v>
      </c>
      <c r="I480" s="156">
        <f>--(Risk_Prem2[[#This Row],[Return on Equity]]&lt;0.09)</f>
        <v>0</v>
      </c>
      <c r="K480" s="128"/>
      <c r="L480" s="128"/>
    </row>
    <row r="481" spans="1:12" s="156" customFormat="1" x14ac:dyDescent="0.2">
      <c r="A481" s="155"/>
      <c r="D481" s="160">
        <v>30662</v>
      </c>
      <c r="E481" s="161">
        <v>0.14499999999999999</v>
      </c>
      <c r="F481" s="161">
        <v>0.11174229999999996</v>
      </c>
      <c r="G481" s="133">
        <f t="shared" si="6"/>
        <v>3.3257700000000029E-2</v>
      </c>
      <c r="I481" s="156">
        <f>--(Risk_Prem2[[#This Row],[Return on Equity]]&lt;0.09)</f>
        <v>0</v>
      </c>
      <c r="K481" s="128"/>
      <c r="L481" s="128"/>
    </row>
    <row r="482" spans="1:12" s="156" customFormat="1" x14ac:dyDescent="0.2">
      <c r="A482" s="155"/>
      <c r="D482" s="160">
        <v>30665</v>
      </c>
      <c r="E482" s="161">
        <v>0.15560000000000002</v>
      </c>
      <c r="F482" s="161">
        <v>0.11194829999999995</v>
      </c>
      <c r="G482" s="133">
        <f t="shared" si="6"/>
        <v>4.3651700000000071E-2</v>
      </c>
      <c r="I482" s="156">
        <f>--(Risk_Prem2[[#This Row],[Return on Equity]]&lt;0.09)</f>
        <v>0</v>
      </c>
      <c r="K482" s="128"/>
      <c r="L482" s="128"/>
    </row>
    <row r="483" spans="1:12" s="156" customFormat="1" x14ac:dyDescent="0.2">
      <c r="A483" s="155"/>
      <c r="D483" s="160">
        <v>30669</v>
      </c>
      <c r="E483" s="161">
        <v>0.14800000000000002</v>
      </c>
      <c r="F483" s="161">
        <v>0.11209059999999992</v>
      </c>
      <c r="G483" s="133">
        <f t="shared" si="6"/>
        <v>3.5909400000000105E-2</v>
      </c>
      <c r="I483" s="156">
        <f>--(Risk_Prem2[[#This Row],[Return on Equity]]&lt;0.09)</f>
        <v>0</v>
      </c>
      <c r="K483" s="128"/>
      <c r="L483" s="128"/>
    </row>
    <row r="484" spans="1:12" s="156" customFormat="1" x14ac:dyDescent="0.2">
      <c r="A484" s="155"/>
      <c r="D484" s="160">
        <v>30670</v>
      </c>
      <c r="E484" s="161">
        <v>0.1469</v>
      </c>
      <c r="F484" s="161">
        <v>0.11216629999999991</v>
      </c>
      <c r="G484" s="133">
        <f t="shared" si="6"/>
        <v>3.473370000000009E-2</v>
      </c>
      <c r="I484" s="156">
        <f>--(Risk_Prem2[[#This Row],[Return on Equity]]&lt;0.09)</f>
        <v>0</v>
      </c>
      <c r="K484" s="128"/>
      <c r="L484" s="128"/>
    </row>
    <row r="485" spans="1:12" s="156" customFormat="1" x14ac:dyDescent="0.2">
      <c r="A485" s="155"/>
      <c r="D485" s="160">
        <v>30670</v>
      </c>
      <c r="E485" s="161">
        <v>0.16</v>
      </c>
      <c r="F485" s="161">
        <v>0.11216629999999991</v>
      </c>
      <c r="G485" s="133">
        <f t="shared" si="6"/>
        <v>4.783370000000009E-2</v>
      </c>
      <c r="I485" s="156">
        <f>--(Risk_Prem2[[#This Row],[Return on Equity]]&lt;0.09)</f>
        <v>0</v>
      </c>
      <c r="K485" s="128"/>
      <c r="L485" s="128"/>
    </row>
    <row r="486" spans="1:12" s="156" customFormat="1" x14ac:dyDescent="0.2">
      <c r="A486" s="155"/>
      <c r="D486" s="160">
        <v>30670</v>
      </c>
      <c r="E486" s="161">
        <v>0.16250000000000001</v>
      </c>
      <c r="F486" s="161">
        <v>0.11216629999999991</v>
      </c>
      <c r="G486" s="133">
        <f t="shared" si="6"/>
        <v>5.0333700000000092E-2</v>
      </c>
      <c r="I486" s="156">
        <f>--(Risk_Prem2[[#This Row],[Return on Equity]]&lt;0.09)</f>
        <v>0</v>
      </c>
      <c r="K486" s="128"/>
      <c r="L486" s="128"/>
    </row>
    <row r="487" spans="1:12" s="156" customFormat="1" x14ac:dyDescent="0.2">
      <c r="A487" s="155"/>
      <c r="D487" s="160">
        <v>30672</v>
      </c>
      <c r="E487" s="161">
        <v>0.14749999999999999</v>
      </c>
      <c r="F487" s="161">
        <v>0.11230604999999989</v>
      </c>
      <c r="G487" s="133">
        <f t="shared" si="6"/>
        <v>3.5193950000000099E-2</v>
      </c>
      <c r="I487" s="156">
        <f>--(Risk_Prem2[[#This Row],[Return on Equity]]&lt;0.09)</f>
        <v>0</v>
      </c>
      <c r="K487" s="128"/>
      <c r="L487" s="128"/>
    </row>
    <row r="488" spans="1:12" s="156" customFormat="1" x14ac:dyDescent="0.2">
      <c r="A488" s="155"/>
      <c r="D488" s="160">
        <v>30672</v>
      </c>
      <c r="E488" s="161">
        <v>0.1575</v>
      </c>
      <c r="F488" s="161">
        <v>0.11230604999999989</v>
      </c>
      <c r="G488" s="133">
        <f t="shared" si="6"/>
        <v>4.5193950000000108E-2</v>
      </c>
      <c r="I488" s="156">
        <f>--(Risk_Prem2[[#This Row],[Return on Equity]]&lt;0.09)</f>
        <v>0</v>
      </c>
      <c r="K488" s="128"/>
      <c r="L488" s="128"/>
    </row>
    <row r="489" spans="1:12" s="156" customFormat="1" x14ac:dyDescent="0.2">
      <c r="A489" s="155"/>
      <c r="D489" s="160">
        <v>30684</v>
      </c>
      <c r="E489" s="161">
        <v>0.14749999999999999</v>
      </c>
      <c r="F489" s="161">
        <v>0.11267004999999991</v>
      </c>
      <c r="G489" s="133">
        <f t="shared" si="6"/>
        <v>3.4829950000000082E-2</v>
      </c>
      <c r="I489" s="156">
        <f>--(Risk_Prem2[[#This Row],[Return on Equity]]&lt;0.09)</f>
        <v>0</v>
      </c>
      <c r="K489" s="128"/>
      <c r="L489" s="128"/>
    </row>
    <row r="490" spans="1:12" s="156" customFormat="1" x14ac:dyDescent="0.2">
      <c r="A490" s="155"/>
      <c r="D490" s="160">
        <v>30691</v>
      </c>
      <c r="E490" s="161">
        <v>0.159</v>
      </c>
      <c r="F490" s="161">
        <v>0.1129568499999999</v>
      </c>
      <c r="G490" s="133">
        <f t="shared" si="6"/>
        <v>4.6043150000000102E-2</v>
      </c>
      <c r="I490" s="156">
        <f>--(Risk_Prem2[[#This Row],[Return on Equity]]&lt;0.09)</f>
        <v>0</v>
      </c>
      <c r="K490" s="128"/>
      <c r="L490" s="128"/>
    </row>
    <row r="491" spans="1:12" s="156" customFormat="1" x14ac:dyDescent="0.2">
      <c r="A491" s="155"/>
      <c r="D491" s="160">
        <v>30693</v>
      </c>
      <c r="E491" s="161">
        <v>0.156</v>
      </c>
      <c r="F491" s="161">
        <v>0.11306554999999992</v>
      </c>
      <c r="G491" s="133">
        <f t="shared" si="6"/>
        <v>4.2934450000000082E-2</v>
      </c>
      <c r="I491" s="156">
        <f>--(Risk_Prem2[[#This Row],[Return on Equity]]&lt;0.09)</f>
        <v>0</v>
      </c>
      <c r="K491" s="128"/>
      <c r="L491" s="128"/>
    </row>
    <row r="492" spans="1:12" s="156" customFormat="1" x14ac:dyDescent="0.2">
      <c r="A492" s="155"/>
      <c r="D492" s="160">
        <v>30699</v>
      </c>
      <c r="E492" s="161">
        <v>0.13750000000000001</v>
      </c>
      <c r="F492" s="161">
        <v>0.11325839999999994</v>
      </c>
      <c r="G492" s="133">
        <f t="shared" si="6"/>
        <v>2.4241600000000071E-2</v>
      </c>
      <c r="I492" s="156">
        <f>--(Risk_Prem2[[#This Row],[Return on Equity]]&lt;0.09)</f>
        <v>0</v>
      </c>
      <c r="K492" s="128"/>
      <c r="L492" s="128"/>
    </row>
    <row r="493" spans="1:12" s="156" customFormat="1" x14ac:dyDescent="0.2">
      <c r="A493" s="155"/>
      <c r="D493" s="160">
        <v>30700</v>
      </c>
      <c r="E493" s="161">
        <v>0.159</v>
      </c>
      <c r="F493" s="161">
        <v>0.11330744999999993</v>
      </c>
      <c r="G493" s="133">
        <f t="shared" si="6"/>
        <v>4.5692550000000068E-2</v>
      </c>
      <c r="I493" s="156">
        <f>--(Risk_Prem2[[#This Row],[Return on Equity]]&lt;0.09)</f>
        <v>0</v>
      </c>
      <c r="K493" s="128"/>
      <c r="L493" s="128"/>
    </row>
    <row r="494" spans="1:12" s="156" customFormat="1" x14ac:dyDescent="0.2">
      <c r="A494" s="155"/>
      <c r="D494" s="160">
        <v>30711</v>
      </c>
      <c r="E494" s="161">
        <v>0.161</v>
      </c>
      <c r="F494" s="161">
        <v>0.11368539999999998</v>
      </c>
      <c r="G494" s="133">
        <f t="shared" ref="G494:G557" si="7">E494-F494</f>
        <v>4.7314600000000026E-2</v>
      </c>
      <c r="I494" s="156">
        <f>--(Risk_Prem2[[#This Row],[Return on Equity]]&lt;0.09)</f>
        <v>0</v>
      </c>
      <c r="K494" s="128"/>
      <c r="L494" s="128"/>
    </row>
    <row r="495" spans="1:12" s="156" customFormat="1" x14ac:dyDescent="0.2">
      <c r="A495" s="155"/>
      <c r="D495" s="160">
        <v>30712</v>
      </c>
      <c r="E495" s="161">
        <v>0.1525</v>
      </c>
      <c r="F495" s="161">
        <v>0.11374979999999997</v>
      </c>
      <c r="G495" s="133">
        <f t="shared" si="7"/>
        <v>3.8750200000000026E-2</v>
      </c>
      <c r="I495" s="156">
        <f>--(Risk_Prem2[[#This Row],[Return on Equity]]&lt;0.09)</f>
        <v>0</v>
      </c>
      <c r="K495" s="128"/>
      <c r="L495" s="128"/>
    </row>
    <row r="496" spans="1:12" s="156" customFormat="1" x14ac:dyDescent="0.2">
      <c r="A496" s="155"/>
      <c r="D496" s="160">
        <v>30713</v>
      </c>
      <c r="E496" s="161">
        <v>0.14800000000000002</v>
      </c>
      <c r="F496" s="161">
        <v>0.11381229999999999</v>
      </c>
      <c r="G496" s="133">
        <f t="shared" si="7"/>
        <v>3.4187700000000029E-2</v>
      </c>
      <c r="I496" s="156">
        <f>--(Risk_Prem2[[#This Row],[Return on Equity]]&lt;0.09)</f>
        <v>0</v>
      </c>
      <c r="K496" s="128"/>
      <c r="L496" s="128"/>
    </row>
    <row r="497" spans="1:12" s="156" customFormat="1" x14ac:dyDescent="0.2">
      <c r="A497" s="155"/>
      <c r="D497" s="160">
        <v>30718</v>
      </c>
      <c r="E497" s="161">
        <v>0.13750000000000001</v>
      </c>
      <c r="F497" s="161">
        <v>0.11401064999999999</v>
      </c>
      <c r="G497" s="133">
        <f t="shared" si="7"/>
        <v>2.348935000000002E-2</v>
      </c>
      <c r="I497" s="156">
        <f>--(Risk_Prem2[[#This Row],[Return on Equity]]&lt;0.09)</f>
        <v>0</v>
      </c>
      <c r="K497" s="128"/>
      <c r="L497" s="128"/>
    </row>
    <row r="498" spans="1:12" s="156" customFormat="1" x14ac:dyDescent="0.2">
      <c r="A498" s="155"/>
      <c r="D498" s="160">
        <v>30718</v>
      </c>
      <c r="E498" s="161">
        <v>0.14749999999999999</v>
      </c>
      <c r="F498" s="161">
        <v>0.11401064999999999</v>
      </c>
      <c r="G498" s="133">
        <f t="shared" si="7"/>
        <v>3.3489350000000001E-2</v>
      </c>
      <c r="I498" s="156">
        <f>--(Risk_Prem2[[#This Row],[Return on Equity]]&lt;0.09)</f>
        <v>0</v>
      </c>
      <c r="K498" s="128"/>
      <c r="L498" s="128"/>
    </row>
    <row r="499" spans="1:12" s="156" customFormat="1" x14ac:dyDescent="0.2">
      <c r="A499" s="155"/>
      <c r="D499" s="160">
        <v>30721</v>
      </c>
      <c r="E499" s="161">
        <v>0.1525</v>
      </c>
      <c r="F499" s="161">
        <v>0.11421739999999998</v>
      </c>
      <c r="G499" s="133">
        <f t="shared" si="7"/>
        <v>3.8282600000000014E-2</v>
      </c>
      <c r="I499" s="156">
        <f>--(Risk_Prem2[[#This Row],[Return on Equity]]&lt;0.09)</f>
        <v>0</v>
      </c>
      <c r="K499" s="128"/>
      <c r="L499" s="128"/>
    </row>
    <row r="500" spans="1:12" s="156" customFormat="1" x14ac:dyDescent="0.2">
      <c r="A500" s="155"/>
      <c r="D500" s="160">
        <v>30727</v>
      </c>
      <c r="E500" s="161">
        <v>0.157</v>
      </c>
      <c r="F500" s="161">
        <v>0.11442859999999999</v>
      </c>
      <c r="G500" s="133">
        <f t="shared" si="7"/>
        <v>4.2571400000000009E-2</v>
      </c>
      <c r="I500" s="156">
        <f>--(Risk_Prem2[[#This Row],[Return on Equity]]&lt;0.09)</f>
        <v>0</v>
      </c>
      <c r="K500" s="128"/>
      <c r="L500" s="128"/>
    </row>
    <row r="501" spans="1:12" s="156" customFormat="1" x14ac:dyDescent="0.2">
      <c r="A501" s="155"/>
      <c r="D501" s="160">
        <v>30732</v>
      </c>
      <c r="E501" s="161">
        <v>0.15</v>
      </c>
      <c r="F501" s="161">
        <v>0.11458119999999998</v>
      </c>
      <c r="G501" s="133">
        <f t="shared" si="7"/>
        <v>3.5418800000000014E-2</v>
      </c>
      <c r="I501" s="156">
        <f>--(Risk_Prem2[[#This Row],[Return on Equity]]&lt;0.09)</f>
        <v>0</v>
      </c>
      <c r="K501" s="128"/>
      <c r="L501" s="128"/>
    </row>
    <row r="502" spans="1:12" s="156" customFormat="1" x14ac:dyDescent="0.2">
      <c r="A502" s="155"/>
      <c r="D502" s="160">
        <v>30732</v>
      </c>
      <c r="E502" s="161">
        <v>0.15</v>
      </c>
      <c r="F502" s="161">
        <v>0.11458119999999998</v>
      </c>
      <c r="G502" s="133">
        <f t="shared" si="7"/>
        <v>3.5418800000000014E-2</v>
      </c>
      <c r="I502" s="156">
        <f>--(Risk_Prem2[[#This Row],[Return on Equity]]&lt;0.09)</f>
        <v>0</v>
      </c>
      <c r="K502" s="128"/>
      <c r="L502" s="128"/>
    </row>
    <row r="503" spans="1:12" s="156" customFormat="1" x14ac:dyDescent="0.2">
      <c r="A503" s="155"/>
      <c r="D503" s="160">
        <v>30734</v>
      </c>
      <c r="E503" s="161">
        <v>0.14749999999999999</v>
      </c>
      <c r="F503" s="161">
        <v>0.11474589999999997</v>
      </c>
      <c r="G503" s="133">
        <f t="shared" si="7"/>
        <v>3.2754100000000022E-2</v>
      </c>
      <c r="I503" s="156">
        <f>--(Risk_Prem2[[#This Row],[Return on Equity]]&lt;0.09)</f>
        <v>0</v>
      </c>
      <c r="K503" s="128"/>
      <c r="L503" s="128"/>
    </row>
    <row r="504" spans="1:12" s="156" customFormat="1" x14ac:dyDescent="0.2">
      <c r="A504" s="155"/>
      <c r="D504" s="160">
        <v>30740</v>
      </c>
      <c r="E504" s="161">
        <v>0.14499999999999999</v>
      </c>
      <c r="F504" s="161">
        <v>0.11510764999999998</v>
      </c>
      <c r="G504" s="133">
        <f t="shared" si="7"/>
        <v>2.9892350000000012E-2</v>
      </c>
      <c r="I504" s="156">
        <f>--(Risk_Prem2[[#This Row],[Return on Equity]]&lt;0.09)</f>
        <v>0</v>
      </c>
      <c r="K504" s="128"/>
      <c r="L504" s="128"/>
    </row>
    <row r="505" spans="1:12" s="156" customFormat="1" x14ac:dyDescent="0.2">
      <c r="A505" s="155"/>
      <c r="D505" s="160">
        <v>30743</v>
      </c>
      <c r="E505" s="161">
        <v>0.14249999999999999</v>
      </c>
      <c r="F505" s="161">
        <v>0.11537674999999999</v>
      </c>
      <c r="G505" s="133">
        <f t="shared" si="7"/>
        <v>2.7123250000000002E-2</v>
      </c>
      <c r="I505" s="156">
        <f>--(Risk_Prem2[[#This Row],[Return on Equity]]&lt;0.09)</f>
        <v>0</v>
      </c>
      <c r="K505" s="128"/>
      <c r="L505" s="128"/>
    </row>
    <row r="506" spans="1:12" s="156" customFormat="1" x14ac:dyDescent="0.2">
      <c r="A506" s="155"/>
      <c r="D506" s="160">
        <v>30761</v>
      </c>
      <c r="E506" s="161">
        <v>0.16</v>
      </c>
      <c r="F506" s="161">
        <v>0.11643675000000001</v>
      </c>
      <c r="G506" s="133">
        <f t="shared" si="7"/>
        <v>4.3563249999999998E-2</v>
      </c>
      <c r="I506" s="156">
        <f>--(Risk_Prem2[[#This Row],[Return on Equity]]&lt;0.09)</f>
        <v>0</v>
      </c>
      <c r="K506" s="128"/>
      <c r="L506" s="128"/>
    </row>
    <row r="507" spans="1:12" s="156" customFormat="1" x14ac:dyDescent="0.2">
      <c r="A507" s="155"/>
      <c r="D507" s="160">
        <v>30764</v>
      </c>
      <c r="E507" s="161">
        <v>0.155</v>
      </c>
      <c r="F507" s="161">
        <v>0.11668369999999997</v>
      </c>
      <c r="G507" s="133">
        <f t="shared" si="7"/>
        <v>3.8316300000000025E-2</v>
      </c>
      <c r="I507" s="156">
        <f>--(Risk_Prem2[[#This Row],[Return on Equity]]&lt;0.09)</f>
        <v>0</v>
      </c>
      <c r="K507" s="128"/>
      <c r="L507" s="128"/>
    </row>
    <row r="508" spans="1:12" s="156" customFormat="1" x14ac:dyDescent="0.2">
      <c r="A508" s="155"/>
      <c r="D508" s="160">
        <v>30767</v>
      </c>
      <c r="E508" s="161">
        <v>0.14710000000000001</v>
      </c>
      <c r="F508" s="161">
        <v>0.11676094999999996</v>
      </c>
      <c r="G508" s="133">
        <f t="shared" si="7"/>
        <v>3.0339050000000048E-2</v>
      </c>
      <c r="I508" s="156">
        <f>--(Risk_Prem2[[#This Row],[Return on Equity]]&lt;0.09)</f>
        <v>0</v>
      </c>
      <c r="K508" s="128"/>
      <c r="L508" s="128"/>
    </row>
    <row r="509" spans="1:12" s="156" customFormat="1" x14ac:dyDescent="0.2">
      <c r="A509" s="155"/>
      <c r="D509" s="160">
        <v>30774</v>
      </c>
      <c r="E509" s="161">
        <v>0.155</v>
      </c>
      <c r="F509" s="161">
        <v>0.11714874999999995</v>
      </c>
      <c r="G509" s="133">
        <f t="shared" si="7"/>
        <v>3.7851250000000045E-2</v>
      </c>
      <c r="I509" s="156">
        <f>--(Risk_Prem2[[#This Row],[Return on Equity]]&lt;0.09)</f>
        <v>0</v>
      </c>
      <c r="K509" s="128"/>
      <c r="L509" s="128"/>
    </row>
    <row r="510" spans="1:12" s="156" customFormat="1" x14ac:dyDescent="0.2">
      <c r="A510" s="155"/>
      <c r="D510" s="160">
        <v>30778</v>
      </c>
      <c r="E510" s="161">
        <v>0.1474</v>
      </c>
      <c r="F510" s="161">
        <v>0.11750484999999994</v>
      </c>
      <c r="G510" s="133">
        <f t="shared" si="7"/>
        <v>2.9895150000000065E-2</v>
      </c>
      <c r="I510" s="156">
        <f>--(Risk_Prem2[[#This Row],[Return on Equity]]&lt;0.09)</f>
        <v>0</v>
      </c>
      <c r="K510" s="128"/>
      <c r="L510" s="128"/>
    </row>
    <row r="511" spans="1:12" s="156" customFormat="1" x14ac:dyDescent="0.2">
      <c r="A511" s="155"/>
      <c r="D511" s="160">
        <v>30783</v>
      </c>
      <c r="E511" s="161">
        <v>0.15720000000000001</v>
      </c>
      <c r="F511" s="161">
        <v>0.11776299999999994</v>
      </c>
      <c r="G511" s="133">
        <f t="shared" si="7"/>
        <v>3.9437000000000069E-2</v>
      </c>
      <c r="I511" s="156">
        <f>--(Risk_Prem2[[#This Row],[Return on Equity]]&lt;0.09)</f>
        <v>0</v>
      </c>
      <c r="K511" s="128"/>
      <c r="L511" s="128"/>
    </row>
    <row r="512" spans="1:12" s="156" customFormat="1" x14ac:dyDescent="0.2">
      <c r="A512" s="155"/>
      <c r="D512" s="160">
        <v>30789</v>
      </c>
      <c r="E512" s="161">
        <v>0.15</v>
      </c>
      <c r="F512" s="161">
        <v>0.11808729999999988</v>
      </c>
      <c r="G512" s="133">
        <f t="shared" si="7"/>
        <v>3.1912700000000113E-2</v>
      </c>
      <c r="I512" s="156">
        <f>--(Risk_Prem2[[#This Row],[Return on Equity]]&lt;0.09)</f>
        <v>0</v>
      </c>
      <c r="K512" s="128"/>
      <c r="L512" s="128"/>
    </row>
    <row r="513" spans="1:12" s="156" customFormat="1" x14ac:dyDescent="0.2">
      <c r="A513" s="155"/>
      <c r="D513" s="160">
        <v>30790</v>
      </c>
      <c r="E513" s="161">
        <v>0.16200000000000001</v>
      </c>
      <c r="F513" s="161">
        <v>0.11816629999999988</v>
      </c>
      <c r="G513" s="133">
        <f t="shared" si="7"/>
        <v>4.3833700000000128E-2</v>
      </c>
      <c r="I513" s="156">
        <f>--(Risk_Prem2[[#This Row],[Return on Equity]]&lt;0.09)</f>
        <v>0</v>
      </c>
      <c r="K513" s="128"/>
      <c r="L513" s="128"/>
    </row>
    <row r="514" spans="1:12" x14ac:dyDescent="0.2">
      <c r="A514" s="155"/>
      <c r="C514" s="148"/>
      <c r="D514" s="160">
        <v>30797</v>
      </c>
      <c r="E514" s="161">
        <v>0.1464</v>
      </c>
      <c r="F514" s="161">
        <v>0.11850694999999983</v>
      </c>
      <c r="G514" s="133">
        <f t="shared" si="7"/>
        <v>2.7893050000000169E-2</v>
      </c>
      <c r="I514" s="156">
        <f>--(Risk_Prem2[[#This Row],[Return on Equity]]&lt;0.09)</f>
        <v>0</v>
      </c>
    </row>
    <row r="515" spans="1:12" x14ac:dyDescent="0.2">
      <c r="A515" s="155"/>
      <c r="C515" s="148"/>
      <c r="D515" s="160">
        <v>30802</v>
      </c>
      <c r="E515" s="161">
        <v>0.14400000000000002</v>
      </c>
      <c r="F515" s="161">
        <v>0.11873814999999982</v>
      </c>
      <c r="G515" s="133">
        <f t="shared" si="7"/>
        <v>2.5261850000000197E-2</v>
      </c>
      <c r="I515" s="156">
        <f>--(Risk_Prem2[[#This Row],[Return on Equity]]&lt;0.09)</f>
        <v>0</v>
      </c>
    </row>
    <row r="516" spans="1:12" x14ac:dyDescent="0.2">
      <c r="A516" s="155"/>
      <c r="C516" s="148"/>
      <c r="D516" s="160">
        <v>30818</v>
      </c>
      <c r="E516" s="161">
        <v>0.1469</v>
      </c>
      <c r="F516" s="161">
        <v>0.11984799999999987</v>
      </c>
      <c r="G516" s="133">
        <f t="shared" si="7"/>
        <v>2.7052000000000131E-2</v>
      </c>
      <c r="I516" s="156">
        <f>--(Risk_Prem2[[#This Row],[Return on Equity]]&lt;0.09)</f>
        <v>0</v>
      </c>
    </row>
    <row r="517" spans="1:12" x14ac:dyDescent="0.2">
      <c r="A517" s="155"/>
      <c r="C517" s="148"/>
      <c r="D517" s="160">
        <v>30818</v>
      </c>
      <c r="E517" s="161">
        <v>0.15</v>
      </c>
      <c r="F517" s="161">
        <v>0.11984799999999987</v>
      </c>
      <c r="G517" s="133">
        <f t="shared" si="7"/>
        <v>3.0152000000000123E-2</v>
      </c>
      <c r="I517" s="156">
        <f>--(Risk_Prem2[[#This Row],[Return on Equity]]&lt;0.09)</f>
        <v>0</v>
      </c>
    </row>
    <row r="518" spans="1:12" x14ac:dyDescent="0.2">
      <c r="A518" s="155"/>
      <c r="C518" s="148"/>
      <c r="D518" s="160">
        <v>30824</v>
      </c>
      <c r="E518" s="161">
        <v>0.14400000000000002</v>
      </c>
      <c r="F518" s="161">
        <v>0.1202221499999999</v>
      </c>
      <c r="G518" s="133">
        <f t="shared" si="7"/>
        <v>2.3777850000000114E-2</v>
      </c>
      <c r="I518" s="156">
        <f>--(Risk_Prem2[[#This Row],[Return on Equity]]&lt;0.09)</f>
        <v>0</v>
      </c>
    </row>
    <row r="519" spans="1:12" x14ac:dyDescent="0.2">
      <c r="A519" s="155"/>
      <c r="C519" s="148"/>
      <c r="D519" s="160">
        <v>30831</v>
      </c>
      <c r="E519" s="161">
        <v>0.151</v>
      </c>
      <c r="F519" s="161">
        <v>0.12058984999999992</v>
      </c>
      <c r="G519" s="133">
        <f t="shared" si="7"/>
        <v>3.041015000000008E-2</v>
      </c>
      <c r="I519" s="156">
        <f>--(Risk_Prem2[[#This Row],[Return on Equity]]&lt;0.09)</f>
        <v>0</v>
      </c>
    </row>
    <row r="520" spans="1:12" x14ac:dyDescent="0.2">
      <c r="A520" s="155"/>
      <c r="C520" s="148"/>
      <c r="D520" s="160">
        <v>30846</v>
      </c>
      <c r="E520" s="161">
        <v>0.1525</v>
      </c>
      <c r="F520" s="161">
        <v>0.12153489999999989</v>
      </c>
      <c r="G520" s="133">
        <f t="shared" si="7"/>
        <v>3.0965100000000106E-2</v>
      </c>
      <c r="I520" s="156">
        <f>--(Risk_Prem2[[#This Row],[Return on Equity]]&lt;0.09)</f>
        <v>0</v>
      </c>
    </row>
    <row r="521" spans="1:12" x14ac:dyDescent="0.2">
      <c r="A521" s="155"/>
      <c r="C521" s="148"/>
      <c r="D521" s="160">
        <v>30848</v>
      </c>
      <c r="E521" s="161">
        <v>0.156</v>
      </c>
      <c r="F521" s="161">
        <v>0.12169899999999988</v>
      </c>
      <c r="G521" s="133">
        <f t="shared" si="7"/>
        <v>3.4301000000000123E-2</v>
      </c>
      <c r="I521" s="156">
        <f>--(Risk_Prem2[[#This Row],[Return on Equity]]&lt;0.09)</f>
        <v>0</v>
      </c>
    </row>
    <row r="522" spans="1:12" x14ac:dyDescent="0.2">
      <c r="A522" s="155"/>
      <c r="C522" s="148"/>
      <c r="D522" s="160">
        <v>30855</v>
      </c>
      <c r="E522" s="161">
        <v>0.16250000000000001</v>
      </c>
      <c r="F522" s="161">
        <v>0.12209664999999989</v>
      </c>
      <c r="G522" s="133">
        <f t="shared" si="7"/>
        <v>4.0403350000000116E-2</v>
      </c>
      <c r="I522" s="156">
        <f>--(Risk_Prem2[[#This Row],[Return on Equity]]&lt;0.09)</f>
        <v>0</v>
      </c>
    </row>
    <row r="523" spans="1:12" x14ac:dyDescent="0.2">
      <c r="A523" s="155"/>
      <c r="C523" s="148"/>
      <c r="D523" s="160">
        <v>30862</v>
      </c>
      <c r="E523" s="161">
        <v>0.1525</v>
      </c>
      <c r="F523" s="161">
        <v>0.12255849999999996</v>
      </c>
      <c r="G523" s="133">
        <f t="shared" si="7"/>
        <v>2.9941500000000038E-2</v>
      </c>
      <c r="I523" s="156">
        <f>--(Risk_Prem2[[#This Row],[Return on Equity]]&lt;0.09)</f>
        <v>0</v>
      </c>
    </row>
    <row r="524" spans="1:12" x14ac:dyDescent="0.2">
      <c r="A524" s="155"/>
      <c r="C524" s="148"/>
      <c r="D524" s="160">
        <v>30865</v>
      </c>
      <c r="E524" s="161">
        <v>0.13350000000000001</v>
      </c>
      <c r="F524" s="161">
        <v>0.12266154999999994</v>
      </c>
      <c r="G524" s="133">
        <f t="shared" si="7"/>
        <v>1.0838450000000069E-2</v>
      </c>
      <c r="I524" s="156">
        <f>--(Risk_Prem2[[#This Row],[Return on Equity]]&lt;0.09)</f>
        <v>0</v>
      </c>
    </row>
    <row r="525" spans="1:12" x14ac:dyDescent="0.2">
      <c r="A525" s="155"/>
      <c r="C525" s="148"/>
      <c r="D525" s="160">
        <v>30873</v>
      </c>
      <c r="E525" s="161">
        <v>0.16</v>
      </c>
      <c r="F525" s="161">
        <v>0.12308479999999995</v>
      </c>
      <c r="G525" s="133">
        <f t="shared" si="7"/>
        <v>3.6915200000000051E-2</v>
      </c>
      <c r="I525" s="156">
        <f>--(Risk_Prem2[[#This Row],[Return on Equity]]&lt;0.09)</f>
        <v>0</v>
      </c>
    </row>
    <row r="526" spans="1:12" x14ac:dyDescent="0.2">
      <c r="A526" s="155"/>
      <c r="C526" s="148"/>
      <c r="D526" s="160">
        <v>30875</v>
      </c>
      <c r="E526" s="161">
        <v>0.16500000000000001</v>
      </c>
      <c r="F526" s="161">
        <v>0.12324849999999998</v>
      </c>
      <c r="G526" s="133">
        <f t="shared" si="7"/>
        <v>4.1751500000000025E-2</v>
      </c>
      <c r="I526" s="156">
        <f>--(Risk_Prem2[[#This Row],[Return on Equity]]&lt;0.09)</f>
        <v>0</v>
      </c>
    </row>
    <row r="527" spans="1:12" x14ac:dyDescent="0.2">
      <c r="A527" s="155"/>
      <c r="C527" s="148"/>
      <c r="D527" s="160">
        <v>30876</v>
      </c>
      <c r="E527" s="161">
        <v>0.16250000000000001</v>
      </c>
      <c r="F527" s="161">
        <v>0.12332624999999998</v>
      </c>
      <c r="G527" s="133">
        <f t="shared" si="7"/>
        <v>3.9173750000000021E-2</v>
      </c>
      <c r="I527" s="156">
        <f>--(Risk_Prem2[[#This Row],[Return on Equity]]&lt;0.09)</f>
        <v>0</v>
      </c>
    </row>
    <row r="528" spans="1:12" x14ac:dyDescent="0.2">
      <c r="A528" s="155"/>
      <c r="C528" s="148"/>
      <c r="D528" s="160">
        <v>30880</v>
      </c>
      <c r="E528" s="161">
        <v>0.1414</v>
      </c>
      <c r="F528" s="161">
        <v>0.12349909999999996</v>
      </c>
      <c r="G528" s="133">
        <f t="shared" si="7"/>
        <v>1.7900900000000039E-2</v>
      </c>
      <c r="I528" s="156">
        <f>--(Risk_Prem2[[#This Row],[Return on Equity]]&lt;0.09)</f>
        <v>0</v>
      </c>
    </row>
    <row r="529" spans="1:9" x14ac:dyDescent="0.2">
      <c r="A529" s="155"/>
      <c r="C529" s="148"/>
      <c r="D529" s="160">
        <v>30881</v>
      </c>
      <c r="E529" s="161">
        <v>0.153</v>
      </c>
      <c r="F529" s="161">
        <v>0.12358214999999997</v>
      </c>
      <c r="G529" s="133">
        <f t="shared" si="7"/>
        <v>2.9417850000000023E-2</v>
      </c>
      <c r="I529" s="156">
        <f>--(Risk_Prem2[[#This Row],[Return on Equity]]&lt;0.09)</f>
        <v>0</v>
      </c>
    </row>
    <row r="530" spans="1:9" x14ac:dyDescent="0.2">
      <c r="A530" s="155"/>
      <c r="C530" s="148"/>
      <c r="D530" s="160">
        <v>30881</v>
      </c>
      <c r="E530" s="161">
        <v>0.155</v>
      </c>
      <c r="F530" s="161">
        <v>0.12358214999999997</v>
      </c>
      <c r="G530" s="133">
        <f t="shared" si="7"/>
        <v>3.1417850000000025E-2</v>
      </c>
      <c r="I530" s="156">
        <f>--(Risk_Prem2[[#This Row],[Return on Equity]]&lt;0.09)</f>
        <v>0</v>
      </c>
    </row>
    <row r="531" spans="1:9" x14ac:dyDescent="0.2">
      <c r="A531" s="155"/>
      <c r="C531" s="148"/>
      <c r="D531" s="160">
        <v>30882</v>
      </c>
      <c r="E531" s="161">
        <v>0.14300000000000002</v>
      </c>
      <c r="F531" s="161">
        <v>0.12366359999999998</v>
      </c>
      <c r="G531" s="133">
        <f t="shared" si="7"/>
        <v>1.9336400000000031E-2</v>
      </c>
      <c r="I531" s="156">
        <f>--(Risk_Prem2[[#This Row],[Return on Equity]]&lt;0.09)</f>
        <v>0</v>
      </c>
    </row>
    <row r="532" spans="1:9" x14ac:dyDescent="0.2">
      <c r="A532" s="155"/>
      <c r="C532" s="148"/>
      <c r="D532" s="160">
        <v>30887</v>
      </c>
      <c r="E532" s="161">
        <v>0.16789999999999999</v>
      </c>
      <c r="F532" s="161">
        <v>0.12392130000000004</v>
      </c>
      <c r="G532" s="133">
        <f t="shared" si="7"/>
        <v>4.3978699999999954E-2</v>
      </c>
      <c r="I532" s="156">
        <f>--(Risk_Prem2[[#This Row],[Return on Equity]]&lt;0.09)</f>
        <v>0</v>
      </c>
    </row>
    <row r="533" spans="1:9" x14ac:dyDescent="0.2">
      <c r="A533" s="155"/>
      <c r="C533" s="148"/>
      <c r="D533" s="160">
        <v>30894</v>
      </c>
      <c r="E533" s="161">
        <v>0.16</v>
      </c>
      <c r="F533" s="161">
        <v>0.12427570000000009</v>
      </c>
      <c r="G533" s="133">
        <f t="shared" si="7"/>
        <v>3.5724299999999917E-2</v>
      </c>
      <c r="I533" s="156">
        <f>--(Risk_Prem2[[#This Row],[Return on Equity]]&lt;0.09)</f>
        <v>0</v>
      </c>
    </row>
    <row r="534" spans="1:9" x14ac:dyDescent="0.2">
      <c r="A534" s="155"/>
      <c r="C534" s="148"/>
      <c r="D534" s="160">
        <v>30897</v>
      </c>
      <c r="E534" s="161">
        <v>0.14249999999999999</v>
      </c>
      <c r="F534" s="161">
        <v>0.12442590000000008</v>
      </c>
      <c r="G534" s="133">
        <f t="shared" si="7"/>
        <v>1.8074099999999912E-2</v>
      </c>
      <c r="I534" s="156">
        <f>--(Risk_Prem2[[#This Row],[Return on Equity]]&lt;0.09)</f>
        <v>0</v>
      </c>
    </row>
    <row r="535" spans="1:9" x14ac:dyDescent="0.2">
      <c r="A535" s="155"/>
      <c r="C535" s="148"/>
      <c r="D535" s="160">
        <v>30911</v>
      </c>
      <c r="E535" s="161">
        <v>0.14300000000000002</v>
      </c>
      <c r="F535" s="161">
        <v>0.12487420000000006</v>
      </c>
      <c r="G535" s="133">
        <f t="shared" si="7"/>
        <v>1.8125799999999956E-2</v>
      </c>
      <c r="I535" s="156">
        <f>--(Risk_Prem2[[#This Row],[Return on Equity]]&lt;0.09)</f>
        <v>0</v>
      </c>
    </row>
    <row r="536" spans="1:9" x14ac:dyDescent="0.2">
      <c r="A536" s="155"/>
      <c r="C536" s="148"/>
      <c r="D536" s="160">
        <v>30914</v>
      </c>
      <c r="E536" s="161">
        <v>0.15</v>
      </c>
      <c r="F536" s="161">
        <v>0.12490390000000005</v>
      </c>
      <c r="G536" s="133">
        <f t="shared" si="7"/>
        <v>2.5096099999999941E-2</v>
      </c>
      <c r="I536" s="156">
        <f>--(Risk_Prem2[[#This Row],[Return on Equity]]&lt;0.09)</f>
        <v>0</v>
      </c>
    </row>
    <row r="537" spans="1:9" x14ac:dyDescent="0.2">
      <c r="A537" s="155"/>
      <c r="C537" s="148"/>
      <c r="D537" s="160">
        <v>30921</v>
      </c>
      <c r="E537" s="161">
        <v>0.16300000000000001</v>
      </c>
      <c r="F537" s="161">
        <v>0.12505670000000005</v>
      </c>
      <c r="G537" s="133">
        <f t="shared" si="7"/>
        <v>3.7943299999999958E-2</v>
      </c>
      <c r="I537" s="156">
        <f>--(Risk_Prem2[[#This Row],[Return on Equity]]&lt;0.09)</f>
        <v>0</v>
      </c>
    </row>
    <row r="538" spans="1:9" x14ac:dyDescent="0.2">
      <c r="A538" s="155"/>
      <c r="C538" s="148"/>
      <c r="D538" s="160">
        <v>30925</v>
      </c>
      <c r="E538" s="161">
        <v>0.1555</v>
      </c>
      <c r="F538" s="161">
        <v>0.12521850000000004</v>
      </c>
      <c r="G538" s="133">
        <f t="shared" si="7"/>
        <v>3.0281499999999961E-2</v>
      </c>
      <c r="I538" s="156">
        <f>--(Risk_Prem2[[#This Row],[Return on Equity]]&lt;0.09)</f>
        <v>0</v>
      </c>
    </row>
    <row r="539" spans="1:9" x14ac:dyDescent="0.2">
      <c r="A539" s="155"/>
      <c r="C539" s="148"/>
      <c r="D539" s="160">
        <v>30931</v>
      </c>
      <c r="E539" s="161">
        <v>0.16</v>
      </c>
      <c r="F539" s="161">
        <v>0.12533995000000006</v>
      </c>
      <c r="G539" s="133">
        <f t="shared" si="7"/>
        <v>3.4660049999999942E-2</v>
      </c>
      <c r="I539" s="156">
        <f>--(Risk_Prem2[[#This Row],[Return on Equity]]&lt;0.09)</f>
        <v>0</v>
      </c>
    </row>
    <row r="540" spans="1:9" x14ac:dyDescent="0.2">
      <c r="A540" s="155"/>
      <c r="C540" s="148"/>
      <c r="D540" s="160">
        <v>30935</v>
      </c>
      <c r="E540" s="161">
        <v>0.14749999999999999</v>
      </c>
      <c r="F540" s="161">
        <v>0.12541255000000004</v>
      </c>
      <c r="G540" s="133">
        <f t="shared" si="7"/>
        <v>2.2087449999999953E-2</v>
      </c>
      <c r="I540" s="156">
        <f>--(Risk_Prem2[[#This Row],[Return on Equity]]&lt;0.09)</f>
        <v>0</v>
      </c>
    </row>
    <row r="541" spans="1:9" x14ac:dyDescent="0.2">
      <c r="A541" s="155"/>
      <c r="C541" s="148"/>
      <c r="D541" s="160">
        <v>30938</v>
      </c>
      <c r="E541" s="161">
        <v>0.15</v>
      </c>
      <c r="F541" s="161">
        <v>0.12549995000000005</v>
      </c>
      <c r="G541" s="133">
        <f t="shared" si="7"/>
        <v>2.450004999999994E-2</v>
      </c>
      <c r="I541" s="156">
        <f>--(Risk_Prem2[[#This Row],[Return on Equity]]&lt;0.09)</f>
        <v>0</v>
      </c>
    </row>
    <row r="542" spans="1:9" x14ac:dyDescent="0.2">
      <c r="A542" s="155"/>
      <c r="C542" s="148"/>
      <c r="D542" s="160">
        <v>30942</v>
      </c>
      <c r="E542" s="161">
        <v>0.17379999999999998</v>
      </c>
      <c r="F542" s="161">
        <v>0.12555325000000006</v>
      </c>
      <c r="G542" s="133">
        <f t="shared" si="7"/>
        <v>4.8246749999999922E-2</v>
      </c>
      <c r="I542" s="156">
        <f>--(Risk_Prem2[[#This Row],[Return on Equity]]&lt;0.09)</f>
        <v>0</v>
      </c>
    </row>
    <row r="543" spans="1:9" x14ac:dyDescent="0.2">
      <c r="A543" s="155"/>
      <c r="C543" s="148"/>
      <c r="D543" s="160">
        <v>30951</v>
      </c>
      <c r="E543" s="161">
        <v>0.14499999999999999</v>
      </c>
      <c r="F543" s="161">
        <v>0.12568860000000007</v>
      </c>
      <c r="G543" s="133">
        <f t="shared" si="7"/>
        <v>1.9311399999999923E-2</v>
      </c>
      <c r="I543" s="156">
        <f>--(Risk_Prem2[[#This Row],[Return on Equity]]&lt;0.09)</f>
        <v>0</v>
      </c>
    </row>
    <row r="544" spans="1:9" x14ac:dyDescent="0.2">
      <c r="A544" s="155"/>
      <c r="C544" s="148"/>
      <c r="D544" s="160">
        <v>30953</v>
      </c>
      <c r="E544" s="161">
        <v>0.15</v>
      </c>
      <c r="F544" s="161">
        <v>0.12571090000000004</v>
      </c>
      <c r="G544" s="133">
        <f t="shared" si="7"/>
        <v>2.4289099999999952E-2</v>
      </c>
      <c r="I544" s="156">
        <f>--(Risk_Prem2[[#This Row],[Return on Equity]]&lt;0.09)</f>
        <v>0</v>
      </c>
    </row>
    <row r="545" spans="1:9" x14ac:dyDescent="0.2">
      <c r="A545" s="155"/>
      <c r="C545" s="148"/>
      <c r="D545" s="160">
        <v>30953</v>
      </c>
      <c r="E545" s="161">
        <v>0.16250000000000001</v>
      </c>
      <c r="F545" s="161">
        <v>0.12571090000000004</v>
      </c>
      <c r="G545" s="133">
        <f t="shared" si="7"/>
        <v>3.6789099999999963E-2</v>
      </c>
      <c r="I545" s="156">
        <f>--(Risk_Prem2[[#This Row],[Return on Equity]]&lt;0.09)</f>
        <v>0</v>
      </c>
    </row>
    <row r="546" spans="1:9" x14ac:dyDescent="0.2">
      <c r="A546" s="155"/>
      <c r="C546" s="148"/>
      <c r="D546" s="160">
        <v>30964</v>
      </c>
      <c r="E546" s="161">
        <v>0.14749999999999999</v>
      </c>
      <c r="F546" s="161">
        <v>0.12580525000000006</v>
      </c>
      <c r="G546" s="133">
        <f t="shared" si="7"/>
        <v>2.1694749999999929E-2</v>
      </c>
      <c r="I546" s="156">
        <f>--(Risk_Prem2[[#This Row],[Return on Equity]]&lt;0.09)</f>
        <v>0</v>
      </c>
    </row>
    <row r="547" spans="1:9" x14ac:dyDescent="0.2">
      <c r="A547" s="155"/>
      <c r="C547" s="148"/>
      <c r="D547" s="160">
        <v>30967</v>
      </c>
      <c r="E547" s="161">
        <v>0.156</v>
      </c>
      <c r="F547" s="161">
        <v>0.12585355000000006</v>
      </c>
      <c r="G547" s="133">
        <f t="shared" si="7"/>
        <v>3.0146449999999936E-2</v>
      </c>
      <c r="I547" s="156">
        <f>--(Risk_Prem2[[#This Row],[Return on Equity]]&lt;0.09)</f>
        <v>0</v>
      </c>
    </row>
    <row r="548" spans="1:9" x14ac:dyDescent="0.2">
      <c r="A548" s="155"/>
      <c r="C548" s="148"/>
      <c r="D548" s="160">
        <v>30977</v>
      </c>
      <c r="E548" s="161">
        <v>0.15</v>
      </c>
      <c r="F548" s="161">
        <v>0.12586880000000003</v>
      </c>
      <c r="G548" s="133">
        <f t="shared" si="7"/>
        <v>2.4131199999999964E-2</v>
      </c>
      <c r="I548" s="156">
        <f>--(Risk_Prem2[[#This Row],[Return on Equity]]&lt;0.09)</f>
        <v>0</v>
      </c>
    </row>
    <row r="549" spans="1:9" x14ac:dyDescent="0.2">
      <c r="A549" s="155"/>
      <c r="C549" s="148"/>
      <c r="D549" s="160">
        <v>30981</v>
      </c>
      <c r="E549" s="161">
        <v>0.16399999999999998</v>
      </c>
      <c r="F549" s="161">
        <v>0.12583735000000001</v>
      </c>
      <c r="G549" s="133">
        <f t="shared" si="7"/>
        <v>3.8162649999999965E-2</v>
      </c>
      <c r="I549" s="156">
        <f>--(Risk_Prem2[[#This Row],[Return on Equity]]&lt;0.09)</f>
        <v>0</v>
      </c>
    </row>
    <row r="550" spans="1:9" x14ac:dyDescent="0.2">
      <c r="A550" s="155"/>
      <c r="C550" s="148"/>
      <c r="D550" s="160">
        <v>30986</v>
      </c>
      <c r="E550" s="161">
        <v>0.16250000000000001</v>
      </c>
      <c r="F550" s="161">
        <v>0.12582690000000002</v>
      </c>
      <c r="G550" s="133">
        <f t="shared" si="7"/>
        <v>3.6673099999999986E-2</v>
      </c>
      <c r="I550" s="156">
        <f>--(Risk_Prem2[[#This Row],[Return on Equity]]&lt;0.09)</f>
        <v>0</v>
      </c>
    </row>
    <row r="551" spans="1:9" x14ac:dyDescent="0.2">
      <c r="A551" s="155"/>
      <c r="C551" s="148"/>
      <c r="D551" s="160">
        <v>30993</v>
      </c>
      <c r="E551" s="161">
        <v>0.156</v>
      </c>
      <c r="F551" s="161">
        <v>0.12579864999999998</v>
      </c>
      <c r="G551" s="133">
        <f t="shared" si="7"/>
        <v>3.0201350000000016E-2</v>
      </c>
      <c r="I551" s="156">
        <f>--(Risk_Prem2[[#This Row],[Return on Equity]]&lt;0.09)</f>
        <v>0</v>
      </c>
    </row>
    <row r="552" spans="1:9" x14ac:dyDescent="0.2">
      <c r="A552" s="155"/>
      <c r="C552" s="148"/>
      <c r="D552" s="160">
        <v>30995</v>
      </c>
      <c r="E552" s="161">
        <v>0.16</v>
      </c>
      <c r="F552" s="161">
        <v>0.12580109999999997</v>
      </c>
      <c r="G552" s="133">
        <f t="shared" si="7"/>
        <v>3.4198900000000032E-2</v>
      </c>
      <c r="I552" s="156">
        <f>--(Risk_Prem2[[#This Row],[Return on Equity]]&lt;0.09)</f>
        <v>0</v>
      </c>
    </row>
    <row r="553" spans="1:9" x14ac:dyDescent="0.2">
      <c r="A553" s="155"/>
      <c r="C553" s="148"/>
      <c r="D553" s="160">
        <v>31000</v>
      </c>
      <c r="E553" s="161">
        <v>0.1575</v>
      </c>
      <c r="F553" s="161">
        <v>0.12580834999999996</v>
      </c>
      <c r="G553" s="133">
        <f t="shared" si="7"/>
        <v>3.1691650000000043E-2</v>
      </c>
      <c r="I553" s="156">
        <f>--(Risk_Prem2[[#This Row],[Return on Equity]]&lt;0.09)</f>
        <v>0</v>
      </c>
    </row>
    <row r="554" spans="1:9" x14ac:dyDescent="0.2">
      <c r="A554" s="155"/>
      <c r="C554" s="148"/>
      <c r="D554" s="160">
        <v>31006</v>
      </c>
      <c r="E554" s="161">
        <v>0.1525</v>
      </c>
      <c r="F554" s="161">
        <v>0.12578809999999996</v>
      </c>
      <c r="G554" s="133">
        <f t="shared" si="7"/>
        <v>2.6711900000000038E-2</v>
      </c>
      <c r="I554" s="156">
        <f>--(Risk_Prem2[[#This Row],[Return on Equity]]&lt;0.09)</f>
        <v>0</v>
      </c>
    </row>
    <row r="555" spans="1:9" x14ac:dyDescent="0.2">
      <c r="A555" s="155"/>
      <c r="C555" s="148"/>
      <c r="D555" s="160">
        <v>31006</v>
      </c>
      <c r="E555" s="161">
        <v>0.15920000000000001</v>
      </c>
      <c r="F555" s="161">
        <v>0.12578809999999996</v>
      </c>
      <c r="G555" s="133">
        <f t="shared" si="7"/>
        <v>3.341190000000005E-2</v>
      </c>
      <c r="I555" s="156">
        <f>--(Risk_Prem2[[#This Row],[Return on Equity]]&lt;0.09)</f>
        <v>0</v>
      </c>
    </row>
    <row r="556" spans="1:9" x14ac:dyDescent="0.2">
      <c r="A556" s="155"/>
      <c r="C556" s="148"/>
      <c r="D556" s="160">
        <v>31009</v>
      </c>
      <c r="E556" s="161">
        <v>0.15</v>
      </c>
      <c r="F556" s="161">
        <v>0.12575299999999995</v>
      </c>
      <c r="G556" s="133">
        <f t="shared" si="7"/>
        <v>2.4247000000000046E-2</v>
      </c>
      <c r="I556" s="156">
        <f>--(Risk_Prem2[[#This Row],[Return on Equity]]&lt;0.09)</f>
        <v>0</v>
      </c>
    </row>
    <row r="557" spans="1:9" x14ac:dyDescent="0.2">
      <c r="A557" s="155"/>
      <c r="C557" s="148"/>
      <c r="D557" s="160">
        <v>31014</v>
      </c>
      <c r="E557" s="161">
        <v>0.16149999999999998</v>
      </c>
      <c r="F557" s="161">
        <v>0.12568404999999996</v>
      </c>
      <c r="G557" s="133">
        <f t="shared" si="7"/>
        <v>3.5815950000000013E-2</v>
      </c>
      <c r="I557" s="156">
        <f>--(Risk_Prem2[[#This Row],[Return on Equity]]&lt;0.09)</f>
        <v>0</v>
      </c>
    </row>
    <row r="558" spans="1:9" x14ac:dyDescent="0.2">
      <c r="A558" s="155"/>
      <c r="C558" s="148"/>
      <c r="D558" s="160">
        <v>31019</v>
      </c>
      <c r="E558" s="161">
        <v>0.158</v>
      </c>
      <c r="F558" s="161">
        <v>0.12562729999999994</v>
      </c>
      <c r="G558" s="133">
        <f t="shared" ref="G558:G621" si="8">E558-F558</f>
        <v>3.237270000000006E-2</v>
      </c>
      <c r="I558" s="156">
        <f>--(Risk_Prem2[[#This Row],[Return on Equity]]&lt;0.09)</f>
        <v>0</v>
      </c>
    </row>
    <row r="559" spans="1:9" x14ac:dyDescent="0.2">
      <c r="A559" s="155"/>
      <c r="C559" s="148"/>
      <c r="D559" s="160">
        <v>31020</v>
      </c>
      <c r="E559" s="161">
        <v>0.16500000000000001</v>
      </c>
      <c r="F559" s="161">
        <v>0.12560679999999996</v>
      </c>
      <c r="G559" s="133">
        <f t="shared" si="8"/>
        <v>3.9393200000000045E-2</v>
      </c>
      <c r="I559" s="156">
        <f>--(Risk_Prem2[[#This Row],[Return on Equity]]&lt;0.09)</f>
        <v>0</v>
      </c>
    </row>
    <row r="560" spans="1:9" x14ac:dyDescent="0.2">
      <c r="A560" s="155"/>
      <c r="C560" s="148"/>
      <c r="D560" s="160">
        <v>31034</v>
      </c>
      <c r="E560" s="161">
        <v>0.16399999999999998</v>
      </c>
      <c r="F560" s="161">
        <v>0.12533640000000001</v>
      </c>
      <c r="G560" s="133">
        <f t="shared" si="8"/>
        <v>3.8663599999999965E-2</v>
      </c>
      <c r="I560" s="156">
        <f>--(Risk_Prem2[[#This Row],[Return on Equity]]&lt;0.09)</f>
        <v>0</v>
      </c>
    </row>
    <row r="561" spans="1:9" x14ac:dyDescent="0.2">
      <c r="A561" s="155"/>
      <c r="C561" s="148"/>
      <c r="D561" s="160">
        <v>31035</v>
      </c>
      <c r="E561" s="161">
        <v>0.14749999999999999</v>
      </c>
      <c r="F561" s="161">
        <v>0.12530244999999998</v>
      </c>
      <c r="G561" s="133">
        <f t="shared" si="8"/>
        <v>2.219755000000001E-2</v>
      </c>
      <c r="I561" s="156">
        <f>--(Risk_Prem2[[#This Row],[Return on Equity]]&lt;0.09)</f>
        <v>0</v>
      </c>
    </row>
    <row r="562" spans="1:9" x14ac:dyDescent="0.2">
      <c r="A562" s="155"/>
      <c r="C562" s="148"/>
      <c r="D562" s="160">
        <v>31035</v>
      </c>
      <c r="E562" s="161">
        <v>0.15</v>
      </c>
      <c r="F562" s="161">
        <v>0.12530244999999998</v>
      </c>
      <c r="G562" s="133">
        <f t="shared" si="8"/>
        <v>2.4697550000000013E-2</v>
      </c>
      <c r="I562" s="156">
        <f>--(Risk_Prem2[[#This Row],[Return on Equity]]&lt;0.09)</f>
        <v>0</v>
      </c>
    </row>
    <row r="563" spans="1:9" x14ac:dyDescent="0.2">
      <c r="A563" s="155"/>
      <c r="C563" s="148"/>
      <c r="D563" s="160">
        <v>31036</v>
      </c>
      <c r="E563" s="161">
        <v>0.16</v>
      </c>
      <c r="F563" s="161">
        <v>0.12526155</v>
      </c>
      <c r="G563" s="133">
        <f t="shared" si="8"/>
        <v>3.4738450000000004E-2</v>
      </c>
      <c r="I563" s="156">
        <f>--(Risk_Prem2[[#This Row],[Return on Equity]]&lt;0.09)</f>
        <v>0</v>
      </c>
    </row>
    <row r="564" spans="1:9" x14ac:dyDescent="0.2">
      <c r="A564" s="155"/>
      <c r="C564" s="148"/>
      <c r="D564" s="160">
        <v>31044</v>
      </c>
      <c r="E564" s="161">
        <v>0.16</v>
      </c>
      <c r="F564" s="161">
        <v>0.12503929999999996</v>
      </c>
      <c r="G564" s="133">
        <f t="shared" si="8"/>
        <v>3.4960700000000039E-2</v>
      </c>
      <c r="I564" s="156">
        <f>--(Risk_Prem2[[#This Row],[Return on Equity]]&lt;0.09)</f>
        <v>0</v>
      </c>
    </row>
    <row r="565" spans="1:9" x14ac:dyDescent="0.2">
      <c r="A565" s="155"/>
      <c r="C565" s="148"/>
      <c r="D565" s="160">
        <v>31050</v>
      </c>
      <c r="E565" s="161">
        <v>0.14749999999999999</v>
      </c>
      <c r="F565" s="161">
        <v>0.12492869999999996</v>
      </c>
      <c r="G565" s="133">
        <f t="shared" si="8"/>
        <v>2.257130000000003E-2</v>
      </c>
      <c r="I565" s="156">
        <f>--(Risk_Prem2[[#This Row],[Return on Equity]]&lt;0.09)</f>
        <v>0</v>
      </c>
    </row>
    <row r="566" spans="1:9" x14ac:dyDescent="0.2">
      <c r="A566" s="155"/>
      <c r="C566" s="148"/>
      <c r="D566" s="160">
        <v>31057</v>
      </c>
      <c r="E566" s="161">
        <v>0.1575</v>
      </c>
      <c r="F566" s="161">
        <v>0.12468189999999996</v>
      </c>
      <c r="G566" s="133">
        <f t="shared" si="8"/>
        <v>3.2818100000000044E-2</v>
      </c>
      <c r="I566" s="156">
        <f>--(Risk_Prem2[[#This Row],[Return on Equity]]&lt;0.09)</f>
        <v>0</v>
      </c>
    </row>
    <row r="567" spans="1:9" x14ac:dyDescent="0.2">
      <c r="A567" s="155"/>
      <c r="C567" s="148"/>
      <c r="D567" s="160">
        <v>31058</v>
      </c>
      <c r="E567" s="161">
        <v>0.16300000000000001</v>
      </c>
      <c r="F567" s="161">
        <v>0.12463824999999995</v>
      </c>
      <c r="G567" s="133">
        <f t="shared" si="8"/>
        <v>3.8361750000000056E-2</v>
      </c>
      <c r="I567" s="156">
        <f>--(Risk_Prem2[[#This Row],[Return on Equity]]&lt;0.09)</f>
        <v>0</v>
      </c>
    </row>
    <row r="568" spans="1:9" x14ac:dyDescent="0.2">
      <c r="A568" s="155"/>
      <c r="C568" s="148"/>
      <c r="D568" s="160">
        <v>31070</v>
      </c>
      <c r="E568" s="161">
        <v>0.158</v>
      </c>
      <c r="F568" s="161">
        <v>0.12433764999999995</v>
      </c>
      <c r="G568" s="133">
        <f t="shared" si="8"/>
        <v>3.3662350000000049E-2</v>
      </c>
      <c r="I568" s="156">
        <f>--(Risk_Prem2[[#This Row],[Return on Equity]]&lt;0.09)</f>
        <v>0</v>
      </c>
    </row>
    <row r="569" spans="1:9" x14ac:dyDescent="0.2">
      <c r="A569" s="155"/>
      <c r="C569" s="148"/>
      <c r="D569" s="160">
        <v>31071</v>
      </c>
      <c r="E569" s="161">
        <v>0.15820000000000001</v>
      </c>
      <c r="F569" s="161">
        <v>0.12426399999999996</v>
      </c>
      <c r="G569" s="133">
        <f t="shared" si="8"/>
        <v>3.3936000000000049E-2</v>
      </c>
      <c r="I569" s="156">
        <f>--(Risk_Prem2[[#This Row],[Return on Equity]]&lt;0.09)</f>
        <v>0</v>
      </c>
    </row>
    <row r="570" spans="1:9" x14ac:dyDescent="0.2">
      <c r="A570" s="155"/>
      <c r="C570" s="148"/>
      <c r="D570" s="160">
        <v>31072</v>
      </c>
      <c r="E570" s="161">
        <v>0.16750000000000001</v>
      </c>
      <c r="F570" s="161">
        <v>0.12419039999999995</v>
      </c>
      <c r="G570" s="133">
        <f t="shared" si="8"/>
        <v>4.3309600000000059E-2</v>
      </c>
      <c r="I570" s="156">
        <f>--(Risk_Prem2[[#This Row],[Return on Equity]]&lt;0.09)</f>
        <v>0</v>
      </c>
    </row>
    <row r="571" spans="1:9" x14ac:dyDescent="0.2">
      <c r="A571" s="155"/>
      <c r="C571" s="148"/>
      <c r="D571" s="160">
        <v>31077</v>
      </c>
      <c r="E571" s="161">
        <v>0.14899999999999999</v>
      </c>
      <c r="F571" s="161">
        <v>0.12397919999999997</v>
      </c>
      <c r="G571" s="133">
        <f t="shared" si="8"/>
        <v>2.5020800000000024E-2</v>
      </c>
      <c r="I571" s="156">
        <f>--(Risk_Prem2[[#This Row],[Return on Equity]]&lt;0.09)</f>
        <v>0</v>
      </c>
    </row>
    <row r="572" spans="1:9" x14ac:dyDescent="0.2">
      <c r="A572" s="155"/>
      <c r="C572" s="148"/>
      <c r="D572" s="160">
        <v>31078</v>
      </c>
      <c r="E572" s="161">
        <v>0.14749999999999999</v>
      </c>
      <c r="F572" s="161">
        <v>0.12391354999999998</v>
      </c>
      <c r="G572" s="133">
        <f t="shared" si="8"/>
        <v>2.3586450000000009E-2</v>
      </c>
      <c r="I572" s="156">
        <f>--(Risk_Prem2[[#This Row],[Return on Equity]]&lt;0.09)</f>
        <v>0</v>
      </c>
    </row>
    <row r="573" spans="1:9" x14ac:dyDescent="0.2">
      <c r="A573" s="155"/>
      <c r="C573" s="148"/>
      <c r="D573" s="160">
        <v>31086</v>
      </c>
      <c r="E573" s="161">
        <v>0.1447</v>
      </c>
      <c r="F573" s="161">
        <v>0.12353199999999996</v>
      </c>
      <c r="G573" s="133">
        <f t="shared" si="8"/>
        <v>2.1168000000000034E-2</v>
      </c>
      <c r="I573" s="156">
        <f>--(Risk_Prem2[[#This Row],[Return on Equity]]&lt;0.09)</f>
        <v>0</v>
      </c>
    </row>
    <row r="574" spans="1:9" x14ac:dyDescent="0.2">
      <c r="A574" s="155"/>
      <c r="C574" s="148"/>
      <c r="D574" s="160">
        <v>31107</v>
      </c>
      <c r="E574" s="161">
        <v>0.1384</v>
      </c>
      <c r="F574" s="161">
        <v>0.12305924999999998</v>
      </c>
      <c r="G574" s="133">
        <f t="shared" si="8"/>
        <v>1.5340750000000014E-2</v>
      </c>
      <c r="I574" s="156">
        <f>--(Risk_Prem2[[#This Row],[Return on Equity]]&lt;0.09)</f>
        <v>0</v>
      </c>
    </row>
    <row r="575" spans="1:9" x14ac:dyDescent="0.2">
      <c r="A575" s="155"/>
      <c r="C575" s="148"/>
      <c r="D575" s="160">
        <v>31114</v>
      </c>
      <c r="E575" s="161">
        <v>0.16850000000000001</v>
      </c>
      <c r="F575" s="161">
        <v>0.12283740000000001</v>
      </c>
      <c r="G575" s="133">
        <f t="shared" si="8"/>
        <v>4.5662599999999998E-2</v>
      </c>
      <c r="I575" s="156">
        <f>--(Risk_Prem2[[#This Row],[Return on Equity]]&lt;0.09)</f>
        <v>0</v>
      </c>
    </row>
    <row r="576" spans="1:9" x14ac:dyDescent="0.2">
      <c r="A576" s="155"/>
      <c r="C576" s="148"/>
      <c r="D576" s="160">
        <v>31120</v>
      </c>
      <c r="E576" s="161">
        <v>0.155</v>
      </c>
      <c r="F576" s="161">
        <v>0.12254870000000004</v>
      </c>
      <c r="G576" s="133">
        <f t="shared" si="8"/>
        <v>3.2451299999999961E-2</v>
      </c>
      <c r="I576" s="156">
        <f>--(Risk_Prem2[[#This Row],[Return on Equity]]&lt;0.09)</f>
        <v>0</v>
      </c>
    </row>
    <row r="577" spans="1:9" x14ac:dyDescent="0.2">
      <c r="A577" s="155"/>
      <c r="C577" s="148"/>
      <c r="D577" s="160">
        <v>31121</v>
      </c>
      <c r="E577" s="161">
        <v>0.15620000000000001</v>
      </c>
      <c r="F577" s="161">
        <v>0.12254870000000004</v>
      </c>
      <c r="G577" s="133">
        <f t="shared" si="8"/>
        <v>3.3651299999999967E-2</v>
      </c>
      <c r="I577" s="156">
        <f>--(Risk_Prem2[[#This Row],[Return on Equity]]&lt;0.09)</f>
        <v>0</v>
      </c>
    </row>
    <row r="578" spans="1:9" x14ac:dyDescent="0.2">
      <c r="A578" s="155"/>
      <c r="C578" s="148"/>
      <c r="D578" s="160">
        <v>31135</v>
      </c>
      <c r="E578" s="161">
        <v>0.15620000000000001</v>
      </c>
      <c r="F578" s="161">
        <v>0.12167215000000006</v>
      </c>
      <c r="G578" s="133">
        <f t="shared" si="8"/>
        <v>3.4527849999999943E-2</v>
      </c>
      <c r="I578" s="156">
        <f>--(Risk_Prem2[[#This Row],[Return on Equity]]&lt;0.09)</f>
        <v>0</v>
      </c>
    </row>
    <row r="579" spans="1:9" x14ac:dyDescent="0.2">
      <c r="A579" s="155"/>
      <c r="C579" s="148"/>
      <c r="D579" s="160">
        <v>31140</v>
      </c>
      <c r="E579" s="161">
        <v>0.14599999999999999</v>
      </c>
      <c r="F579" s="161">
        <v>0.12135055000000004</v>
      </c>
      <c r="G579" s="133">
        <f t="shared" si="8"/>
        <v>2.4649449999999948E-2</v>
      </c>
      <c r="I579" s="156">
        <f>--(Risk_Prem2[[#This Row],[Return on Equity]]&lt;0.09)</f>
        <v>0</v>
      </c>
    </row>
    <row r="580" spans="1:9" x14ac:dyDescent="0.2">
      <c r="A580" s="155"/>
      <c r="C580" s="148"/>
      <c r="D580" s="160">
        <v>31146</v>
      </c>
      <c r="E580" s="161">
        <v>0.155</v>
      </c>
      <c r="F580" s="161">
        <v>0.12107150000000004</v>
      </c>
      <c r="G580" s="133">
        <f t="shared" si="8"/>
        <v>3.3928499999999959E-2</v>
      </c>
      <c r="I580" s="156">
        <f>--(Risk_Prem2[[#This Row],[Return on Equity]]&lt;0.09)</f>
        <v>0</v>
      </c>
    </row>
    <row r="581" spans="1:9" x14ac:dyDescent="0.2">
      <c r="A581" s="155"/>
      <c r="C581" s="148"/>
      <c r="D581" s="160">
        <v>31153</v>
      </c>
      <c r="E581" s="161">
        <v>0.157</v>
      </c>
      <c r="F581" s="161">
        <v>0.1205702</v>
      </c>
      <c r="G581" s="133">
        <f t="shared" si="8"/>
        <v>3.6429799999999998E-2</v>
      </c>
      <c r="I581" s="156">
        <f>--(Risk_Prem2[[#This Row],[Return on Equity]]&lt;0.09)</f>
        <v>0</v>
      </c>
    </row>
    <row r="582" spans="1:9" x14ac:dyDescent="0.2">
      <c r="A582" s="155"/>
      <c r="C582" s="148"/>
      <c r="D582" s="160">
        <v>31159</v>
      </c>
      <c r="E582" s="161">
        <v>0.14000000000000001</v>
      </c>
      <c r="F582" s="161">
        <v>0.12017030000000002</v>
      </c>
      <c r="G582" s="133">
        <f t="shared" si="8"/>
        <v>1.9829699999999992E-2</v>
      </c>
      <c r="I582" s="156">
        <f>--(Risk_Prem2[[#This Row],[Return on Equity]]&lt;0.09)</f>
        <v>0</v>
      </c>
    </row>
    <row r="583" spans="1:9" x14ac:dyDescent="0.2">
      <c r="A583" s="155"/>
      <c r="C583" s="148"/>
      <c r="D583" s="160">
        <v>31163</v>
      </c>
      <c r="E583" s="161">
        <v>0.155</v>
      </c>
      <c r="F583" s="161">
        <v>0.11977570000000001</v>
      </c>
      <c r="G583" s="133">
        <f t="shared" si="8"/>
        <v>3.5224299999999986E-2</v>
      </c>
      <c r="I583" s="156">
        <f>--(Risk_Prem2[[#This Row],[Return on Equity]]&lt;0.09)</f>
        <v>0</v>
      </c>
    </row>
    <row r="584" spans="1:9" x14ac:dyDescent="0.2">
      <c r="A584" s="155"/>
      <c r="C584" s="148"/>
      <c r="D584" s="160">
        <v>31166</v>
      </c>
      <c r="E584" s="161">
        <v>0.15</v>
      </c>
      <c r="F584" s="161">
        <v>0.11967885</v>
      </c>
      <c r="G584" s="133">
        <f t="shared" si="8"/>
        <v>3.0321149999999991E-2</v>
      </c>
      <c r="I584" s="156">
        <f>--(Risk_Prem2[[#This Row],[Return on Equity]]&lt;0.09)</f>
        <v>0</v>
      </c>
    </row>
    <row r="585" spans="1:9" x14ac:dyDescent="0.2">
      <c r="A585" s="155"/>
      <c r="C585" s="148"/>
      <c r="D585" s="160">
        <v>31169</v>
      </c>
      <c r="E585" s="161">
        <v>0.14679999999999999</v>
      </c>
      <c r="F585" s="161">
        <v>0.11935499999999999</v>
      </c>
      <c r="G585" s="133">
        <f t="shared" si="8"/>
        <v>2.7444999999999997E-2</v>
      </c>
      <c r="I585" s="156">
        <f>--(Risk_Prem2[[#This Row],[Return on Equity]]&lt;0.09)</f>
        <v>0</v>
      </c>
    </row>
    <row r="586" spans="1:9" x14ac:dyDescent="0.2">
      <c r="A586" s="155"/>
      <c r="C586" s="148"/>
      <c r="D586" s="160">
        <v>31175</v>
      </c>
      <c r="E586" s="161">
        <v>0.15620000000000001</v>
      </c>
      <c r="F586" s="161">
        <v>0.11889925000000001</v>
      </c>
      <c r="G586" s="133">
        <f t="shared" si="8"/>
        <v>3.7300749999999994E-2</v>
      </c>
      <c r="I586" s="156">
        <f>--(Risk_Prem2[[#This Row],[Return on Equity]]&lt;0.09)</f>
        <v>0</v>
      </c>
    </row>
    <row r="587" spans="1:9" x14ac:dyDescent="0.2">
      <c r="A587" s="155"/>
      <c r="C587" s="148"/>
      <c r="D587" s="160">
        <v>31177</v>
      </c>
      <c r="E587" s="161">
        <v>0.16500000000000001</v>
      </c>
      <c r="F587" s="161">
        <v>0.11867630000000001</v>
      </c>
      <c r="G587" s="133">
        <f t="shared" si="8"/>
        <v>4.6323699999999995E-2</v>
      </c>
      <c r="I587" s="156">
        <f>--(Risk_Prem2[[#This Row],[Return on Equity]]&lt;0.09)</f>
        <v>0</v>
      </c>
    </row>
    <row r="588" spans="1:9" x14ac:dyDescent="0.2">
      <c r="A588" s="155"/>
      <c r="C588" s="148"/>
      <c r="D588" s="160">
        <v>31196</v>
      </c>
      <c r="E588" s="161">
        <v>0.14610000000000001</v>
      </c>
      <c r="F588" s="161">
        <v>0.11733070000000007</v>
      </c>
      <c r="G588" s="133">
        <f t="shared" si="8"/>
        <v>2.8769299999999942E-2</v>
      </c>
      <c r="I588" s="156">
        <f>--(Risk_Prem2[[#This Row],[Return on Equity]]&lt;0.09)</f>
        <v>0</v>
      </c>
    </row>
    <row r="589" spans="1:9" x14ac:dyDescent="0.2">
      <c r="A589" s="155"/>
      <c r="C589" s="148"/>
      <c r="D589" s="160">
        <v>31198</v>
      </c>
      <c r="E589" s="161">
        <v>0.16</v>
      </c>
      <c r="F589" s="161">
        <v>0.11711065000000007</v>
      </c>
      <c r="G589" s="133">
        <f t="shared" si="8"/>
        <v>4.2889349999999937E-2</v>
      </c>
      <c r="I589" s="156">
        <f>--(Risk_Prem2[[#This Row],[Return on Equity]]&lt;0.09)</f>
        <v>0</v>
      </c>
    </row>
    <row r="590" spans="1:9" x14ac:dyDescent="0.2">
      <c r="A590" s="155"/>
      <c r="C590" s="148"/>
      <c r="D590" s="160">
        <v>31212</v>
      </c>
      <c r="E590" s="161">
        <v>0.155</v>
      </c>
      <c r="F590" s="161">
        <v>0.11608430000000007</v>
      </c>
      <c r="G590" s="133">
        <f t="shared" si="8"/>
        <v>3.8915699999999928E-2</v>
      </c>
      <c r="I590" s="156">
        <f>--(Risk_Prem2[[#This Row],[Return on Equity]]&lt;0.09)</f>
        <v>0</v>
      </c>
    </row>
    <row r="591" spans="1:9" x14ac:dyDescent="0.2">
      <c r="A591" s="155"/>
      <c r="C591" s="148"/>
      <c r="D591" s="160">
        <v>31237</v>
      </c>
      <c r="E591" s="161">
        <v>0.15</v>
      </c>
      <c r="F591" s="161">
        <v>0.11445275000000001</v>
      </c>
      <c r="G591" s="133">
        <f t="shared" si="8"/>
        <v>3.5547249999999989E-2</v>
      </c>
      <c r="I591" s="156">
        <f>--(Risk_Prem2[[#This Row],[Return on Equity]]&lt;0.09)</f>
        <v>0</v>
      </c>
    </row>
    <row r="592" spans="1:9" x14ac:dyDescent="0.2">
      <c r="A592" s="155"/>
      <c r="C592" s="148"/>
      <c r="D592" s="160">
        <v>31244</v>
      </c>
      <c r="E592" s="161">
        <v>0.14499999999999999</v>
      </c>
      <c r="F592" s="161">
        <v>0.11392445000000002</v>
      </c>
      <c r="G592" s="133">
        <f t="shared" si="8"/>
        <v>3.1075549999999966E-2</v>
      </c>
      <c r="I592" s="156">
        <f>--(Risk_Prem2[[#This Row],[Return on Equity]]&lt;0.09)</f>
        <v>0</v>
      </c>
    </row>
    <row r="593" spans="1:9" x14ac:dyDescent="0.2">
      <c r="A593" s="155"/>
      <c r="C593" s="148"/>
      <c r="D593" s="160">
        <v>31254</v>
      </c>
      <c r="E593" s="161">
        <v>0.14499999999999999</v>
      </c>
      <c r="F593" s="161">
        <v>0.11326930000000003</v>
      </c>
      <c r="G593" s="133">
        <f t="shared" si="8"/>
        <v>3.1730699999999959E-2</v>
      </c>
      <c r="I593" s="156">
        <f>--(Risk_Prem2[[#This Row],[Return on Equity]]&lt;0.09)</f>
        <v>0</v>
      </c>
    </row>
    <row r="594" spans="1:9" x14ac:dyDescent="0.2">
      <c r="A594" s="155"/>
      <c r="C594" s="148"/>
      <c r="D594" s="160">
        <v>31261</v>
      </c>
      <c r="E594" s="161">
        <v>0.14800000000000002</v>
      </c>
      <c r="F594" s="161">
        <v>0.11289140000000002</v>
      </c>
      <c r="G594" s="133">
        <f t="shared" si="8"/>
        <v>3.5108600000000004E-2</v>
      </c>
      <c r="I594" s="156">
        <f>--(Risk_Prem2[[#This Row],[Return on Equity]]&lt;0.09)</f>
        <v>0</v>
      </c>
    </row>
    <row r="595" spans="1:9" x14ac:dyDescent="0.2">
      <c r="A595" s="155"/>
      <c r="C595" s="148"/>
      <c r="D595" s="160">
        <v>31266</v>
      </c>
      <c r="E595" s="161">
        <v>0.15</v>
      </c>
      <c r="F595" s="161">
        <v>0.11266330000000004</v>
      </c>
      <c r="G595" s="133">
        <f t="shared" si="8"/>
        <v>3.7336699999999959E-2</v>
      </c>
      <c r="I595" s="156">
        <f>--(Risk_Prem2[[#This Row],[Return on Equity]]&lt;0.09)</f>
        <v>0</v>
      </c>
    </row>
    <row r="596" spans="1:9" x14ac:dyDescent="0.2">
      <c r="A596" s="155"/>
      <c r="C596" s="148"/>
      <c r="D596" s="160">
        <v>31287</v>
      </c>
      <c r="E596" s="161">
        <v>0.14249999999999999</v>
      </c>
      <c r="F596" s="161">
        <v>0.11151809999999998</v>
      </c>
      <c r="G596" s="133">
        <f t="shared" si="8"/>
        <v>3.0981900000000007E-2</v>
      </c>
      <c r="I596" s="156">
        <f>--(Risk_Prem2[[#This Row],[Return on Equity]]&lt;0.09)</f>
        <v>0</v>
      </c>
    </row>
    <row r="597" spans="1:9" x14ac:dyDescent="0.2">
      <c r="A597" s="155"/>
      <c r="C597" s="148"/>
      <c r="D597" s="160">
        <v>31287</v>
      </c>
      <c r="E597" s="161">
        <v>0.155</v>
      </c>
      <c r="F597" s="161">
        <v>0.11151809999999998</v>
      </c>
      <c r="G597" s="133">
        <f t="shared" si="8"/>
        <v>4.3481900000000018E-2</v>
      </c>
      <c r="I597" s="156">
        <f>--(Risk_Prem2[[#This Row],[Return on Equity]]&lt;0.09)</f>
        <v>0</v>
      </c>
    </row>
    <row r="598" spans="1:9" x14ac:dyDescent="0.2">
      <c r="A598" s="155"/>
      <c r="C598" s="148"/>
      <c r="D598" s="160">
        <v>31288</v>
      </c>
      <c r="E598" s="161">
        <v>0.14499999999999999</v>
      </c>
      <c r="F598" s="161">
        <v>0.11145754999999996</v>
      </c>
      <c r="G598" s="133">
        <f t="shared" si="8"/>
        <v>3.3542450000000029E-2</v>
      </c>
      <c r="I598" s="156">
        <f>--(Risk_Prem2[[#This Row],[Return on Equity]]&lt;0.09)</f>
        <v>0</v>
      </c>
    </row>
    <row r="599" spans="1:9" x14ac:dyDescent="0.2">
      <c r="A599" s="155"/>
      <c r="C599" s="148"/>
      <c r="D599" s="160">
        <v>31299</v>
      </c>
      <c r="E599" s="161">
        <v>0.14599999999999999</v>
      </c>
      <c r="F599" s="161">
        <v>0.11113019999999997</v>
      </c>
      <c r="G599" s="133">
        <f t="shared" si="8"/>
        <v>3.486980000000002E-2</v>
      </c>
      <c r="I599" s="156">
        <f>--(Risk_Prem2[[#This Row],[Return on Equity]]&lt;0.09)</f>
        <v>0</v>
      </c>
    </row>
    <row r="600" spans="1:9" x14ac:dyDescent="0.2">
      <c r="A600" s="155"/>
      <c r="C600" s="148"/>
      <c r="D600" s="160">
        <v>31299</v>
      </c>
      <c r="E600" s="161">
        <v>0.14899999999999999</v>
      </c>
      <c r="F600" s="161">
        <v>0.11113019999999997</v>
      </c>
      <c r="G600" s="133">
        <f t="shared" si="8"/>
        <v>3.7869800000000023E-2</v>
      </c>
      <c r="I600" s="156">
        <f>--(Risk_Prem2[[#This Row],[Return on Equity]]&lt;0.09)</f>
        <v>0</v>
      </c>
    </row>
    <row r="601" spans="1:9" x14ac:dyDescent="0.2">
      <c r="A601" s="155"/>
      <c r="C601" s="148"/>
      <c r="D601" s="160">
        <v>31307</v>
      </c>
      <c r="E601" s="161">
        <v>0.14899999999999999</v>
      </c>
      <c r="F601" s="161">
        <v>0.11083999999999999</v>
      </c>
      <c r="G601" s="133">
        <f t="shared" si="8"/>
        <v>3.8159999999999999E-2</v>
      </c>
      <c r="I601" s="156">
        <f>--(Risk_Prem2[[#This Row],[Return on Equity]]&lt;0.09)</f>
        <v>0</v>
      </c>
    </row>
    <row r="602" spans="1:9" x14ac:dyDescent="0.2">
      <c r="A602" s="155"/>
      <c r="C602" s="148"/>
      <c r="D602" s="160">
        <v>31313</v>
      </c>
      <c r="E602" s="161">
        <v>0.15</v>
      </c>
      <c r="F602" s="161">
        <v>0.11062834999999999</v>
      </c>
      <c r="G602" s="133">
        <f t="shared" si="8"/>
        <v>3.9371650000000008E-2</v>
      </c>
      <c r="I602" s="156">
        <f>--(Risk_Prem2[[#This Row],[Return on Equity]]&lt;0.09)</f>
        <v>0</v>
      </c>
    </row>
    <row r="603" spans="1:9" x14ac:dyDescent="0.2">
      <c r="A603" s="155"/>
      <c r="C603" s="148"/>
      <c r="D603" s="160">
        <v>31317</v>
      </c>
      <c r="E603" s="161">
        <v>0.155</v>
      </c>
      <c r="F603" s="161">
        <v>0.11045634999999995</v>
      </c>
      <c r="G603" s="133">
        <f t="shared" si="8"/>
        <v>4.4543650000000046E-2</v>
      </c>
      <c r="I603" s="156">
        <f>--(Risk_Prem2[[#This Row],[Return on Equity]]&lt;0.09)</f>
        <v>0</v>
      </c>
    </row>
    <row r="604" spans="1:9" x14ac:dyDescent="0.2">
      <c r="A604" s="155"/>
      <c r="C604" s="148"/>
      <c r="D604" s="160">
        <v>31317</v>
      </c>
      <c r="E604" s="161">
        <v>0.158</v>
      </c>
      <c r="F604" s="161">
        <v>0.11045634999999995</v>
      </c>
      <c r="G604" s="133">
        <f t="shared" si="8"/>
        <v>4.7543650000000048E-2</v>
      </c>
      <c r="I604" s="156">
        <f>--(Risk_Prem2[[#This Row],[Return on Equity]]&lt;0.09)</f>
        <v>0</v>
      </c>
    </row>
    <row r="605" spans="1:9" x14ac:dyDescent="0.2">
      <c r="A605" s="155"/>
      <c r="C605" s="148"/>
      <c r="D605" s="160">
        <v>31322</v>
      </c>
      <c r="E605" s="161">
        <v>0.14000000000000001</v>
      </c>
      <c r="F605" s="161">
        <v>0.11033019999999993</v>
      </c>
      <c r="G605" s="133">
        <f t="shared" si="8"/>
        <v>2.9669800000000079E-2</v>
      </c>
      <c r="I605" s="156">
        <f>--(Risk_Prem2[[#This Row],[Return on Equity]]&lt;0.09)</f>
        <v>0</v>
      </c>
    </row>
    <row r="606" spans="1:9" x14ac:dyDescent="0.2">
      <c r="A606" s="155"/>
      <c r="C606" s="148"/>
      <c r="D606" s="160">
        <v>31322</v>
      </c>
      <c r="E606" s="161">
        <v>0.14749999999999999</v>
      </c>
      <c r="F606" s="161">
        <v>0.11033019999999993</v>
      </c>
      <c r="G606" s="133">
        <f t="shared" si="8"/>
        <v>3.7169800000000058E-2</v>
      </c>
      <c r="I606" s="156">
        <f>--(Risk_Prem2[[#This Row],[Return on Equity]]&lt;0.09)</f>
        <v>0</v>
      </c>
    </row>
    <row r="607" spans="1:9" x14ac:dyDescent="0.2">
      <c r="A607" s="155"/>
      <c r="C607" s="148"/>
      <c r="D607" s="160">
        <v>31323</v>
      </c>
      <c r="E607" s="161">
        <v>0.1525</v>
      </c>
      <c r="F607" s="161">
        <v>0.11028289999999995</v>
      </c>
      <c r="G607" s="133">
        <f t="shared" si="8"/>
        <v>4.2217100000000049E-2</v>
      </c>
      <c r="I607" s="156">
        <f>--(Risk_Prem2[[#This Row],[Return on Equity]]&lt;0.09)</f>
        <v>0</v>
      </c>
    </row>
    <row r="608" spans="1:9" x14ac:dyDescent="0.2">
      <c r="A608" s="155"/>
      <c r="C608" s="148"/>
      <c r="D608" s="160">
        <v>31344</v>
      </c>
      <c r="E608" s="161">
        <v>0.154</v>
      </c>
      <c r="F608" s="161">
        <v>0.10957884999999994</v>
      </c>
      <c r="G608" s="133">
        <f t="shared" si="8"/>
        <v>4.4421150000000062E-2</v>
      </c>
      <c r="I608" s="156">
        <f>--(Risk_Prem2[[#This Row],[Return on Equity]]&lt;0.09)</f>
        <v>0</v>
      </c>
    </row>
    <row r="609" spans="1:9" x14ac:dyDescent="0.2">
      <c r="A609" s="155"/>
      <c r="C609" s="148"/>
      <c r="D609" s="160">
        <v>31344</v>
      </c>
      <c r="E609" s="161">
        <v>0.15820000000000001</v>
      </c>
      <c r="F609" s="161">
        <v>0.10957884999999994</v>
      </c>
      <c r="G609" s="133">
        <f t="shared" si="8"/>
        <v>4.8621150000000071E-2</v>
      </c>
      <c r="I609" s="156">
        <f>--(Risk_Prem2[[#This Row],[Return on Equity]]&lt;0.09)</f>
        <v>0</v>
      </c>
    </row>
    <row r="610" spans="1:9" x14ac:dyDescent="0.2">
      <c r="A610" s="155"/>
      <c r="C610" s="148"/>
      <c r="D610" s="160">
        <v>31344</v>
      </c>
      <c r="E610" s="161">
        <v>0.1585</v>
      </c>
      <c r="F610" s="161">
        <v>0.10957884999999994</v>
      </c>
      <c r="G610" s="133">
        <f t="shared" si="8"/>
        <v>4.8921150000000066E-2</v>
      </c>
      <c r="I610" s="156">
        <f>--(Risk_Prem2[[#This Row],[Return on Equity]]&lt;0.09)</f>
        <v>0</v>
      </c>
    </row>
    <row r="611" spans="1:9" x14ac:dyDescent="0.2">
      <c r="A611" s="155"/>
      <c r="C611" s="148"/>
      <c r="D611" s="160">
        <v>31348</v>
      </c>
      <c r="E611" s="161">
        <v>0.16</v>
      </c>
      <c r="F611" s="161">
        <v>0.10949164999999995</v>
      </c>
      <c r="G611" s="133">
        <f t="shared" si="8"/>
        <v>5.0508350000000049E-2</v>
      </c>
      <c r="I611" s="156">
        <f>--(Risk_Prem2[[#This Row],[Return on Equity]]&lt;0.09)</f>
        <v>0</v>
      </c>
    </row>
    <row r="612" spans="1:9" x14ac:dyDescent="0.2">
      <c r="A612" s="155"/>
      <c r="C612" s="148"/>
      <c r="D612" s="160">
        <v>31349</v>
      </c>
      <c r="E612" s="161">
        <v>0.16649999999999998</v>
      </c>
      <c r="F612" s="161">
        <v>0.10943534999999993</v>
      </c>
      <c r="G612" s="133">
        <f t="shared" si="8"/>
        <v>5.706465000000005E-2</v>
      </c>
      <c r="I612" s="156">
        <f>--(Risk_Prem2[[#This Row],[Return on Equity]]&lt;0.09)</f>
        <v>0</v>
      </c>
    </row>
    <row r="613" spans="1:9" x14ac:dyDescent="0.2">
      <c r="A613" s="155"/>
      <c r="C613" s="148"/>
      <c r="D613" s="160">
        <v>31351</v>
      </c>
      <c r="E613" s="161">
        <v>0.15060000000000001</v>
      </c>
      <c r="F613" s="161">
        <v>0.10931394999999997</v>
      </c>
      <c r="G613" s="133">
        <f t="shared" si="8"/>
        <v>4.1286050000000046E-2</v>
      </c>
      <c r="I613" s="156">
        <f>--(Risk_Prem2[[#This Row],[Return on Equity]]&lt;0.09)</f>
        <v>0</v>
      </c>
    </row>
    <row r="614" spans="1:9" x14ac:dyDescent="0.2">
      <c r="A614" s="155"/>
      <c r="C614" s="148"/>
      <c r="D614" s="160">
        <v>31355</v>
      </c>
      <c r="E614" s="161">
        <v>0.14499999999999999</v>
      </c>
      <c r="F614" s="161">
        <v>0.10917304999999995</v>
      </c>
      <c r="G614" s="133">
        <f t="shared" si="8"/>
        <v>3.5826950000000038E-2</v>
      </c>
      <c r="I614" s="156">
        <f>--(Risk_Prem2[[#This Row],[Return on Equity]]&lt;0.09)</f>
        <v>0</v>
      </c>
    </row>
    <row r="615" spans="1:9" x14ac:dyDescent="0.2">
      <c r="A615" s="155"/>
      <c r="C615" s="148"/>
      <c r="D615" s="160">
        <v>31358</v>
      </c>
      <c r="E615" s="161">
        <v>0.155</v>
      </c>
      <c r="F615" s="161">
        <v>0.10896159999999996</v>
      </c>
      <c r="G615" s="133">
        <f t="shared" si="8"/>
        <v>4.6038400000000035E-2</v>
      </c>
      <c r="I615" s="156">
        <f>--(Risk_Prem2[[#This Row],[Return on Equity]]&lt;0.09)</f>
        <v>0</v>
      </c>
    </row>
    <row r="616" spans="1:9" x14ac:dyDescent="0.2">
      <c r="A616" s="155"/>
      <c r="C616" s="148"/>
      <c r="D616" s="160">
        <v>31359</v>
      </c>
      <c r="E616" s="161">
        <v>0.14300000000000002</v>
      </c>
      <c r="F616" s="161">
        <v>0.10889554999999998</v>
      </c>
      <c r="G616" s="133">
        <f t="shared" si="8"/>
        <v>3.4104450000000036E-2</v>
      </c>
      <c r="I616" s="156">
        <f>--(Risk_Prem2[[#This Row],[Return on Equity]]&lt;0.09)</f>
        <v>0</v>
      </c>
    </row>
    <row r="617" spans="1:9" x14ac:dyDescent="0.2">
      <c r="A617" s="155"/>
      <c r="C617" s="148"/>
      <c r="D617" s="160">
        <v>31393</v>
      </c>
      <c r="E617" s="161">
        <v>0.14749999999999999</v>
      </c>
      <c r="F617" s="161">
        <v>0.10730604999999997</v>
      </c>
      <c r="G617" s="133">
        <f t="shared" si="8"/>
        <v>4.019395000000002E-2</v>
      </c>
      <c r="I617" s="156">
        <f>--(Risk_Prem2[[#This Row],[Return on Equity]]&lt;0.09)</f>
        <v>0</v>
      </c>
    </row>
    <row r="618" spans="1:9" x14ac:dyDescent="0.2">
      <c r="A618" s="155"/>
      <c r="C618" s="148"/>
      <c r="D618" s="160">
        <v>31399</v>
      </c>
      <c r="E618" s="161">
        <v>0.15</v>
      </c>
      <c r="F618" s="161">
        <v>0.1069314</v>
      </c>
      <c r="G618" s="133">
        <f t="shared" si="8"/>
        <v>4.3068599999999999E-2</v>
      </c>
      <c r="I618" s="156">
        <f>--(Risk_Prem2[[#This Row],[Return on Equity]]&lt;0.09)</f>
        <v>0</v>
      </c>
    </row>
    <row r="619" spans="1:9" x14ac:dyDescent="0.2">
      <c r="A619" s="155"/>
      <c r="C619" s="148"/>
      <c r="D619" s="160">
        <v>31401</v>
      </c>
      <c r="E619" s="161">
        <v>0.14499999999999999</v>
      </c>
      <c r="F619" s="161">
        <v>0.10669679999999999</v>
      </c>
      <c r="G619" s="133">
        <f t="shared" si="8"/>
        <v>3.8303199999999996E-2</v>
      </c>
      <c r="I619" s="156">
        <f>--(Risk_Prem2[[#This Row],[Return on Equity]]&lt;0.09)</f>
        <v>0</v>
      </c>
    </row>
    <row r="620" spans="1:9" x14ac:dyDescent="0.2">
      <c r="A620" s="155"/>
      <c r="C620" s="148"/>
      <c r="D620" s="160">
        <v>31401</v>
      </c>
      <c r="E620" s="161">
        <v>0.14499999999999999</v>
      </c>
      <c r="F620" s="161">
        <v>0.10669679999999999</v>
      </c>
      <c r="G620" s="133">
        <f t="shared" si="8"/>
        <v>3.8303199999999996E-2</v>
      </c>
      <c r="I620" s="156">
        <f>--(Risk_Prem2[[#This Row],[Return on Equity]]&lt;0.09)</f>
        <v>0</v>
      </c>
    </row>
    <row r="621" spans="1:9" x14ac:dyDescent="0.2">
      <c r="A621" s="155"/>
      <c r="C621" s="148"/>
      <c r="D621" s="160">
        <v>31401</v>
      </c>
      <c r="E621" s="161">
        <v>0.15</v>
      </c>
      <c r="F621" s="161">
        <v>0.10669679999999999</v>
      </c>
      <c r="G621" s="133">
        <f t="shared" si="8"/>
        <v>4.33032E-2</v>
      </c>
      <c r="I621" s="156">
        <f>--(Risk_Prem2[[#This Row],[Return on Equity]]&lt;0.09)</f>
        <v>0</v>
      </c>
    </row>
    <row r="622" spans="1:9" x14ac:dyDescent="0.2">
      <c r="A622" s="155"/>
      <c r="C622" s="148"/>
      <c r="D622" s="160">
        <v>31436</v>
      </c>
      <c r="E622" s="161">
        <v>0.154</v>
      </c>
      <c r="F622" s="161">
        <v>0.10406049999999992</v>
      </c>
      <c r="G622" s="133">
        <f t="shared" ref="G622:G685" si="9">E622-F622</f>
        <v>4.9939500000000081E-2</v>
      </c>
      <c r="I622" s="156">
        <f>--(Risk_Prem2[[#This Row],[Return on Equity]]&lt;0.09)</f>
        <v>0</v>
      </c>
    </row>
    <row r="623" spans="1:9" x14ac:dyDescent="0.2">
      <c r="A623" s="155"/>
      <c r="C623" s="148"/>
      <c r="D623" s="160">
        <v>31443</v>
      </c>
      <c r="E623" s="161">
        <v>0.15</v>
      </c>
      <c r="F623" s="161">
        <v>0.10351064999999987</v>
      </c>
      <c r="G623" s="133">
        <f t="shared" si="9"/>
        <v>4.6489350000000124E-2</v>
      </c>
      <c r="I623" s="156">
        <f>--(Risk_Prem2[[#This Row],[Return on Equity]]&lt;0.09)</f>
        <v>0</v>
      </c>
    </row>
    <row r="624" spans="1:9" x14ac:dyDescent="0.2">
      <c r="A624" s="155"/>
      <c r="C624" s="148"/>
      <c r="D624" s="160">
        <v>31448</v>
      </c>
      <c r="E624" s="161">
        <v>0.15</v>
      </c>
      <c r="F624" s="161">
        <v>0.10320114999999989</v>
      </c>
      <c r="G624" s="133">
        <f t="shared" si="9"/>
        <v>4.67988500000001E-2</v>
      </c>
      <c r="I624" s="156">
        <f>--(Risk_Prem2[[#This Row],[Return on Equity]]&lt;0.09)</f>
        <v>0</v>
      </c>
    </row>
    <row r="625" spans="1:9" x14ac:dyDescent="0.2">
      <c r="A625" s="155"/>
      <c r="C625" s="148"/>
      <c r="D625" s="160">
        <v>31448</v>
      </c>
      <c r="E625" s="161">
        <v>0.1575</v>
      </c>
      <c r="F625" s="161">
        <v>0.10320114999999989</v>
      </c>
      <c r="G625" s="133">
        <f t="shared" si="9"/>
        <v>5.4298850000000107E-2</v>
      </c>
      <c r="I625" s="156">
        <f>--(Risk_Prem2[[#This Row],[Return on Equity]]&lt;0.09)</f>
        <v>0</v>
      </c>
    </row>
    <row r="626" spans="1:9" x14ac:dyDescent="0.2">
      <c r="A626" s="155"/>
      <c r="C626" s="148"/>
      <c r="D626" s="160">
        <v>31453</v>
      </c>
      <c r="E626" s="161">
        <v>0.13300000000000001</v>
      </c>
      <c r="F626" s="161">
        <v>0.1029048999999999</v>
      </c>
      <c r="G626" s="133">
        <f t="shared" si="9"/>
        <v>3.0095100000000111E-2</v>
      </c>
      <c r="I626" s="156">
        <f>--(Risk_Prem2[[#This Row],[Return on Equity]]&lt;0.09)</f>
        <v>0</v>
      </c>
    </row>
    <row r="627" spans="1:9" x14ac:dyDescent="0.2">
      <c r="A627" s="155"/>
      <c r="C627" s="148"/>
      <c r="D627" s="160">
        <v>31454</v>
      </c>
      <c r="E627" s="161">
        <v>0.125</v>
      </c>
      <c r="F627" s="161">
        <v>0.10279754999999989</v>
      </c>
      <c r="G627" s="133">
        <f t="shared" si="9"/>
        <v>2.220245000000011E-2</v>
      </c>
      <c r="I627" s="156">
        <f>--(Risk_Prem2[[#This Row],[Return on Equity]]&lt;0.09)</f>
        <v>0</v>
      </c>
    </row>
    <row r="628" spans="1:9" x14ac:dyDescent="0.2">
      <c r="A628" s="155"/>
      <c r="C628" s="148"/>
      <c r="D628" s="160">
        <v>31457</v>
      </c>
      <c r="E628" s="161">
        <v>0.14400000000000002</v>
      </c>
      <c r="F628" s="161">
        <v>0.1024421499999999</v>
      </c>
      <c r="G628" s="133">
        <f t="shared" si="9"/>
        <v>4.1557850000000118E-2</v>
      </c>
      <c r="I628" s="156">
        <f>--(Risk_Prem2[[#This Row],[Return on Equity]]&lt;0.09)</f>
        <v>0</v>
      </c>
    </row>
    <row r="629" spans="1:9" x14ac:dyDescent="0.2">
      <c r="A629" s="155"/>
      <c r="C629" s="148"/>
      <c r="D629" s="160">
        <v>31461</v>
      </c>
      <c r="E629" s="161">
        <v>0.16</v>
      </c>
      <c r="F629" s="161">
        <v>0.10231094999999991</v>
      </c>
      <c r="G629" s="133">
        <f t="shared" si="9"/>
        <v>5.7689050000000089E-2</v>
      </c>
      <c r="I629" s="156">
        <f>--(Risk_Prem2[[#This Row],[Return on Equity]]&lt;0.09)</f>
        <v>0</v>
      </c>
    </row>
    <row r="630" spans="1:9" x14ac:dyDescent="0.2">
      <c r="A630" s="155"/>
      <c r="C630" s="148"/>
      <c r="D630" s="160">
        <v>31467</v>
      </c>
      <c r="E630" s="161">
        <v>0.14499999999999999</v>
      </c>
      <c r="F630" s="161">
        <v>0.10179149999999991</v>
      </c>
      <c r="G630" s="133">
        <f t="shared" si="9"/>
        <v>4.320850000000008E-2</v>
      </c>
      <c r="I630" s="156">
        <f>--(Risk_Prem2[[#This Row],[Return on Equity]]&lt;0.09)</f>
        <v>0</v>
      </c>
    </row>
    <row r="631" spans="1:9" x14ac:dyDescent="0.2">
      <c r="A631" s="155"/>
      <c r="C631" s="148"/>
      <c r="D631" s="160">
        <v>31469</v>
      </c>
      <c r="E631" s="161">
        <v>0.14000000000000001</v>
      </c>
      <c r="F631" s="161">
        <v>0.10151839999999991</v>
      </c>
      <c r="G631" s="133">
        <f t="shared" si="9"/>
        <v>3.8481600000000102E-2</v>
      </c>
      <c r="I631" s="156">
        <f>--(Risk_Prem2[[#This Row],[Return on Equity]]&lt;0.09)</f>
        <v>0</v>
      </c>
    </row>
    <row r="632" spans="1:9" x14ac:dyDescent="0.2">
      <c r="A632" s="155"/>
      <c r="C632" s="148"/>
      <c r="D632" s="160">
        <v>31476</v>
      </c>
      <c r="E632" s="161">
        <v>0.14899999999999999</v>
      </c>
      <c r="F632" s="161">
        <v>0.10076204999999991</v>
      </c>
      <c r="G632" s="133">
        <f t="shared" si="9"/>
        <v>4.8237950000000085E-2</v>
      </c>
      <c r="I632" s="156">
        <f>--(Risk_Prem2[[#This Row],[Return on Equity]]&lt;0.09)</f>
        <v>0</v>
      </c>
    </row>
    <row r="633" spans="1:9" x14ac:dyDescent="0.2">
      <c r="A633" s="155"/>
      <c r="C633" s="148"/>
      <c r="D633" s="160">
        <v>31482</v>
      </c>
      <c r="E633" s="161">
        <v>0.14499999999999999</v>
      </c>
      <c r="F633" s="161">
        <v>0.10018434999999991</v>
      </c>
      <c r="G633" s="133">
        <f t="shared" si="9"/>
        <v>4.4815650000000082E-2</v>
      </c>
      <c r="I633" s="156">
        <f>--(Risk_Prem2[[#This Row],[Return on Equity]]&lt;0.09)</f>
        <v>0</v>
      </c>
    </row>
    <row r="634" spans="1:9" x14ac:dyDescent="0.2">
      <c r="A634" s="155"/>
      <c r="C634" s="148"/>
      <c r="D634" s="160">
        <v>31483</v>
      </c>
      <c r="E634" s="161">
        <v>0.13500000000000001</v>
      </c>
      <c r="F634" s="161">
        <v>0.10003894999999993</v>
      </c>
      <c r="G634" s="133">
        <f t="shared" si="9"/>
        <v>3.4961050000000077E-2</v>
      </c>
      <c r="I634" s="156">
        <f>--(Risk_Prem2[[#This Row],[Return on Equity]]&lt;0.09)</f>
        <v>0</v>
      </c>
    </row>
    <row r="635" spans="1:9" x14ac:dyDescent="0.2">
      <c r="A635" s="155"/>
      <c r="C635" s="148"/>
      <c r="D635" s="160">
        <v>31498</v>
      </c>
      <c r="E635" s="161">
        <v>0.14099999999999999</v>
      </c>
      <c r="F635" s="161">
        <v>9.8555949999999976E-2</v>
      </c>
      <c r="G635" s="133">
        <f t="shared" si="9"/>
        <v>4.2444050000000011E-2</v>
      </c>
      <c r="I635" s="156">
        <f>--(Risk_Prem2[[#This Row],[Return on Equity]]&lt;0.09)</f>
        <v>0</v>
      </c>
    </row>
    <row r="636" spans="1:9" x14ac:dyDescent="0.2">
      <c r="A636" s="155"/>
      <c r="C636" s="148"/>
      <c r="D636" s="160">
        <v>31502</v>
      </c>
      <c r="E636" s="161">
        <v>0.13500000000000001</v>
      </c>
      <c r="F636" s="161">
        <v>9.8401799999999984E-2</v>
      </c>
      <c r="G636" s="133">
        <f t="shared" si="9"/>
        <v>3.6598200000000025E-2</v>
      </c>
      <c r="I636" s="156">
        <f>--(Risk_Prem2[[#This Row],[Return on Equity]]&lt;0.09)</f>
        <v>0</v>
      </c>
    </row>
    <row r="637" spans="1:9" x14ac:dyDescent="0.2">
      <c r="A637" s="155"/>
      <c r="C637" s="148"/>
      <c r="D637" s="160">
        <v>31503</v>
      </c>
      <c r="E637" s="161">
        <v>0.14000000000000001</v>
      </c>
      <c r="F637" s="161">
        <v>9.8252949999999964E-2</v>
      </c>
      <c r="G637" s="133">
        <f t="shared" si="9"/>
        <v>4.1747050000000049E-2</v>
      </c>
      <c r="I637" s="156">
        <f>--(Risk_Prem2[[#This Row],[Return on Equity]]&lt;0.09)</f>
        <v>0</v>
      </c>
    </row>
    <row r="638" spans="1:9" x14ac:dyDescent="0.2">
      <c r="A638" s="155"/>
      <c r="C638" s="148"/>
      <c r="D638" s="160">
        <v>31504</v>
      </c>
      <c r="E638" s="161">
        <v>0.155</v>
      </c>
      <c r="F638" s="161">
        <v>9.8099049999999993E-2</v>
      </c>
      <c r="G638" s="133">
        <f t="shared" si="9"/>
        <v>5.6900950000000006E-2</v>
      </c>
      <c r="I638" s="156">
        <f>--(Risk_Prem2[[#This Row],[Return on Equity]]&lt;0.09)</f>
        <v>0</v>
      </c>
    </row>
    <row r="639" spans="1:9" x14ac:dyDescent="0.2">
      <c r="A639" s="155"/>
      <c r="C639" s="148"/>
      <c r="D639" s="160">
        <v>31506</v>
      </c>
      <c r="E639" s="161">
        <v>0.15</v>
      </c>
      <c r="F639" s="161">
        <v>9.7810199999999958E-2</v>
      </c>
      <c r="G639" s="133">
        <f t="shared" si="9"/>
        <v>5.2189800000000036E-2</v>
      </c>
      <c r="I639" s="156">
        <f>--(Risk_Prem2[[#This Row],[Return on Equity]]&lt;0.09)</f>
        <v>0</v>
      </c>
    </row>
    <row r="640" spans="1:9" x14ac:dyDescent="0.2">
      <c r="A640" s="155"/>
      <c r="C640" s="148"/>
      <c r="D640" s="160">
        <v>31516</v>
      </c>
      <c r="E640" s="161">
        <v>0.13400000000000001</v>
      </c>
      <c r="F640" s="161">
        <v>9.6894799999999948E-2</v>
      </c>
      <c r="G640" s="133">
        <f t="shared" si="9"/>
        <v>3.710520000000006E-2</v>
      </c>
      <c r="I640" s="156">
        <f>--(Risk_Prem2[[#This Row],[Return on Equity]]&lt;0.09)</f>
        <v>0</v>
      </c>
    </row>
    <row r="641" spans="1:9" x14ac:dyDescent="0.2">
      <c r="A641" s="155"/>
      <c r="C641" s="148"/>
      <c r="D641" s="160">
        <v>31525</v>
      </c>
      <c r="E641" s="161">
        <v>0.15</v>
      </c>
      <c r="F641" s="161">
        <v>9.5746699999999935E-2</v>
      </c>
      <c r="G641" s="133">
        <f t="shared" si="9"/>
        <v>5.425330000000006E-2</v>
      </c>
      <c r="I641" s="156">
        <f>--(Risk_Prem2[[#This Row],[Return on Equity]]&lt;0.09)</f>
        <v>0</v>
      </c>
    </row>
    <row r="642" spans="1:9" x14ac:dyDescent="0.2">
      <c r="A642" s="155"/>
      <c r="C642" s="148"/>
      <c r="D642" s="160">
        <v>31548</v>
      </c>
      <c r="E642" s="161">
        <v>0.14499999999999999</v>
      </c>
      <c r="F642" s="161">
        <v>9.3214849999999932E-2</v>
      </c>
      <c r="G642" s="133">
        <f t="shared" si="9"/>
        <v>5.1785150000000058E-2</v>
      </c>
      <c r="I642" s="156">
        <f>--(Risk_Prem2[[#This Row],[Return on Equity]]&lt;0.09)</f>
        <v>0</v>
      </c>
    </row>
    <row r="643" spans="1:9" x14ac:dyDescent="0.2">
      <c r="A643" s="155"/>
      <c r="C643" s="148"/>
      <c r="D643" s="160">
        <v>31548</v>
      </c>
      <c r="E643" s="161">
        <v>0.14499999999999999</v>
      </c>
      <c r="F643" s="161">
        <v>9.3214849999999932E-2</v>
      </c>
      <c r="G643" s="133">
        <f t="shared" si="9"/>
        <v>5.1785150000000058E-2</v>
      </c>
      <c r="I643" s="156">
        <f>--(Risk_Prem2[[#This Row],[Return on Equity]]&lt;0.09)</f>
        <v>0</v>
      </c>
    </row>
    <row r="644" spans="1:9" x14ac:dyDescent="0.2">
      <c r="A644" s="155"/>
      <c r="C644" s="148"/>
      <c r="D644" s="160">
        <v>31561</v>
      </c>
      <c r="E644" s="161">
        <v>0.13900000000000001</v>
      </c>
      <c r="F644" s="161">
        <v>9.1948999999999934E-2</v>
      </c>
      <c r="G644" s="133">
        <f t="shared" si="9"/>
        <v>4.7051000000000079E-2</v>
      </c>
      <c r="I644" s="156">
        <f>--(Risk_Prem2[[#This Row],[Return on Equity]]&lt;0.09)</f>
        <v>0</v>
      </c>
    </row>
    <row r="645" spans="1:9" x14ac:dyDescent="0.2">
      <c r="A645" s="155"/>
      <c r="C645" s="148"/>
      <c r="D645" s="160">
        <v>31562</v>
      </c>
      <c r="E645" s="161">
        <v>0.151</v>
      </c>
      <c r="F645" s="161">
        <v>9.1806449999999942E-2</v>
      </c>
      <c r="G645" s="133">
        <f t="shared" si="9"/>
        <v>5.9193550000000053E-2</v>
      </c>
      <c r="I645" s="156">
        <f>--(Risk_Prem2[[#This Row],[Return on Equity]]&lt;0.09)</f>
        <v>0</v>
      </c>
    </row>
    <row r="646" spans="1:9" x14ac:dyDescent="0.2">
      <c r="A646" s="155"/>
      <c r="C646" s="148"/>
      <c r="D646" s="160">
        <v>31565</v>
      </c>
      <c r="E646" s="161">
        <v>0.12809999999999999</v>
      </c>
      <c r="F646" s="161">
        <v>9.1670149999999936E-2</v>
      </c>
      <c r="G646" s="133">
        <f t="shared" si="9"/>
        <v>3.6429850000000055E-2</v>
      </c>
      <c r="I646" s="156">
        <f>--(Risk_Prem2[[#This Row],[Return on Equity]]&lt;0.09)</f>
        <v>0</v>
      </c>
    </row>
    <row r="647" spans="1:9" x14ac:dyDescent="0.2">
      <c r="A647" s="155"/>
      <c r="C647" s="148"/>
      <c r="D647" s="160">
        <v>31574</v>
      </c>
      <c r="E647" s="161">
        <v>0.14000000000000001</v>
      </c>
      <c r="F647" s="161">
        <v>9.0701049999999964E-2</v>
      </c>
      <c r="G647" s="133">
        <f t="shared" si="9"/>
        <v>4.929895000000005E-2</v>
      </c>
      <c r="I647" s="156">
        <f>--(Risk_Prem2[[#This Row],[Return on Equity]]&lt;0.09)</f>
        <v>0</v>
      </c>
    </row>
    <row r="648" spans="1:9" x14ac:dyDescent="0.2">
      <c r="A648" s="155"/>
      <c r="C648" s="148"/>
      <c r="D648" s="160">
        <v>31587</v>
      </c>
      <c r="E648" s="161">
        <v>0.1663</v>
      </c>
      <c r="F648" s="161">
        <v>8.9375799999999991E-2</v>
      </c>
      <c r="G648" s="133">
        <f t="shared" si="9"/>
        <v>7.6924200000000012E-2</v>
      </c>
      <c r="I648" s="156">
        <f>--(Risk_Prem2[[#This Row],[Return on Equity]]&lt;0.09)</f>
        <v>0</v>
      </c>
    </row>
    <row r="649" spans="1:9" x14ac:dyDescent="0.2">
      <c r="A649" s="155"/>
      <c r="C649" s="148"/>
      <c r="D649" s="160">
        <v>31589</v>
      </c>
      <c r="E649" s="161">
        <v>0.12</v>
      </c>
      <c r="F649" s="161">
        <v>8.9051699999999998E-2</v>
      </c>
      <c r="G649" s="133">
        <f t="shared" si="9"/>
        <v>3.0948299999999998E-2</v>
      </c>
      <c r="I649" s="156">
        <f>--(Risk_Prem2[[#This Row],[Return on Equity]]&lt;0.09)</f>
        <v>0</v>
      </c>
    </row>
    <row r="650" spans="1:9" x14ac:dyDescent="0.2">
      <c r="A650" s="155"/>
      <c r="C650" s="148"/>
      <c r="D650" s="160">
        <v>31589</v>
      </c>
      <c r="E650" s="161">
        <v>0.14749999999999999</v>
      </c>
      <c r="F650" s="161">
        <v>8.9051699999999998E-2</v>
      </c>
      <c r="G650" s="133">
        <f t="shared" si="9"/>
        <v>5.8448299999999995E-2</v>
      </c>
      <c r="I650" s="156">
        <f>--(Risk_Prem2[[#This Row],[Return on Equity]]&lt;0.09)</f>
        <v>0</v>
      </c>
    </row>
    <row r="651" spans="1:9" x14ac:dyDescent="0.2">
      <c r="A651" s="155"/>
      <c r="C651" s="148"/>
      <c r="D651" s="160">
        <v>31593</v>
      </c>
      <c r="E651" s="161">
        <v>0.13</v>
      </c>
      <c r="F651" s="161">
        <v>8.8707200000000028E-2</v>
      </c>
      <c r="G651" s="133">
        <f t="shared" si="9"/>
        <v>4.1292799999999977E-2</v>
      </c>
      <c r="I651" s="156">
        <f>--(Risk_Prem2[[#This Row],[Return on Equity]]&lt;0.09)</f>
        <v>0</v>
      </c>
    </row>
    <row r="652" spans="1:9" x14ac:dyDescent="0.2">
      <c r="A652" s="155"/>
      <c r="C652" s="148"/>
      <c r="D652" s="160">
        <v>31603</v>
      </c>
      <c r="E652" s="161">
        <v>0.1434</v>
      </c>
      <c r="F652" s="161">
        <v>8.7492550000000002E-2</v>
      </c>
      <c r="G652" s="133">
        <f t="shared" si="9"/>
        <v>5.5907449999999997E-2</v>
      </c>
      <c r="I652" s="156">
        <f>--(Risk_Prem2[[#This Row],[Return on Equity]]&lt;0.09)</f>
        <v>0</v>
      </c>
    </row>
    <row r="653" spans="1:9" x14ac:dyDescent="0.2">
      <c r="A653" s="155"/>
      <c r="C653" s="148"/>
      <c r="D653" s="160">
        <v>31604</v>
      </c>
      <c r="E653" s="161">
        <v>0.1275</v>
      </c>
      <c r="F653" s="161">
        <v>8.7322850000000007E-2</v>
      </c>
      <c r="G653" s="133">
        <f t="shared" si="9"/>
        <v>4.0177149999999995E-2</v>
      </c>
      <c r="I653" s="156">
        <f>--(Risk_Prem2[[#This Row],[Return on Equity]]&lt;0.09)</f>
        <v>0</v>
      </c>
    </row>
    <row r="654" spans="1:9" x14ac:dyDescent="0.2">
      <c r="A654" s="155"/>
      <c r="C654" s="148"/>
      <c r="D654" s="160">
        <v>31607</v>
      </c>
      <c r="E654" s="161">
        <v>0.126</v>
      </c>
      <c r="F654" s="161">
        <v>8.7148450000000002E-2</v>
      </c>
      <c r="G654" s="133">
        <f t="shared" si="9"/>
        <v>3.8851549999999999E-2</v>
      </c>
      <c r="I654" s="156">
        <f>--(Risk_Prem2[[#This Row],[Return on Equity]]&lt;0.09)</f>
        <v>0</v>
      </c>
    </row>
    <row r="655" spans="1:9" x14ac:dyDescent="0.2">
      <c r="A655" s="155"/>
      <c r="C655" s="148"/>
      <c r="D655" s="160">
        <v>31610</v>
      </c>
      <c r="E655" s="161">
        <v>0.124</v>
      </c>
      <c r="F655" s="161">
        <v>8.6642850000000035E-2</v>
      </c>
      <c r="G655" s="133">
        <f t="shared" si="9"/>
        <v>3.7357149999999964E-2</v>
      </c>
      <c r="I655" s="156">
        <f>--(Risk_Prem2[[#This Row],[Return on Equity]]&lt;0.09)</f>
        <v>0</v>
      </c>
    </row>
    <row r="656" spans="1:9" x14ac:dyDescent="0.2">
      <c r="A656" s="155"/>
      <c r="C656" s="148"/>
      <c r="D656" s="160">
        <v>31618</v>
      </c>
      <c r="E656" s="161">
        <v>0.14249999999999999</v>
      </c>
      <c r="F656" s="161">
        <v>8.5660900000000012E-2</v>
      </c>
      <c r="G656" s="133">
        <f t="shared" si="9"/>
        <v>5.6839099999999976E-2</v>
      </c>
      <c r="I656" s="156">
        <f>--(Risk_Prem2[[#This Row],[Return on Equity]]&lt;0.09)</f>
        <v>0</v>
      </c>
    </row>
    <row r="657" spans="1:9" x14ac:dyDescent="0.2">
      <c r="A657" s="155"/>
      <c r="C657" s="148"/>
      <c r="D657" s="160">
        <v>31630</v>
      </c>
      <c r="E657" s="161">
        <v>0.13500000000000001</v>
      </c>
      <c r="F657" s="161">
        <v>8.4428249999999955E-2</v>
      </c>
      <c r="G657" s="133">
        <f t="shared" si="9"/>
        <v>5.0571750000000054E-2</v>
      </c>
      <c r="I657" s="156">
        <f>--(Risk_Prem2[[#This Row],[Return on Equity]]&lt;0.09)</f>
        <v>0</v>
      </c>
    </row>
    <row r="658" spans="1:9" x14ac:dyDescent="0.2">
      <c r="A658" s="155"/>
      <c r="C658" s="148"/>
      <c r="D658" s="160">
        <v>31638</v>
      </c>
      <c r="E658" s="161">
        <v>0.13500000000000001</v>
      </c>
      <c r="F658" s="161">
        <v>8.3514749999999985E-2</v>
      </c>
      <c r="G658" s="133">
        <f t="shared" si="9"/>
        <v>5.1485250000000024E-2</v>
      </c>
      <c r="I658" s="156">
        <f>--(Risk_Prem2[[#This Row],[Return on Equity]]&lt;0.09)</f>
        <v>0</v>
      </c>
    </row>
    <row r="659" spans="1:9" x14ac:dyDescent="0.2">
      <c r="A659" s="155"/>
      <c r="C659" s="148"/>
      <c r="D659" s="160">
        <v>31671</v>
      </c>
      <c r="E659" s="161">
        <v>0.1275</v>
      </c>
      <c r="F659" s="161">
        <v>8.064665E-2</v>
      </c>
      <c r="G659" s="133">
        <f t="shared" si="9"/>
        <v>4.6853350000000002E-2</v>
      </c>
      <c r="I659" s="156">
        <f>--(Risk_Prem2[[#This Row],[Return on Equity]]&lt;0.09)</f>
        <v>0</v>
      </c>
    </row>
    <row r="660" spans="1:9" x14ac:dyDescent="0.2">
      <c r="A660" s="155"/>
      <c r="C660" s="148"/>
      <c r="D660" s="160">
        <v>31674</v>
      </c>
      <c r="E660" s="161">
        <v>0.13250000000000001</v>
      </c>
      <c r="F660" s="161">
        <v>8.0322900000000017E-2</v>
      </c>
      <c r="G660" s="133">
        <f t="shared" si="9"/>
        <v>5.217709999999999E-2</v>
      </c>
      <c r="I660" s="156">
        <f>--(Risk_Prem2[[#This Row],[Return on Equity]]&lt;0.09)</f>
        <v>0</v>
      </c>
    </row>
    <row r="661" spans="1:9" x14ac:dyDescent="0.2">
      <c r="A661" s="155"/>
      <c r="C661" s="148"/>
      <c r="D661" s="160">
        <v>31686</v>
      </c>
      <c r="E661" s="161">
        <v>0.14000000000000001</v>
      </c>
      <c r="F661" s="161">
        <v>7.9491499999999979E-2</v>
      </c>
      <c r="G661" s="133">
        <f t="shared" si="9"/>
        <v>6.0508500000000034E-2</v>
      </c>
      <c r="I661" s="156">
        <f>--(Risk_Prem2[[#This Row],[Return on Equity]]&lt;0.09)</f>
        <v>0</v>
      </c>
    </row>
    <row r="662" spans="1:9" x14ac:dyDescent="0.2">
      <c r="A662" s="155"/>
      <c r="C662" s="148"/>
      <c r="D662" s="160">
        <v>31688</v>
      </c>
      <c r="E662" s="161">
        <v>0.13400000000000001</v>
      </c>
      <c r="F662" s="161">
        <v>7.9300599999999971E-2</v>
      </c>
      <c r="G662" s="133">
        <f t="shared" si="9"/>
        <v>5.4699400000000037E-2</v>
      </c>
      <c r="I662" s="156">
        <f>--(Risk_Prem2[[#This Row],[Return on Equity]]&lt;0.09)</f>
        <v>0</v>
      </c>
    </row>
    <row r="663" spans="1:9" x14ac:dyDescent="0.2">
      <c r="A663" s="155"/>
      <c r="C663" s="148"/>
      <c r="D663" s="160">
        <v>31716</v>
      </c>
      <c r="E663" s="161">
        <v>0.13500000000000001</v>
      </c>
      <c r="F663" s="161">
        <v>7.7739250000000024E-2</v>
      </c>
      <c r="G663" s="133">
        <f t="shared" si="9"/>
        <v>5.7260749999999985E-2</v>
      </c>
      <c r="I663" s="156">
        <f>--(Risk_Prem2[[#This Row],[Return on Equity]]&lt;0.09)</f>
        <v>0</v>
      </c>
    </row>
    <row r="664" spans="1:9" x14ac:dyDescent="0.2">
      <c r="A664" s="155"/>
      <c r="C664" s="148"/>
      <c r="D664" s="160">
        <v>31721</v>
      </c>
      <c r="E664" s="161">
        <v>0.13</v>
      </c>
      <c r="F664" s="161">
        <v>7.7466800000000016E-2</v>
      </c>
      <c r="G664" s="133">
        <f t="shared" si="9"/>
        <v>5.2533199999999988E-2</v>
      </c>
      <c r="I664" s="156">
        <f>--(Risk_Prem2[[#This Row],[Return on Equity]]&lt;0.09)</f>
        <v>0</v>
      </c>
    </row>
    <row r="665" spans="1:9" x14ac:dyDescent="0.2">
      <c r="A665" s="155"/>
      <c r="C665" s="148"/>
      <c r="D665" s="160">
        <v>31749</v>
      </c>
      <c r="E665" s="161">
        <v>0.129</v>
      </c>
      <c r="F665" s="161">
        <v>7.5836300000000009E-2</v>
      </c>
      <c r="G665" s="133">
        <f t="shared" si="9"/>
        <v>5.3163699999999994E-2</v>
      </c>
      <c r="I665" s="156">
        <f>--(Risk_Prem2[[#This Row],[Return on Equity]]&lt;0.09)</f>
        <v>0</v>
      </c>
    </row>
    <row r="666" spans="1:9" x14ac:dyDescent="0.2">
      <c r="A666" s="155"/>
      <c r="C666" s="148"/>
      <c r="D666" s="160">
        <v>31750</v>
      </c>
      <c r="E666" s="161">
        <v>0.1444</v>
      </c>
      <c r="F666" s="161">
        <v>7.5752350000000024E-2</v>
      </c>
      <c r="G666" s="133">
        <f t="shared" si="9"/>
        <v>6.8647649999999977E-2</v>
      </c>
      <c r="I666" s="156">
        <f>--(Risk_Prem2[[#This Row],[Return on Equity]]&lt;0.09)</f>
        <v>0</v>
      </c>
    </row>
    <row r="667" spans="1:9" x14ac:dyDescent="0.2">
      <c r="A667" s="155"/>
      <c r="C667" s="148"/>
      <c r="D667" s="160">
        <v>31762</v>
      </c>
      <c r="E667" s="161">
        <v>0.13600000000000001</v>
      </c>
      <c r="F667" s="161">
        <v>7.5227850000000041E-2</v>
      </c>
      <c r="G667" s="133">
        <f t="shared" si="9"/>
        <v>6.0772149999999969E-2</v>
      </c>
      <c r="I667" s="156">
        <f>--(Risk_Prem2[[#This Row],[Return on Equity]]&lt;0.09)</f>
        <v>0</v>
      </c>
    </row>
    <row r="668" spans="1:9" x14ac:dyDescent="0.2">
      <c r="A668" s="155"/>
      <c r="C668" s="148"/>
      <c r="D668" s="160">
        <v>31768</v>
      </c>
      <c r="E668" s="161">
        <v>0.13800000000000001</v>
      </c>
      <c r="F668" s="161">
        <v>7.5067400000000048E-2</v>
      </c>
      <c r="G668" s="133">
        <f t="shared" si="9"/>
        <v>6.2932599999999964E-2</v>
      </c>
      <c r="I668" s="156">
        <f>--(Risk_Prem2[[#This Row],[Return on Equity]]&lt;0.09)</f>
        <v>0</v>
      </c>
    </row>
    <row r="669" spans="1:9" x14ac:dyDescent="0.2">
      <c r="A669" s="155"/>
      <c r="C669" s="148"/>
      <c r="D669" s="160">
        <v>31776</v>
      </c>
      <c r="E669" s="161">
        <v>0.13</v>
      </c>
      <c r="F669" s="161">
        <v>7.4902650000000057E-2</v>
      </c>
      <c r="G669" s="133">
        <f t="shared" si="9"/>
        <v>5.5097349999999948E-2</v>
      </c>
      <c r="I669" s="156">
        <f>--(Risk_Prem2[[#This Row],[Return on Equity]]&lt;0.09)</f>
        <v>0</v>
      </c>
    </row>
    <row r="670" spans="1:9" x14ac:dyDescent="0.2">
      <c r="A670" s="155"/>
      <c r="C670" s="148"/>
      <c r="D670" s="160">
        <v>31779</v>
      </c>
      <c r="E670" s="161">
        <v>0.13</v>
      </c>
      <c r="F670" s="161">
        <v>7.4853500000000059E-2</v>
      </c>
      <c r="G670" s="133">
        <f t="shared" si="9"/>
        <v>5.5146499999999946E-2</v>
      </c>
      <c r="I670" s="156">
        <f>--(Risk_Prem2[[#This Row],[Return on Equity]]&lt;0.09)</f>
        <v>0</v>
      </c>
    </row>
    <row r="671" spans="1:9" x14ac:dyDescent="0.2">
      <c r="A671" s="155"/>
      <c r="C671" s="148"/>
      <c r="D671" s="160">
        <v>31789</v>
      </c>
      <c r="E671" s="161">
        <v>0.124</v>
      </c>
      <c r="F671" s="161">
        <v>7.4660250000000067E-2</v>
      </c>
      <c r="G671" s="133">
        <f t="shared" si="9"/>
        <v>4.9339749999999932E-2</v>
      </c>
      <c r="I671" s="156">
        <f>--(Risk_Prem2[[#This Row],[Return on Equity]]&lt;0.09)</f>
        <v>0</v>
      </c>
    </row>
    <row r="672" spans="1:9" x14ac:dyDescent="0.2">
      <c r="A672" s="155"/>
      <c r="C672" s="148"/>
      <c r="D672" s="160">
        <v>31804</v>
      </c>
      <c r="E672" s="161">
        <v>0.12710000000000002</v>
      </c>
      <c r="F672" s="161">
        <v>7.4577250000000039E-2</v>
      </c>
      <c r="G672" s="133">
        <f t="shared" si="9"/>
        <v>5.2522749999999979E-2</v>
      </c>
      <c r="I672" s="156">
        <f>--(Risk_Prem2[[#This Row],[Return on Equity]]&lt;0.09)</f>
        <v>0</v>
      </c>
    </row>
    <row r="673" spans="1:9" x14ac:dyDescent="0.2">
      <c r="A673" s="155"/>
      <c r="C673" s="148"/>
      <c r="D673" s="160">
        <v>31838</v>
      </c>
      <c r="E673" s="161">
        <v>0.12470000000000001</v>
      </c>
      <c r="F673" s="161">
        <v>7.4728600000000048E-2</v>
      </c>
      <c r="G673" s="133">
        <f t="shared" si="9"/>
        <v>4.9971399999999958E-2</v>
      </c>
      <c r="I673" s="156">
        <f>--(Risk_Prem2[[#This Row],[Return on Equity]]&lt;0.09)</f>
        <v>0</v>
      </c>
    </row>
    <row r="674" spans="1:9" x14ac:dyDescent="0.2">
      <c r="A674" s="155"/>
      <c r="C674" s="148"/>
      <c r="D674" s="160">
        <v>31839</v>
      </c>
      <c r="E674" s="161">
        <v>0.13600000000000001</v>
      </c>
      <c r="F674" s="161">
        <v>7.4730950000000032E-2</v>
      </c>
      <c r="G674" s="133">
        <f t="shared" si="9"/>
        <v>6.1269049999999978E-2</v>
      </c>
      <c r="I674" s="156">
        <f>--(Risk_Prem2[[#This Row],[Return on Equity]]&lt;0.09)</f>
        <v>0</v>
      </c>
    </row>
    <row r="675" spans="1:9" x14ac:dyDescent="0.2">
      <c r="A675" s="155"/>
      <c r="C675" s="148"/>
      <c r="D675" s="160">
        <v>31840</v>
      </c>
      <c r="E675" s="161">
        <v>0.12380000000000001</v>
      </c>
      <c r="F675" s="161">
        <v>7.4732300000000043E-2</v>
      </c>
      <c r="G675" s="133">
        <f t="shared" si="9"/>
        <v>4.9067699999999964E-2</v>
      </c>
      <c r="I675" s="156">
        <f>--(Risk_Prem2[[#This Row],[Return on Equity]]&lt;0.09)</f>
        <v>0</v>
      </c>
    </row>
    <row r="676" spans="1:9" x14ac:dyDescent="0.2">
      <c r="A676" s="155"/>
      <c r="C676" s="148"/>
      <c r="D676" s="160">
        <v>31846</v>
      </c>
      <c r="E676" s="161">
        <v>0.13500000000000001</v>
      </c>
      <c r="F676" s="161">
        <v>7.4715200000000037E-2</v>
      </c>
      <c r="G676" s="133">
        <f t="shared" si="9"/>
        <v>6.0284799999999972E-2</v>
      </c>
      <c r="I676" s="156">
        <f>--(Risk_Prem2[[#This Row],[Return on Equity]]&lt;0.09)</f>
        <v>0</v>
      </c>
    </row>
    <row r="677" spans="1:9" x14ac:dyDescent="0.2">
      <c r="A677" s="155"/>
      <c r="C677" s="148"/>
      <c r="D677" s="160">
        <v>31849</v>
      </c>
      <c r="E677" s="161">
        <v>0.13</v>
      </c>
      <c r="F677" s="161">
        <v>7.4710200000000018E-2</v>
      </c>
      <c r="G677" s="133">
        <f t="shared" si="9"/>
        <v>5.5289799999999986E-2</v>
      </c>
      <c r="I677" s="156">
        <f>--(Risk_Prem2[[#This Row],[Return on Equity]]&lt;0.09)</f>
        <v>0</v>
      </c>
    </row>
    <row r="678" spans="1:9" x14ac:dyDescent="0.2">
      <c r="A678" s="155"/>
      <c r="C678" s="148"/>
      <c r="D678" s="160">
        <v>31867</v>
      </c>
      <c r="E678" s="161">
        <v>0.13</v>
      </c>
      <c r="F678" s="161">
        <v>7.4648850000000003E-2</v>
      </c>
      <c r="G678" s="133">
        <f t="shared" si="9"/>
        <v>5.5351150000000002E-2</v>
      </c>
      <c r="I678" s="156">
        <f>--(Risk_Prem2[[#This Row],[Return on Equity]]&lt;0.09)</f>
        <v>0</v>
      </c>
    </row>
    <row r="679" spans="1:9" x14ac:dyDescent="0.2">
      <c r="A679" s="155"/>
      <c r="C679" s="148"/>
      <c r="D679" s="160">
        <v>31873</v>
      </c>
      <c r="E679" s="161">
        <v>0.13</v>
      </c>
      <c r="F679" s="161">
        <v>7.4709100000000014E-2</v>
      </c>
      <c r="G679" s="133">
        <f t="shared" si="9"/>
        <v>5.529089999999999E-2</v>
      </c>
      <c r="I679" s="156">
        <f>--(Risk_Prem2[[#This Row],[Return on Equity]]&lt;0.09)</f>
        <v>0</v>
      </c>
    </row>
    <row r="680" spans="1:9" x14ac:dyDescent="0.2">
      <c r="A680" s="155"/>
      <c r="C680" s="148"/>
      <c r="D680" s="160">
        <v>31881</v>
      </c>
      <c r="E680" s="161">
        <v>0.125</v>
      </c>
      <c r="F680" s="161">
        <v>7.4919100000000002E-2</v>
      </c>
      <c r="G680" s="133">
        <f t="shared" si="9"/>
        <v>5.0080899999999998E-2</v>
      </c>
      <c r="I680" s="156">
        <f>--(Risk_Prem2[[#This Row],[Return on Equity]]&lt;0.09)</f>
        <v>0</v>
      </c>
    </row>
    <row r="681" spans="1:9" x14ac:dyDescent="0.2">
      <c r="A681" s="155"/>
      <c r="C681" s="148"/>
      <c r="D681" s="160">
        <v>31883</v>
      </c>
      <c r="E681" s="161">
        <v>0.14499999999999999</v>
      </c>
      <c r="F681" s="161">
        <v>7.5008250000000012E-2</v>
      </c>
      <c r="G681" s="133">
        <f t="shared" si="9"/>
        <v>6.9991749999999978E-2</v>
      </c>
      <c r="I681" s="156">
        <f>--(Risk_Prem2[[#This Row],[Return on Equity]]&lt;0.09)</f>
        <v>0</v>
      </c>
    </row>
    <row r="682" spans="1:9" x14ac:dyDescent="0.2">
      <c r="A682" s="155"/>
      <c r="C682" s="148"/>
      <c r="D682" s="160">
        <v>31894</v>
      </c>
      <c r="E682" s="161">
        <v>0.12</v>
      </c>
      <c r="F682" s="161">
        <v>7.5395900000000002E-2</v>
      </c>
      <c r="G682" s="133">
        <f t="shared" si="9"/>
        <v>4.4604099999999994E-2</v>
      </c>
      <c r="I682" s="156">
        <f>--(Risk_Prem2[[#This Row],[Return on Equity]]&lt;0.09)</f>
        <v>0</v>
      </c>
    </row>
    <row r="683" spans="1:9" x14ac:dyDescent="0.2">
      <c r="A683" s="155"/>
      <c r="C683" s="148"/>
      <c r="D683" s="160">
        <v>31902</v>
      </c>
      <c r="E683" s="161">
        <v>0.1285</v>
      </c>
      <c r="F683" s="161">
        <v>7.5826100000000007E-2</v>
      </c>
      <c r="G683" s="133">
        <f t="shared" si="9"/>
        <v>5.2673899999999996E-2</v>
      </c>
      <c r="I683" s="156">
        <f>--(Risk_Prem2[[#This Row],[Return on Equity]]&lt;0.09)</f>
        <v>0</v>
      </c>
    </row>
    <row r="684" spans="1:9" x14ac:dyDescent="0.2">
      <c r="A684" s="155"/>
      <c r="C684" s="148"/>
      <c r="D684" s="160">
        <v>31909</v>
      </c>
      <c r="E684" s="161">
        <v>0.1265</v>
      </c>
      <c r="F684" s="161">
        <v>7.6201200000000024E-2</v>
      </c>
      <c r="G684" s="133">
        <f t="shared" si="9"/>
        <v>5.0298799999999977E-2</v>
      </c>
      <c r="I684" s="156">
        <f>--(Risk_Prem2[[#This Row],[Return on Equity]]&lt;0.09)</f>
        <v>0</v>
      </c>
    </row>
    <row r="685" spans="1:9" x14ac:dyDescent="0.2">
      <c r="A685" s="155"/>
      <c r="C685" s="148"/>
      <c r="D685" s="160">
        <v>31925</v>
      </c>
      <c r="E685" s="161">
        <v>0.13500000000000001</v>
      </c>
      <c r="F685" s="161">
        <v>7.6969650000000028E-2</v>
      </c>
      <c r="G685" s="133">
        <f t="shared" si="9"/>
        <v>5.8030349999999981E-2</v>
      </c>
      <c r="I685" s="156">
        <f>--(Risk_Prem2[[#This Row],[Return on Equity]]&lt;0.09)</f>
        <v>0</v>
      </c>
    </row>
    <row r="686" spans="1:9" x14ac:dyDescent="0.2">
      <c r="A686" s="155"/>
      <c r="C686" s="148"/>
      <c r="D686" s="160">
        <v>31943</v>
      </c>
      <c r="E686" s="161">
        <v>0.13200000000000001</v>
      </c>
      <c r="F686" s="161">
        <v>7.7796050000000005E-2</v>
      </c>
      <c r="G686" s="133">
        <f t="shared" ref="G686:G749" si="10">E686-F686</f>
        <v>5.4203950000000001E-2</v>
      </c>
      <c r="I686" s="156">
        <f>--(Risk_Prem2[[#This Row],[Return on Equity]]&lt;0.09)</f>
        <v>0</v>
      </c>
    </row>
    <row r="687" spans="1:9" x14ac:dyDescent="0.2">
      <c r="A687" s="155"/>
      <c r="C687" s="148"/>
      <c r="D687" s="160">
        <v>31957</v>
      </c>
      <c r="E687" s="161">
        <v>0.15</v>
      </c>
      <c r="F687" s="161">
        <v>7.8337950000000003E-2</v>
      </c>
      <c r="G687" s="133">
        <f t="shared" si="10"/>
        <v>7.1662049999999991E-2</v>
      </c>
      <c r="I687" s="156">
        <f>--(Risk_Prem2[[#This Row],[Return on Equity]]&lt;0.09)</f>
        <v>0</v>
      </c>
    </row>
    <row r="688" spans="1:9" x14ac:dyDescent="0.2">
      <c r="A688" s="155"/>
      <c r="C688" s="148"/>
      <c r="D688" s="160">
        <v>31958</v>
      </c>
      <c r="E688" s="161">
        <v>0.125</v>
      </c>
      <c r="F688" s="161">
        <v>7.8385300000000005E-2</v>
      </c>
      <c r="G688" s="133">
        <f t="shared" si="10"/>
        <v>4.6614699999999995E-2</v>
      </c>
      <c r="I688" s="156">
        <f>--(Risk_Prem2[[#This Row],[Return on Equity]]&lt;0.09)</f>
        <v>0</v>
      </c>
    </row>
    <row r="689" spans="1:9" x14ac:dyDescent="0.2">
      <c r="A689" s="155"/>
      <c r="C689" s="148"/>
      <c r="D689" s="160">
        <v>31966</v>
      </c>
      <c r="E689" s="161">
        <v>0.12</v>
      </c>
      <c r="F689" s="161">
        <v>7.8576599999999996E-2</v>
      </c>
      <c r="G689" s="133">
        <f t="shared" si="10"/>
        <v>4.1423399999999999E-2</v>
      </c>
      <c r="I689" s="156">
        <f>--(Risk_Prem2[[#This Row],[Return on Equity]]&lt;0.09)</f>
        <v>0</v>
      </c>
    </row>
    <row r="690" spans="1:9" x14ac:dyDescent="0.2">
      <c r="A690" s="155"/>
      <c r="C690" s="148"/>
      <c r="D690" s="160">
        <v>31968</v>
      </c>
      <c r="E690" s="161">
        <v>0.129</v>
      </c>
      <c r="F690" s="161">
        <v>7.8647399999999992E-2</v>
      </c>
      <c r="G690" s="133">
        <f t="shared" si="10"/>
        <v>5.0352600000000011E-2</v>
      </c>
      <c r="I690" s="156">
        <f>--(Risk_Prem2[[#This Row],[Return on Equity]]&lt;0.09)</f>
        <v>0</v>
      </c>
    </row>
    <row r="691" spans="1:9" x14ac:dyDescent="0.2">
      <c r="A691" s="155"/>
      <c r="C691" s="148"/>
      <c r="D691" s="160">
        <v>31973</v>
      </c>
      <c r="E691" s="161">
        <v>0.13500000000000001</v>
      </c>
      <c r="F691" s="161">
        <v>7.8773449999999981E-2</v>
      </c>
      <c r="G691" s="133">
        <f t="shared" si="10"/>
        <v>5.6226550000000028E-2</v>
      </c>
      <c r="I691" s="156">
        <f>--(Risk_Prem2[[#This Row],[Return on Equity]]&lt;0.09)</f>
        <v>0</v>
      </c>
    </row>
    <row r="692" spans="1:9" x14ac:dyDescent="0.2">
      <c r="A692" s="155"/>
      <c r="C692" s="148"/>
      <c r="D692" s="160">
        <v>31974</v>
      </c>
      <c r="E692" s="161">
        <v>0.13500000000000001</v>
      </c>
      <c r="F692" s="161">
        <v>7.8819699999999979E-2</v>
      </c>
      <c r="G692" s="133">
        <f t="shared" si="10"/>
        <v>5.618030000000003E-2</v>
      </c>
      <c r="I692" s="156">
        <f>--(Risk_Prem2[[#This Row],[Return on Equity]]&lt;0.09)</f>
        <v>0</v>
      </c>
    </row>
    <row r="693" spans="1:9" x14ac:dyDescent="0.2">
      <c r="A693" s="155"/>
      <c r="C693" s="148"/>
      <c r="D693" s="160">
        <v>31974</v>
      </c>
      <c r="E693" s="161">
        <v>0.15</v>
      </c>
      <c r="F693" s="161">
        <v>7.8819699999999979E-2</v>
      </c>
      <c r="G693" s="133">
        <f t="shared" si="10"/>
        <v>7.1180300000000016E-2</v>
      </c>
      <c r="I693" s="156">
        <f>--(Risk_Prem2[[#This Row],[Return on Equity]]&lt;0.09)</f>
        <v>0</v>
      </c>
    </row>
    <row r="694" spans="1:9" x14ac:dyDescent="0.2">
      <c r="A694" s="155"/>
      <c r="C694" s="148"/>
      <c r="D694" s="160">
        <v>31985</v>
      </c>
      <c r="E694" s="161">
        <v>0.13</v>
      </c>
      <c r="F694" s="161">
        <v>7.9214800000000002E-2</v>
      </c>
      <c r="G694" s="133">
        <f t="shared" si="10"/>
        <v>5.0785200000000003E-2</v>
      </c>
      <c r="I694" s="156">
        <f>--(Risk_Prem2[[#This Row],[Return on Equity]]&lt;0.09)</f>
        <v>0</v>
      </c>
    </row>
    <row r="695" spans="1:9" x14ac:dyDescent="0.2">
      <c r="A695" s="155"/>
      <c r="C695" s="148"/>
      <c r="D695" s="160">
        <v>31985</v>
      </c>
      <c r="E695" s="161">
        <v>0.13400000000000001</v>
      </c>
      <c r="F695" s="161">
        <v>7.9214800000000002E-2</v>
      </c>
      <c r="G695" s="133">
        <f t="shared" si="10"/>
        <v>5.4785200000000006E-2</v>
      </c>
      <c r="I695" s="156">
        <f>--(Risk_Prem2[[#This Row],[Return on Equity]]&lt;0.09)</f>
        <v>0</v>
      </c>
    </row>
    <row r="696" spans="1:9" x14ac:dyDescent="0.2">
      <c r="A696" s="155"/>
      <c r="C696" s="148"/>
      <c r="D696" s="160">
        <v>31985</v>
      </c>
      <c r="E696" s="161">
        <v>0.13500000000000001</v>
      </c>
      <c r="F696" s="161">
        <v>7.9214800000000002E-2</v>
      </c>
      <c r="G696" s="133">
        <f t="shared" si="10"/>
        <v>5.5785200000000007E-2</v>
      </c>
      <c r="I696" s="156">
        <f>--(Risk_Prem2[[#This Row],[Return on Equity]]&lt;0.09)</f>
        <v>0</v>
      </c>
    </row>
    <row r="697" spans="1:9" x14ac:dyDescent="0.2">
      <c r="A697" s="155"/>
      <c r="C697" s="148"/>
      <c r="D697" s="160">
        <v>31989</v>
      </c>
      <c r="E697" s="161">
        <v>0.1298</v>
      </c>
      <c r="F697" s="161">
        <v>7.9463749999999986E-2</v>
      </c>
      <c r="G697" s="133">
        <f t="shared" si="10"/>
        <v>5.0336250000000013E-2</v>
      </c>
      <c r="I697" s="156">
        <f>--(Risk_Prem2[[#This Row],[Return on Equity]]&lt;0.09)</f>
        <v>0</v>
      </c>
    </row>
    <row r="698" spans="1:9" x14ac:dyDescent="0.2">
      <c r="A698" s="155"/>
      <c r="C698" s="148"/>
      <c r="D698" s="160">
        <v>32015</v>
      </c>
      <c r="E698" s="161">
        <v>0.1263</v>
      </c>
      <c r="F698" s="161">
        <v>8.0555649999999965E-2</v>
      </c>
      <c r="G698" s="133">
        <f t="shared" si="10"/>
        <v>4.5744350000000031E-2</v>
      </c>
      <c r="I698" s="156">
        <f>--(Risk_Prem2[[#This Row],[Return on Equity]]&lt;0.09)</f>
        <v>0</v>
      </c>
    </row>
    <row r="699" spans="1:9" x14ac:dyDescent="0.2">
      <c r="A699" s="155"/>
      <c r="C699" s="148"/>
      <c r="D699" s="160">
        <v>32015</v>
      </c>
      <c r="E699" s="161">
        <v>0.1275</v>
      </c>
      <c r="F699" s="161">
        <v>8.0555649999999965E-2</v>
      </c>
      <c r="G699" s="133">
        <f t="shared" si="10"/>
        <v>4.6944350000000037E-2</v>
      </c>
      <c r="I699" s="156">
        <f>--(Risk_Prem2[[#This Row],[Return on Equity]]&lt;0.09)</f>
        <v>0</v>
      </c>
    </row>
    <row r="700" spans="1:9" x14ac:dyDescent="0.2">
      <c r="A700" s="155"/>
      <c r="C700" s="148"/>
      <c r="D700" s="160">
        <v>32016</v>
      </c>
      <c r="E700" s="161">
        <v>0.13250000000000001</v>
      </c>
      <c r="F700" s="161">
        <v>8.0628599999999953E-2</v>
      </c>
      <c r="G700" s="133">
        <f t="shared" si="10"/>
        <v>5.1871400000000054E-2</v>
      </c>
      <c r="I700" s="156">
        <f>--(Risk_Prem2[[#This Row],[Return on Equity]]&lt;0.09)</f>
        <v>0</v>
      </c>
    </row>
    <row r="701" spans="1:9" x14ac:dyDescent="0.2">
      <c r="A701" s="155"/>
      <c r="C701" s="148"/>
      <c r="D701" s="160">
        <v>32029</v>
      </c>
      <c r="E701" s="161">
        <v>0.13</v>
      </c>
      <c r="F701" s="161">
        <v>8.137804999999998E-2</v>
      </c>
      <c r="G701" s="133">
        <f t="shared" si="10"/>
        <v>4.8621950000000025E-2</v>
      </c>
      <c r="I701" s="156">
        <f>--(Risk_Prem2[[#This Row],[Return on Equity]]&lt;0.09)</f>
        <v>0</v>
      </c>
    </row>
    <row r="702" spans="1:9" x14ac:dyDescent="0.2">
      <c r="A702" s="155"/>
      <c r="C702" s="148"/>
      <c r="D702" s="160">
        <v>32050</v>
      </c>
      <c r="E702" s="161">
        <v>0.1275</v>
      </c>
      <c r="F702" s="161">
        <v>8.3065799999999954E-2</v>
      </c>
      <c r="G702" s="133">
        <f t="shared" si="10"/>
        <v>4.4434200000000049E-2</v>
      </c>
      <c r="I702" s="156">
        <f>--(Risk_Prem2[[#This Row],[Return on Equity]]&lt;0.09)</f>
        <v>0</v>
      </c>
    </row>
    <row r="703" spans="1:9" x14ac:dyDescent="0.2">
      <c r="A703" s="155"/>
      <c r="C703" s="148"/>
      <c r="D703" s="160">
        <v>32050</v>
      </c>
      <c r="E703" s="161">
        <v>0.13</v>
      </c>
      <c r="F703" s="161">
        <v>8.3065799999999954E-2</v>
      </c>
      <c r="G703" s="133">
        <f t="shared" si="10"/>
        <v>4.6934200000000051E-2</v>
      </c>
      <c r="I703" s="156">
        <f>--(Risk_Prem2[[#This Row],[Return on Equity]]&lt;0.09)</f>
        <v>0</v>
      </c>
    </row>
    <row r="704" spans="1:9" x14ac:dyDescent="0.2">
      <c r="A704" s="155"/>
      <c r="C704" s="148"/>
      <c r="D704" s="160">
        <v>32052</v>
      </c>
      <c r="E704" s="161">
        <v>0.115</v>
      </c>
      <c r="F704" s="161">
        <v>8.3299849999999953E-2</v>
      </c>
      <c r="G704" s="133">
        <f t="shared" si="10"/>
        <v>3.1700150000000052E-2</v>
      </c>
      <c r="I704" s="156">
        <f>--(Risk_Prem2[[#This Row],[Return on Equity]]&lt;0.09)</f>
        <v>0</v>
      </c>
    </row>
    <row r="705" spans="1:9" x14ac:dyDescent="0.2">
      <c r="A705" s="155"/>
      <c r="C705" s="148"/>
      <c r="D705" s="160">
        <v>32065</v>
      </c>
      <c r="E705" s="161">
        <v>0.13</v>
      </c>
      <c r="F705" s="161">
        <v>8.4325649999999988E-2</v>
      </c>
      <c r="G705" s="133">
        <f t="shared" si="10"/>
        <v>4.5674350000000016E-2</v>
      </c>
      <c r="I705" s="156">
        <f>--(Risk_Prem2[[#This Row],[Return on Equity]]&lt;0.09)</f>
        <v>0</v>
      </c>
    </row>
    <row r="706" spans="1:9" x14ac:dyDescent="0.2">
      <c r="A706" s="155"/>
      <c r="C706" s="148"/>
      <c r="D706" s="160">
        <v>32083</v>
      </c>
      <c r="E706" s="161">
        <v>0.13</v>
      </c>
      <c r="F706" s="161">
        <v>8.5474299999999948E-2</v>
      </c>
      <c r="G706" s="133">
        <f t="shared" si="10"/>
        <v>4.4525700000000057E-2</v>
      </c>
      <c r="I706" s="156">
        <f>--(Risk_Prem2[[#This Row],[Return on Equity]]&lt;0.09)</f>
        <v>0</v>
      </c>
    </row>
    <row r="707" spans="1:9" x14ac:dyDescent="0.2">
      <c r="A707" s="155"/>
      <c r="C707" s="148"/>
      <c r="D707" s="160">
        <v>32100</v>
      </c>
      <c r="E707" s="161">
        <v>0.13</v>
      </c>
      <c r="F707" s="161">
        <v>8.6358049999999978E-2</v>
      </c>
      <c r="G707" s="133">
        <f t="shared" si="10"/>
        <v>4.3641950000000027E-2</v>
      </c>
      <c r="I707" s="156">
        <f>--(Risk_Prem2[[#This Row],[Return on Equity]]&lt;0.09)</f>
        <v>0</v>
      </c>
    </row>
    <row r="708" spans="1:9" x14ac:dyDescent="0.2">
      <c r="A708" s="155"/>
      <c r="C708" s="148"/>
      <c r="D708" s="160">
        <v>32111</v>
      </c>
      <c r="E708" s="161">
        <v>0.12</v>
      </c>
      <c r="F708" s="161">
        <v>8.68057E-2</v>
      </c>
      <c r="G708" s="133">
        <f t="shared" si="10"/>
        <v>3.3194299999999996E-2</v>
      </c>
      <c r="I708" s="156">
        <f>--(Risk_Prem2[[#This Row],[Return on Equity]]&lt;0.09)</f>
        <v>0</v>
      </c>
    </row>
    <row r="709" spans="1:9" x14ac:dyDescent="0.2">
      <c r="A709" s="155"/>
      <c r="C709" s="148"/>
      <c r="D709" s="160">
        <v>32114</v>
      </c>
      <c r="E709" s="161">
        <v>0.14199999999999999</v>
      </c>
      <c r="F709" s="161">
        <v>8.7034399999999984E-2</v>
      </c>
      <c r="G709" s="133">
        <f t="shared" si="10"/>
        <v>5.4965600000000003E-2</v>
      </c>
      <c r="I709" s="156">
        <f>--(Risk_Prem2[[#This Row],[Return on Equity]]&lt;0.09)</f>
        <v>0</v>
      </c>
    </row>
    <row r="710" spans="1:9" x14ac:dyDescent="0.2">
      <c r="A710" s="155"/>
      <c r="C710" s="148"/>
      <c r="D710" s="160">
        <v>32126</v>
      </c>
      <c r="E710" s="161">
        <v>0.13250000000000001</v>
      </c>
      <c r="F710" s="161">
        <v>8.7735449999999951E-2</v>
      </c>
      <c r="G710" s="133">
        <f t="shared" si="10"/>
        <v>4.4764550000000056E-2</v>
      </c>
      <c r="I710" s="156">
        <f>--(Risk_Prem2[[#This Row],[Return on Equity]]&lt;0.09)</f>
        <v>0</v>
      </c>
    </row>
    <row r="711" spans="1:9" x14ac:dyDescent="0.2">
      <c r="A711" s="155"/>
      <c r="C711" s="148"/>
      <c r="D711" s="160">
        <v>32127</v>
      </c>
      <c r="E711" s="161">
        <v>0.13500000000000001</v>
      </c>
      <c r="F711" s="161">
        <v>8.781939999999995E-2</v>
      </c>
      <c r="G711" s="133">
        <f t="shared" si="10"/>
        <v>4.7180600000000059E-2</v>
      </c>
      <c r="I711" s="156">
        <f>--(Risk_Prem2[[#This Row],[Return on Equity]]&lt;0.09)</f>
        <v>0</v>
      </c>
    </row>
    <row r="712" spans="1:9" x14ac:dyDescent="0.2">
      <c r="A712" s="155"/>
      <c r="C712" s="148"/>
      <c r="D712" s="160">
        <v>32127</v>
      </c>
      <c r="E712" s="161">
        <v>0.13720000000000002</v>
      </c>
      <c r="F712" s="161">
        <v>8.781939999999995E-2</v>
      </c>
      <c r="G712" s="133">
        <f t="shared" si="10"/>
        <v>4.9380600000000066E-2</v>
      </c>
      <c r="I712" s="156">
        <f>--(Risk_Prem2[[#This Row],[Return on Equity]]&lt;0.09)</f>
        <v>0</v>
      </c>
    </row>
    <row r="713" spans="1:9" x14ac:dyDescent="0.2">
      <c r="A713" s="155"/>
      <c r="C713" s="148"/>
      <c r="D713" s="160">
        <v>32128</v>
      </c>
      <c r="E713" s="161">
        <v>0.11749999999999999</v>
      </c>
      <c r="F713" s="161">
        <v>8.790239999999995E-2</v>
      </c>
      <c r="G713" s="133">
        <f t="shared" si="10"/>
        <v>2.9597600000000043E-2</v>
      </c>
      <c r="I713" s="156">
        <f>--(Risk_Prem2[[#This Row],[Return on Equity]]&lt;0.09)</f>
        <v>0</v>
      </c>
    </row>
    <row r="714" spans="1:9" x14ac:dyDescent="0.2">
      <c r="A714" s="155"/>
      <c r="C714" s="148"/>
      <c r="D714" s="160">
        <v>32129</v>
      </c>
      <c r="E714" s="161">
        <v>0.13500000000000001</v>
      </c>
      <c r="F714" s="161">
        <v>8.7976999999999958E-2</v>
      </c>
      <c r="G714" s="133">
        <f t="shared" si="10"/>
        <v>4.7023000000000051E-2</v>
      </c>
      <c r="I714" s="156">
        <f>--(Risk_Prem2[[#This Row],[Return on Equity]]&lt;0.09)</f>
        <v>0</v>
      </c>
    </row>
    <row r="715" spans="1:9" x14ac:dyDescent="0.2">
      <c r="A715" s="155"/>
      <c r="C715" s="148"/>
      <c r="D715" s="160">
        <v>32132</v>
      </c>
      <c r="E715" s="161">
        <v>0.1201</v>
      </c>
      <c r="F715" s="161">
        <v>8.805524999999996E-2</v>
      </c>
      <c r="G715" s="133">
        <f t="shared" si="10"/>
        <v>3.2044750000000038E-2</v>
      </c>
      <c r="I715" s="156">
        <f>--(Risk_Prem2[[#This Row],[Return on Equity]]&lt;0.09)</f>
        <v>0</v>
      </c>
    </row>
    <row r="716" spans="1:9" x14ac:dyDescent="0.2">
      <c r="A716" s="155"/>
      <c r="C716" s="148"/>
      <c r="D716" s="160">
        <v>32133</v>
      </c>
      <c r="E716" s="161">
        <v>0.12</v>
      </c>
      <c r="F716" s="161">
        <v>8.8131799999999968E-2</v>
      </c>
      <c r="G716" s="133">
        <f t="shared" si="10"/>
        <v>3.1868200000000027E-2</v>
      </c>
      <c r="I716" s="156">
        <f>--(Risk_Prem2[[#This Row],[Return on Equity]]&lt;0.09)</f>
        <v>0</v>
      </c>
    </row>
    <row r="717" spans="1:9" x14ac:dyDescent="0.2">
      <c r="A717" s="155"/>
      <c r="C717" s="148"/>
      <c r="D717" s="160">
        <v>32133</v>
      </c>
      <c r="E717" s="161">
        <v>0.12</v>
      </c>
      <c r="F717" s="161">
        <v>8.8131799999999968E-2</v>
      </c>
      <c r="G717" s="133">
        <f t="shared" si="10"/>
        <v>3.1868200000000027E-2</v>
      </c>
      <c r="I717" s="156">
        <f>--(Risk_Prem2[[#This Row],[Return on Equity]]&lt;0.09)</f>
        <v>0</v>
      </c>
    </row>
    <row r="718" spans="1:9" x14ac:dyDescent="0.2">
      <c r="A718" s="155"/>
      <c r="C718" s="148"/>
      <c r="D718" s="160">
        <v>32133</v>
      </c>
      <c r="E718" s="161">
        <v>0.1275</v>
      </c>
      <c r="F718" s="161">
        <v>8.8131799999999968E-2</v>
      </c>
      <c r="G718" s="133">
        <f t="shared" si="10"/>
        <v>3.9368200000000034E-2</v>
      </c>
      <c r="I718" s="156">
        <f>--(Risk_Prem2[[#This Row],[Return on Equity]]&lt;0.09)</f>
        <v>0</v>
      </c>
    </row>
    <row r="719" spans="1:9" x14ac:dyDescent="0.2">
      <c r="A719" s="155"/>
      <c r="C719" s="148"/>
      <c r="D719" s="160">
        <v>32133</v>
      </c>
      <c r="E719" s="161">
        <v>0.13</v>
      </c>
      <c r="F719" s="161">
        <v>8.8131799999999968E-2</v>
      </c>
      <c r="G719" s="133">
        <f t="shared" si="10"/>
        <v>4.1868200000000036E-2</v>
      </c>
      <c r="I719" s="156">
        <f>--(Risk_Prem2[[#This Row],[Return on Equity]]&lt;0.09)</f>
        <v>0</v>
      </c>
    </row>
    <row r="720" spans="1:9" x14ac:dyDescent="0.2">
      <c r="A720" s="155"/>
      <c r="C720" s="148"/>
      <c r="D720" s="160">
        <v>32162</v>
      </c>
      <c r="E720" s="161">
        <v>0.13800000000000001</v>
      </c>
      <c r="F720" s="161">
        <v>8.9351449999999971E-2</v>
      </c>
      <c r="G720" s="133">
        <f t="shared" si="10"/>
        <v>4.864855000000004E-2</v>
      </c>
      <c r="I720" s="156">
        <f>--(Risk_Prem2[[#This Row],[Return on Equity]]&lt;0.09)</f>
        <v>0</v>
      </c>
    </row>
    <row r="721" spans="1:9" x14ac:dyDescent="0.2">
      <c r="A721" s="155"/>
      <c r="C721" s="148"/>
      <c r="D721" s="160">
        <v>32168</v>
      </c>
      <c r="E721" s="161">
        <v>0.13900000000000001</v>
      </c>
      <c r="F721" s="161">
        <v>8.9507149999999952E-2</v>
      </c>
      <c r="G721" s="133">
        <f t="shared" si="10"/>
        <v>4.949285000000006E-2</v>
      </c>
      <c r="I721" s="156">
        <f>--(Risk_Prem2[[#This Row],[Return on Equity]]&lt;0.09)</f>
        <v>0</v>
      </c>
    </row>
    <row r="722" spans="1:9" x14ac:dyDescent="0.2">
      <c r="A722" s="155"/>
      <c r="C722" s="148"/>
      <c r="D722" s="160">
        <v>32171</v>
      </c>
      <c r="E722" s="161">
        <v>0.13200000000000001</v>
      </c>
      <c r="F722" s="161">
        <v>8.9572549999999959E-2</v>
      </c>
      <c r="G722" s="133">
        <f t="shared" si="10"/>
        <v>4.2427450000000047E-2</v>
      </c>
      <c r="I722" s="156">
        <f>--(Risk_Prem2[[#This Row],[Return on Equity]]&lt;0.09)</f>
        <v>0</v>
      </c>
    </row>
    <row r="723" spans="1:9" x14ac:dyDescent="0.2">
      <c r="A723" s="155"/>
      <c r="C723" s="148"/>
      <c r="D723" s="160">
        <v>32177</v>
      </c>
      <c r="E723" s="161">
        <v>0.126</v>
      </c>
      <c r="F723" s="161">
        <v>8.9590249999999982E-2</v>
      </c>
      <c r="G723" s="133">
        <f t="shared" si="10"/>
        <v>3.6409750000000018E-2</v>
      </c>
      <c r="I723" s="156">
        <f>--(Risk_Prem2[[#This Row],[Return on Equity]]&lt;0.09)</f>
        <v>0</v>
      </c>
    </row>
    <row r="724" spans="1:9" x14ac:dyDescent="0.2">
      <c r="A724" s="155"/>
      <c r="C724" s="148"/>
      <c r="D724" s="160">
        <v>32203</v>
      </c>
      <c r="E724" s="161">
        <v>0.11560000000000001</v>
      </c>
      <c r="F724" s="161">
        <v>8.9413999999999966E-2</v>
      </c>
      <c r="G724" s="133">
        <f t="shared" si="10"/>
        <v>2.6186000000000043E-2</v>
      </c>
      <c r="I724" s="156">
        <f>--(Risk_Prem2[[#This Row],[Return on Equity]]&lt;0.09)</f>
        <v>0</v>
      </c>
    </row>
    <row r="725" spans="1:9" x14ac:dyDescent="0.2">
      <c r="A725" s="155"/>
      <c r="C725" s="148"/>
      <c r="D725" s="160">
        <v>32225</v>
      </c>
      <c r="E725" s="161">
        <v>0.12869999999999998</v>
      </c>
      <c r="F725" s="161">
        <v>8.9195149999999987E-2</v>
      </c>
      <c r="G725" s="133">
        <f t="shared" si="10"/>
        <v>3.9504849999999994E-2</v>
      </c>
      <c r="I725" s="156">
        <f>--(Risk_Prem2[[#This Row],[Return on Equity]]&lt;0.09)</f>
        <v>0</v>
      </c>
    </row>
    <row r="726" spans="1:9" x14ac:dyDescent="0.2">
      <c r="A726" s="155"/>
      <c r="C726" s="148"/>
      <c r="D726" s="160">
        <v>32226</v>
      </c>
      <c r="E726" s="161">
        <v>0.1124</v>
      </c>
      <c r="F726" s="161">
        <v>8.9199249999999994E-2</v>
      </c>
      <c r="G726" s="133">
        <f t="shared" si="10"/>
        <v>2.3200750000000006E-2</v>
      </c>
      <c r="I726" s="156">
        <f>--(Risk_Prem2[[#This Row],[Return on Equity]]&lt;0.09)</f>
        <v>0</v>
      </c>
    </row>
    <row r="727" spans="1:9" x14ac:dyDescent="0.2">
      <c r="A727" s="155"/>
      <c r="C727" s="148"/>
      <c r="D727" s="160">
        <v>32232</v>
      </c>
      <c r="E727" s="161">
        <v>0.12720000000000001</v>
      </c>
      <c r="F727" s="161">
        <v>8.9208749999999989E-2</v>
      </c>
      <c r="G727" s="133">
        <f t="shared" si="10"/>
        <v>3.7991250000000018E-2</v>
      </c>
      <c r="I727" s="156">
        <f>--(Risk_Prem2[[#This Row],[Return on Equity]]&lt;0.09)</f>
        <v>0</v>
      </c>
    </row>
    <row r="728" spans="1:9" x14ac:dyDescent="0.2">
      <c r="A728" s="155"/>
      <c r="C728" s="148"/>
      <c r="D728" s="160">
        <v>32234</v>
      </c>
      <c r="E728" s="161">
        <v>0.125</v>
      </c>
      <c r="F728" s="161">
        <v>8.9222199999999988E-2</v>
      </c>
      <c r="G728" s="133">
        <f t="shared" si="10"/>
        <v>3.5777800000000012E-2</v>
      </c>
      <c r="I728" s="156">
        <f>--(Risk_Prem2[[#This Row],[Return on Equity]]&lt;0.09)</f>
        <v>0</v>
      </c>
    </row>
    <row r="729" spans="1:9" x14ac:dyDescent="0.2">
      <c r="A729" s="155"/>
      <c r="C729" s="148"/>
      <c r="D729" s="160">
        <v>32240</v>
      </c>
      <c r="E729" s="161">
        <v>0.13250000000000001</v>
      </c>
      <c r="F729" s="161">
        <v>8.9296600000000004E-2</v>
      </c>
      <c r="G729" s="133">
        <f t="shared" si="10"/>
        <v>4.3203400000000003E-2</v>
      </c>
      <c r="I729" s="156">
        <f>--(Risk_Prem2[[#This Row],[Return on Equity]]&lt;0.09)</f>
        <v>0</v>
      </c>
    </row>
    <row r="730" spans="1:9" x14ac:dyDescent="0.2">
      <c r="A730" s="155"/>
      <c r="C730" s="148"/>
      <c r="D730" s="160">
        <v>32258</v>
      </c>
      <c r="E730" s="161">
        <v>0.1096</v>
      </c>
      <c r="F730" s="161">
        <v>8.9572100000000057E-2</v>
      </c>
      <c r="G730" s="133">
        <f t="shared" si="10"/>
        <v>2.0027899999999946E-2</v>
      </c>
      <c r="I730" s="156">
        <f>--(Risk_Prem2[[#This Row],[Return on Equity]]&lt;0.09)</f>
        <v>0</v>
      </c>
    </row>
    <row r="731" spans="1:9" x14ac:dyDescent="0.2">
      <c r="A731" s="155"/>
      <c r="C731" s="148"/>
      <c r="D731" s="160">
        <v>32266</v>
      </c>
      <c r="E731" s="161">
        <v>0.12909999999999999</v>
      </c>
      <c r="F731" s="161">
        <v>8.9740100000000031E-2</v>
      </c>
      <c r="G731" s="133">
        <f t="shared" si="10"/>
        <v>3.9359899999999962E-2</v>
      </c>
      <c r="I731" s="156">
        <f>--(Risk_Prem2[[#This Row],[Return on Equity]]&lt;0.09)</f>
        <v>0</v>
      </c>
    </row>
    <row r="732" spans="1:9" x14ac:dyDescent="0.2">
      <c r="A732" s="155"/>
      <c r="C732" s="148"/>
      <c r="D732" s="160">
        <v>32274</v>
      </c>
      <c r="E732" s="161">
        <v>0.13500000000000001</v>
      </c>
      <c r="F732" s="161">
        <v>8.9883050000000034E-2</v>
      </c>
      <c r="G732" s="133">
        <f t="shared" si="10"/>
        <v>4.5116949999999975E-2</v>
      </c>
      <c r="I732" s="156">
        <f>--(Risk_Prem2[[#This Row],[Return on Equity]]&lt;0.09)</f>
        <v>0</v>
      </c>
    </row>
    <row r="733" spans="1:9" x14ac:dyDescent="0.2">
      <c r="A733" s="155"/>
      <c r="C733" s="148"/>
      <c r="D733" s="160">
        <v>32279</v>
      </c>
      <c r="E733" s="161">
        <v>0.13</v>
      </c>
      <c r="F733" s="161">
        <v>8.9929350000000033E-2</v>
      </c>
      <c r="G733" s="133">
        <f t="shared" si="10"/>
        <v>4.0070649999999972E-2</v>
      </c>
      <c r="I733" s="156">
        <f>--(Risk_Prem2[[#This Row],[Return on Equity]]&lt;0.09)</f>
        <v>0</v>
      </c>
    </row>
    <row r="734" spans="1:9" x14ac:dyDescent="0.2">
      <c r="A734" s="155"/>
      <c r="C734" s="148"/>
      <c r="D734" s="160">
        <v>32324</v>
      </c>
      <c r="E734" s="161">
        <v>0.1275</v>
      </c>
      <c r="F734" s="161">
        <v>8.9968200000000026E-2</v>
      </c>
      <c r="G734" s="133">
        <f t="shared" si="10"/>
        <v>3.7531799999999976E-2</v>
      </c>
      <c r="I734" s="156">
        <f>--(Risk_Prem2[[#This Row],[Return on Equity]]&lt;0.09)</f>
        <v>0</v>
      </c>
    </row>
    <row r="735" spans="1:9" x14ac:dyDescent="0.2">
      <c r="A735" s="155"/>
      <c r="C735" s="148"/>
      <c r="D735" s="160">
        <v>32325</v>
      </c>
      <c r="E735" s="161">
        <v>0.1275</v>
      </c>
      <c r="F735" s="161">
        <v>8.9935050000000002E-2</v>
      </c>
      <c r="G735" s="133">
        <f t="shared" si="10"/>
        <v>3.756495E-2</v>
      </c>
      <c r="I735" s="156">
        <f>--(Risk_Prem2[[#This Row],[Return on Equity]]&lt;0.09)</f>
        <v>0</v>
      </c>
    </row>
    <row r="736" spans="1:9" x14ac:dyDescent="0.2">
      <c r="A736" s="155"/>
      <c r="C736" s="148"/>
      <c r="D736" s="160">
        <v>32344</v>
      </c>
      <c r="E736" s="161">
        <v>0.13400000000000001</v>
      </c>
      <c r="F736" s="161">
        <v>8.9625799999999992E-2</v>
      </c>
      <c r="G736" s="133">
        <f t="shared" si="10"/>
        <v>4.4374200000000016E-2</v>
      </c>
      <c r="I736" s="156">
        <f>--(Risk_Prem2[[#This Row],[Return on Equity]]&lt;0.09)</f>
        <v>0</v>
      </c>
    </row>
    <row r="737" spans="1:9" x14ac:dyDescent="0.2">
      <c r="A737" s="155"/>
      <c r="C737" s="148"/>
      <c r="D737" s="160">
        <v>32360</v>
      </c>
      <c r="E737" s="161">
        <v>0.1275</v>
      </c>
      <c r="F737" s="161">
        <v>8.9183249999999936E-2</v>
      </c>
      <c r="G737" s="133">
        <f t="shared" si="10"/>
        <v>3.8316750000000066E-2</v>
      </c>
      <c r="I737" s="156">
        <f>--(Risk_Prem2[[#This Row],[Return on Equity]]&lt;0.09)</f>
        <v>0</v>
      </c>
    </row>
    <row r="738" spans="1:9" x14ac:dyDescent="0.2">
      <c r="A738" s="155"/>
      <c r="C738" s="148"/>
      <c r="D738" s="160">
        <v>32378</v>
      </c>
      <c r="E738" s="161">
        <v>0.11699999999999999</v>
      </c>
      <c r="F738" s="161">
        <v>8.9289049999999967E-2</v>
      </c>
      <c r="G738" s="133">
        <f t="shared" si="10"/>
        <v>2.7710950000000026E-2</v>
      </c>
      <c r="I738" s="156">
        <f>--(Risk_Prem2[[#This Row],[Return on Equity]]&lt;0.09)</f>
        <v>0</v>
      </c>
    </row>
    <row r="739" spans="1:9" x14ac:dyDescent="0.2">
      <c r="A739" s="155"/>
      <c r="C739" s="148"/>
      <c r="D739" s="160">
        <v>32384</v>
      </c>
      <c r="E739" s="161">
        <v>0.1275</v>
      </c>
      <c r="F739" s="161">
        <v>8.9400249999999987E-2</v>
      </c>
      <c r="G739" s="133">
        <f t="shared" si="10"/>
        <v>3.8099750000000016E-2</v>
      </c>
      <c r="I739" s="156">
        <f>--(Risk_Prem2[[#This Row],[Return on Equity]]&lt;0.09)</f>
        <v>0</v>
      </c>
    </row>
    <row r="740" spans="1:9" x14ac:dyDescent="0.2">
      <c r="A740" s="155"/>
      <c r="C740" s="148"/>
      <c r="D740" s="160">
        <v>32385</v>
      </c>
      <c r="E740" s="161">
        <v>0.13500000000000001</v>
      </c>
      <c r="F740" s="161">
        <v>8.9422749999999981E-2</v>
      </c>
      <c r="G740" s="133">
        <f t="shared" si="10"/>
        <v>4.5577250000000027E-2</v>
      </c>
      <c r="I740" s="156">
        <f>--(Risk_Prem2[[#This Row],[Return on Equity]]&lt;0.09)</f>
        <v>0</v>
      </c>
    </row>
    <row r="741" spans="1:9" x14ac:dyDescent="0.2">
      <c r="A741" s="155"/>
      <c r="C741" s="148"/>
      <c r="D741" s="160">
        <v>32394</v>
      </c>
      <c r="E741" s="161">
        <v>0.126</v>
      </c>
      <c r="F741" s="161">
        <v>8.94876E-2</v>
      </c>
      <c r="G741" s="133">
        <f t="shared" si="10"/>
        <v>3.65124E-2</v>
      </c>
      <c r="I741" s="156">
        <f>--(Risk_Prem2[[#This Row],[Return on Equity]]&lt;0.09)</f>
        <v>0</v>
      </c>
    </row>
    <row r="742" spans="1:9" x14ac:dyDescent="0.2">
      <c r="A742" s="155"/>
      <c r="C742" s="148"/>
      <c r="D742" s="160">
        <v>32429</v>
      </c>
      <c r="E742" s="161">
        <v>0.13100000000000001</v>
      </c>
      <c r="F742" s="161">
        <v>8.9349249999999991E-2</v>
      </c>
      <c r="G742" s="133">
        <f t="shared" si="10"/>
        <v>4.1650750000000014E-2</v>
      </c>
      <c r="I742" s="156">
        <f>--(Risk_Prem2[[#This Row],[Return on Equity]]&lt;0.09)</f>
        <v>0</v>
      </c>
    </row>
    <row r="743" spans="1:9" x14ac:dyDescent="0.2">
      <c r="A743" s="155"/>
      <c r="C743" s="148"/>
      <c r="D743" s="160">
        <v>32496</v>
      </c>
      <c r="E743" s="161">
        <v>0.13</v>
      </c>
      <c r="F743" s="161">
        <v>9.0161550000000007E-2</v>
      </c>
      <c r="G743" s="133">
        <f t="shared" si="10"/>
        <v>3.9838449999999997E-2</v>
      </c>
      <c r="I743" s="156">
        <f>--(Risk_Prem2[[#This Row],[Return on Equity]]&lt;0.09)</f>
        <v>0</v>
      </c>
    </row>
    <row r="744" spans="1:9" x14ac:dyDescent="0.2">
      <c r="A744" s="155"/>
      <c r="C744" s="148"/>
      <c r="D744" s="160">
        <v>32497</v>
      </c>
      <c r="E744" s="161">
        <v>0.1225</v>
      </c>
      <c r="F744" s="161">
        <v>9.0193350000000005E-2</v>
      </c>
      <c r="G744" s="133">
        <f t="shared" si="10"/>
        <v>3.2306649999999992E-2</v>
      </c>
      <c r="I744" s="156">
        <f>--(Risk_Prem2[[#This Row],[Return on Equity]]&lt;0.09)</f>
        <v>0</v>
      </c>
    </row>
    <row r="745" spans="1:9" x14ac:dyDescent="0.2">
      <c r="A745" s="155"/>
      <c r="C745" s="148"/>
      <c r="D745" s="160">
        <v>32497</v>
      </c>
      <c r="E745" s="161">
        <v>0.13</v>
      </c>
      <c r="F745" s="161">
        <v>9.0193350000000005E-2</v>
      </c>
      <c r="G745" s="133">
        <f t="shared" si="10"/>
        <v>3.9806649999999999E-2</v>
      </c>
      <c r="I745" s="156">
        <f>--(Risk_Prem2[[#This Row],[Return on Equity]]&lt;0.09)</f>
        <v>0</v>
      </c>
    </row>
    <row r="746" spans="1:9" x14ac:dyDescent="0.2">
      <c r="A746" s="155"/>
      <c r="C746" s="148"/>
      <c r="D746" s="160">
        <v>32498</v>
      </c>
      <c r="E746" s="161">
        <v>0.129</v>
      </c>
      <c r="F746" s="161">
        <v>9.0216849999999973E-2</v>
      </c>
      <c r="G746" s="133">
        <f t="shared" si="10"/>
        <v>3.878315000000003E-2</v>
      </c>
      <c r="I746" s="156">
        <f>--(Risk_Prem2[[#This Row],[Return on Equity]]&lt;0.09)</f>
        <v>0</v>
      </c>
    </row>
    <row r="747" spans="1:9" x14ac:dyDescent="0.2">
      <c r="A747" s="155"/>
      <c r="C747" s="148"/>
      <c r="D747" s="160">
        <v>32504</v>
      </c>
      <c r="E747" s="161">
        <v>0.13</v>
      </c>
      <c r="F747" s="161">
        <v>9.0279299999999979E-2</v>
      </c>
      <c r="G747" s="133">
        <f t="shared" si="10"/>
        <v>3.9720700000000025E-2</v>
      </c>
      <c r="I747" s="156">
        <f>--(Risk_Prem2[[#This Row],[Return on Equity]]&lt;0.09)</f>
        <v>0</v>
      </c>
    </row>
    <row r="748" spans="1:9" x14ac:dyDescent="0.2">
      <c r="A748" s="155"/>
      <c r="C748" s="148"/>
      <c r="D748" s="160">
        <v>32505</v>
      </c>
      <c r="E748" s="161">
        <v>0.13100000000000001</v>
      </c>
      <c r="F748" s="161">
        <v>9.0301299999999973E-2</v>
      </c>
      <c r="G748" s="133">
        <f t="shared" si="10"/>
        <v>4.0698700000000032E-2</v>
      </c>
      <c r="I748" s="156">
        <f>--(Risk_Prem2[[#This Row],[Return on Equity]]&lt;0.09)</f>
        <v>0</v>
      </c>
    </row>
    <row r="749" spans="1:9" x14ac:dyDescent="0.2">
      <c r="A749" s="155"/>
      <c r="C749" s="148"/>
      <c r="D749" s="160">
        <v>32507</v>
      </c>
      <c r="E749" s="161">
        <v>0.13400000000000001</v>
      </c>
      <c r="F749" s="161">
        <v>9.0350549999999974E-2</v>
      </c>
      <c r="G749" s="133">
        <f t="shared" si="10"/>
        <v>4.3649450000000034E-2</v>
      </c>
      <c r="I749" s="156">
        <f>--(Risk_Prem2[[#This Row],[Return on Equity]]&lt;0.09)</f>
        <v>0</v>
      </c>
    </row>
    <row r="750" spans="1:9" x14ac:dyDescent="0.2">
      <c r="A750" s="155"/>
      <c r="C750" s="148"/>
      <c r="D750" s="160">
        <v>32535</v>
      </c>
      <c r="E750" s="161">
        <v>0.13</v>
      </c>
      <c r="F750" s="161">
        <v>9.0542850000000022E-2</v>
      </c>
      <c r="G750" s="133">
        <f t="shared" ref="G750:G813" si="11">E750-F750</f>
        <v>3.9457149999999983E-2</v>
      </c>
      <c r="I750" s="156">
        <f>--(Risk_Prem2[[#This Row],[Return on Equity]]&lt;0.09)</f>
        <v>0</v>
      </c>
    </row>
    <row r="751" spans="1:9" x14ac:dyDescent="0.2">
      <c r="A751" s="155"/>
      <c r="C751" s="148"/>
      <c r="D751" s="160">
        <v>32539</v>
      </c>
      <c r="E751" s="161">
        <v>0.13</v>
      </c>
      <c r="F751" s="161">
        <v>9.0548250000000025E-2</v>
      </c>
      <c r="G751" s="133">
        <f t="shared" si="11"/>
        <v>3.945174999999998E-2</v>
      </c>
      <c r="I751" s="156">
        <f>--(Risk_Prem2[[#This Row],[Return on Equity]]&lt;0.09)</f>
        <v>0</v>
      </c>
    </row>
    <row r="752" spans="1:9" x14ac:dyDescent="0.2">
      <c r="A752" s="155"/>
      <c r="C752" s="148"/>
      <c r="D752" s="160">
        <v>32556</v>
      </c>
      <c r="E752" s="161">
        <v>0.13</v>
      </c>
      <c r="F752" s="161">
        <v>9.0521149999999953E-2</v>
      </c>
      <c r="G752" s="133">
        <f t="shared" si="11"/>
        <v>3.9478850000000051E-2</v>
      </c>
      <c r="I752" s="156">
        <f>--(Risk_Prem2[[#This Row],[Return on Equity]]&lt;0.09)</f>
        <v>0</v>
      </c>
    </row>
    <row r="753" spans="1:9" x14ac:dyDescent="0.2">
      <c r="A753" s="155"/>
      <c r="C753" s="148"/>
      <c r="D753" s="160">
        <v>32559</v>
      </c>
      <c r="E753" s="161">
        <v>0.124</v>
      </c>
      <c r="F753" s="161">
        <v>9.0521149999999953E-2</v>
      </c>
      <c r="G753" s="133">
        <f t="shared" si="11"/>
        <v>3.3478850000000046E-2</v>
      </c>
      <c r="I753" s="156">
        <f>--(Risk_Prem2[[#This Row],[Return on Equity]]&lt;0.09)</f>
        <v>0</v>
      </c>
    </row>
    <row r="754" spans="1:9" x14ac:dyDescent="0.2">
      <c r="A754" s="155"/>
      <c r="C754" s="148"/>
      <c r="D754" s="160">
        <v>32568</v>
      </c>
      <c r="E754" s="161">
        <v>0.12759999999999999</v>
      </c>
      <c r="F754" s="161">
        <v>9.052344999999995E-2</v>
      </c>
      <c r="G754" s="133">
        <f t="shared" si="11"/>
        <v>3.7076550000000041E-2</v>
      </c>
      <c r="I754" s="156">
        <f>--(Risk_Prem2[[#This Row],[Return on Equity]]&lt;0.09)</f>
        <v>0</v>
      </c>
    </row>
    <row r="755" spans="1:9" x14ac:dyDescent="0.2">
      <c r="A755" s="155"/>
      <c r="C755" s="148"/>
      <c r="D755" s="160">
        <v>32575</v>
      </c>
      <c r="E755" s="161">
        <v>0.13</v>
      </c>
      <c r="F755" s="161">
        <v>9.0502899999999969E-2</v>
      </c>
      <c r="G755" s="133">
        <f t="shared" si="11"/>
        <v>3.9497100000000035E-2</v>
      </c>
      <c r="I755" s="156">
        <f>--(Risk_Prem2[[#This Row],[Return on Equity]]&lt;0.09)</f>
        <v>0</v>
      </c>
    </row>
    <row r="756" spans="1:9" x14ac:dyDescent="0.2">
      <c r="A756" s="155"/>
      <c r="C756" s="148"/>
      <c r="D756" s="160">
        <v>32597</v>
      </c>
      <c r="E756" s="161">
        <v>0.14000000000000001</v>
      </c>
      <c r="F756" s="161">
        <v>9.0478649999999994E-2</v>
      </c>
      <c r="G756" s="133">
        <f t="shared" si="11"/>
        <v>4.952135000000002E-2</v>
      </c>
      <c r="I756" s="156">
        <f>--(Risk_Prem2[[#This Row],[Return on Equity]]&lt;0.09)</f>
        <v>0</v>
      </c>
    </row>
    <row r="757" spans="1:9" x14ac:dyDescent="0.2">
      <c r="A757" s="155"/>
      <c r="C757" s="148"/>
      <c r="D757" s="160">
        <v>32603</v>
      </c>
      <c r="E757" s="161">
        <v>0.14199999999999999</v>
      </c>
      <c r="F757" s="161">
        <v>9.0493199999999968E-2</v>
      </c>
      <c r="G757" s="133">
        <f t="shared" si="11"/>
        <v>5.1506800000000019E-2</v>
      </c>
      <c r="I757" s="156">
        <f>--(Risk_Prem2[[#This Row],[Return on Equity]]&lt;0.09)</f>
        <v>0</v>
      </c>
    </row>
    <row r="758" spans="1:9" x14ac:dyDescent="0.2">
      <c r="A758" s="155"/>
      <c r="C758" s="148"/>
      <c r="D758" s="160">
        <v>32616</v>
      </c>
      <c r="E758" s="161">
        <v>0.13</v>
      </c>
      <c r="F758" s="161">
        <v>9.0539149999999999E-2</v>
      </c>
      <c r="G758" s="133">
        <f t="shared" si="11"/>
        <v>3.9460850000000006E-2</v>
      </c>
      <c r="I758" s="156">
        <f>--(Risk_Prem2[[#This Row],[Return on Equity]]&lt;0.09)</f>
        <v>0</v>
      </c>
    </row>
    <row r="759" spans="1:9" x14ac:dyDescent="0.2">
      <c r="A759" s="155"/>
      <c r="C759" s="148"/>
      <c r="D759" s="160">
        <v>32633</v>
      </c>
      <c r="E759" s="161">
        <v>0.124</v>
      </c>
      <c r="F759" s="161">
        <v>9.0495200000000053E-2</v>
      </c>
      <c r="G759" s="133">
        <f t="shared" si="11"/>
        <v>3.3504799999999946E-2</v>
      </c>
      <c r="I759" s="156">
        <f>--(Risk_Prem2[[#This Row],[Return on Equity]]&lt;0.09)</f>
        <v>0</v>
      </c>
    </row>
    <row r="760" spans="1:9" x14ac:dyDescent="0.2">
      <c r="A760" s="155"/>
      <c r="C760" s="148"/>
      <c r="D760" s="160">
        <v>32661</v>
      </c>
      <c r="E760" s="161">
        <v>0.13200000000000001</v>
      </c>
      <c r="F760" s="161">
        <v>9.0033950000000071E-2</v>
      </c>
      <c r="G760" s="133">
        <f t="shared" si="11"/>
        <v>4.1966049999999935E-2</v>
      </c>
      <c r="I760" s="156">
        <f>--(Risk_Prem2[[#This Row],[Return on Equity]]&lt;0.09)</f>
        <v>0</v>
      </c>
    </row>
    <row r="761" spans="1:9" x14ac:dyDescent="0.2">
      <c r="A761" s="155"/>
      <c r="C761" s="148"/>
      <c r="D761" s="160">
        <v>32667</v>
      </c>
      <c r="E761" s="161">
        <v>0.13500000000000001</v>
      </c>
      <c r="F761" s="161">
        <v>8.9826150000000049E-2</v>
      </c>
      <c r="G761" s="133">
        <f t="shared" si="11"/>
        <v>4.517384999999996E-2</v>
      </c>
      <c r="I761" s="156">
        <f>--(Risk_Prem2[[#This Row],[Return on Equity]]&lt;0.09)</f>
        <v>0</v>
      </c>
    </row>
    <row r="762" spans="1:9" x14ac:dyDescent="0.2">
      <c r="A762" s="155"/>
      <c r="C762" s="148"/>
      <c r="D762" s="160">
        <v>32686</v>
      </c>
      <c r="E762" s="161">
        <v>0.13250000000000001</v>
      </c>
      <c r="F762" s="161">
        <v>8.9147549999999992E-2</v>
      </c>
      <c r="G762" s="133">
        <f t="shared" si="11"/>
        <v>4.3352450000000015E-2</v>
      </c>
      <c r="I762" s="156">
        <f>--(Risk_Prem2[[#This Row],[Return on Equity]]&lt;0.09)</f>
        <v>0</v>
      </c>
    </row>
    <row r="763" spans="1:9" x14ac:dyDescent="0.2">
      <c r="A763" s="155"/>
      <c r="C763" s="148"/>
      <c r="D763" s="160">
        <v>32689</v>
      </c>
      <c r="E763" s="161">
        <v>0.13</v>
      </c>
      <c r="F763" s="161">
        <v>8.9010800000000001E-2</v>
      </c>
      <c r="G763" s="133">
        <f t="shared" si="11"/>
        <v>4.0989200000000003E-2</v>
      </c>
      <c r="I763" s="156">
        <f>--(Risk_Prem2[[#This Row],[Return on Equity]]&lt;0.09)</f>
        <v>0</v>
      </c>
    </row>
    <row r="764" spans="1:9" x14ac:dyDescent="0.2">
      <c r="A764" s="155"/>
      <c r="C764" s="148"/>
      <c r="D764" s="160">
        <v>32734</v>
      </c>
      <c r="E764" s="161">
        <v>0.125</v>
      </c>
      <c r="F764" s="161">
        <v>8.7666549999999982E-2</v>
      </c>
      <c r="G764" s="133">
        <f t="shared" si="11"/>
        <v>3.7333450000000018E-2</v>
      </c>
      <c r="I764" s="156">
        <f>--(Risk_Prem2[[#This Row],[Return on Equity]]&lt;0.09)</f>
        <v>0</v>
      </c>
    </row>
    <row r="765" spans="1:9" x14ac:dyDescent="0.2">
      <c r="A765" s="155"/>
      <c r="C765" s="148"/>
      <c r="D765" s="160">
        <v>32779</v>
      </c>
      <c r="E765" s="161">
        <v>0.1225</v>
      </c>
      <c r="F765" s="161">
        <v>8.6295049999999929E-2</v>
      </c>
      <c r="G765" s="133">
        <f t="shared" si="11"/>
        <v>3.6204950000000069E-2</v>
      </c>
      <c r="I765" s="156">
        <f>--(Risk_Prem2[[#This Row],[Return on Equity]]&lt;0.09)</f>
        <v>0</v>
      </c>
    </row>
    <row r="766" spans="1:9" x14ac:dyDescent="0.2">
      <c r="A766" s="155"/>
      <c r="C766" s="148"/>
      <c r="D766" s="160">
        <v>32805</v>
      </c>
      <c r="E766" s="161">
        <v>0.125</v>
      </c>
      <c r="F766" s="161">
        <v>8.5415699999999942E-2</v>
      </c>
      <c r="G766" s="133">
        <f t="shared" si="11"/>
        <v>3.9584300000000058E-2</v>
      </c>
      <c r="I766" s="156">
        <f>--(Risk_Prem2[[#This Row],[Return on Equity]]&lt;0.09)</f>
        <v>0</v>
      </c>
    </row>
    <row r="767" spans="1:9" x14ac:dyDescent="0.2">
      <c r="A767" s="155"/>
      <c r="C767" s="148"/>
      <c r="D767" s="160">
        <v>32821</v>
      </c>
      <c r="E767" s="161">
        <v>0.13</v>
      </c>
      <c r="F767" s="161">
        <v>8.4850849999999992E-2</v>
      </c>
      <c r="G767" s="133">
        <f t="shared" si="11"/>
        <v>4.5149150000000013E-2</v>
      </c>
      <c r="I767" s="156">
        <f>--(Risk_Prem2[[#This Row],[Return on Equity]]&lt;0.09)</f>
        <v>0</v>
      </c>
    </row>
    <row r="768" spans="1:9" x14ac:dyDescent="0.2">
      <c r="A768" s="155"/>
      <c r="C768" s="148"/>
      <c r="D768" s="160">
        <v>32857</v>
      </c>
      <c r="E768" s="161">
        <v>0.13</v>
      </c>
      <c r="F768" s="161">
        <v>8.3381049999999984E-2</v>
      </c>
      <c r="G768" s="133">
        <f t="shared" si="11"/>
        <v>4.661895000000002E-2</v>
      </c>
      <c r="I768" s="156">
        <f>--(Risk_Prem2[[#This Row],[Return on Equity]]&lt;0.09)</f>
        <v>0</v>
      </c>
    </row>
    <row r="769" spans="1:9" x14ac:dyDescent="0.2">
      <c r="A769" s="155"/>
      <c r="C769" s="148"/>
      <c r="D769" s="160">
        <v>32862</v>
      </c>
      <c r="E769" s="161">
        <v>0.129</v>
      </c>
      <c r="F769" s="161">
        <v>8.3188650000000003E-2</v>
      </c>
      <c r="G769" s="133">
        <f t="shared" si="11"/>
        <v>4.5811350000000001E-2</v>
      </c>
      <c r="I769" s="156">
        <f>--(Risk_Prem2[[#This Row],[Return on Equity]]&lt;0.09)</f>
        <v>0</v>
      </c>
    </row>
    <row r="770" spans="1:9" x14ac:dyDescent="0.2">
      <c r="A770" s="155"/>
      <c r="C770" s="148"/>
      <c r="D770" s="160">
        <v>32863</v>
      </c>
      <c r="E770" s="161">
        <v>0.129</v>
      </c>
      <c r="F770" s="161">
        <v>8.312555000000002E-2</v>
      </c>
      <c r="G770" s="133">
        <f t="shared" si="11"/>
        <v>4.5874449999999983E-2</v>
      </c>
      <c r="I770" s="156">
        <f>--(Risk_Prem2[[#This Row],[Return on Equity]]&lt;0.09)</f>
        <v>0</v>
      </c>
    </row>
    <row r="771" spans="1:9" x14ac:dyDescent="0.2">
      <c r="A771" s="155"/>
      <c r="C771" s="148"/>
      <c r="D771" s="160">
        <v>32869</v>
      </c>
      <c r="E771" s="161">
        <v>0.125</v>
      </c>
      <c r="F771" s="161">
        <v>8.2941600000000018E-2</v>
      </c>
      <c r="G771" s="133">
        <f t="shared" si="11"/>
        <v>4.2058399999999982E-2</v>
      </c>
      <c r="I771" s="156">
        <f>--(Risk_Prem2[[#This Row],[Return on Equity]]&lt;0.09)</f>
        <v>0</v>
      </c>
    </row>
    <row r="772" spans="1:9" x14ac:dyDescent="0.2">
      <c r="A772" s="155"/>
      <c r="C772" s="148"/>
      <c r="D772" s="160">
        <v>32869</v>
      </c>
      <c r="E772" s="161">
        <v>0.13</v>
      </c>
      <c r="F772" s="161">
        <v>8.2941600000000018E-2</v>
      </c>
      <c r="G772" s="133">
        <f t="shared" si="11"/>
        <v>4.7058399999999986E-2</v>
      </c>
      <c r="I772" s="156">
        <f>--(Risk_Prem2[[#This Row],[Return on Equity]]&lt;0.09)</f>
        <v>0</v>
      </c>
    </row>
    <row r="773" spans="1:9" x14ac:dyDescent="0.2">
      <c r="A773" s="155"/>
      <c r="C773" s="148"/>
      <c r="D773" s="160">
        <v>32883</v>
      </c>
      <c r="E773" s="161">
        <v>0.128</v>
      </c>
      <c r="F773" s="161">
        <v>8.2416249999999996E-2</v>
      </c>
      <c r="G773" s="133">
        <f t="shared" si="11"/>
        <v>4.5583750000000006E-2</v>
      </c>
      <c r="I773" s="156">
        <f>--(Risk_Prem2[[#This Row],[Return on Equity]]&lt;0.09)</f>
        <v>0</v>
      </c>
    </row>
    <row r="774" spans="1:9" x14ac:dyDescent="0.2">
      <c r="A774" s="155"/>
      <c r="C774" s="148"/>
      <c r="D774" s="160">
        <v>32884</v>
      </c>
      <c r="E774" s="161">
        <v>0.129</v>
      </c>
      <c r="F774" s="161">
        <v>8.2368499999999983E-2</v>
      </c>
      <c r="G774" s="133">
        <f t="shared" si="11"/>
        <v>4.663150000000002E-2</v>
      </c>
      <c r="I774" s="156">
        <f>--(Risk_Prem2[[#This Row],[Return on Equity]]&lt;0.09)</f>
        <v>0</v>
      </c>
    </row>
    <row r="775" spans="1:9" x14ac:dyDescent="0.2">
      <c r="A775" s="155"/>
      <c r="C775" s="148"/>
      <c r="D775" s="160">
        <v>32890</v>
      </c>
      <c r="E775" s="161">
        <v>0.128</v>
      </c>
      <c r="F775" s="161">
        <v>8.2202399999999981E-2</v>
      </c>
      <c r="G775" s="133">
        <f t="shared" si="11"/>
        <v>4.5797600000000022E-2</v>
      </c>
      <c r="I775" s="156">
        <f>--(Risk_Prem2[[#This Row],[Return on Equity]]&lt;0.09)</f>
        <v>0</v>
      </c>
    </row>
    <row r="776" spans="1:9" x14ac:dyDescent="0.2">
      <c r="A776" s="155"/>
      <c r="C776" s="148"/>
      <c r="D776" s="160">
        <v>32899</v>
      </c>
      <c r="E776" s="161">
        <v>0.12</v>
      </c>
      <c r="F776" s="161">
        <v>8.1963399999999992E-2</v>
      </c>
      <c r="G776" s="133">
        <f t="shared" si="11"/>
        <v>3.8036600000000004E-2</v>
      </c>
      <c r="I776" s="156">
        <f>--(Risk_Prem2[[#This Row],[Return on Equity]]&lt;0.09)</f>
        <v>0</v>
      </c>
    </row>
    <row r="777" spans="1:9" x14ac:dyDescent="0.2">
      <c r="A777" s="155"/>
      <c r="C777" s="148"/>
      <c r="D777" s="160">
        <v>32913</v>
      </c>
      <c r="E777" s="161">
        <v>0.121</v>
      </c>
      <c r="F777" s="161">
        <v>8.1732749999999979E-2</v>
      </c>
      <c r="G777" s="133">
        <f t="shared" si="11"/>
        <v>3.9267250000000017E-2</v>
      </c>
      <c r="I777" s="156">
        <f>--(Risk_Prem2[[#This Row],[Return on Equity]]&lt;0.09)</f>
        <v>0</v>
      </c>
    </row>
    <row r="778" spans="1:9" x14ac:dyDescent="0.2">
      <c r="A778" s="155"/>
      <c r="C778" s="148"/>
      <c r="D778" s="160">
        <v>32928</v>
      </c>
      <c r="E778" s="161">
        <v>0.12859999999999999</v>
      </c>
      <c r="F778" s="161">
        <v>8.1502749999999957E-2</v>
      </c>
      <c r="G778" s="133">
        <f t="shared" si="11"/>
        <v>4.7097250000000035E-2</v>
      </c>
      <c r="I778" s="156">
        <f>--(Risk_Prem2[[#This Row],[Return on Equity]]&lt;0.09)</f>
        <v>0</v>
      </c>
    </row>
    <row r="779" spans="1:9" x14ac:dyDescent="0.2">
      <c r="A779" s="155"/>
      <c r="C779" s="148"/>
      <c r="D779" s="160">
        <v>32962</v>
      </c>
      <c r="E779" s="161">
        <v>0.129</v>
      </c>
      <c r="F779" s="161">
        <v>8.1610599999999991E-2</v>
      </c>
      <c r="G779" s="133">
        <f t="shared" si="11"/>
        <v>4.7389400000000012E-2</v>
      </c>
      <c r="I779" s="156">
        <f>--(Risk_Prem2[[#This Row],[Return on Equity]]&lt;0.09)</f>
        <v>0</v>
      </c>
    </row>
    <row r="780" spans="1:9" x14ac:dyDescent="0.2">
      <c r="A780" s="155"/>
      <c r="C780" s="148"/>
      <c r="D780" s="160">
        <v>32967</v>
      </c>
      <c r="E780" s="161">
        <v>0.15759999999999999</v>
      </c>
      <c r="F780" s="161">
        <v>8.1655249999999985E-2</v>
      </c>
      <c r="G780" s="133">
        <f t="shared" si="11"/>
        <v>7.5944750000000005E-2</v>
      </c>
      <c r="I780" s="156">
        <f>--(Risk_Prem2[[#This Row],[Return on Equity]]&lt;0.09)</f>
        <v>0</v>
      </c>
    </row>
    <row r="781" spans="1:9" x14ac:dyDescent="0.2">
      <c r="A781" s="155"/>
      <c r="C781" s="148"/>
      <c r="D781" s="160">
        <v>32975</v>
      </c>
      <c r="E781" s="161">
        <v>0.12520000000000001</v>
      </c>
      <c r="F781" s="161">
        <v>8.1794049999999979E-2</v>
      </c>
      <c r="G781" s="133">
        <f t="shared" si="11"/>
        <v>4.3405950000000026E-2</v>
      </c>
      <c r="I781" s="156">
        <f>--(Risk_Prem2[[#This Row],[Return on Equity]]&lt;0.09)</f>
        <v>0</v>
      </c>
    </row>
    <row r="782" spans="1:9" x14ac:dyDescent="0.2">
      <c r="A782" s="155"/>
      <c r="C782" s="148"/>
      <c r="D782" s="160">
        <v>32982</v>
      </c>
      <c r="E782" s="161">
        <v>0.1275</v>
      </c>
      <c r="F782" s="161">
        <v>8.1960849999999988E-2</v>
      </c>
      <c r="G782" s="133">
        <f t="shared" si="11"/>
        <v>4.5539150000000014E-2</v>
      </c>
      <c r="I782" s="156">
        <f>--(Risk_Prem2[[#This Row],[Return on Equity]]&lt;0.09)</f>
        <v>0</v>
      </c>
    </row>
    <row r="783" spans="1:9" x14ac:dyDescent="0.2">
      <c r="A783" s="155"/>
      <c r="C783" s="148"/>
      <c r="D783" s="160">
        <v>33014</v>
      </c>
      <c r="E783" s="161">
        <v>0.121</v>
      </c>
      <c r="F783" s="161">
        <v>8.283339999999996E-2</v>
      </c>
      <c r="G783" s="133">
        <f t="shared" si="11"/>
        <v>3.8166600000000037E-2</v>
      </c>
      <c r="I783" s="156">
        <f>--(Risk_Prem2[[#This Row],[Return on Equity]]&lt;0.09)</f>
        <v>0</v>
      </c>
    </row>
    <row r="784" spans="1:9" x14ac:dyDescent="0.2">
      <c r="A784" s="155"/>
      <c r="C784" s="148"/>
      <c r="D784" s="160">
        <v>33022</v>
      </c>
      <c r="E784" s="161">
        <v>0.124</v>
      </c>
      <c r="F784" s="161">
        <v>8.2974649999999969E-2</v>
      </c>
      <c r="G784" s="133">
        <f t="shared" si="11"/>
        <v>4.102535000000003E-2</v>
      </c>
      <c r="I784" s="156">
        <f>--(Risk_Prem2[[#This Row],[Return on Equity]]&lt;0.09)</f>
        <v>0</v>
      </c>
    </row>
    <row r="785" spans="1:9" x14ac:dyDescent="0.2">
      <c r="A785" s="155"/>
      <c r="C785" s="148"/>
      <c r="D785" s="160">
        <v>33024</v>
      </c>
      <c r="E785" s="161">
        <v>0.12</v>
      </c>
      <c r="F785" s="161">
        <v>8.301184999999997E-2</v>
      </c>
      <c r="G785" s="133">
        <f t="shared" si="11"/>
        <v>3.6988150000000025E-2</v>
      </c>
      <c r="I785" s="156">
        <f>--(Risk_Prem2[[#This Row],[Return on Equity]]&lt;0.09)</f>
        <v>0</v>
      </c>
    </row>
    <row r="786" spans="1:9" x14ac:dyDescent="0.2">
      <c r="A786" s="155"/>
      <c r="C786" s="148"/>
      <c r="D786" s="160">
        <v>33028</v>
      </c>
      <c r="E786" s="161">
        <v>0.129</v>
      </c>
      <c r="F786" s="161">
        <v>8.3037799999999939E-2</v>
      </c>
      <c r="G786" s="133">
        <f t="shared" si="11"/>
        <v>4.5962200000000064E-2</v>
      </c>
      <c r="I786" s="156">
        <f>--(Risk_Prem2[[#This Row],[Return on Equity]]&lt;0.09)</f>
        <v>0</v>
      </c>
    </row>
    <row r="787" spans="1:9" x14ac:dyDescent="0.2">
      <c r="A787" s="155"/>
      <c r="C787" s="148"/>
      <c r="D787" s="160">
        <v>33030</v>
      </c>
      <c r="E787" s="161">
        <v>0.1225</v>
      </c>
      <c r="F787" s="161">
        <v>8.3061299999999921E-2</v>
      </c>
      <c r="G787" s="133">
        <f t="shared" si="11"/>
        <v>3.9438700000000076E-2</v>
      </c>
      <c r="I787" s="156">
        <f>--(Risk_Prem2[[#This Row],[Return on Equity]]&lt;0.09)</f>
        <v>0</v>
      </c>
    </row>
    <row r="788" spans="1:9" x14ac:dyDescent="0.2">
      <c r="A788" s="155"/>
      <c r="C788" s="148"/>
      <c r="D788" s="160">
        <v>33039</v>
      </c>
      <c r="E788" s="161">
        <v>0.13200000000000001</v>
      </c>
      <c r="F788" s="161">
        <v>8.3153299999999972E-2</v>
      </c>
      <c r="G788" s="133">
        <f t="shared" si="11"/>
        <v>4.8846700000000035E-2</v>
      </c>
      <c r="I788" s="156">
        <f>--(Risk_Prem2[[#This Row],[Return on Equity]]&lt;0.09)</f>
        <v>0</v>
      </c>
    </row>
    <row r="789" spans="1:9" x14ac:dyDescent="0.2">
      <c r="A789" s="155"/>
      <c r="C789" s="148"/>
      <c r="D789" s="160">
        <v>33044</v>
      </c>
      <c r="E789" s="161">
        <v>0.12920000000000001</v>
      </c>
      <c r="F789" s="161">
        <v>8.3212799999999962E-2</v>
      </c>
      <c r="G789" s="133">
        <f t="shared" si="11"/>
        <v>4.5987200000000047E-2</v>
      </c>
      <c r="I789" s="156">
        <f>--(Risk_Prem2[[#This Row],[Return on Equity]]&lt;0.09)</f>
        <v>0</v>
      </c>
    </row>
    <row r="790" spans="1:9" x14ac:dyDescent="0.2">
      <c r="A790" s="155"/>
      <c r="C790" s="148"/>
      <c r="D790" s="160">
        <v>33051</v>
      </c>
      <c r="E790" s="161">
        <v>0.129</v>
      </c>
      <c r="F790" s="161">
        <v>8.3313599999999988E-2</v>
      </c>
      <c r="G790" s="133">
        <f t="shared" si="11"/>
        <v>4.5686400000000016E-2</v>
      </c>
      <c r="I790" s="156">
        <f>--(Risk_Prem2[[#This Row],[Return on Equity]]&lt;0.09)</f>
        <v>0</v>
      </c>
    </row>
    <row r="791" spans="1:9" x14ac:dyDescent="0.2">
      <c r="A791" s="155"/>
      <c r="C791" s="148"/>
      <c r="D791" s="160">
        <v>33053</v>
      </c>
      <c r="E791" s="161">
        <v>0.125</v>
      </c>
      <c r="F791" s="161">
        <v>8.334289999999997E-2</v>
      </c>
      <c r="G791" s="133">
        <f t="shared" si="11"/>
        <v>4.165710000000003E-2</v>
      </c>
      <c r="I791" s="156">
        <f>--(Risk_Prem2[[#This Row],[Return on Equity]]&lt;0.09)</f>
        <v>0</v>
      </c>
    </row>
    <row r="792" spans="1:9" x14ac:dyDescent="0.2">
      <c r="A792" s="155"/>
      <c r="C792" s="148"/>
      <c r="D792" s="160">
        <v>33060</v>
      </c>
      <c r="E792" s="161">
        <v>0.121</v>
      </c>
      <c r="F792" s="161">
        <v>8.3387099999999978E-2</v>
      </c>
      <c r="G792" s="133">
        <f t="shared" si="11"/>
        <v>3.7612900000000019E-2</v>
      </c>
      <c r="I792" s="156">
        <f>--(Risk_Prem2[[#This Row],[Return on Equity]]&lt;0.09)</f>
        <v>0</v>
      </c>
    </row>
    <row r="793" spans="1:9" x14ac:dyDescent="0.2">
      <c r="A793" s="155"/>
      <c r="C793" s="148"/>
      <c r="D793" s="160">
        <v>33060</v>
      </c>
      <c r="E793" s="161">
        <v>0.1235</v>
      </c>
      <c r="F793" s="161">
        <v>8.3387099999999978E-2</v>
      </c>
      <c r="G793" s="133">
        <f t="shared" si="11"/>
        <v>4.0112900000000021E-2</v>
      </c>
      <c r="I793" s="156">
        <f>--(Risk_Prem2[[#This Row],[Return on Equity]]&lt;0.09)</f>
        <v>0</v>
      </c>
    </row>
    <row r="794" spans="1:9" x14ac:dyDescent="0.2">
      <c r="A794" s="155"/>
      <c r="C794" s="148"/>
      <c r="D794" s="160">
        <v>33095</v>
      </c>
      <c r="E794" s="161">
        <v>0.1255</v>
      </c>
      <c r="F794" s="161">
        <v>8.4074199999999946E-2</v>
      </c>
      <c r="G794" s="133">
        <f t="shared" si="11"/>
        <v>4.1425800000000054E-2</v>
      </c>
      <c r="I794" s="156">
        <f>--(Risk_Prem2[[#This Row],[Return on Equity]]&lt;0.09)</f>
        <v>0</v>
      </c>
    </row>
    <row r="795" spans="1:9" x14ac:dyDescent="0.2">
      <c r="A795" s="155"/>
      <c r="C795" s="148"/>
      <c r="D795" s="160">
        <v>33101</v>
      </c>
      <c r="E795" s="161">
        <v>0.1321</v>
      </c>
      <c r="F795" s="161">
        <v>8.4255449999999982E-2</v>
      </c>
      <c r="G795" s="133">
        <f t="shared" si="11"/>
        <v>4.7844550000000013E-2</v>
      </c>
      <c r="I795" s="156">
        <f>--(Risk_Prem2[[#This Row],[Return on Equity]]&lt;0.09)</f>
        <v>0</v>
      </c>
    </row>
    <row r="796" spans="1:9" x14ac:dyDescent="0.2">
      <c r="A796" s="155"/>
      <c r="C796" s="148"/>
      <c r="D796" s="160">
        <v>33107</v>
      </c>
      <c r="E796" s="161">
        <v>0.13100000000000001</v>
      </c>
      <c r="F796" s="161">
        <v>8.4470500000000032E-2</v>
      </c>
      <c r="G796" s="133">
        <f t="shared" si="11"/>
        <v>4.6529499999999974E-2</v>
      </c>
      <c r="I796" s="156">
        <f>--(Risk_Prem2[[#This Row],[Return on Equity]]&lt;0.09)</f>
        <v>0</v>
      </c>
    </row>
    <row r="797" spans="1:9" x14ac:dyDescent="0.2">
      <c r="A797" s="155"/>
      <c r="C797" s="148"/>
      <c r="D797" s="160">
        <v>33109</v>
      </c>
      <c r="E797" s="161">
        <v>0.13</v>
      </c>
      <c r="F797" s="161">
        <v>8.4597550000000035E-2</v>
      </c>
      <c r="G797" s="133">
        <f t="shared" si="11"/>
        <v>4.5402449999999969E-2</v>
      </c>
      <c r="I797" s="156">
        <f>--(Risk_Prem2[[#This Row],[Return on Equity]]&lt;0.09)</f>
        <v>0</v>
      </c>
    </row>
    <row r="798" spans="1:9" x14ac:dyDescent="0.2">
      <c r="A798" s="155"/>
      <c r="C798" s="148"/>
      <c r="D798" s="160">
        <v>33142</v>
      </c>
      <c r="E798" s="161">
        <v>0.11449999999999999</v>
      </c>
      <c r="F798" s="161">
        <v>8.5894249999999964E-2</v>
      </c>
      <c r="G798" s="133">
        <f t="shared" si="11"/>
        <v>2.8605750000000027E-2</v>
      </c>
      <c r="I798" s="156">
        <f>--(Risk_Prem2[[#This Row],[Return on Equity]]&lt;0.09)</f>
        <v>0</v>
      </c>
    </row>
    <row r="799" spans="1:9" x14ac:dyDescent="0.2">
      <c r="A799" s="155"/>
      <c r="C799" s="148"/>
      <c r="D799" s="160">
        <v>33148</v>
      </c>
      <c r="E799" s="161">
        <v>0.13</v>
      </c>
      <c r="F799" s="161">
        <v>8.6106199999999994E-2</v>
      </c>
      <c r="G799" s="133">
        <f t="shared" si="11"/>
        <v>4.3893800000000011E-2</v>
      </c>
      <c r="I799" s="156">
        <f>--(Risk_Prem2[[#This Row],[Return on Equity]]&lt;0.09)</f>
        <v>0</v>
      </c>
    </row>
    <row r="800" spans="1:9" x14ac:dyDescent="0.2">
      <c r="A800" s="155"/>
      <c r="C800" s="148"/>
      <c r="D800" s="160">
        <v>33151</v>
      </c>
      <c r="E800" s="161">
        <v>0.12839999999999999</v>
      </c>
      <c r="F800" s="161">
        <v>8.6232050000000005E-2</v>
      </c>
      <c r="G800" s="133">
        <f t="shared" si="11"/>
        <v>4.2167949999999982E-2</v>
      </c>
      <c r="I800" s="156">
        <f>--(Risk_Prem2[[#This Row],[Return on Equity]]&lt;0.09)</f>
        <v>0</v>
      </c>
    </row>
    <row r="801" spans="1:9" x14ac:dyDescent="0.2">
      <c r="A801" s="155"/>
      <c r="C801" s="148"/>
      <c r="D801" s="160">
        <v>33165</v>
      </c>
      <c r="E801" s="161">
        <v>0.13</v>
      </c>
      <c r="F801" s="161">
        <v>8.6657550000000028E-2</v>
      </c>
      <c r="G801" s="133">
        <f t="shared" si="11"/>
        <v>4.3342449999999977E-2</v>
      </c>
      <c r="I801" s="156">
        <f>--(Risk_Prem2[[#This Row],[Return on Equity]]&lt;0.09)</f>
        <v>0</v>
      </c>
    </row>
    <row r="802" spans="1:9" x14ac:dyDescent="0.2">
      <c r="A802" s="155"/>
      <c r="C802" s="148"/>
      <c r="D802" s="160">
        <v>33171</v>
      </c>
      <c r="E802" s="161">
        <v>0.12300000000000001</v>
      </c>
      <c r="F802" s="161">
        <v>8.6760300000000012E-2</v>
      </c>
      <c r="G802" s="133">
        <f t="shared" si="11"/>
        <v>3.62397E-2</v>
      </c>
      <c r="I802" s="156">
        <f>--(Risk_Prem2[[#This Row],[Return on Equity]]&lt;0.09)</f>
        <v>0</v>
      </c>
    </row>
    <row r="803" spans="1:9" x14ac:dyDescent="0.2">
      <c r="A803" s="155"/>
      <c r="C803" s="148"/>
      <c r="D803" s="160">
        <v>33198</v>
      </c>
      <c r="E803" s="161">
        <v>0.127</v>
      </c>
      <c r="F803" s="161">
        <v>8.6921400000000024E-2</v>
      </c>
      <c r="G803" s="133">
        <f t="shared" si="11"/>
        <v>4.0078599999999978E-2</v>
      </c>
      <c r="I803" s="156">
        <f>--(Risk_Prem2[[#This Row],[Return on Equity]]&lt;0.09)</f>
        <v>0</v>
      </c>
    </row>
    <row r="804" spans="1:9" x14ac:dyDescent="0.2">
      <c r="A804" s="155"/>
      <c r="C804" s="148"/>
      <c r="D804" s="160">
        <v>33220</v>
      </c>
      <c r="E804" s="161">
        <v>0.12300000000000001</v>
      </c>
      <c r="F804" s="161">
        <v>8.6732100000000034E-2</v>
      </c>
      <c r="G804" s="133">
        <f t="shared" si="11"/>
        <v>3.6267899999999978E-2</v>
      </c>
      <c r="I804" s="156">
        <f>--(Risk_Prem2[[#This Row],[Return on Equity]]&lt;0.09)</f>
        <v>0</v>
      </c>
    </row>
    <row r="805" spans="1:9" x14ac:dyDescent="0.2">
      <c r="A805" s="155"/>
      <c r="C805" s="148"/>
      <c r="D805" s="160">
        <v>33224</v>
      </c>
      <c r="E805" s="161">
        <v>0.12869999999999998</v>
      </c>
      <c r="F805" s="161">
        <v>8.668875000000005E-2</v>
      </c>
      <c r="G805" s="133">
        <f t="shared" si="11"/>
        <v>4.2011249999999931E-2</v>
      </c>
      <c r="I805" s="156">
        <f>--(Risk_Prem2[[#This Row],[Return on Equity]]&lt;0.09)</f>
        <v>0</v>
      </c>
    </row>
    <row r="806" spans="1:9" x14ac:dyDescent="0.2">
      <c r="A806" s="155"/>
      <c r="C806" s="148"/>
      <c r="D806" s="160">
        <v>33225</v>
      </c>
      <c r="E806" s="161">
        <v>0.13100000000000001</v>
      </c>
      <c r="F806" s="161">
        <v>8.6657400000000051E-2</v>
      </c>
      <c r="G806" s="133">
        <f t="shared" si="11"/>
        <v>4.4342599999999954E-2</v>
      </c>
      <c r="I806" s="156">
        <f>--(Risk_Prem2[[#This Row],[Return on Equity]]&lt;0.09)</f>
        <v>0</v>
      </c>
    </row>
    <row r="807" spans="1:9" x14ac:dyDescent="0.2">
      <c r="A807" s="155"/>
      <c r="C807" s="148"/>
      <c r="D807" s="160">
        <v>33226</v>
      </c>
      <c r="E807" s="161">
        <v>0.12</v>
      </c>
      <c r="F807" s="161">
        <v>8.6636200000000052E-2</v>
      </c>
      <c r="G807" s="133">
        <f t="shared" si="11"/>
        <v>3.3363799999999944E-2</v>
      </c>
      <c r="I807" s="156">
        <f>--(Risk_Prem2[[#This Row],[Return on Equity]]&lt;0.09)</f>
        <v>0</v>
      </c>
    </row>
    <row r="808" spans="1:9" x14ac:dyDescent="0.2">
      <c r="A808" s="155"/>
      <c r="C808" s="148"/>
      <c r="D808" s="160">
        <v>33227</v>
      </c>
      <c r="E808" s="161">
        <v>0.1275</v>
      </c>
      <c r="F808" s="161">
        <v>8.6617050000000043E-2</v>
      </c>
      <c r="G808" s="133">
        <f t="shared" si="11"/>
        <v>4.088294999999996E-2</v>
      </c>
      <c r="I808" s="156">
        <f>--(Risk_Prem2[[#This Row],[Return on Equity]]&lt;0.09)</f>
        <v>0</v>
      </c>
    </row>
    <row r="809" spans="1:9" x14ac:dyDescent="0.2">
      <c r="A809" s="155"/>
      <c r="C809" s="148"/>
      <c r="D809" s="160">
        <v>33228</v>
      </c>
      <c r="E809" s="161">
        <v>0.125</v>
      </c>
      <c r="F809" s="161">
        <v>8.6604100000000059E-2</v>
      </c>
      <c r="G809" s="133">
        <f t="shared" si="11"/>
        <v>3.8395899999999941E-2</v>
      </c>
      <c r="I809" s="156">
        <f>--(Risk_Prem2[[#This Row],[Return on Equity]]&lt;0.09)</f>
        <v>0</v>
      </c>
    </row>
    <row r="810" spans="1:9" x14ac:dyDescent="0.2">
      <c r="A810" s="155"/>
      <c r="C810" s="148"/>
      <c r="D810" s="160">
        <v>33234</v>
      </c>
      <c r="E810" s="161">
        <v>0.12789999999999999</v>
      </c>
      <c r="F810" s="161">
        <v>8.6568250000000069E-2</v>
      </c>
      <c r="G810" s="133">
        <f t="shared" si="11"/>
        <v>4.1331749999999917E-2</v>
      </c>
      <c r="I810" s="156">
        <f>--(Risk_Prem2[[#This Row],[Return on Equity]]&lt;0.09)</f>
        <v>0</v>
      </c>
    </row>
    <row r="811" spans="1:9" x14ac:dyDescent="0.2">
      <c r="A811" s="155"/>
      <c r="C811" s="148"/>
      <c r="D811" s="160">
        <v>33240</v>
      </c>
      <c r="E811" s="161">
        <v>0.13100000000000001</v>
      </c>
      <c r="F811" s="161">
        <v>8.6548550000000044E-2</v>
      </c>
      <c r="G811" s="133">
        <f t="shared" si="11"/>
        <v>4.4451449999999962E-2</v>
      </c>
      <c r="I811" s="156">
        <f>--(Risk_Prem2[[#This Row],[Return on Equity]]&lt;0.09)</f>
        <v>0</v>
      </c>
    </row>
    <row r="812" spans="1:9" x14ac:dyDescent="0.2">
      <c r="A812" s="155"/>
      <c r="C812" s="148"/>
      <c r="D812" s="160">
        <v>33242</v>
      </c>
      <c r="E812" s="161">
        <v>0.125</v>
      </c>
      <c r="F812" s="161">
        <v>8.6517750000000046E-2</v>
      </c>
      <c r="G812" s="133">
        <f t="shared" si="11"/>
        <v>3.8482249999999954E-2</v>
      </c>
      <c r="I812" s="156">
        <f>--(Risk_Prem2[[#This Row],[Return on Equity]]&lt;0.09)</f>
        <v>0</v>
      </c>
    </row>
    <row r="813" spans="1:9" x14ac:dyDescent="0.2">
      <c r="A813" s="155"/>
      <c r="C813" s="148"/>
      <c r="D813" s="160">
        <v>33253</v>
      </c>
      <c r="E813" s="161">
        <v>0.1275</v>
      </c>
      <c r="F813" s="161">
        <v>8.6446950000000022E-2</v>
      </c>
      <c r="G813" s="133">
        <f t="shared" si="11"/>
        <v>4.105304999999998E-2</v>
      </c>
      <c r="I813" s="156">
        <f>--(Risk_Prem2[[#This Row],[Return on Equity]]&lt;0.09)</f>
        <v>0</v>
      </c>
    </row>
    <row r="814" spans="1:9" x14ac:dyDescent="0.2">
      <c r="A814" s="155"/>
      <c r="C814" s="148"/>
      <c r="D814" s="160">
        <v>33263</v>
      </c>
      <c r="E814" s="161">
        <v>0.11699999999999999</v>
      </c>
      <c r="F814" s="161">
        <v>8.628325000000002E-2</v>
      </c>
      <c r="G814" s="133">
        <f t="shared" ref="G814:G877" si="12">E814-F814</f>
        <v>3.0716749999999973E-2</v>
      </c>
      <c r="I814" s="156">
        <f>--(Risk_Prem2[[#This Row],[Return on Equity]]&lt;0.09)</f>
        <v>0</v>
      </c>
    </row>
    <row r="815" spans="1:9" x14ac:dyDescent="0.2">
      <c r="A815" s="155"/>
      <c r="C815" s="148"/>
      <c r="D815" s="160">
        <v>33273</v>
      </c>
      <c r="E815" s="161">
        <v>0.125</v>
      </c>
      <c r="F815" s="161">
        <v>8.6045000000000038E-2</v>
      </c>
      <c r="G815" s="133">
        <f t="shared" si="12"/>
        <v>3.8954999999999962E-2</v>
      </c>
      <c r="I815" s="156">
        <f>--(Risk_Prem2[[#This Row],[Return on Equity]]&lt;0.09)</f>
        <v>0</v>
      </c>
    </row>
    <row r="816" spans="1:9" x14ac:dyDescent="0.2">
      <c r="A816" s="155"/>
      <c r="C816" s="148"/>
      <c r="D816" s="160">
        <v>33276</v>
      </c>
      <c r="E816" s="161">
        <v>0.125</v>
      </c>
      <c r="F816" s="161">
        <v>8.5897300000000024E-2</v>
      </c>
      <c r="G816" s="133">
        <f t="shared" si="12"/>
        <v>3.9102699999999976E-2</v>
      </c>
      <c r="I816" s="156">
        <f>--(Risk_Prem2[[#This Row],[Return on Equity]]&lt;0.09)</f>
        <v>0</v>
      </c>
    </row>
    <row r="817" spans="1:9" x14ac:dyDescent="0.2">
      <c r="A817" s="155"/>
      <c r="C817" s="148"/>
      <c r="D817" s="160">
        <v>33281</v>
      </c>
      <c r="E817" s="161">
        <v>0.13</v>
      </c>
      <c r="F817" s="161">
        <v>8.5750000000000048E-2</v>
      </c>
      <c r="G817" s="133">
        <f t="shared" si="12"/>
        <v>4.4249999999999956E-2</v>
      </c>
      <c r="I817" s="156">
        <f>--(Risk_Prem2[[#This Row],[Return on Equity]]&lt;0.09)</f>
        <v>0</v>
      </c>
    </row>
    <row r="818" spans="1:9" x14ac:dyDescent="0.2">
      <c r="A818" s="155"/>
      <c r="C818" s="148"/>
      <c r="D818" s="160">
        <v>33283</v>
      </c>
      <c r="E818" s="161">
        <v>0.12720000000000001</v>
      </c>
      <c r="F818" s="161">
        <v>8.5663900000000057E-2</v>
      </c>
      <c r="G818" s="133">
        <f t="shared" si="12"/>
        <v>4.1536099999999951E-2</v>
      </c>
      <c r="I818" s="156">
        <f>--(Risk_Prem2[[#This Row],[Return on Equity]]&lt;0.09)</f>
        <v>0</v>
      </c>
    </row>
    <row r="819" spans="1:9" x14ac:dyDescent="0.2">
      <c r="A819" s="155"/>
      <c r="C819" s="148"/>
      <c r="D819" s="160">
        <v>33291</v>
      </c>
      <c r="E819" s="161">
        <v>0.128</v>
      </c>
      <c r="F819" s="161">
        <v>8.545750000000002E-2</v>
      </c>
      <c r="G819" s="133">
        <f t="shared" si="12"/>
        <v>4.2542499999999983E-2</v>
      </c>
      <c r="I819" s="156">
        <f>--(Risk_Prem2[[#This Row],[Return on Equity]]&lt;0.09)</f>
        <v>0</v>
      </c>
    </row>
    <row r="820" spans="1:9" x14ac:dyDescent="0.2">
      <c r="A820" s="155"/>
      <c r="C820" s="148"/>
      <c r="D820" s="160">
        <v>33303</v>
      </c>
      <c r="E820" s="161">
        <v>0.13100000000000001</v>
      </c>
      <c r="F820" s="161">
        <v>8.5279500000000022E-2</v>
      </c>
      <c r="G820" s="133">
        <f t="shared" si="12"/>
        <v>4.5720499999999983E-2</v>
      </c>
      <c r="I820" s="156">
        <f>--(Risk_Prem2[[#This Row],[Return on Equity]]&lt;0.09)</f>
        <v>0</v>
      </c>
    </row>
    <row r="821" spans="1:9" x14ac:dyDescent="0.2">
      <c r="A821" s="155"/>
      <c r="C821" s="148"/>
      <c r="D821" s="160">
        <v>33305</v>
      </c>
      <c r="E821" s="161">
        <v>0.12300000000000001</v>
      </c>
      <c r="F821" s="161">
        <v>8.524550000000003E-2</v>
      </c>
      <c r="G821" s="133">
        <f t="shared" si="12"/>
        <v>3.7754499999999983E-2</v>
      </c>
      <c r="I821" s="156">
        <f>--(Risk_Prem2[[#This Row],[Return on Equity]]&lt;0.09)</f>
        <v>0</v>
      </c>
    </row>
    <row r="822" spans="1:9" x14ac:dyDescent="0.2">
      <c r="A822" s="155"/>
      <c r="C822" s="148"/>
      <c r="D822" s="160">
        <v>33305</v>
      </c>
      <c r="E822" s="161">
        <v>0.13</v>
      </c>
      <c r="F822" s="161">
        <v>8.524550000000003E-2</v>
      </c>
      <c r="G822" s="133">
        <f t="shared" si="12"/>
        <v>4.4754499999999975E-2</v>
      </c>
      <c r="I822" s="156">
        <f>--(Risk_Prem2[[#This Row],[Return on Equity]]&lt;0.09)</f>
        <v>0</v>
      </c>
    </row>
    <row r="823" spans="1:9" x14ac:dyDescent="0.2">
      <c r="A823" s="155"/>
      <c r="C823" s="148"/>
      <c r="D823" s="160">
        <v>33350</v>
      </c>
      <c r="E823" s="161">
        <v>0.13</v>
      </c>
      <c r="F823" s="161">
        <v>8.490120000000001E-2</v>
      </c>
      <c r="G823" s="133">
        <f t="shared" si="12"/>
        <v>4.5098799999999994E-2</v>
      </c>
      <c r="I823" s="156">
        <f>--(Risk_Prem2[[#This Row],[Return on Equity]]&lt;0.09)</f>
        <v>0</v>
      </c>
    </row>
    <row r="824" spans="1:9" x14ac:dyDescent="0.2">
      <c r="A824" s="155"/>
      <c r="C824" s="148"/>
      <c r="D824" s="160">
        <v>33365</v>
      </c>
      <c r="E824" s="161">
        <v>0.13500000000000001</v>
      </c>
      <c r="F824" s="161">
        <v>8.4732550000000004E-2</v>
      </c>
      <c r="G824" s="133">
        <f t="shared" si="12"/>
        <v>5.0267450000000005E-2</v>
      </c>
      <c r="I824" s="156">
        <f>--(Risk_Prem2[[#This Row],[Return on Equity]]&lt;0.09)</f>
        <v>0</v>
      </c>
    </row>
    <row r="825" spans="1:9" x14ac:dyDescent="0.2">
      <c r="A825" s="155"/>
      <c r="C825" s="148"/>
      <c r="D825" s="160">
        <v>33371</v>
      </c>
      <c r="E825" s="161">
        <v>0.13250000000000001</v>
      </c>
      <c r="F825" s="161">
        <v>8.470179999999998E-2</v>
      </c>
      <c r="G825" s="133">
        <f t="shared" si="12"/>
        <v>4.7798200000000027E-2</v>
      </c>
      <c r="I825" s="156">
        <f>--(Risk_Prem2[[#This Row],[Return on Equity]]&lt;0.09)</f>
        <v>0</v>
      </c>
    </row>
    <row r="826" spans="1:9" x14ac:dyDescent="0.2">
      <c r="A826" s="155"/>
      <c r="C826" s="148"/>
      <c r="D826" s="160">
        <v>33388</v>
      </c>
      <c r="E826" s="161">
        <v>0.1275</v>
      </c>
      <c r="F826" s="161">
        <v>8.435970000000001E-2</v>
      </c>
      <c r="G826" s="133">
        <f t="shared" si="12"/>
        <v>4.3140299999999993E-2</v>
      </c>
      <c r="I826" s="156">
        <f>--(Risk_Prem2[[#This Row],[Return on Equity]]&lt;0.09)</f>
        <v>0</v>
      </c>
    </row>
    <row r="827" spans="1:9" x14ac:dyDescent="0.2">
      <c r="A827" s="155"/>
      <c r="C827" s="148"/>
      <c r="D827" s="160">
        <v>33401</v>
      </c>
      <c r="E827" s="161">
        <v>0.12</v>
      </c>
      <c r="F827" s="161">
        <v>8.4080799999999969E-2</v>
      </c>
      <c r="G827" s="133">
        <f t="shared" si="12"/>
        <v>3.5919200000000026E-2</v>
      </c>
      <c r="I827" s="156">
        <f>--(Risk_Prem2[[#This Row],[Return on Equity]]&lt;0.09)</f>
        <v>0</v>
      </c>
    </row>
    <row r="828" spans="1:9" x14ac:dyDescent="0.2">
      <c r="A828" s="155"/>
      <c r="C828" s="148"/>
      <c r="D828" s="160">
        <v>33414</v>
      </c>
      <c r="E828" s="161">
        <v>0.11699999999999999</v>
      </c>
      <c r="F828" s="161">
        <v>8.3873049999999991E-2</v>
      </c>
      <c r="G828" s="133">
        <f t="shared" si="12"/>
        <v>3.3126950000000002E-2</v>
      </c>
      <c r="I828" s="156">
        <f>--(Risk_Prem2[[#This Row],[Return on Equity]]&lt;0.09)</f>
        <v>0</v>
      </c>
    </row>
    <row r="829" spans="1:9" x14ac:dyDescent="0.2">
      <c r="A829" s="155"/>
      <c r="C829" s="148"/>
      <c r="D829" s="160">
        <v>33417</v>
      </c>
      <c r="E829" s="161">
        <v>0.125</v>
      </c>
      <c r="F829" s="161">
        <v>8.3786650000000004E-2</v>
      </c>
      <c r="G829" s="133">
        <f t="shared" si="12"/>
        <v>4.1213349999999996E-2</v>
      </c>
      <c r="I829" s="156">
        <f>--(Risk_Prem2[[#This Row],[Return on Equity]]&lt;0.09)</f>
        <v>0</v>
      </c>
    </row>
    <row r="830" spans="1:9" x14ac:dyDescent="0.2">
      <c r="A830" s="155"/>
      <c r="C830" s="148"/>
      <c r="D830" s="160">
        <v>33420</v>
      </c>
      <c r="E830" s="161">
        <v>0.12</v>
      </c>
      <c r="F830" s="161">
        <v>8.3756549999999985E-2</v>
      </c>
      <c r="G830" s="133">
        <f t="shared" si="12"/>
        <v>3.624345000000001E-2</v>
      </c>
      <c r="I830" s="156">
        <f>--(Risk_Prem2[[#This Row],[Return on Equity]]&lt;0.09)</f>
        <v>0</v>
      </c>
    </row>
    <row r="831" spans="1:9" x14ac:dyDescent="0.2">
      <c r="A831" s="155"/>
      <c r="C831" s="148"/>
      <c r="D831" s="160">
        <v>33422</v>
      </c>
      <c r="E831" s="161">
        <v>0.125</v>
      </c>
      <c r="F831" s="161">
        <v>8.3684350000000018E-2</v>
      </c>
      <c r="G831" s="133">
        <f t="shared" si="12"/>
        <v>4.1315649999999982E-2</v>
      </c>
      <c r="I831" s="156">
        <f>--(Risk_Prem2[[#This Row],[Return on Equity]]&lt;0.09)</f>
        <v>0</v>
      </c>
    </row>
    <row r="832" spans="1:9" x14ac:dyDescent="0.2">
      <c r="A832" s="155"/>
      <c r="C832" s="148"/>
      <c r="D832" s="160">
        <v>33438</v>
      </c>
      <c r="E832" s="161">
        <v>0.121</v>
      </c>
      <c r="F832" s="161">
        <v>8.341090000000001E-2</v>
      </c>
      <c r="G832" s="133">
        <f t="shared" si="12"/>
        <v>3.7589099999999986E-2</v>
      </c>
      <c r="I832" s="156">
        <f>--(Risk_Prem2[[#This Row],[Return on Equity]]&lt;0.09)</f>
        <v>0</v>
      </c>
    </row>
    <row r="833" spans="1:9" x14ac:dyDescent="0.2">
      <c r="A833" s="155"/>
      <c r="C833" s="148"/>
      <c r="D833" s="160">
        <v>33451</v>
      </c>
      <c r="E833" s="161">
        <v>0.129</v>
      </c>
      <c r="F833" s="161">
        <v>8.3197849999999962E-2</v>
      </c>
      <c r="G833" s="133">
        <f t="shared" si="12"/>
        <v>4.5802150000000041E-2</v>
      </c>
      <c r="I833" s="156">
        <f>--(Risk_Prem2[[#This Row],[Return on Equity]]&lt;0.09)</f>
        <v>0</v>
      </c>
    </row>
    <row r="834" spans="1:9" x14ac:dyDescent="0.2">
      <c r="A834" s="155"/>
      <c r="C834" s="148"/>
      <c r="D834" s="160">
        <v>33466</v>
      </c>
      <c r="E834" s="161">
        <v>0.13200000000000001</v>
      </c>
      <c r="F834" s="161">
        <v>8.2890199999999942E-2</v>
      </c>
      <c r="G834" s="133">
        <f t="shared" si="12"/>
        <v>4.9109800000000065E-2</v>
      </c>
      <c r="I834" s="156">
        <f>--(Risk_Prem2[[#This Row],[Return on Equity]]&lt;0.09)</f>
        <v>0</v>
      </c>
    </row>
    <row r="835" spans="1:9" x14ac:dyDescent="0.2">
      <c r="A835" s="155"/>
      <c r="C835" s="148"/>
      <c r="D835" s="160">
        <v>33508</v>
      </c>
      <c r="E835" s="161">
        <v>0.125</v>
      </c>
      <c r="F835" s="161">
        <v>8.2336799999999974E-2</v>
      </c>
      <c r="G835" s="133">
        <f t="shared" si="12"/>
        <v>4.2663200000000026E-2</v>
      </c>
      <c r="I835" s="156">
        <f>--(Risk_Prem2[[#This Row],[Return on Equity]]&lt;0.09)</f>
        <v>0</v>
      </c>
    </row>
    <row r="836" spans="1:9" x14ac:dyDescent="0.2">
      <c r="A836" s="155"/>
      <c r="C836" s="148"/>
      <c r="D836" s="160">
        <v>33511</v>
      </c>
      <c r="E836" s="161">
        <v>0.1225</v>
      </c>
      <c r="F836" s="161">
        <v>8.2315649999999976E-2</v>
      </c>
      <c r="G836" s="133">
        <f t="shared" si="12"/>
        <v>4.0184350000000021E-2</v>
      </c>
      <c r="I836" s="156">
        <f>--(Risk_Prem2[[#This Row],[Return on Equity]]&lt;0.09)</f>
        <v>0</v>
      </c>
    </row>
    <row r="837" spans="1:9" x14ac:dyDescent="0.2">
      <c r="A837" s="155"/>
      <c r="C837" s="148"/>
      <c r="D837" s="160">
        <v>33528</v>
      </c>
      <c r="E837" s="161">
        <v>0.13</v>
      </c>
      <c r="F837" s="161">
        <v>8.2034249999999961E-2</v>
      </c>
      <c r="G837" s="133">
        <f t="shared" si="12"/>
        <v>4.7965750000000043E-2</v>
      </c>
      <c r="I837" s="156">
        <f>--(Risk_Prem2[[#This Row],[Return on Equity]]&lt;0.09)</f>
        <v>0</v>
      </c>
    </row>
    <row r="838" spans="1:9" x14ac:dyDescent="0.2">
      <c r="A838" s="155"/>
      <c r="C838" s="148"/>
      <c r="D838" s="160">
        <v>33534</v>
      </c>
      <c r="E838" s="161">
        <v>0.125</v>
      </c>
      <c r="F838" s="161">
        <v>8.1968299999999966E-2</v>
      </c>
      <c r="G838" s="133">
        <f t="shared" si="12"/>
        <v>4.3031700000000034E-2</v>
      </c>
      <c r="I838" s="156">
        <f>--(Risk_Prem2[[#This Row],[Return on Equity]]&lt;0.09)</f>
        <v>0</v>
      </c>
    </row>
    <row r="839" spans="1:9" x14ac:dyDescent="0.2">
      <c r="A839" s="155"/>
      <c r="C839" s="148"/>
      <c r="D839" s="160">
        <v>33534</v>
      </c>
      <c r="E839" s="161">
        <v>0.1255</v>
      </c>
      <c r="F839" s="161">
        <v>8.1968299999999966E-2</v>
      </c>
      <c r="G839" s="133">
        <f t="shared" si="12"/>
        <v>4.3531700000000034E-2</v>
      </c>
      <c r="I839" s="156">
        <f>--(Risk_Prem2[[#This Row],[Return on Equity]]&lt;0.09)</f>
        <v>0</v>
      </c>
    </row>
    <row r="840" spans="1:9" x14ac:dyDescent="0.2">
      <c r="A840" s="155"/>
      <c r="C840" s="148"/>
      <c r="D840" s="160">
        <v>33542</v>
      </c>
      <c r="E840" s="161">
        <v>0.11800000000000001</v>
      </c>
      <c r="F840" s="161">
        <v>8.1900249999999966E-2</v>
      </c>
      <c r="G840" s="133">
        <f t="shared" si="12"/>
        <v>3.6099750000000042E-2</v>
      </c>
      <c r="I840" s="156">
        <f>--(Risk_Prem2[[#This Row],[Return on Equity]]&lt;0.09)</f>
        <v>0</v>
      </c>
    </row>
    <row r="841" spans="1:9" x14ac:dyDescent="0.2">
      <c r="A841" s="155"/>
      <c r="C841" s="148"/>
      <c r="D841" s="160">
        <v>33543</v>
      </c>
      <c r="E841" s="161">
        <v>0.12</v>
      </c>
      <c r="F841" s="161">
        <v>8.1885399999999955E-2</v>
      </c>
      <c r="G841" s="133">
        <f t="shared" si="12"/>
        <v>3.811460000000004E-2</v>
      </c>
      <c r="I841" s="156">
        <f>--(Risk_Prem2[[#This Row],[Return on Equity]]&lt;0.09)</f>
        <v>0</v>
      </c>
    </row>
    <row r="842" spans="1:9" x14ac:dyDescent="0.2">
      <c r="A842" s="155"/>
      <c r="C842" s="148"/>
      <c r="D842" s="160">
        <v>33547</v>
      </c>
      <c r="E842" s="161">
        <v>0.1225</v>
      </c>
      <c r="F842" s="161">
        <v>8.1863399999999961E-2</v>
      </c>
      <c r="G842" s="133">
        <f t="shared" si="12"/>
        <v>4.0636600000000037E-2</v>
      </c>
      <c r="I842" s="156">
        <f>--(Risk_Prem2[[#This Row],[Return on Equity]]&lt;0.09)</f>
        <v>0</v>
      </c>
    </row>
    <row r="843" spans="1:9" x14ac:dyDescent="0.2">
      <c r="A843" s="155"/>
      <c r="C843" s="148"/>
      <c r="D843" s="160">
        <v>33554</v>
      </c>
      <c r="E843" s="161">
        <v>0.125</v>
      </c>
      <c r="F843" s="161">
        <v>8.1806450000000003E-2</v>
      </c>
      <c r="G843" s="133">
        <f t="shared" si="12"/>
        <v>4.3193549999999997E-2</v>
      </c>
      <c r="I843" s="156">
        <f>--(Risk_Prem2[[#This Row],[Return on Equity]]&lt;0.09)</f>
        <v>0</v>
      </c>
    </row>
    <row r="844" spans="1:9" x14ac:dyDescent="0.2">
      <c r="A844" s="155"/>
      <c r="C844" s="148"/>
      <c r="D844" s="160">
        <v>33554</v>
      </c>
      <c r="E844" s="161">
        <v>0.13250000000000001</v>
      </c>
      <c r="F844" s="161">
        <v>8.1806450000000003E-2</v>
      </c>
      <c r="G844" s="133">
        <f t="shared" si="12"/>
        <v>5.0693550000000004E-2</v>
      </c>
      <c r="I844" s="156">
        <f>--(Risk_Prem2[[#This Row],[Return on Equity]]&lt;0.09)</f>
        <v>0</v>
      </c>
    </row>
    <row r="845" spans="1:9" x14ac:dyDescent="0.2">
      <c r="A845" s="155"/>
      <c r="C845" s="148"/>
      <c r="D845" s="160">
        <v>33567</v>
      </c>
      <c r="E845" s="161">
        <v>0.124</v>
      </c>
      <c r="F845" s="161">
        <v>8.177139999999998E-2</v>
      </c>
      <c r="G845" s="133">
        <f t="shared" si="12"/>
        <v>4.2228600000000019E-2</v>
      </c>
      <c r="I845" s="156">
        <f>--(Risk_Prem2[[#This Row],[Return on Equity]]&lt;0.09)</f>
        <v>0</v>
      </c>
    </row>
    <row r="846" spans="1:9" x14ac:dyDescent="0.2">
      <c r="A846" s="155"/>
      <c r="C846" s="148"/>
      <c r="D846" s="160">
        <v>33568</v>
      </c>
      <c r="E846" s="161">
        <v>0.11599999999999999</v>
      </c>
      <c r="F846" s="161">
        <v>8.1769299999999989E-2</v>
      </c>
      <c r="G846" s="133">
        <f t="shared" si="12"/>
        <v>3.4230700000000003E-2</v>
      </c>
      <c r="I846" s="156">
        <f>--(Risk_Prem2[[#This Row],[Return on Equity]]&lt;0.09)</f>
        <v>0</v>
      </c>
    </row>
    <row r="847" spans="1:9" x14ac:dyDescent="0.2">
      <c r="A847" s="155"/>
      <c r="C847" s="148"/>
      <c r="D847" s="160">
        <v>33568</v>
      </c>
      <c r="E847" s="161">
        <v>0.125</v>
      </c>
      <c r="F847" s="161">
        <v>8.1769299999999989E-2</v>
      </c>
      <c r="G847" s="133">
        <f t="shared" si="12"/>
        <v>4.3230700000000011E-2</v>
      </c>
      <c r="I847" s="156">
        <f>--(Risk_Prem2[[#This Row],[Return on Equity]]&lt;0.09)</f>
        <v>0</v>
      </c>
    </row>
    <row r="848" spans="1:9" x14ac:dyDescent="0.2">
      <c r="A848" s="155"/>
      <c r="C848" s="148"/>
      <c r="D848" s="160">
        <v>33569</v>
      </c>
      <c r="E848" s="161">
        <v>0.121</v>
      </c>
      <c r="F848" s="161">
        <v>8.1765600000000008E-2</v>
      </c>
      <c r="G848" s="133">
        <f t="shared" si="12"/>
        <v>3.9234399999999989E-2</v>
      </c>
      <c r="I848" s="156">
        <f>--(Risk_Prem2[[#This Row],[Return on Equity]]&lt;0.09)</f>
        <v>0</v>
      </c>
    </row>
    <row r="849" spans="1:9" x14ac:dyDescent="0.2">
      <c r="A849" s="155"/>
      <c r="C849" s="148"/>
      <c r="D849" s="160">
        <v>33590</v>
      </c>
      <c r="E849" s="161">
        <v>0.1225</v>
      </c>
      <c r="F849" s="161">
        <v>8.1488050000000006E-2</v>
      </c>
      <c r="G849" s="133">
        <f t="shared" si="12"/>
        <v>4.1011949999999991E-2</v>
      </c>
      <c r="I849" s="156">
        <f>--(Risk_Prem2[[#This Row],[Return on Equity]]&lt;0.09)</f>
        <v>0</v>
      </c>
    </row>
    <row r="850" spans="1:9" x14ac:dyDescent="0.2">
      <c r="A850" s="155"/>
      <c r="C850" s="148"/>
      <c r="D850" s="160">
        <v>33591</v>
      </c>
      <c r="E850" s="161">
        <v>0.126</v>
      </c>
      <c r="F850" s="161">
        <v>8.1460750000000012E-2</v>
      </c>
      <c r="G850" s="133">
        <f t="shared" si="12"/>
        <v>4.4539249999999989E-2</v>
      </c>
      <c r="I850" s="156">
        <f>--(Risk_Prem2[[#This Row],[Return on Equity]]&lt;0.09)</f>
        <v>0</v>
      </c>
    </row>
    <row r="851" spans="1:9" x14ac:dyDescent="0.2">
      <c r="A851" s="155"/>
      <c r="C851" s="148"/>
      <c r="D851" s="160">
        <v>33591</v>
      </c>
      <c r="E851" s="161">
        <v>0.128</v>
      </c>
      <c r="F851" s="161">
        <v>8.1460750000000012E-2</v>
      </c>
      <c r="G851" s="133">
        <f t="shared" si="12"/>
        <v>4.653924999999999E-2</v>
      </c>
      <c r="I851" s="156">
        <f>--(Risk_Prem2[[#This Row],[Return on Equity]]&lt;0.09)</f>
        <v>0</v>
      </c>
    </row>
    <row r="852" spans="1:9" x14ac:dyDescent="0.2">
      <c r="A852" s="155"/>
      <c r="C852" s="148"/>
      <c r="D852" s="160">
        <v>33592</v>
      </c>
      <c r="E852" s="161">
        <v>0.1265</v>
      </c>
      <c r="F852" s="161">
        <v>8.1425800000000007E-2</v>
      </c>
      <c r="G852" s="133">
        <f t="shared" si="12"/>
        <v>4.5074199999999995E-2</v>
      </c>
      <c r="I852" s="156">
        <f>--(Risk_Prem2[[#This Row],[Return on Equity]]&lt;0.09)</f>
        <v>0</v>
      </c>
    </row>
    <row r="853" spans="1:9" x14ac:dyDescent="0.2">
      <c r="A853" s="155"/>
      <c r="C853" s="148"/>
      <c r="D853" s="160">
        <v>33612</v>
      </c>
      <c r="E853" s="161">
        <v>0.128</v>
      </c>
      <c r="F853" s="161">
        <v>8.0886800000000023E-2</v>
      </c>
      <c r="G853" s="133">
        <f t="shared" si="12"/>
        <v>4.711319999999998E-2</v>
      </c>
      <c r="I853" s="156">
        <f>--(Risk_Prem2[[#This Row],[Return on Equity]]&lt;0.09)</f>
        <v>0</v>
      </c>
    </row>
    <row r="854" spans="1:9" x14ac:dyDescent="0.2">
      <c r="A854" s="155"/>
      <c r="C854" s="148"/>
      <c r="D854" s="160">
        <v>33619</v>
      </c>
      <c r="E854" s="161">
        <v>0.1275</v>
      </c>
      <c r="F854" s="161">
        <v>8.072670000000004E-2</v>
      </c>
      <c r="G854" s="133">
        <f t="shared" si="12"/>
        <v>4.6773299999999962E-2</v>
      </c>
      <c r="I854" s="156">
        <f>--(Risk_Prem2[[#This Row],[Return on Equity]]&lt;0.09)</f>
        <v>0</v>
      </c>
    </row>
    <row r="855" spans="1:9" x14ac:dyDescent="0.2">
      <c r="A855" s="155"/>
      <c r="C855" s="148"/>
      <c r="D855" s="160">
        <v>33624</v>
      </c>
      <c r="E855" s="161">
        <v>0.12</v>
      </c>
      <c r="F855" s="161">
        <v>8.0638749999999995E-2</v>
      </c>
      <c r="G855" s="133">
        <f t="shared" si="12"/>
        <v>3.936125E-2</v>
      </c>
      <c r="I855" s="156">
        <f>--(Risk_Prem2[[#This Row],[Return on Equity]]&lt;0.09)</f>
        <v>0</v>
      </c>
    </row>
    <row r="856" spans="1:9" x14ac:dyDescent="0.2">
      <c r="A856" s="155"/>
      <c r="C856" s="148"/>
      <c r="D856" s="160">
        <v>33625</v>
      </c>
      <c r="E856" s="161">
        <v>0.13</v>
      </c>
      <c r="F856" s="161">
        <v>8.0614249999999998E-2</v>
      </c>
      <c r="G856" s="133">
        <f t="shared" si="12"/>
        <v>4.9385750000000006E-2</v>
      </c>
      <c r="I856" s="156">
        <f>--(Risk_Prem2[[#This Row],[Return on Equity]]&lt;0.09)</f>
        <v>0</v>
      </c>
    </row>
    <row r="857" spans="1:9" x14ac:dyDescent="0.2">
      <c r="A857" s="155"/>
      <c r="C857" s="148"/>
      <c r="D857" s="160">
        <v>33630</v>
      </c>
      <c r="E857" s="161">
        <v>0.1265</v>
      </c>
      <c r="F857" s="161">
        <v>8.054515000000001E-2</v>
      </c>
      <c r="G857" s="133">
        <f t="shared" si="12"/>
        <v>4.5954849999999992E-2</v>
      </c>
      <c r="I857" s="156">
        <f>--(Risk_Prem2[[#This Row],[Return on Equity]]&lt;0.09)</f>
        <v>0</v>
      </c>
    </row>
    <row r="858" spans="1:9" x14ac:dyDescent="0.2">
      <c r="A858" s="155"/>
      <c r="C858" s="148"/>
      <c r="D858" s="160">
        <v>33634</v>
      </c>
      <c r="E858" s="161">
        <v>0.12</v>
      </c>
      <c r="F858" s="161">
        <v>8.0442399999999997E-2</v>
      </c>
      <c r="G858" s="133">
        <f t="shared" si="12"/>
        <v>3.9557599999999998E-2</v>
      </c>
      <c r="I858" s="156">
        <f>--(Risk_Prem2[[#This Row],[Return on Equity]]&lt;0.09)</f>
        <v>0</v>
      </c>
    </row>
    <row r="859" spans="1:9" x14ac:dyDescent="0.2">
      <c r="A859" s="155"/>
      <c r="C859" s="148"/>
      <c r="D859" s="160">
        <v>33645</v>
      </c>
      <c r="E859" s="161">
        <v>0.124</v>
      </c>
      <c r="F859" s="161">
        <v>8.0294300000000013E-2</v>
      </c>
      <c r="G859" s="133">
        <f t="shared" si="12"/>
        <v>4.3705699999999986E-2</v>
      </c>
      <c r="I859" s="156">
        <f>--(Risk_Prem2[[#This Row],[Return on Equity]]&lt;0.09)</f>
        <v>0</v>
      </c>
    </row>
    <row r="860" spans="1:9" x14ac:dyDescent="0.2">
      <c r="A860" s="155"/>
      <c r="C860" s="148"/>
      <c r="D860" s="160">
        <v>33659</v>
      </c>
      <c r="E860" s="161">
        <v>0.125</v>
      </c>
      <c r="F860" s="161">
        <v>8.011675E-2</v>
      </c>
      <c r="G860" s="133">
        <f t="shared" si="12"/>
        <v>4.488325E-2</v>
      </c>
      <c r="I860" s="156">
        <f>--(Risk_Prem2[[#This Row],[Return on Equity]]&lt;0.09)</f>
        <v>0</v>
      </c>
    </row>
    <row r="861" spans="1:9" x14ac:dyDescent="0.2">
      <c r="A861" s="155"/>
      <c r="C861" s="148"/>
      <c r="D861" s="160">
        <v>33679</v>
      </c>
      <c r="E861" s="161">
        <v>0.1143</v>
      </c>
      <c r="F861" s="161">
        <v>7.9845900000000011E-2</v>
      </c>
      <c r="G861" s="133">
        <f t="shared" si="12"/>
        <v>3.4454099999999988E-2</v>
      </c>
      <c r="I861" s="156">
        <f>--(Risk_Prem2[[#This Row],[Return on Equity]]&lt;0.09)</f>
        <v>0</v>
      </c>
    </row>
    <row r="862" spans="1:9" x14ac:dyDescent="0.2">
      <c r="A862" s="155"/>
      <c r="C862" s="148"/>
      <c r="D862" s="160">
        <v>33681</v>
      </c>
      <c r="E862" s="161">
        <v>0.12279999999999999</v>
      </c>
      <c r="F862" s="161">
        <v>7.9799099999999998E-2</v>
      </c>
      <c r="G862" s="133">
        <f t="shared" si="12"/>
        <v>4.3000899999999995E-2</v>
      </c>
      <c r="I862" s="156">
        <f>--(Risk_Prem2[[#This Row],[Return on Equity]]&lt;0.09)</f>
        <v>0</v>
      </c>
    </row>
    <row r="863" spans="1:9" x14ac:dyDescent="0.2">
      <c r="A863" s="155"/>
      <c r="C863" s="148"/>
      <c r="D863" s="160">
        <v>33696</v>
      </c>
      <c r="E863" s="161">
        <v>0.121</v>
      </c>
      <c r="F863" s="161">
        <v>7.9499550000000002E-2</v>
      </c>
      <c r="G863" s="133">
        <f t="shared" si="12"/>
        <v>4.1500449999999994E-2</v>
      </c>
      <c r="I863" s="156">
        <f>--(Risk_Prem2[[#This Row],[Return on Equity]]&lt;0.09)</f>
        <v>0</v>
      </c>
    </row>
    <row r="864" spans="1:9" x14ac:dyDescent="0.2">
      <c r="A864" s="155"/>
      <c r="C864" s="148"/>
      <c r="D864" s="160">
        <v>33703</v>
      </c>
      <c r="E864" s="161">
        <v>0.11449999999999999</v>
      </c>
      <c r="F864" s="161">
        <v>7.9362550000000004E-2</v>
      </c>
      <c r="G864" s="133">
        <f t="shared" si="12"/>
        <v>3.5137449999999987E-2</v>
      </c>
      <c r="I864" s="156">
        <f>--(Risk_Prem2[[#This Row],[Return on Equity]]&lt;0.09)</f>
        <v>0</v>
      </c>
    </row>
    <row r="865" spans="1:9" x14ac:dyDescent="0.2">
      <c r="A865" s="155"/>
      <c r="C865" s="148"/>
      <c r="D865" s="160">
        <v>33704</v>
      </c>
      <c r="E865" s="161">
        <v>0.115</v>
      </c>
      <c r="F865" s="161">
        <v>7.933560000000002E-2</v>
      </c>
      <c r="G865" s="133">
        <f t="shared" si="12"/>
        <v>3.5664399999999985E-2</v>
      </c>
      <c r="I865" s="156">
        <f>--(Risk_Prem2[[#This Row],[Return on Equity]]&lt;0.09)</f>
        <v>0</v>
      </c>
    </row>
    <row r="866" spans="1:9" x14ac:dyDescent="0.2">
      <c r="A866" s="155"/>
      <c r="C866" s="148"/>
      <c r="D866" s="160">
        <v>33708</v>
      </c>
      <c r="E866" s="161">
        <v>0.115</v>
      </c>
      <c r="F866" s="161">
        <v>7.9272250000000002E-2</v>
      </c>
      <c r="G866" s="133">
        <f t="shared" si="12"/>
        <v>3.5727750000000003E-2</v>
      </c>
      <c r="I866" s="156">
        <f>--(Risk_Prem2[[#This Row],[Return on Equity]]&lt;0.09)</f>
        <v>0</v>
      </c>
    </row>
    <row r="867" spans="1:9" x14ac:dyDescent="0.2">
      <c r="A867" s="155"/>
      <c r="C867" s="148"/>
      <c r="D867" s="160">
        <v>33729</v>
      </c>
      <c r="E867" s="161">
        <v>0.115</v>
      </c>
      <c r="F867" s="161">
        <v>7.8940650000000015E-2</v>
      </c>
      <c r="G867" s="133">
        <f t="shared" si="12"/>
        <v>3.605934999999999E-2</v>
      </c>
      <c r="I867" s="156">
        <f>--(Risk_Prem2[[#This Row],[Return on Equity]]&lt;0.09)</f>
        <v>0</v>
      </c>
    </row>
    <row r="868" spans="1:9" x14ac:dyDescent="0.2">
      <c r="A868" s="155"/>
      <c r="C868" s="148"/>
      <c r="D868" s="160">
        <v>33736</v>
      </c>
      <c r="E868" s="161">
        <v>0.11869999999999999</v>
      </c>
      <c r="F868" s="161">
        <v>7.884229999999999E-2</v>
      </c>
      <c r="G868" s="133">
        <f t="shared" si="12"/>
        <v>3.9857699999999996E-2</v>
      </c>
      <c r="I868" s="156">
        <f>--(Risk_Prem2[[#This Row],[Return on Equity]]&lt;0.09)</f>
        <v>0</v>
      </c>
    </row>
    <row r="869" spans="1:9" x14ac:dyDescent="0.2">
      <c r="A869" s="155"/>
      <c r="C869" s="148"/>
      <c r="D869" s="160">
        <v>33736</v>
      </c>
      <c r="E869" s="161">
        <v>0.1246</v>
      </c>
      <c r="F869" s="161">
        <v>7.884229999999999E-2</v>
      </c>
      <c r="G869" s="133">
        <f t="shared" si="12"/>
        <v>4.5757700000000012E-2</v>
      </c>
      <c r="I869" s="156">
        <f>--(Risk_Prem2[[#This Row],[Return on Equity]]&lt;0.09)</f>
        <v>0</v>
      </c>
    </row>
    <row r="870" spans="1:9" x14ac:dyDescent="0.2">
      <c r="A870" s="155"/>
      <c r="C870" s="148"/>
      <c r="D870" s="160">
        <v>33756</v>
      </c>
      <c r="E870" s="161">
        <v>0.12300000000000001</v>
      </c>
      <c r="F870" s="161">
        <v>7.8655000000000003E-2</v>
      </c>
      <c r="G870" s="133">
        <f t="shared" si="12"/>
        <v>4.4345000000000009E-2</v>
      </c>
      <c r="I870" s="156">
        <f>--(Risk_Prem2[[#This Row],[Return on Equity]]&lt;0.09)</f>
        <v>0</v>
      </c>
    </row>
    <row r="871" spans="1:9" x14ac:dyDescent="0.2">
      <c r="A871" s="155"/>
      <c r="C871" s="148"/>
      <c r="D871" s="160">
        <v>33767</v>
      </c>
      <c r="E871" s="161">
        <v>0.109</v>
      </c>
      <c r="F871" s="161">
        <v>7.8560000000000005E-2</v>
      </c>
      <c r="G871" s="133">
        <f t="shared" si="12"/>
        <v>3.0439999999999995E-2</v>
      </c>
      <c r="I871" s="156">
        <f>--(Risk_Prem2[[#This Row],[Return on Equity]]&lt;0.09)</f>
        <v>0</v>
      </c>
    </row>
    <row r="872" spans="1:9" x14ac:dyDescent="0.2">
      <c r="A872" s="155"/>
      <c r="C872" s="148"/>
      <c r="D872" s="160">
        <v>33781</v>
      </c>
      <c r="E872" s="161">
        <v>0.1235</v>
      </c>
      <c r="F872" s="161">
        <v>7.8482349999999979E-2</v>
      </c>
      <c r="G872" s="133">
        <f t="shared" si="12"/>
        <v>4.501765000000002E-2</v>
      </c>
      <c r="I872" s="156">
        <f>--(Risk_Prem2[[#This Row],[Return on Equity]]&lt;0.09)</f>
        <v>0</v>
      </c>
    </row>
    <row r="873" spans="1:9" x14ac:dyDescent="0.2">
      <c r="A873" s="155"/>
      <c r="C873" s="148"/>
      <c r="D873" s="160">
        <v>33784</v>
      </c>
      <c r="E873" s="161">
        <v>0.11</v>
      </c>
      <c r="F873" s="161">
        <v>7.8474999999999989E-2</v>
      </c>
      <c r="G873" s="133">
        <f t="shared" si="12"/>
        <v>3.1525000000000011E-2</v>
      </c>
      <c r="I873" s="156">
        <f>--(Risk_Prem2[[#This Row],[Return on Equity]]&lt;0.09)</f>
        <v>0</v>
      </c>
    </row>
    <row r="874" spans="1:9" x14ac:dyDescent="0.2">
      <c r="A874" s="155"/>
      <c r="C874" s="148"/>
      <c r="D874" s="160">
        <v>33785</v>
      </c>
      <c r="E874" s="161">
        <v>0.13</v>
      </c>
      <c r="F874" s="161">
        <v>7.8469399999999981E-2</v>
      </c>
      <c r="G874" s="133">
        <f t="shared" si="12"/>
        <v>5.1530600000000024E-2</v>
      </c>
      <c r="I874" s="156">
        <f>--(Risk_Prem2[[#This Row],[Return on Equity]]&lt;0.09)</f>
        <v>0</v>
      </c>
    </row>
    <row r="875" spans="1:9" x14ac:dyDescent="0.2">
      <c r="A875" s="155"/>
      <c r="C875" s="148"/>
      <c r="D875" s="160">
        <v>33798</v>
      </c>
      <c r="E875" s="161">
        <v>0.11900000000000001</v>
      </c>
      <c r="F875" s="161">
        <v>7.8374399999999997E-2</v>
      </c>
      <c r="G875" s="133">
        <f t="shared" si="12"/>
        <v>4.0625600000000012E-2</v>
      </c>
      <c r="I875" s="156">
        <f>--(Risk_Prem2[[#This Row],[Return on Equity]]&lt;0.09)</f>
        <v>0</v>
      </c>
    </row>
    <row r="876" spans="1:9" x14ac:dyDescent="0.2">
      <c r="A876" s="155"/>
      <c r="C876" s="148"/>
      <c r="D876" s="160">
        <v>33798</v>
      </c>
      <c r="E876" s="161">
        <v>0.13500000000000001</v>
      </c>
      <c r="F876" s="161">
        <v>7.8374399999999997E-2</v>
      </c>
      <c r="G876" s="133">
        <f t="shared" si="12"/>
        <v>5.6625600000000012E-2</v>
      </c>
      <c r="I876" s="156">
        <f>--(Risk_Prem2[[#This Row],[Return on Equity]]&lt;0.09)</f>
        <v>0</v>
      </c>
    </row>
    <row r="877" spans="1:9" x14ac:dyDescent="0.2">
      <c r="A877" s="155"/>
      <c r="C877" s="148"/>
      <c r="D877" s="160">
        <v>33807</v>
      </c>
      <c r="E877" s="161">
        <v>0.11199999999999999</v>
      </c>
      <c r="F877" s="161">
        <v>7.8300350000000005E-2</v>
      </c>
      <c r="G877" s="133">
        <f t="shared" si="12"/>
        <v>3.3699649999999984E-2</v>
      </c>
      <c r="I877" s="156">
        <f>--(Risk_Prem2[[#This Row],[Return on Equity]]&lt;0.09)</f>
        <v>0</v>
      </c>
    </row>
    <row r="878" spans="1:9" x14ac:dyDescent="0.2">
      <c r="A878" s="155"/>
      <c r="C878" s="148"/>
      <c r="D878" s="160">
        <v>33819</v>
      </c>
      <c r="E878" s="161">
        <v>0.12</v>
      </c>
      <c r="F878" s="161">
        <v>7.8093100000000013E-2</v>
      </c>
      <c r="G878" s="133">
        <f t="shared" ref="G878:G941" si="13">E878-F878</f>
        <v>4.1906899999999983E-2</v>
      </c>
      <c r="I878" s="156">
        <f>--(Risk_Prem2[[#This Row],[Return on Equity]]&lt;0.09)</f>
        <v>0</v>
      </c>
    </row>
    <row r="879" spans="1:9" x14ac:dyDescent="0.2">
      <c r="A879" s="155"/>
      <c r="C879" s="148"/>
      <c r="D879" s="160">
        <v>33822</v>
      </c>
      <c r="E879" s="161">
        <v>0.125</v>
      </c>
      <c r="F879" s="161">
        <v>7.8010250000000003E-2</v>
      </c>
      <c r="G879" s="133">
        <f t="shared" si="13"/>
        <v>4.6989749999999997E-2</v>
      </c>
      <c r="I879" s="156">
        <f>--(Risk_Prem2[[#This Row],[Return on Equity]]&lt;0.09)</f>
        <v>0</v>
      </c>
    </row>
    <row r="880" spans="1:9" x14ac:dyDescent="0.2">
      <c r="A880" s="155"/>
      <c r="C880" s="148"/>
      <c r="D880" s="160">
        <v>33869</v>
      </c>
      <c r="E880" s="161">
        <v>0.12</v>
      </c>
      <c r="F880" s="161">
        <v>7.7141649999999964E-2</v>
      </c>
      <c r="G880" s="133">
        <f t="shared" si="13"/>
        <v>4.2858350000000031E-2</v>
      </c>
      <c r="I880" s="156">
        <f>--(Risk_Prem2[[#This Row],[Return on Equity]]&lt;0.09)</f>
        <v>0</v>
      </c>
    </row>
    <row r="881" spans="1:9" x14ac:dyDescent="0.2">
      <c r="A881" s="155"/>
      <c r="C881" s="148"/>
      <c r="D881" s="160">
        <v>33875</v>
      </c>
      <c r="E881" s="161">
        <v>0.114</v>
      </c>
      <c r="F881" s="161">
        <v>7.7070099999999975E-2</v>
      </c>
      <c r="G881" s="133">
        <f t="shared" si="13"/>
        <v>3.6929900000000029E-2</v>
      </c>
      <c r="I881" s="156">
        <f>--(Risk_Prem2[[#This Row],[Return on Equity]]&lt;0.09)</f>
        <v>0</v>
      </c>
    </row>
    <row r="882" spans="1:9" x14ac:dyDescent="0.2">
      <c r="A882" s="155"/>
      <c r="C882" s="148"/>
      <c r="D882" s="160">
        <v>33877</v>
      </c>
      <c r="E882" s="161">
        <v>0.11749999999999999</v>
      </c>
      <c r="F882" s="161">
        <v>7.7045099999999991E-2</v>
      </c>
      <c r="G882" s="133">
        <f t="shared" si="13"/>
        <v>4.0454900000000002E-2</v>
      </c>
      <c r="I882" s="156">
        <f>--(Risk_Prem2[[#This Row],[Return on Equity]]&lt;0.09)</f>
        <v>0</v>
      </c>
    </row>
    <row r="883" spans="1:9" x14ac:dyDescent="0.2">
      <c r="A883" s="155"/>
      <c r="C883" s="148"/>
      <c r="D883" s="160">
        <v>33879</v>
      </c>
      <c r="E883" s="161">
        <v>0.13</v>
      </c>
      <c r="F883" s="161">
        <v>7.7025400000000008E-2</v>
      </c>
      <c r="G883" s="133">
        <f t="shared" si="13"/>
        <v>5.2974599999999997E-2</v>
      </c>
      <c r="I883" s="156">
        <f>--(Risk_Prem2[[#This Row],[Return on Equity]]&lt;0.09)</f>
        <v>0</v>
      </c>
    </row>
    <row r="884" spans="1:9" x14ac:dyDescent="0.2">
      <c r="A884" s="155"/>
      <c r="C884" s="148"/>
      <c r="D884" s="160">
        <v>33889</v>
      </c>
      <c r="E884" s="161">
        <v>0.122</v>
      </c>
      <c r="F884" s="161">
        <v>7.7019250000000011E-2</v>
      </c>
      <c r="G884" s="133">
        <f t="shared" si="13"/>
        <v>4.4980749999999986E-2</v>
      </c>
      <c r="I884" s="156">
        <f>--(Risk_Prem2[[#This Row],[Return on Equity]]&lt;0.09)</f>
        <v>0</v>
      </c>
    </row>
    <row r="885" spans="1:9" x14ac:dyDescent="0.2">
      <c r="A885" s="155"/>
      <c r="C885" s="148"/>
      <c r="D885" s="160">
        <v>33893</v>
      </c>
      <c r="E885" s="161">
        <v>0.13159999999999999</v>
      </c>
      <c r="F885" s="161">
        <v>7.703790000000002E-2</v>
      </c>
      <c r="G885" s="133">
        <f t="shared" si="13"/>
        <v>5.4562099999999975E-2</v>
      </c>
      <c r="I885" s="156">
        <f>--(Risk_Prem2[[#This Row],[Return on Equity]]&lt;0.09)</f>
        <v>0</v>
      </c>
    </row>
    <row r="886" spans="1:9" x14ac:dyDescent="0.2">
      <c r="A886" s="155"/>
      <c r="C886" s="148"/>
      <c r="D886" s="160">
        <v>33907</v>
      </c>
      <c r="E886" s="161">
        <v>0.11749999999999999</v>
      </c>
      <c r="F886" s="161">
        <v>7.7067549999999999E-2</v>
      </c>
      <c r="G886" s="133">
        <f t="shared" si="13"/>
        <v>4.0432449999999995E-2</v>
      </c>
      <c r="I886" s="156">
        <f>--(Risk_Prem2[[#This Row],[Return on Equity]]&lt;0.09)</f>
        <v>0</v>
      </c>
    </row>
    <row r="887" spans="1:9" x14ac:dyDescent="0.2">
      <c r="A887" s="155"/>
      <c r="C887" s="148"/>
      <c r="D887" s="160">
        <v>33911</v>
      </c>
      <c r="E887" s="161">
        <v>0.12</v>
      </c>
      <c r="F887" s="161">
        <v>7.7061549999999993E-2</v>
      </c>
      <c r="G887" s="133">
        <f t="shared" si="13"/>
        <v>4.2938450000000003E-2</v>
      </c>
      <c r="I887" s="156">
        <f>--(Risk_Prem2[[#This Row],[Return on Equity]]&lt;0.09)</f>
        <v>0</v>
      </c>
    </row>
    <row r="888" spans="1:9" x14ac:dyDescent="0.2">
      <c r="A888" s="155"/>
      <c r="C888" s="148"/>
      <c r="D888" s="160">
        <v>33941</v>
      </c>
      <c r="E888" s="161">
        <v>0.11849999999999999</v>
      </c>
      <c r="F888" s="161">
        <v>7.6797200000000038E-2</v>
      </c>
      <c r="G888" s="133">
        <f t="shared" si="13"/>
        <v>4.1702799999999957E-2</v>
      </c>
      <c r="I888" s="156">
        <f>--(Risk_Prem2[[#This Row],[Return on Equity]]&lt;0.09)</f>
        <v>0</v>
      </c>
    </row>
    <row r="889" spans="1:9" x14ac:dyDescent="0.2">
      <c r="A889" s="155"/>
      <c r="C889" s="148"/>
      <c r="D889" s="160">
        <v>33953</v>
      </c>
      <c r="E889" s="161">
        <v>0.11</v>
      </c>
      <c r="F889" s="161">
        <v>7.6621250000000043E-2</v>
      </c>
      <c r="G889" s="133">
        <f t="shared" si="13"/>
        <v>3.3378749999999957E-2</v>
      </c>
      <c r="I889" s="156">
        <f>--(Risk_Prem2[[#This Row],[Return on Equity]]&lt;0.09)</f>
        <v>0</v>
      </c>
    </row>
    <row r="890" spans="1:9" x14ac:dyDescent="0.2">
      <c r="A890" s="155"/>
      <c r="C890" s="148"/>
      <c r="D890" s="160">
        <v>33954</v>
      </c>
      <c r="E890" s="161">
        <v>0.11900000000000001</v>
      </c>
      <c r="F890" s="161">
        <v>7.6599250000000035E-2</v>
      </c>
      <c r="G890" s="133">
        <f t="shared" si="13"/>
        <v>4.2400749999999973E-2</v>
      </c>
      <c r="I890" s="156">
        <f>--(Risk_Prem2[[#This Row],[Return on Equity]]&lt;0.09)</f>
        <v>0</v>
      </c>
    </row>
    <row r="891" spans="1:9" x14ac:dyDescent="0.2">
      <c r="A891" s="155"/>
      <c r="C891" s="148"/>
      <c r="D891" s="160">
        <v>33954</v>
      </c>
      <c r="E891" s="161">
        <v>0.124</v>
      </c>
      <c r="F891" s="161">
        <v>7.6599250000000035E-2</v>
      </c>
      <c r="G891" s="133">
        <f t="shared" si="13"/>
        <v>4.7400749999999964E-2</v>
      </c>
      <c r="I891" s="156">
        <f>--(Risk_Prem2[[#This Row],[Return on Equity]]&lt;0.09)</f>
        <v>0</v>
      </c>
    </row>
    <row r="892" spans="1:9" x14ac:dyDescent="0.2">
      <c r="A892" s="155"/>
      <c r="C892" s="148"/>
      <c r="D892" s="160">
        <v>33955</v>
      </c>
      <c r="E892" s="161">
        <v>0.12</v>
      </c>
      <c r="F892" s="161">
        <v>7.6575250000000039E-2</v>
      </c>
      <c r="G892" s="133">
        <f t="shared" si="13"/>
        <v>4.3424749999999956E-2</v>
      </c>
      <c r="I892" s="156">
        <f>--(Risk_Prem2[[#This Row],[Return on Equity]]&lt;0.09)</f>
        <v>0</v>
      </c>
    </row>
    <row r="893" spans="1:9" x14ac:dyDescent="0.2">
      <c r="A893" s="155"/>
      <c r="C893" s="148"/>
      <c r="D893" s="160">
        <v>33960</v>
      </c>
      <c r="E893" s="161">
        <v>0.12300000000000001</v>
      </c>
      <c r="F893" s="161">
        <v>7.6479900000000059E-2</v>
      </c>
      <c r="G893" s="133">
        <f t="shared" si="13"/>
        <v>4.6520099999999953E-2</v>
      </c>
      <c r="I893" s="156">
        <f>--(Risk_Prem2[[#This Row],[Return on Equity]]&lt;0.09)</f>
        <v>0</v>
      </c>
    </row>
    <row r="894" spans="1:9" x14ac:dyDescent="0.2">
      <c r="A894" s="155"/>
      <c r="C894" s="148"/>
      <c r="D894" s="160">
        <v>33960</v>
      </c>
      <c r="E894" s="161">
        <v>0.124</v>
      </c>
      <c r="F894" s="161">
        <v>7.6479900000000059E-2</v>
      </c>
      <c r="G894" s="133">
        <f t="shared" si="13"/>
        <v>4.752009999999994E-2</v>
      </c>
      <c r="I894" s="156">
        <f>--(Risk_Prem2[[#This Row],[Return on Equity]]&lt;0.09)</f>
        <v>0</v>
      </c>
    </row>
    <row r="895" spans="1:9" x14ac:dyDescent="0.2">
      <c r="A895" s="155"/>
      <c r="C895" s="148"/>
      <c r="D895" s="160">
        <v>33967</v>
      </c>
      <c r="E895" s="161">
        <v>0.1225</v>
      </c>
      <c r="F895" s="161">
        <v>7.6316650000000041E-2</v>
      </c>
      <c r="G895" s="133">
        <f t="shared" si="13"/>
        <v>4.6183349999999956E-2</v>
      </c>
      <c r="I895" s="156">
        <f>--(Risk_Prem2[[#This Row],[Return on Equity]]&lt;0.09)</f>
        <v>0</v>
      </c>
    </row>
    <row r="896" spans="1:9" x14ac:dyDescent="0.2">
      <c r="A896" s="155"/>
      <c r="C896" s="148"/>
      <c r="D896" s="160">
        <v>33968</v>
      </c>
      <c r="E896" s="161">
        <v>0.12</v>
      </c>
      <c r="F896" s="161">
        <v>7.6284150000000023E-2</v>
      </c>
      <c r="G896" s="133">
        <f t="shared" si="13"/>
        <v>4.3715849999999973E-2</v>
      </c>
      <c r="I896" s="156">
        <f>--(Risk_Prem2[[#This Row],[Return on Equity]]&lt;0.09)</f>
        <v>0</v>
      </c>
    </row>
    <row r="897" spans="1:9" x14ac:dyDescent="0.2">
      <c r="A897" s="155"/>
      <c r="C897" s="148"/>
      <c r="D897" s="160">
        <v>33969</v>
      </c>
      <c r="E897" s="161">
        <v>0.11900000000000001</v>
      </c>
      <c r="F897" s="161">
        <v>7.6256700000000024E-2</v>
      </c>
      <c r="G897" s="133">
        <f t="shared" si="13"/>
        <v>4.2743299999999984E-2</v>
      </c>
      <c r="I897" s="156">
        <f>--(Risk_Prem2[[#This Row],[Return on Equity]]&lt;0.09)</f>
        <v>0</v>
      </c>
    </row>
    <row r="898" spans="1:9" x14ac:dyDescent="0.2">
      <c r="A898" s="155"/>
      <c r="C898" s="148"/>
      <c r="D898" s="160">
        <v>33981</v>
      </c>
      <c r="E898" s="161">
        <v>0.12</v>
      </c>
      <c r="F898" s="161">
        <v>7.6068950000000052E-2</v>
      </c>
      <c r="G898" s="133">
        <f t="shared" si="13"/>
        <v>4.3931049999999944E-2</v>
      </c>
      <c r="I898" s="156">
        <f>--(Risk_Prem2[[#This Row],[Return on Equity]]&lt;0.09)</f>
        <v>0</v>
      </c>
    </row>
    <row r="899" spans="1:9" x14ac:dyDescent="0.2">
      <c r="A899" s="155"/>
      <c r="C899" s="148"/>
      <c r="D899" s="160">
        <v>33990</v>
      </c>
      <c r="E899" s="161">
        <v>0.1125</v>
      </c>
      <c r="F899" s="161">
        <v>7.5882300000000041E-2</v>
      </c>
      <c r="G899" s="133">
        <f t="shared" si="13"/>
        <v>3.6617699999999961E-2</v>
      </c>
      <c r="I899" s="156">
        <f>--(Risk_Prem2[[#This Row],[Return on Equity]]&lt;0.09)</f>
        <v>0</v>
      </c>
    </row>
    <row r="900" spans="1:9" x14ac:dyDescent="0.2">
      <c r="A900" s="155"/>
      <c r="C900" s="148"/>
      <c r="D900" s="160">
        <v>34002</v>
      </c>
      <c r="E900" s="161">
        <v>0.114</v>
      </c>
      <c r="F900" s="161">
        <v>7.5587000000000043E-2</v>
      </c>
      <c r="G900" s="133">
        <f t="shared" si="13"/>
        <v>3.8412999999999961E-2</v>
      </c>
      <c r="I900" s="156">
        <f>--(Risk_Prem2[[#This Row],[Return on Equity]]&lt;0.09)</f>
        <v>0</v>
      </c>
    </row>
    <row r="901" spans="1:9" x14ac:dyDescent="0.2">
      <c r="A901" s="155"/>
      <c r="C901" s="148"/>
      <c r="D901" s="160">
        <v>34015</v>
      </c>
      <c r="E901" s="161">
        <v>0.12300000000000001</v>
      </c>
      <c r="F901" s="161">
        <v>7.5204000000000049E-2</v>
      </c>
      <c r="G901" s="133">
        <f t="shared" si="13"/>
        <v>4.7795999999999964E-2</v>
      </c>
      <c r="I901" s="156">
        <f>--(Risk_Prem2[[#This Row],[Return on Equity]]&lt;0.09)</f>
        <v>0</v>
      </c>
    </row>
    <row r="902" spans="1:9" x14ac:dyDescent="0.2">
      <c r="A902" s="155"/>
      <c r="C902" s="148"/>
      <c r="D902" s="160">
        <v>34024</v>
      </c>
      <c r="E902" s="161">
        <v>0.11900000000000001</v>
      </c>
      <c r="F902" s="161">
        <v>7.4893600000000018E-2</v>
      </c>
      <c r="G902" s="133">
        <f t="shared" si="13"/>
        <v>4.410639999999999E-2</v>
      </c>
      <c r="I902" s="156">
        <f>--(Risk_Prem2[[#This Row],[Return on Equity]]&lt;0.09)</f>
        <v>0</v>
      </c>
    </row>
    <row r="903" spans="1:9" x14ac:dyDescent="0.2">
      <c r="A903" s="155"/>
      <c r="C903" s="148"/>
      <c r="D903" s="160">
        <v>34026</v>
      </c>
      <c r="E903" s="161">
        <v>0.11800000000000001</v>
      </c>
      <c r="F903" s="161">
        <v>7.4804000000000009E-2</v>
      </c>
      <c r="G903" s="133">
        <f t="shared" si="13"/>
        <v>4.3195999999999998E-2</v>
      </c>
      <c r="I903" s="156">
        <f>--(Risk_Prem2[[#This Row],[Return on Equity]]&lt;0.09)</f>
        <v>0</v>
      </c>
    </row>
    <row r="904" spans="1:9" x14ac:dyDescent="0.2">
      <c r="A904" s="155"/>
      <c r="C904" s="148"/>
      <c r="D904" s="160">
        <v>34026</v>
      </c>
      <c r="E904" s="161">
        <v>0.122</v>
      </c>
      <c r="F904" s="161">
        <v>7.4804000000000009E-2</v>
      </c>
      <c r="G904" s="133">
        <f t="shared" si="13"/>
        <v>4.7195999999999988E-2</v>
      </c>
      <c r="I904" s="156">
        <f>--(Risk_Prem2[[#This Row],[Return on Equity]]&lt;0.09)</f>
        <v>0</v>
      </c>
    </row>
    <row r="905" spans="1:9" x14ac:dyDescent="0.2">
      <c r="A905" s="155"/>
      <c r="C905" s="148"/>
      <c r="D905" s="160">
        <v>34082</v>
      </c>
      <c r="E905" s="161">
        <v>0.11749999999999999</v>
      </c>
      <c r="F905" s="161">
        <v>7.2882499999999975E-2</v>
      </c>
      <c r="G905" s="133">
        <f t="shared" si="13"/>
        <v>4.4617500000000018E-2</v>
      </c>
      <c r="I905" s="156">
        <f>--(Risk_Prem2[[#This Row],[Return on Equity]]&lt;0.09)</f>
        <v>0</v>
      </c>
    </row>
    <row r="906" spans="1:9" x14ac:dyDescent="0.2">
      <c r="A906" s="155"/>
      <c r="C906" s="148"/>
      <c r="D906" s="160">
        <v>34100</v>
      </c>
      <c r="E906" s="161">
        <v>0.11749999999999999</v>
      </c>
      <c r="F906" s="161">
        <v>7.2459250000000003E-2</v>
      </c>
      <c r="G906" s="133">
        <f t="shared" si="13"/>
        <v>4.5040749999999991E-2</v>
      </c>
      <c r="I906" s="156">
        <f>--(Risk_Prem2[[#This Row],[Return on Equity]]&lt;0.09)</f>
        <v>0</v>
      </c>
    </row>
    <row r="907" spans="1:9" x14ac:dyDescent="0.2">
      <c r="A907" s="155"/>
      <c r="C907" s="148"/>
      <c r="D907" s="160">
        <v>34103</v>
      </c>
      <c r="E907" s="161">
        <v>0.115</v>
      </c>
      <c r="F907" s="161">
        <v>7.2381749999999981E-2</v>
      </c>
      <c r="G907" s="133">
        <f t="shared" si="13"/>
        <v>4.2618250000000024E-2</v>
      </c>
      <c r="I907" s="156">
        <f>--(Risk_Prem2[[#This Row],[Return on Equity]]&lt;0.09)</f>
        <v>0</v>
      </c>
    </row>
    <row r="908" spans="1:9" x14ac:dyDescent="0.2">
      <c r="A908" s="155"/>
      <c r="C908" s="148"/>
      <c r="D908" s="160">
        <v>34114</v>
      </c>
      <c r="E908" s="161">
        <v>0.115</v>
      </c>
      <c r="F908" s="161">
        <v>7.2250699999999973E-2</v>
      </c>
      <c r="G908" s="133">
        <f t="shared" si="13"/>
        <v>4.2749300000000032E-2</v>
      </c>
      <c r="I908" s="156">
        <f>--(Risk_Prem2[[#This Row],[Return on Equity]]&lt;0.09)</f>
        <v>0</v>
      </c>
    </row>
    <row r="909" spans="1:9" x14ac:dyDescent="0.2">
      <c r="A909" s="155"/>
      <c r="C909" s="148"/>
      <c r="D909" s="160">
        <v>34117</v>
      </c>
      <c r="E909" s="161">
        <v>0.11</v>
      </c>
      <c r="F909" s="161">
        <v>7.2191999999999978E-2</v>
      </c>
      <c r="G909" s="133">
        <f t="shared" si="13"/>
        <v>3.7808000000000022E-2</v>
      </c>
      <c r="I909" s="156">
        <f>--(Risk_Prem2[[#This Row],[Return on Equity]]&lt;0.09)</f>
        <v>0</v>
      </c>
    </row>
    <row r="910" spans="1:9" x14ac:dyDescent="0.2">
      <c r="A910" s="155"/>
      <c r="C910" s="148"/>
      <c r="D910" s="160">
        <v>34123</v>
      </c>
      <c r="E910" s="161">
        <v>0.12</v>
      </c>
      <c r="F910" s="161">
        <v>7.2092349999999972E-2</v>
      </c>
      <c r="G910" s="133">
        <f t="shared" si="13"/>
        <v>4.7907650000000024E-2</v>
      </c>
      <c r="I910" s="156">
        <f>--(Risk_Prem2[[#This Row],[Return on Equity]]&lt;0.09)</f>
        <v>0</v>
      </c>
    </row>
    <row r="911" spans="1:9" x14ac:dyDescent="0.2">
      <c r="A911" s="155"/>
      <c r="C911" s="148"/>
      <c r="D911" s="160">
        <v>34136</v>
      </c>
      <c r="E911" s="161">
        <v>0.115</v>
      </c>
      <c r="F911" s="161">
        <v>7.1864299999999964E-2</v>
      </c>
      <c r="G911" s="133">
        <f t="shared" si="13"/>
        <v>4.3135700000000041E-2</v>
      </c>
      <c r="I911" s="156">
        <f>--(Risk_Prem2[[#This Row],[Return on Equity]]&lt;0.09)</f>
        <v>0</v>
      </c>
    </row>
    <row r="912" spans="1:9" x14ac:dyDescent="0.2">
      <c r="A912" s="155"/>
      <c r="C912" s="148"/>
      <c r="D912" s="160">
        <v>34138</v>
      </c>
      <c r="E912" s="161">
        <v>0.121</v>
      </c>
      <c r="F912" s="161">
        <v>7.1819899999999978E-2</v>
      </c>
      <c r="G912" s="133">
        <f t="shared" si="13"/>
        <v>4.9180100000000018E-2</v>
      </c>
      <c r="I912" s="156">
        <f>--(Risk_Prem2[[#This Row],[Return on Equity]]&lt;0.09)</f>
        <v>0</v>
      </c>
    </row>
    <row r="913" spans="1:9" x14ac:dyDescent="0.2">
      <c r="A913" s="155"/>
      <c r="C913" s="148"/>
      <c r="D913" s="160">
        <v>34145</v>
      </c>
      <c r="E913" s="161">
        <v>0.1167</v>
      </c>
      <c r="F913" s="161">
        <v>7.1680299999999975E-2</v>
      </c>
      <c r="G913" s="133">
        <f t="shared" si="13"/>
        <v>4.5019700000000024E-2</v>
      </c>
      <c r="I913" s="156">
        <f>--(Risk_Prem2[[#This Row],[Return on Equity]]&lt;0.09)</f>
        <v>0</v>
      </c>
    </row>
    <row r="914" spans="1:9" x14ac:dyDescent="0.2">
      <c r="A914" s="155"/>
      <c r="C914" s="148"/>
      <c r="D914" s="160">
        <v>34171</v>
      </c>
      <c r="E914" s="161">
        <v>0.11380000000000001</v>
      </c>
      <c r="F914" s="161">
        <v>7.0973749999999988E-2</v>
      </c>
      <c r="G914" s="133">
        <f t="shared" si="13"/>
        <v>4.2826250000000024E-2</v>
      </c>
      <c r="I914" s="156">
        <f>--(Risk_Prem2[[#This Row],[Return on Equity]]&lt;0.09)</f>
        <v>0</v>
      </c>
    </row>
    <row r="915" spans="1:9" x14ac:dyDescent="0.2">
      <c r="A915" s="155"/>
      <c r="C915" s="148"/>
      <c r="D915" s="160">
        <v>34173</v>
      </c>
      <c r="E915" s="161">
        <v>0.10460000000000001</v>
      </c>
      <c r="F915" s="161">
        <v>7.0891299999999977E-2</v>
      </c>
      <c r="G915" s="133">
        <f t="shared" si="13"/>
        <v>3.3708700000000036E-2</v>
      </c>
      <c r="I915" s="156">
        <f>--(Risk_Prem2[[#This Row],[Return on Equity]]&lt;0.09)</f>
        <v>0</v>
      </c>
    </row>
    <row r="916" spans="1:9" x14ac:dyDescent="0.2">
      <c r="A916" s="155"/>
      <c r="C916" s="148"/>
      <c r="D916" s="160">
        <v>34205</v>
      </c>
      <c r="E916" s="161">
        <v>0.115</v>
      </c>
      <c r="F916" s="161">
        <v>6.9576699999999991E-2</v>
      </c>
      <c r="G916" s="133">
        <f t="shared" si="13"/>
        <v>4.5423300000000014E-2</v>
      </c>
      <c r="I916" s="156">
        <f>--(Risk_Prem2[[#This Row],[Return on Equity]]&lt;0.09)</f>
        <v>0</v>
      </c>
    </row>
    <row r="917" spans="1:9" x14ac:dyDescent="0.2">
      <c r="A917" s="155"/>
      <c r="C917" s="148"/>
      <c r="D917" s="160">
        <v>34233</v>
      </c>
      <c r="E917" s="161">
        <v>0.105</v>
      </c>
      <c r="F917" s="161">
        <v>6.8080149999999992E-2</v>
      </c>
      <c r="G917" s="133">
        <f t="shared" si="13"/>
        <v>3.6919850000000004E-2</v>
      </c>
      <c r="I917" s="156">
        <f>--(Risk_Prem2[[#This Row],[Return on Equity]]&lt;0.09)</f>
        <v>0</v>
      </c>
    </row>
    <row r="918" spans="1:9" x14ac:dyDescent="0.2">
      <c r="A918" s="155"/>
      <c r="C918" s="148"/>
      <c r="D918" s="160">
        <v>34241</v>
      </c>
      <c r="E918" s="161">
        <v>0.11470000000000001</v>
      </c>
      <c r="F918" s="161">
        <v>6.7661750000000007E-2</v>
      </c>
      <c r="G918" s="133">
        <f t="shared" si="13"/>
        <v>4.7038250000000004E-2</v>
      </c>
      <c r="I918" s="156">
        <f>--(Risk_Prem2[[#This Row],[Return on Equity]]&lt;0.09)</f>
        <v>0</v>
      </c>
    </row>
    <row r="919" spans="1:9" x14ac:dyDescent="0.2">
      <c r="A919" s="155"/>
      <c r="C919" s="148"/>
      <c r="D919" s="160">
        <v>34242</v>
      </c>
      <c r="E919" s="161">
        <v>0.11599999999999999</v>
      </c>
      <c r="F919" s="161">
        <v>6.7595250000000009E-2</v>
      </c>
      <c r="G919" s="133">
        <f t="shared" si="13"/>
        <v>4.8404749999999983E-2</v>
      </c>
      <c r="I919" s="156">
        <f>--(Risk_Prem2[[#This Row],[Return on Equity]]&lt;0.09)</f>
        <v>0</v>
      </c>
    </row>
    <row r="920" spans="1:9" x14ac:dyDescent="0.2">
      <c r="A920" s="155"/>
      <c r="C920" s="148"/>
      <c r="D920" s="160">
        <v>34275</v>
      </c>
      <c r="E920" s="161">
        <v>0.10800000000000001</v>
      </c>
      <c r="F920" s="161">
        <v>6.6035699999999989E-2</v>
      </c>
      <c r="G920" s="133">
        <f t="shared" si="13"/>
        <v>4.1964300000000024E-2</v>
      </c>
      <c r="I920" s="156">
        <f>--(Risk_Prem2[[#This Row],[Return on Equity]]&lt;0.09)</f>
        <v>0</v>
      </c>
    </row>
    <row r="921" spans="1:9" x14ac:dyDescent="0.2">
      <c r="A921" s="155"/>
      <c r="C921" s="148"/>
      <c r="D921" s="160">
        <v>34285</v>
      </c>
      <c r="E921" s="161">
        <v>0.12</v>
      </c>
      <c r="F921" s="161">
        <v>6.5667450000000002E-2</v>
      </c>
      <c r="G921" s="133">
        <f t="shared" si="13"/>
        <v>5.4332549999999993E-2</v>
      </c>
      <c r="I921" s="156">
        <f>--(Risk_Prem2[[#This Row],[Return on Equity]]&lt;0.09)</f>
        <v>0</v>
      </c>
    </row>
    <row r="922" spans="1:9" x14ac:dyDescent="0.2">
      <c r="A922" s="155"/>
      <c r="C922" s="148"/>
      <c r="D922" s="160">
        <v>34299</v>
      </c>
      <c r="E922" s="161">
        <v>0.11</v>
      </c>
      <c r="F922" s="161">
        <v>6.5216300000000005E-2</v>
      </c>
      <c r="G922" s="133">
        <f t="shared" si="13"/>
        <v>4.4783699999999996E-2</v>
      </c>
      <c r="I922" s="156">
        <f>--(Risk_Prem2[[#This Row],[Return on Equity]]&lt;0.09)</f>
        <v>0</v>
      </c>
    </row>
    <row r="923" spans="1:9" x14ac:dyDescent="0.2">
      <c r="A923" s="155"/>
      <c r="C923" s="148"/>
      <c r="D923" s="160">
        <v>34317</v>
      </c>
      <c r="E923" s="161">
        <v>0.10550000000000001</v>
      </c>
      <c r="F923" s="161">
        <v>6.4831800000000009E-2</v>
      </c>
      <c r="G923" s="133">
        <f t="shared" si="13"/>
        <v>4.0668200000000002E-2</v>
      </c>
      <c r="I923" s="156">
        <f>--(Risk_Prem2[[#This Row],[Return on Equity]]&lt;0.09)</f>
        <v>0</v>
      </c>
    </row>
    <row r="924" spans="1:9" x14ac:dyDescent="0.2">
      <c r="A924" s="155"/>
      <c r="C924" s="148"/>
      <c r="D924" s="160">
        <v>34319</v>
      </c>
      <c r="E924" s="161">
        <v>0.106</v>
      </c>
      <c r="F924" s="161">
        <v>6.4788399999999996E-2</v>
      </c>
      <c r="G924" s="133">
        <f t="shared" si="13"/>
        <v>4.1211600000000001E-2</v>
      </c>
      <c r="I924" s="156">
        <f>--(Risk_Prem2[[#This Row],[Return on Equity]]&lt;0.09)</f>
        <v>0</v>
      </c>
    </row>
    <row r="925" spans="1:9" x14ac:dyDescent="0.2">
      <c r="A925" s="155"/>
      <c r="C925" s="148"/>
      <c r="D925" s="160">
        <v>34324</v>
      </c>
      <c r="E925" s="161">
        <v>0.113</v>
      </c>
      <c r="F925" s="161">
        <v>6.4714499999999994E-2</v>
      </c>
      <c r="G925" s="133">
        <f t="shared" si="13"/>
        <v>4.8285500000000009E-2</v>
      </c>
      <c r="I925" s="156">
        <f>--(Risk_Prem2[[#This Row],[Return on Equity]]&lt;0.09)</f>
        <v>0</v>
      </c>
    </row>
    <row r="926" spans="1:9" x14ac:dyDescent="0.2">
      <c r="A926" s="155"/>
      <c r="C926" s="148"/>
      <c r="D926" s="160">
        <v>34338</v>
      </c>
      <c r="E926" s="161">
        <v>0.1007</v>
      </c>
      <c r="F926" s="161">
        <v>6.4436249999999987E-2</v>
      </c>
      <c r="G926" s="133">
        <f t="shared" si="13"/>
        <v>3.6263750000000011E-2</v>
      </c>
      <c r="I926" s="156">
        <f>--(Risk_Prem2[[#This Row],[Return on Equity]]&lt;0.09)</f>
        <v>0</v>
      </c>
    </row>
    <row r="927" spans="1:9" x14ac:dyDescent="0.2">
      <c r="A927" s="155"/>
      <c r="C927" s="148"/>
      <c r="D927" s="160">
        <v>34347</v>
      </c>
      <c r="E927" s="161">
        <v>0.11</v>
      </c>
      <c r="F927" s="161">
        <v>6.4193749999999994E-2</v>
      </c>
      <c r="G927" s="133">
        <f t="shared" si="13"/>
        <v>4.5806250000000007E-2</v>
      </c>
      <c r="I927" s="156">
        <f>--(Risk_Prem2[[#This Row],[Return on Equity]]&lt;0.09)</f>
        <v>0</v>
      </c>
    </row>
    <row r="928" spans="1:9" x14ac:dyDescent="0.2">
      <c r="A928" s="155"/>
      <c r="C928" s="148"/>
      <c r="D928" s="160">
        <v>34355</v>
      </c>
      <c r="E928" s="161">
        <v>0.11</v>
      </c>
      <c r="F928" s="161">
        <v>6.4030500000000004E-2</v>
      </c>
      <c r="G928" s="133">
        <f t="shared" si="13"/>
        <v>4.5969499999999996E-2</v>
      </c>
      <c r="I928" s="156">
        <f>--(Risk_Prem2[[#This Row],[Return on Equity]]&lt;0.09)</f>
        <v>0</v>
      </c>
    </row>
    <row r="929" spans="1:9" x14ac:dyDescent="0.2">
      <c r="A929" s="155"/>
      <c r="C929" s="148"/>
      <c r="D929" s="160">
        <v>34362</v>
      </c>
      <c r="E929" s="161">
        <v>0.11349999999999999</v>
      </c>
      <c r="F929" s="161">
        <v>6.3917250000000023E-2</v>
      </c>
      <c r="G929" s="133">
        <f t="shared" si="13"/>
        <v>4.9582749999999967E-2</v>
      </c>
      <c r="I929" s="156">
        <f>--(Risk_Prem2[[#This Row],[Return on Equity]]&lt;0.09)</f>
        <v>0</v>
      </c>
    </row>
    <row r="930" spans="1:9" x14ac:dyDescent="0.2">
      <c r="A930" s="155"/>
      <c r="C930" s="148"/>
      <c r="D930" s="160">
        <v>34368</v>
      </c>
      <c r="E930" s="161">
        <v>0.114</v>
      </c>
      <c r="F930" s="161">
        <v>6.3810850000000016E-2</v>
      </c>
      <c r="G930" s="133">
        <f t="shared" si="13"/>
        <v>5.0189149999999988E-2</v>
      </c>
      <c r="I930" s="156">
        <f>--(Risk_Prem2[[#This Row],[Return on Equity]]&lt;0.09)</f>
        <v>0</v>
      </c>
    </row>
    <row r="931" spans="1:9" x14ac:dyDescent="0.2">
      <c r="A931" s="155"/>
      <c r="C931" s="148"/>
      <c r="D931" s="160">
        <v>34382</v>
      </c>
      <c r="E931" s="161">
        <v>0.106</v>
      </c>
      <c r="F931" s="161">
        <v>6.3606599999999999E-2</v>
      </c>
      <c r="G931" s="133">
        <f t="shared" si="13"/>
        <v>4.2393399999999998E-2</v>
      </c>
      <c r="I931" s="156">
        <f>--(Risk_Prem2[[#This Row],[Return on Equity]]&lt;0.09)</f>
        <v>0</v>
      </c>
    </row>
    <row r="932" spans="1:9" x14ac:dyDescent="0.2">
      <c r="A932" s="155"/>
      <c r="C932" s="148"/>
      <c r="D932" s="160">
        <v>34390</v>
      </c>
      <c r="E932" s="161">
        <v>0.1125</v>
      </c>
      <c r="F932" s="161">
        <v>6.352049999999998E-2</v>
      </c>
      <c r="G932" s="133">
        <f t="shared" si="13"/>
        <v>4.8979500000000023E-2</v>
      </c>
      <c r="I932" s="156">
        <f>--(Risk_Prem2[[#This Row],[Return on Equity]]&lt;0.09)</f>
        <v>0</v>
      </c>
    </row>
    <row r="933" spans="1:9" x14ac:dyDescent="0.2">
      <c r="A933" s="155"/>
      <c r="C933" s="148"/>
      <c r="D933" s="160">
        <v>34390</v>
      </c>
      <c r="E933" s="161">
        <v>0.12</v>
      </c>
      <c r="F933" s="161">
        <v>6.352049999999998E-2</v>
      </c>
      <c r="G933" s="133">
        <f t="shared" si="13"/>
        <v>5.6479500000000016E-2</v>
      </c>
      <c r="I933" s="156">
        <f>--(Risk_Prem2[[#This Row],[Return on Equity]]&lt;0.09)</f>
        <v>0</v>
      </c>
    </row>
    <row r="934" spans="1:9" x14ac:dyDescent="0.2">
      <c r="A934" s="155"/>
      <c r="C934" s="148"/>
      <c r="D934" s="160">
        <v>34394</v>
      </c>
      <c r="E934" s="161">
        <v>0.11</v>
      </c>
      <c r="F934" s="161">
        <v>6.3491299999999987E-2</v>
      </c>
      <c r="G934" s="133">
        <f t="shared" si="13"/>
        <v>4.6508700000000014E-2</v>
      </c>
      <c r="I934" s="156">
        <f>--(Risk_Prem2[[#This Row],[Return on Equity]]&lt;0.09)</f>
        <v>0</v>
      </c>
    </row>
    <row r="935" spans="1:9" x14ac:dyDescent="0.2">
      <c r="A935" s="155"/>
      <c r="C935" s="148"/>
      <c r="D935" s="160">
        <v>34397</v>
      </c>
      <c r="E935" s="161">
        <v>0.11</v>
      </c>
      <c r="F935" s="161">
        <v>6.3467199999999988E-2</v>
      </c>
      <c r="G935" s="133">
        <f t="shared" si="13"/>
        <v>4.6532800000000013E-2</v>
      </c>
      <c r="I935" s="156">
        <f>--(Risk_Prem2[[#This Row],[Return on Equity]]&lt;0.09)</f>
        <v>0</v>
      </c>
    </row>
    <row r="936" spans="1:9" x14ac:dyDescent="0.2">
      <c r="A936" s="155"/>
      <c r="C936" s="148"/>
      <c r="D936" s="160">
        <v>34449</v>
      </c>
      <c r="E936" s="161">
        <v>0.11</v>
      </c>
      <c r="F936" s="161">
        <v>6.4050399999999993E-2</v>
      </c>
      <c r="G936" s="133">
        <f t="shared" si="13"/>
        <v>4.5949600000000007E-2</v>
      </c>
      <c r="I936" s="156">
        <f>--(Risk_Prem2[[#This Row],[Return on Equity]]&lt;0.09)</f>
        <v>0</v>
      </c>
    </row>
    <row r="937" spans="1:9" x14ac:dyDescent="0.2">
      <c r="A937" s="155"/>
      <c r="C937" s="148"/>
      <c r="D937" s="160">
        <v>34464</v>
      </c>
      <c r="E937" s="161">
        <v>0.11749999999999999</v>
      </c>
      <c r="F937" s="161">
        <v>6.4452750000000003E-2</v>
      </c>
      <c r="G937" s="133">
        <f t="shared" si="13"/>
        <v>5.304724999999999E-2</v>
      </c>
      <c r="I937" s="156">
        <f>--(Risk_Prem2[[#This Row],[Return on Equity]]&lt;0.09)</f>
        <v>0</v>
      </c>
    </row>
    <row r="938" spans="1:9" x14ac:dyDescent="0.2">
      <c r="A938" s="155"/>
      <c r="C938" s="148"/>
      <c r="D938" s="160">
        <v>34467</v>
      </c>
      <c r="E938" s="161">
        <v>0.105</v>
      </c>
      <c r="F938" s="161">
        <v>6.4604400000000006E-2</v>
      </c>
      <c r="G938" s="133">
        <f t="shared" si="13"/>
        <v>4.039559999999999E-2</v>
      </c>
      <c r="I938" s="156">
        <f>--(Risk_Prem2[[#This Row],[Return on Equity]]&lt;0.09)</f>
        <v>0</v>
      </c>
    </row>
    <row r="939" spans="1:9" x14ac:dyDescent="0.2">
      <c r="A939" s="155"/>
      <c r="C939" s="148"/>
      <c r="D939" s="160">
        <v>34488</v>
      </c>
      <c r="E939" s="161">
        <v>0.11</v>
      </c>
      <c r="F939" s="161">
        <v>6.5365500000000021E-2</v>
      </c>
      <c r="G939" s="133">
        <f t="shared" si="13"/>
        <v>4.463449999999998E-2</v>
      </c>
      <c r="I939" s="156">
        <f>--(Risk_Prem2[[#This Row],[Return on Equity]]&lt;0.09)</f>
        <v>0</v>
      </c>
    </row>
    <row r="940" spans="1:9" x14ac:dyDescent="0.2">
      <c r="A940" s="155"/>
      <c r="C940" s="148"/>
      <c r="D940" s="160">
        <v>34512</v>
      </c>
      <c r="E940" s="161">
        <v>0.114</v>
      </c>
      <c r="F940" s="161">
        <v>6.6465950000000038E-2</v>
      </c>
      <c r="G940" s="133">
        <f t="shared" si="13"/>
        <v>4.7534049999999967E-2</v>
      </c>
      <c r="I940" s="156">
        <f>--(Risk_Prem2[[#This Row],[Return on Equity]]&lt;0.09)</f>
        <v>0</v>
      </c>
    </row>
    <row r="941" spans="1:9" x14ac:dyDescent="0.2">
      <c r="A941" s="155"/>
      <c r="C941" s="148"/>
      <c r="D941" s="160">
        <v>34551</v>
      </c>
      <c r="E941" s="161">
        <v>0.1275</v>
      </c>
      <c r="F941" s="161">
        <v>6.8753100000000039E-2</v>
      </c>
      <c r="G941" s="133">
        <f t="shared" si="13"/>
        <v>5.8746899999999963E-2</v>
      </c>
      <c r="I941" s="156">
        <f>--(Risk_Prem2[[#This Row],[Return on Equity]]&lt;0.09)</f>
        <v>0</v>
      </c>
    </row>
    <row r="942" spans="1:9" x14ac:dyDescent="0.2">
      <c r="A942" s="155"/>
      <c r="C942" s="148"/>
      <c r="D942" s="160">
        <v>34638</v>
      </c>
      <c r="E942" s="161">
        <v>0.1</v>
      </c>
      <c r="F942" s="161">
        <v>7.325999999999995E-2</v>
      </c>
      <c r="G942" s="133">
        <f t="shared" ref="G942:G1005" si="14">E942-F942</f>
        <v>2.6740000000000055E-2</v>
      </c>
      <c r="I942" s="156">
        <f>--(Risk_Prem2[[#This Row],[Return on Equity]]&lt;0.09)</f>
        <v>0</v>
      </c>
    </row>
    <row r="943" spans="1:9" x14ac:dyDescent="0.2">
      <c r="A943" s="155"/>
      <c r="C943" s="148"/>
      <c r="D943" s="160">
        <v>34647</v>
      </c>
      <c r="E943" s="161">
        <v>0.1085</v>
      </c>
      <c r="F943" s="161">
        <v>7.3902649999999959E-2</v>
      </c>
      <c r="G943" s="133">
        <f t="shared" si="14"/>
        <v>3.4597350000000041E-2</v>
      </c>
      <c r="I943" s="156">
        <f>--(Risk_Prem2[[#This Row],[Return on Equity]]&lt;0.09)</f>
        <v>0</v>
      </c>
    </row>
    <row r="944" spans="1:9" x14ac:dyDescent="0.2">
      <c r="A944" s="155"/>
      <c r="C944" s="148"/>
      <c r="D944" s="160">
        <v>34647</v>
      </c>
      <c r="E944" s="161">
        <v>0.1085</v>
      </c>
      <c r="F944" s="161">
        <v>7.3902649999999959E-2</v>
      </c>
      <c r="G944" s="133">
        <f t="shared" si="14"/>
        <v>3.4597350000000041E-2</v>
      </c>
      <c r="I944" s="156">
        <f>--(Risk_Prem2[[#This Row],[Return on Equity]]&lt;0.09)</f>
        <v>0</v>
      </c>
    </row>
    <row r="945" spans="1:9" x14ac:dyDescent="0.2">
      <c r="A945" s="155"/>
      <c r="C945" s="148"/>
      <c r="D945" s="160">
        <v>34656</v>
      </c>
      <c r="E945" s="161">
        <v>0.11199999999999999</v>
      </c>
      <c r="F945" s="161">
        <v>7.4503099999999961E-2</v>
      </c>
      <c r="G945" s="133">
        <f t="shared" si="14"/>
        <v>3.7496900000000027E-2</v>
      </c>
      <c r="I945" s="156">
        <f>--(Risk_Prem2[[#This Row],[Return on Equity]]&lt;0.09)</f>
        <v>0</v>
      </c>
    </row>
    <row r="946" spans="1:9" x14ac:dyDescent="0.2">
      <c r="A946" s="155"/>
      <c r="C946" s="148"/>
      <c r="D946" s="160">
        <v>34660</v>
      </c>
      <c r="E946" s="161">
        <v>0.11599999999999999</v>
      </c>
      <c r="F946" s="161">
        <v>7.4667049999999943E-2</v>
      </c>
      <c r="G946" s="133">
        <f t="shared" si="14"/>
        <v>4.1332950000000049E-2</v>
      </c>
      <c r="I946" s="156">
        <f>--(Risk_Prem2[[#This Row],[Return on Equity]]&lt;0.09)</f>
        <v>0</v>
      </c>
    </row>
    <row r="947" spans="1:9" x14ac:dyDescent="0.2">
      <c r="A947" s="155"/>
      <c r="C947" s="148"/>
      <c r="D947" s="160">
        <v>34666</v>
      </c>
      <c r="E947" s="161">
        <v>0.1106</v>
      </c>
      <c r="F947" s="161">
        <v>7.4943649999999959E-2</v>
      </c>
      <c r="G947" s="133">
        <f t="shared" si="14"/>
        <v>3.5656350000000045E-2</v>
      </c>
      <c r="I947" s="156">
        <f>--(Risk_Prem2[[#This Row],[Return on Equity]]&lt;0.09)</f>
        <v>0</v>
      </c>
    </row>
    <row r="948" spans="1:9" x14ac:dyDescent="0.2">
      <c r="A948" s="155"/>
      <c r="C948" s="148"/>
      <c r="D948" s="160">
        <v>34676</v>
      </c>
      <c r="E948" s="161">
        <v>0.115</v>
      </c>
      <c r="F948" s="161">
        <v>7.5430749999999977E-2</v>
      </c>
      <c r="G948" s="133">
        <f t="shared" si="14"/>
        <v>3.9569250000000028E-2</v>
      </c>
      <c r="I948" s="156">
        <f>--(Risk_Prem2[[#This Row],[Return on Equity]]&lt;0.09)</f>
        <v>0</v>
      </c>
    </row>
    <row r="949" spans="1:9" x14ac:dyDescent="0.2">
      <c r="A949" s="155"/>
      <c r="C949" s="148"/>
      <c r="D949" s="160">
        <v>34676</v>
      </c>
      <c r="E949" s="161">
        <v>0.11699999999999999</v>
      </c>
      <c r="F949" s="161">
        <v>7.5430749999999977E-2</v>
      </c>
      <c r="G949" s="133">
        <f t="shared" si="14"/>
        <v>4.1569250000000016E-2</v>
      </c>
      <c r="I949" s="156">
        <f>--(Risk_Prem2[[#This Row],[Return on Equity]]&lt;0.09)</f>
        <v>0</v>
      </c>
    </row>
    <row r="950" spans="1:9" x14ac:dyDescent="0.2">
      <c r="A950" s="155"/>
      <c r="C950" s="148"/>
      <c r="D950" s="160">
        <v>34682</v>
      </c>
      <c r="E950" s="161">
        <v>0.10949999999999999</v>
      </c>
      <c r="F950" s="161">
        <v>7.5638949999999955E-2</v>
      </c>
      <c r="G950" s="133">
        <f t="shared" si="14"/>
        <v>3.3861050000000031E-2</v>
      </c>
      <c r="I950" s="156">
        <f>--(Risk_Prem2[[#This Row],[Return on Equity]]&lt;0.09)</f>
        <v>0</v>
      </c>
    </row>
    <row r="951" spans="1:9" x14ac:dyDescent="0.2">
      <c r="A951" s="155"/>
      <c r="C951" s="148"/>
      <c r="D951" s="160">
        <v>34683</v>
      </c>
      <c r="E951" s="161">
        <v>0.115</v>
      </c>
      <c r="F951" s="161">
        <v>7.5684549999999975E-2</v>
      </c>
      <c r="G951" s="133">
        <f t="shared" si="14"/>
        <v>3.931545000000003E-2</v>
      </c>
      <c r="I951" s="156">
        <f>--(Risk_Prem2[[#This Row],[Return on Equity]]&lt;0.09)</f>
        <v>0</v>
      </c>
    </row>
    <row r="952" spans="1:9" x14ac:dyDescent="0.2">
      <c r="A952" s="155"/>
      <c r="C952" s="148"/>
      <c r="D952" s="160">
        <v>34687</v>
      </c>
      <c r="E952" s="161">
        <v>0.115</v>
      </c>
      <c r="F952" s="161">
        <v>7.5776899999999967E-2</v>
      </c>
      <c r="G952" s="133">
        <f t="shared" si="14"/>
        <v>3.9223100000000038E-2</v>
      </c>
      <c r="I952" s="156">
        <f>--(Risk_Prem2[[#This Row],[Return on Equity]]&lt;0.09)</f>
        <v>0</v>
      </c>
    </row>
    <row r="953" spans="1:9" x14ac:dyDescent="0.2">
      <c r="A953" s="155"/>
      <c r="C953" s="148"/>
      <c r="D953" s="160">
        <v>34696</v>
      </c>
      <c r="E953" s="161">
        <v>0.1215</v>
      </c>
      <c r="F953" s="161">
        <v>7.6109499999999997E-2</v>
      </c>
      <c r="G953" s="133">
        <f t="shared" si="14"/>
        <v>4.53905E-2</v>
      </c>
      <c r="I953" s="156">
        <f>--(Risk_Prem2[[#This Row],[Return on Equity]]&lt;0.09)</f>
        <v>0</v>
      </c>
    </row>
    <row r="954" spans="1:9" x14ac:dyDescent="0.2">
      <c r="A954" s="155"/>
      <c r="C954" s="148"/>
      <c r="D954" s="160">
        <v>34708</v>
      </c>
      <c r="E954" s="161">
        <v>0.12279999999999999</v>
      </c>
      <c r="F954" s="161">
        <v>7.6415700000000003E-2</v>
      </c>
      <c r="G954" s="133">
        <f t="shared" si="14"/>
        <v>4.6384299999999989E-2</v>
      </c>
      <c r="I954" s="156">
        <f>--(Risk_Prem2[[#This Row],[Return on Equity]]&lt;0.09)</f>
        <v>0</v>
      </c>
    </row>
    <row r="955" spans="1:9" x14ac:dyDescent="0.2">
      <c r="A955" s="155"/>
      <c r="C955" s="148"/>
      <c r="D955" s="160">
        <v>34730</v>
      </c>
      <c r="E955" s="161">
        <v>0.11</v>
      </c>
      <c r="F955" s="161">
        <v>7.6871200000000001E-2</v>
      </c>
      <c r="G955" s="133">
        <f t="shared" si="14"/>
        <v>3.31288E-2</v>
      </c>
      <c r="I955" s="156">
        <f>--(Risk_Prem2[[#This Row],[Return on Equity]]&lt;0.09)</f>
        <v>0</v>
      </c>
    </row>
    <row r="956" spans="1:9" x14ac:dyDescent="0.2">
      <c r="A956" s="155"/>
      <c r="C956" s="148"/>
      <c r="D956" s="160">
        <v>34740</v>
      </c>
      <c r="E956" s="161">
        <v>0.126</v>
      </c>
      <c r="F956" s="161">
        <v>7.7012350000000007E-2</v>
      </c>
      <c r="G956" s="133">
        <f t="shared" si="14"/>
        <v>4.8987649999999994E-2</v>
      </c>
      <c r="I956" s="156">
        <f>--(Risk_Prem2[[#This Row],[Return on Equity]]&lt;0.09)</f>
        <v>0</v>
      </c>
    </row>
    <row r="957" spans="1:9" x14ac:dyDescent="0.2">
      <c r="A957" s="155"/>
      <c r="C957" s="148"/>
      <c r="D957" s="160">
        <v>34747</v>
      </c>
      <c r="E957" s="161">
        <v>0.11900000000000001</v>
      </c>
      <c r="F957" s="161">
        <v>7.702225E-2</v>
      </c>
      <c r="G957" s="133">
        <f t="shared" si="14"/>
        <v>4.1977750000000008E-2</v>
      </c>
      <c r="I957" s="156">
        <f>--(Risk_Prem2[[#This Row],[Return on Equity]]&lt;0.09)</f>
        <v>0</v>
      </c>
    </row>
    <row r="958" spans="1:9" x14ac:dyDescent="0.2">
      <c r="A958" s="155"/>
      <c r="C958" s="148"/>
      <c r="D958" s="160">
        <v>34767</v>
      </c>
      <c r="E958" s="161">
        <v>0.115</v>
      </c>
      <c r="F958" s="161">
        <v>7.7145500000000033E-2</v>
      </c>
      <c r="G958" s="133">
        <f t="shared" si="14"/>
        <v>3.7854499999999972E-2</v>
      </c>
      <c r="I958" s="156">
        <f>--(Risk_Prem2[[#This Row],[Return on Equity]]&lt;0.09)</f>
        <v>0</v>
      </c>
    </row>
    <row r="959" spans="1:9" x14ac:dyDescent="0.2">
      <c r="A959" s="155"/>
      <c r="C959" s="148"/>
      <c r="D959" s="160">
        <v>34778</v>
      </c>
      <c r="E959" s="161">
        <v>0.12</v>
      </c>
      <c r="F959" s="161">
        <v>7.7185199999999995E-2</v>
      </c>
      <c r="G959" s="133">
        <f t="shared" si="14"/>
        <v>4.28148E-2</v>
      </c>
      <c r="I959" s="156">
        <f>--(Risk_Prem2[[#This Row],[Return on Equity]]&lt;0.09)</f>
        <v>0</v>
      </c>
    </row>
    <row r="960" spans="1:9" x14ac:dyDescent="0.2">
      <c r="A960" s="155"/>
      <c r="C960" s="148"/>
      <c r="D960" s="160">
        <v>34781</v>
      </c>
      <c r="E960" s="161">
        <v>0.12809999999999999</v>
      </c>
      <c r="F960" s="161">
        <v>7.7198849999999999E-2</v>
      </c>
      <c r="G960" s="133">
        <f t="shared" si="14"/>
        <v>5.0901149999999992E-2</v>
      </c>
      <c r="I960" s="156">
        <f>--(Risk_Prem2[[#This Row],[Return on Equity]]&lt;0.09)</f>
        <v>0</v>
      </c>
    </row>
    <row r="961" spans="1:9" x14ac:dyDescent="0.2">
      <c r="A961" s="155"/>
      <c r="C961" s="148"/>
      <c r="D961" s="160">
        <v>34787</v>
      </c>
      <c r="E961" s="161">
        <v>0.11599999999999999</v>
      </c>
      <c r="F961" s="161">
        <v>7.7181400000000011E-2</v>
      </c>
      <c r="G961" s="133">
        <f t="shared" si="14"/>
        <v>3.8818599999999981E-2</v>
      </c>
      <c r="I961" s="156">
        <f>--(Risk_Prem2[[#This Row],[Return on Equity]]&lt;0.09)</f>
        <v>0</v>
      </c>
    </row>
    <row r="962" spans="1:9" x14ac:dyDescent="0.2">
      <c r="A962" s="155"/>
      <c r="C962" s="148"/>
      <c r="D962" s="160">
        <v>34795</v>
      </c>
      <c r="E962" s="161">
        <v>0.111</v>
      </c>
      <c r="F962" s="161">
        <v>7.7147150000000025E-2</v>
      </c>
      <c r="G962" s="133">
        <f t="shared" si="14"/>
        <v>3.3852849999999976E-2</v>
      </c>
      <c r="I962" s="156">
        <f>--(Risk_Prem2[[#This Row],[Return on Equity]]&lt;0.09)</f>
        <v>0</v>
      </c>
    </row>
    <row r="963" spans="1:9" x14ac:dyDescent="0.2">
      <c r="A963" s="155"/>
      <c r="C963" s="148"/>
      <c r="D963" s="160">
        <v>34796</v>
      </c>
      <c r="E963" s="161">
        <v>0.11</v>
      </c>
      <c r="F963" s="161">
        <v>7.7135950000000009E-2</v>
      </c>
      <c r="G963" s="133">
        <f t="shared" si="14"/>
        <v>3.2864049999999992E-2</v>
      </c>
      <c r="I963" s="156">
        <f>--(Risk_Prem2[[#This Row],[Return on Equity]]&lt;0.09)</f>
        <v>0</v>
      </c>
    </row>
    <row r="964" spans="1:9" x14ac:dyDescent="0.2">
      <c r="A964" s="155"/>
      <c r="C964" s="148"/>
      <c r="D964" s="160">
        <v>34808</v>
      </c>
      <c r="E964" s="161">
        <v>0.11</v>
      </c>
      <c r="F964" s="161">
        <v>7.7022200000000013E-2</v>
      </c>
      <c r="G964" s="133">
        <f t="shared" si="14"/>
        <v>3.2977799999999988E-2</v>
      </c>
      <c r="I964" s="156">
        <f>--(Risk_Prem2[[#This Row],[Return on Equity]]&lt;0.09)</f>
        <v>0</v>
      </c>
    </row>
    <row r="965" spans="1:9" x14ac:dyDescent="0.2">
      <c r="A965" s="155"/>
      <c r="C965" s="148"/>
      <c r="D965" s="160">
        <v>34831</v>
      </c>
      <c r="E965" s="161">
        <v>0.11630000000000001</v>
      </c>
      <c r="F965" s="161">
        <v>7.6766000000000015E-2</v>
      </c>
      <c r="G965" s="133">
        <f t="shared" si="14"/>
        <v>3.9534E-2</v>
      </c>
      <c r="I965" s="156">
        <f>--(Risk_Prem2[[#This Row],[Return on Equity]]&lt;0.09)</f>
        <v>0</v>
      </c>
    </row>
    <row r="966" spans="1:9" x14ac:dyDescent="0.2">
      <c r="A966" s="155"/>
      <c r="C966" s="148"/>
      <c r="D966" s="160">
        <v>34844</v>
      </c>
      <c r="E966" s="161">
        <v>0.11199999999999999</v>
      </c>
      <c r="F966" s="161">
        <v>7.6473500000000014E-2</v>
      </c>
      <c r="G966" s="133">
        <f t="shared" si="14"/>
        <v>3.5526499999999975E-2</v>
      </c>
      <c r="I966" s="156">
        <f>--(Risk_Prem2[[#This Row],[Return on Equity]]&lt;0.09)</f>
        <v>0</v>
      </c>
    </row>
    <row r="967" spans="1:9" x14ac:dyDescent="0.2">
      <c r="A967" s="155"/>
      <c r="C967" s="148"/>
      <c r="D967" s="160">
        <v>34859</v>
      </c>
      <c r="E967" s="161">
        <v>0.1125</v>
      </c>
      <c r="F967" s="161">
        <v>7.5996250000000029E-2</v>
      </c>
      <c r="G967" s="133">
        <f t="shared" si="14"/>
        <v>3.6503749999999974E-2</v>
      </c>
      <c r="I967" s="156">
        <f>--(Risk_Prem2[[#This Row],[Return on Equity]]&lt;0.09)</f>
        <v>0</v>
      </c>
    </row>
    <row r="968" spans="1:9" x14ac:dyDescent="0.2">
      <c r="A968" s="155"/>
      <c r="C968" s="148"/>
      <c r="D968" s="160">
        <v>34871</v>
      </c>
      <c r="E968" s="161">
        <v>0.1225</v>
      </c>
      <c r="F968" s="161">
        <v>7.558690000000004E-2</v>
      </c>
      <c r="G968" s="133">
        <f t="shared" si="14"/>
        <v>4.6913099999999958E-2</v>
      </c>
      <c r="I968" s="156">
        <f>--(Risk_Prem2[[#This Row],[Return on Equity]]&lt;0.09)</f>
        <v>0</v>
      </c>
    </row>
    <row r="969" spans="1:9" x14ac:dyDescent="0.2">
      <c r="A969" s="155"/>
      <c r="C969" s="148"/>
      <c r="D969" s="160">
        <v>34880</v>
      </c>
      <c r="E969" s="161">
        <v>0.111</v>
      </c>
      <c r="F969" s="161">
        <v>7.5162650000000053E-2</v>
      </c>
      <c r="G969" s="133">
        <f t="shared" si="14"/>
        <v>3.5837349999999948E-2</v>
      </c>
      <c r="I969" s="156">
        <f>--(Risk_Prem2[[#This Row],[Return on Equity]]&lt;0.09)</f>
        <v>0</v>
      </c>
    </row>
    <row r="970" spans="1:9" x14ac:dyDescent="0.2">
      <c r="A970" s="155"/>
      <c r="C970" s="148"/>
      <c r="D970" s="160">
        <v>34953</v>
      </c>
      <c r="E970" s="161">
        <v>0.113</v>
      </c>
      <c r="F970" s="161">
        <v>7.2048500000000029E-2</v>
      </c>
      <c r="G970" s="133">
        <f t="shared" si="14"/>
        <v>4.0951499999999974E-2</v>
      </c>
      <c r="I970" s="156">
        <f>--(Risk_Prem2[[#This Row],[Return on Equity]]&lt;0.09)</f>
        <v>0</v>
      </c>
    </row>
    <row r="971" spans="1:9" x14ac:dyDescent="0.2">
      <c r="A971" s="155"/>
      <c r="C971" s="148"/>
      <c r="D971" s="160">
        <v>34969</v>
      </c>
      <c r="E971" s="161">
        <v>0.113</v>
      </c>
      <c r="F971" s="161">
        <v>7.1246950000000045E-2</v>
      </c>
      <c r="G971" s="133">
        <f t="shared" si="14"/>
        <v>4.1753049999999958E-2</v>
      </c>
      <c r="I971" s="156">
        <f>--(Risk_Prem2[[#This Row],[Return on Equity]]&lt;0.09)</f>
        <v>0</v>
      </c>
    </row>
    <row r="972" spans="1:9" x14ac:dyDescent="0.2">
      <c r="A972" s="155"/>
      <c r="C972" s="148"/>
      <c r="D972" s="160">
        <v>34969</v>
      </c>
      <c r="E972" s="161">
        <v>0.115</v>
      </c>
      <c r="F972" s="161">
        <v>7.1246950000000045E-2</v>
      </c>
      <c r="G972" s="133">
        <f t="shared" si="14"/>
        <v>4.375304999999996E-2</v>
      </c>
      <c r="I972" s="156">
        <f>--(Risk_Prem2[[#This Row],[Return on Equity]]&lt;0.09)</f>
        <v>0</v>
      </c>
    </row>
    <row r="973" spans="1:9" x14ac:dyDescent="0.2">
      <c r="A973" s="155"/>
      <c r="C973" s="148"/>
      <c r="D973" s="160">
        <v>34969</v>
      </c>
      <c r="E973" s="161">
        <v>0.11749999999999999</v>
      </c>
      <c r="F973" s="161">
        <v>7.1246950000000045E-2</v>
      </c>
      <c r="G973" s="133">
        <f t="shared" si="14"/>
        <v>4.6253049999999948E-2</v>
      </c>
      <c r="I973" s="156">
        <f>--(Risk_Prem2[[#This Row],[Return on Equity]]&lt;0.09)</f>
        <v>0</v>
      </c>
    </row>
    <row r="974" spans="1:9" x14ac:dyDescent="0.2">
      <c r="A974" s="155"/>
      <c r="C974" s="148"/>
      <c r="D974" s="160">
        <v>34971</v>
      </c>
      <c r="E974" s="161">
        <v>0.11</v>
      </c>
      <c r="F974" s="161">
        <v>7.111730000000005E-2</v>
      </c>
      <c r="G974" s="133">
        <f t="shared" si="14"/>
        <v>3.8882699999999951E-2</v>
      </c>
      <c r="I974" s="156">
        <f>--(Risk_Prem2[[#This Row],[Return on Equity]]&lt;0.09)</f>
        <v>0</v>
      </c>
    </row>
    <row r="975" spans="1:9" x14ac:dyDescent="0.2">
      <c r="A975" s="155"/>
      <c r="C975" s="148"/>
      <c r="D975" s="160">
        <v>35012</v>
      </c>
      <c r="E975" s="161">
        <v>0.11380000000000001</v>
      </c>
      <c r="F975" s="161">
        <v>6.8974699999999972E-2</v>
      </c>
      <c r="G975" s="133">
        <f t="shared" si="14"/>
        <v>4.482530000000004E-2</v>
      </c>
      <c r="I975" s="156">
        <f>--(Risk_Prem2[[#This Row],[Return on Equity]]&lt;0.09)</f>
        <v>0</v>
      </c>
    </row>
    <row r="976" spans="1:9" x14ac:dyDescent="0.2">
      <c r="A976" s="155"/>
      <c r="C976" s="148"/>
      <c r="D976" s="160">
        <v>35012</v>
      </c>
      <c r="E976" s="161">
        <v>0.12359999999999999</v>
      </c>
      <c r="F976" s="161">
        <v>6.8974699999999972E-2</v>
      </c>
      <c r="G976" s="133">
        <f t="shared" si="14"/>
        <v>5.4625300000000016E-2</v>
      </c>
      <c r="I976" s="156">
        <f>--(Risk_Prem2[[#This Row],[Return on Equity]]&lt;0.09)</f>
        <v>0</v>
      </c>
    </row>
    <row r="977" spans="1:9" x14ac:dyDescent="0.2">
      <c r="A977" s="155"/>
      <c r="C977" s="148"/>
      <c r="D977" s="160">
        <v>35020</v>
      </c>
      <c r="E977" s="161">
        <v>0.11</v>
      </c>
      <c r="F977" s="161">
        <v>6.8561899999999981E-2</v>
      </c>
      <c r="G977" s="133">
        <f t="shared" si="14"/>
        <v>4.1438100000000019E-2</v>
      </c>
      <c r="I977" s="156">
        <f>--(Risk_Prem2[[#This Row],[Return on Equity]]&lt;0.09)</f>
        <v>0</v>
      </c>
    </row>
    <row r="978" spans="1:9" x14ac:dyDescent="0.2">
      <c r="A978" s="155"/>
      <c r="C978" s="148"/>
      <c r="D978" s="160">
        <v>35037</v>
      </c>
      <c r="E978" s="161">
        <v>0.11349999999999999</v>
      </c>
      <c r="F978" s="161">
        <v>6.7808749999999987E-2</v>
      </c>
      <c r="G978" s="133">
        <f t="shared" si="14"/>
        <v>4.5691250000000003E-2</v>
      </c>
      <c r="I978" s="156">
        <f>--(Risk_Prem2[[#This Row],[Return on Equity]]&lt;0.09)</f>
        <v>0</v>
      </c>
    </row>
    <row r="979" spans="1:9" x14ac:dyDescent="0.2">
      <c r="A979" s="155"/>
      <c r="C979" s="148"/>
      <c r="D979" s="160">
        <v>35044</v>
      </c>
      <c r="E979" s="161">
        <v>0.114</v>
      </c>
      <c r="F979" s="161">
        <v>6.7446349999999988E-2</v>
      </c>
      <c r="G979" s="133">
        <f t="shared" si="14"/>
        <v>4.6553650000000016E-2</v>
      </c>
      <c r="I979" s="156">
        <f>--(Risk_Prem2[[#This Row],[Return on Equity]]&lt;0.09)</f>
        <v>0</v>
      </c>
    </row>
    <row r="980" spans="1:9" x14ac:dyDescent="0.2">
      <c r="A980" s="155"/>
      <c r="C980" s="148"/>
      <c r="D980" s="160">
        <v>35053</v>
      </c>
      <c r="E980" s="161">
        <v>0.11599999999999999</v>
      </c>
      <c r="F980" s="161">
        <v>6.6968399999999983E-2</v>
      </c>
      <c r="G980" s="133">
        <f t="shared" si="14"/>
        <v>4.9031600000000009E-2</v>
      </c>
      <c r="I980" s="156">
        <f>--(Risk_Prem2[[#This Row],[Return on Equity]]&lt;0.09)</f>
        <v>0</v>
      </c>
    </row>
    <row r="981" spans="1:9" x14ac:dyDescent="0.2">
      <c r="A981" s="155"/>
      <c r="C981" s="148"/>
      <c r="D981" s="160">
        <v>35060</v>
      </c>
      <c r="E981" s="161">
        <v>0.12</v>
      </c>
      <c r="F981" s="161">
        <v>6.6630349999999963E-2</v>
      </c>
      <c r="G981" s="133">
        <f t="shared" si="14"/>
        <v>5.3369650000000032E-2</v>
      </c>
      <c r="I981" s="156">
        <f>--(Risk_Prem2[[#This Row],[Return on Equity]]&lt;0.09)</f>
        <v>0</v>
      </c>
    </row>
    <row r="982" spans="1:9" x14ac:dyDescent="0.2">
      <c r="A982" s="155"/>
      <c r="C982" s="148"/>
      <c r="D982" s="160">
        <v>35100</v>
      </c>
      <c r="E982" s="161">
        <v>0.1225</v>
      </c>
      <c r="F982" s="161">
        <v>6.4800449999999982E-2</v>
      </c>
      <c r="G982" s="133">
        <f t="shared" si="14"/>
        <v>5.7699550000000016E-2</v>
      </c>
      <c r="I982" s="156">
        <f>--(Risk_Prem2[[#This Row],[Return on Equity]]&lt;0.09)</f>
        <v>0</v>
      </c>
    </row>
    <row r="983" spans="1:9" x14ac:dyDescent="0.2">
      <c r="A983" s="155"/>
      <c r="C983" s="148"/>
      <c r="D983" s="160">
        <v>35153</v>
      </c>
      <c r="E983" s="161">
        <v>0.1067</v>
      </c>
      <c r="F983" s="161">
        <v>6.4170899999999975E-2</v>
      </c>
      <c r="G983" s="133">
        <f t="shared" si="14"/>
        <v>4.2529100000000028E-2</v>
      </c>
      <c r="I983" s="156">
        <f>--(Risk_Prem2[[#This Row],[Return on Equity]]&lt;0.09)</f>
        <v>0</v>
      </c>
    </row>
    <row r="984" spans="1:9" x14ac:dyDescent="0.2">
      <c r="A984" s="155"/>
      <c r="C984" s="148"/>
      <c r="D984" s="160">
        <v>35163</v>
      </c>
      <c r="E984" s="161">
        <v>0.11</v>
      </c>
      <c r="F984" s="161">
        <v>6.4206799999999981E-2</v>
      </c>
      <c r="G984" s="133">
        <f t="shared" si="14"/>
        <v>4.579320000000002E-2</v>
      </c>
      <c r="I984" s="156">
        <f>--(Risk_Prem2[[#This Row],[Return on Equity]]&lt;0.09)</f>
        <v>0</v>
      </c>
    </row>
    <row r="985" spans="1:9" x14ac:dyDescent="0.2">
      <c r="A985" s="155"/>
      <c r="C985" s="148"/>
      <c r="D985" s="160">
        <v>35166</v>
      </c>
      <c r="E985" s="161">
        <v>0.12590000000000001</v>
      </c>
      <c r="F985" s="161">
        <v>6.4255300000000001E-2</v>
      </c>
      <c r="G985" s="133">
        <f t="shared" si="14"/>
        <v>6.1644700000000011E-2</v>
      </c>
      <c r="I985" s="156">
        <f>--(Risk_Prem2[[#This Row],[Return on Equity]]&lt;0.09)</f>
        <v>0</v>
      </c>
    </row>
    <row r="986" spans="1:9" x14ac:dyDescent="0.2">
      <c r="A986" s="155"/>
      <c r="C986" s="148"/>
      <c r="D986" s="160">
        <v>35166</v>
      </c>
      <c r="E986" s="161">
        <v>0.12590000000000001</v>
      </c>
      <c r="F986" s="161">
        <v>6.4255300000000001E-2</v>
      </c>
      <c r="G986" s="133">
        <f t="shared" si="14"/>
        <v>6.1644700000000011E-2</v>
      </c>
      <c r="I986" s="156">
        <f>--(Risk_Prem2[[#This Row],[Return on Equity]]&lt;0.09)</f>
        <v>0</v>
      </c>
    </row>
    <row r="987" spans="1:9" x14ac:dyDescent="0.2">
      <c r="A987" s="155"/>
      <c r="C987" s="148"/>
      <c r="D987" s="160">
        <v>35179</v>
      </c>
      <c r="E987" s="161">
        <v>0.1125</v>
      </c>
      <c r="F987" s="161">
        <v>6.4332050000000016E-2</v>
      </c>
      <c r="G987" s="133">
        <f t="shared" si="14"/>
        <v>4.8167949999999987E-2</v>
      </c>
      <c r="I987" s="156">
        <f>--(Risk_Prem2[[#This Row],[Return on Equity]]&lt;0.09)</f>
        <v>0</v>
      </c>
    </row>
    <row r="988" spans="1:9" x14ac:dyDescent="0.2">
      <c r="A988" s="155"/>
      <c r="C988" s="148"/>
      <c r="D988" s="160">
        <v>35185</v>
      </c>
      <c r="E988" s="161">
        <v>0.11</v>
      </c>
      <c r="F988" s="161">
        <v>6.4322050000000006E-2</v>
      </c>
      <c r="G988" s="133">
        <f t="shared" si="14"/>
        <v>4.5677949999999995E-2</v>
      </c>
      <c r="I988" s="156">
        <f>--(Risk_Prem2[[#This Row],[Return on Equity]]&lt;0.09)</f>
        <v>0</v>
      </c>
    </row>
    <row r="989" spans="1:9" x14ac:dyDescent="0.2">
      <c r="A989" s="155"/>
      <c r="C989" s="148"/>
      <c r="D989" s="160">
        <v>35198</v>
      </c>
      <c r="E989" s="161">
        <v>0.11</v>
      </c>
      <c r="F989" s="161">
        <v>6.4375450000000015E-2</v>
      </c>
      <c r="G989" s="133">
        <f t="shared" si="14"/>
        <v>4.5624549999999986E-2</v>
      </c>
      <c r="I989" s="156">
        <f>--(Risk_Prem2[[#This Row],[Return on Equity]]&lt;0.09)</f>
        <v>0</v>
      </c>
    </row>
    <row r="990" spans="1:9" x14ac:dyDescent="0.2">
      <c r="A990" s="155"/>
      <c r="C990" s="148"/>
      <c r="D990" s="160">
        <v>35208</v>
      </c>
      <c r="E990" s="161">
        <v>0.1125</v>
      </c>
      <c r="F990" s="161">
        <v>6.4346250000000008E-2</v>
      </c>
      <c r="G990" s="133">
        <f t="shared" si="14"/>
        <v>4.8153749999999995E-2</v>
      </c>
      <c r="I990" s="156">
        <f>--(Risk_Prem2[[#This Row],[Return on Equity]]&lt;0.09)</f>
        <v>0</v>
      </c>
    </row>
    <row r="991" spans="1:9" x14ac:dyDescent="0.2">
      <c r="A991" s="155"/>
      <c r="C991" s="148"/>
      <c r="D991" s="160">
        <v>35241</v>
      </c>
      <c r="E991" s="161">
        <v>0.1125</v>
      </c>
      <c r="F991" s="161">
        <v>6.4774750000000034E-2</v>
      </c>
      <c r="G991" s="133">
        <f t="shared" si="14"/>
        <v>4.7725249999999969E-2</v>
      </c>
      <c r="I991" s="156">
        <f>--(Risk_Prem2[[#This Row],[Return on Equity]]&lt;0.09)</f>
        <v>0</v>
      </c>
    </row>
    <row r="992" spans="1:9" x14ac:dyDescent="0.2">
      <c r="A992" s="155"/>
      <c r="C992" s="148"/>
      <c r="D992" s="160">
        <v>35243</v>
      </c>
      <c r="E992" s="161">
        <v>0.11199999999999999</v>
      </c>
      <c r="F992" s="161">
        <v>6.482515000000004E-2</v>
      </c>
      <c r="G992" s="133">
        <f t="shared" si="14"/>
        <v>4.7174849999999949E-2</v>
      </c>
      <c r="I992" s="156">
        <f>--(Risk_Prem2[[#This Row],[Return on Equity]]&lt;0.09)</f>
        <v>0</v>
      </c>
    </row>
    <row r="993" spans="1:9" x14ac:dyDescent="0.2">
      <c r="A993" s="155"/>
      <c r="C993" s="148"/>
      <c r="D993" s="160">
        <v>35289</v>
      </c>
      <c r="E993" s="161">
        <v>0.10400000000000001</v>
      </c>
      <c r="F993" s="161">
        <v>6.5711800000000042E-2</v>
      </c>
      <c r="G993" s="133">
        <f t="shared" si="14"/>
        <v>3.8288199999999967E-2</v>
      </c>
      <c r="I993" s="156">
        <f>--(Risk_Prem2[[#This Row],[Return on Equity]]&lt;0.09)</f>
        <v>0</v>
      </c>
    </row>
    <row r="994" spans="1:9" x14ac:dyDescent="0.2">
      <c r="A994" s="155"/>
      <c r="C994" s="148"/>
      <c r="D994" s="160">
        <v>35335</v>
      </c>
      <c r="E994" s="161">
        <v>0.11</v>
      </c>
      <c r="F994" s="161">
        <v>6.7074300000000073E-2</v>
      </c>
      <c r="G994" s="133">
        <f t="shared" si="14"/>
        <v>4.2925699999999928E-2</v>
      </c>
      <c r="I994" s="156">
        <f>--(Risk_Prem2[[#This Row],[Return on Equity]]&lt;0.09)</f>
        <v>0</v>
      </c>
    </row>
    <row r="995" spans="1:9" x14ac:dyDescent="0.2">
      <c r="A995" s="155"/>
      <c r="C995" s="148"/>
      <c r="D995" s="160">
        <v>35354</v>
      </c>
      <c r="E995" s="161">
        <v>0.1225</v>
      </c>
      <c r="F995" s="161">
        <v>6.7602850000000048E-2</v>
      </c>
      <c r="G995" s="133">
        <f t="shared" si="14"/>
        <v>5.489714999999995E-2</v>
      </c>
      <c r="I995" s="156">
        <f>--(Risk_Prem2[[#This Row],[Return on Equity]]&lt;0.09)</f>
        <v>0</v>
      </c>
    </row>
    <row r="996" spans="1:9" x14ac:dyDescent="0.2">
      <c r="A996" s="155"/>
      <c r="C996" s="148"/>
      <c r="D996" s="160">
        <v>35374</v>
      </c>
      <c r="E996" s="161">
        <v>0.11</v>
      </c>
      <c r="F996" s="161">
        <v>6.8082749999999997E-2</v>
      </c>
      <c r="G996" s="133">
        <f t="shared" si="14"/>
        <v>4.1917250000000003E-2</v>
      </c>
      <c r="I996" s="156">
        <f>--(Risk_Prem2[[#This Row],[Return on Equity]]&lt;0.09)</f>
        <v>0</v>
      </c>
    </row>
    <row r="997" spans="1:9" x14ac:dyDescent="0.2">
      <c r="A997" s="155"/>
      <c r="C997" s="148"/>
      <c r="D997" s="160">
        <v>35395</v>
      </c>
      <c r="E997" s="161">
        <v>0.113</v>
      </c>
      <c r="F997" s="161">
        <v>6.8323849999999978E-2</v>
      </c>
      <c r="G997" s="133">
        <f t="shared" si="14"/>
        <v>4.4676150000000026E-2</v>
      </c>
      <c r="I997" s="156">
        <f>--(Risk_Prem2[[#This Row],[Return on Equity]]&lt;0.09)</f>
        <v>0</v>
      </c>
    </row>
    <row r="998" spans="1:9" x14ac:dyDescent="0.2">
      <c r="A998" s="155"/>
      <c r="C998" s="148"/>
      <c r="D998" s="160">
        <v>35417</v>
      </c>
      <c r="E998" s="161">
        <v>0.11749999999999999</v>
      </c>
      <c r="F998" s="161">
        <v>6.834599999999999E-2</v>
      </c>
      <c r="G998" s="133">
        <f t="shared" si="14"/>
        <v>4.9154000000000003E-2</v>
      </c>
      <c r="I998" s="156">
        <f>--(Risk_Prem2[[#This Row],[Return on Equity]]&lt;0.09)</f>
        <v>0</v>
      </c>
    </row>
    <row r="999" spans="1:9" x14ac:dyDescent="0.2">
      <c r="A999" s="155"/>
      <c r="C999" s="148"/>
      <c r="D999" s="160">
        <v>35430</v>
      </c>
      <c r="E999" s="161">
        <v>0.115</v>
      </c>
      <c r="F999" s="161">
        <v>6.8313449999999984E-2</v>
      </c>
      <c r="G999" s="133">
        <f t="shared" si="14"/>
        <v>4.6686550000000021E-2</v>
      </c>
      <c r="I999" s="156">
        <f>--(Risk_Prem2[[#This Row],[Return on Equity]]&lt;0.09)</f>
        <v>0</v>
      </c>
    </row>
    <row r="1000" spans="1:9" x14ac:dyDescent="0.2">
      <c r="A1000" s="155"/>
      <c r="C1000" s="148"/>
      <c r="D1000" s="160">
        <v>35433</v>
      </c>
      <c r="E1000" s="161">
        <v>0.107</v>
      </c>
      <c r="F1000" s="161">
        <v>6.8315599999999976E-2</v>
      </c>
      <c r="G1000" s="133">
        <f t="shared" si="14"/>
        <v>3.8684400000000022E-2</v>
      </c>
      <c r="I1000" s="156">
        <f>--(Risk_Prem2[[#This Row],[Return on Equity]]&lt;0.09)</f>
        <v>0</v>
      </c>
    </row>
    <row r="1001" spans="1:9" x14ac:dyDescent="0.2">
      <c r="A1001" s="155"/>
      <c r="C1001" s="148"/>
      <c r="D1001" s="160">
        <v>35474</v>
      </c>
      <c r="E1001" s="161">
        <v>0.11800000000000001</v>
      </c>
      <c r="F1001" s="161">
        <v>6.824029999999999E-2</v>
      </c>
      <c r="G1001" s="133">
        <f t="shared" si="14"/>
        <v>4.9759700000000018E-2</v>
      </c>
      <c r="I1001" s="156">
        <f>--(Risk_Prem2[[#This Row],[Return on Equity]]&lt;0.09)</f>
        <v>0</v>
      </c>
    </row>
    <row r="1002" spans="1:9" x14ac:dyDescent="0.2">
      <c r="A1002" s="155"/>
      <c r="C1002" s="148"/>
      <c r="D1002" s="160">
        <v>35481</v>
      </c>
      <c r="E1002" s="161">
        <v>0.11800000000000001</v>
      </c>
      <c r="F1002" s="161">
        <v>6.8160849999999995E-2</v>
      </c>
      <c r="G1002" s="133">
        <f t="shared" si="14"/>
        <v>4.9839150000000013E-2</v>
      </c>
      <c r="I1002" s="156">
        <f>--(Risk_Prem2[[#This Row],[Return on Equity]]&lt;0.09)</f>
        <v>0</v>
      </c>
    </row>
    <row r="1003" spans="1:9" x14ac:dyDescent="0.2">
      <c r="A1003" s="155"/>
      <c r="C1003" s="148"/>
      <c r="D1003" s="160">
        <v>35520</v>
      </c>
      <c r="E1003" s="161">
        <v>0.1002</v>
      </c>
      <c r="F1003" s="161">
        <v>6.8025600000000006E-2</v>
      </c>
      <c r="G1003" s="133">
        <f t="shared" si="14"/>
        <v>3.2174399999999992E-2</v>
      </c>
      <c r="I1003" s="156">
        <f>--(Risk_Prem2[[#This Row],[Return on Equity]]&lt;0.09)</f>
        <v>0</v>
      </c>
    </row>
    <row r="1004" spans="1:9" x14ac:dyDescent="0.2">
      <c r="A1004" s="155"/>
      <c r="C1004" s="148"/>
      <c r="D1004" s="160">
        <v>35522</v>
      </c>
      <c r="E1004" s="161">
        <v>0.11650000000000001</v>
      </c>
      <c r="F1004" s="161">
        <v>6.8028900000000003E-2</v>
      </c>
      <c r="G1004" s="133">
        <f t="shared" si="14"/>
        <v>4.8471100000000003E-2</v>
      </c>
      <c r="I1004" s="156">
        <f>--(Risk_Prem2[[#This Row],[Return on Equity]]&lt;0.09)</f>
        <v>0</v>
      </c>
    </row>
    <row r="1005" spans="1:9" x14ac:dyDescent="0.2">
      <c r="A1005" s="155"/>
      <c r="C1005" s="148"/>
      <c r="D1005" s="160">
        <v>35548</v>
      </c>
      <c r="E1005" s="161">
        <v>0.115</v>
      </c>
      <c r="F1005" s="161">
        <v>6.8106050000000001E-2</v>
      </c>
      <c r="G1005" s="133">
        <f t="shared" si="14"/>
        <v>4.6893950000000004E-2</v>
      </c>
      <c r="I1005" s="156">
        <f>--(Risk_Prem2[[#This Row],[Return on Equity]]&lt;0.09)</f>
        <v>0</v>
      </c>
    </row>
    <row r="1006" spans="1:9" x14ac:dyDescent="0.2">
      <c r="A1006" s="155"/>
      <c r="C1006" s="148"/>
      <c r="D1006" s="160">
        <v>35549</v>
      </c>
      <c r="E1006" s="161">
        <v>0.11699999999999999</v>
      </c>
      <c r="F1006" s="161">
        <v>6.8106550000000002E-2</v>
      </c>
      <c r="G1006" s="133">
        <f t="shared" ref="G1006:G1069" si="15">E1006-F1006</f>
        <v>4.8893449999999991E-2</v>
      </c>
      <c r="I1006" s="156">
        <f>--(Risk_Prem2[[#This Row],[Return on Equity]]&lt;0.09)</f>
        <v>0</v>
      </c>
    </row>
    <row r="1007" spans="1:9" x14ac:dyDescent="0.2">
      <c r="A1007" s="155"/>
      <c r="C1007" s="148"/>
      <c r="D1007" s="160">
        <v>35628</v>
      </c>
      <c r="E1007" s="161">
        <v>0.12</v>
      </c>
      <c r="F1007" s="161">
        <v>6.7725500000000022E-2</v>
      </c>
      <c r="G1007" s="133">
        <f t="shared" si="15"/>
        <v>5.2274499999999974E-2</v>
      </c>
      <c r="I1007" s="156">
        <f>--(Risk_Prem2[[#This Row],[Return on Equity]]&lt;0.09)</f>
        <v>0</v>
      </c>
    </row>
    <row r="1008" spans="1:9" x14ac:dyDescent="0.2">
      <c r="A1008" s="155"/>
      <c r="C1008" s="148"/>
      <c r="D1008" s="160">
        <v>35776</v>
      </c>
      <c r="E1008" s="161">
        <v>0.11</v>
      </c>
      <c r="F1008" s="161">
        <v>6.6042899999999974E-2</v>
      </c>
      <c r="G1008" s="133">
        <f t="shared" si="15"/>
        <v>4.3957100000000027E-2</v>
      </c>
      <c r="I1008" s="156">
        <f>--(Risk_Prem2[[#This Row],[Return on Equity]]&lt;0.09)</f>
        <v>0</v>
      </c>
    </row>
    <row r="1009" spans="1:9" x14ac:dyDescent="0.2">
      <c r="A1009" s="155"/>
      <c r="C1009" s="148"/>
      <c r="D1009" s="160">
        <v>35787</v>
      </c>
      <c r="E1009" s="161">
        <v>0.11119999999999999</v>
      </c>
      <c r="F1009" s="161">
        <v>6.5701949999999995E-2</v>
      </c>
      <c r="G1009" s="133">
        <f t="shared" si="15"/>
        <v>4.5498049999999998E-2</v>
      </c>
      <c r="I1009" s="156">
        <f>--(Risk_Prem2[[#This Row],[Return on Equity]]&lt;0.09)</f>
        <v>0</v>
      </c>
    </row>
    <row r="1010" spans="1:9" x14ac:dyDescent="0.2">
      <c r="A1010" s="155"/>
      <c r="C1010" s="148"/>
      <c r="D1010" s="160">
        <v>35828</v>
      </c>
      <c r="E1010" s="161">
        <v>0.1275</v>
      </c>
      <c r="F1010" s="161">
        <v>6.3915950000000027E-2</v>
      </c>
      <c r="G1010" s="133">
        <f t="shared" si="15"/>
        <v>6.3584049999999975E-2</v>
      </c>
      <c r="I1010" s="156">
        <f>--(Risk_Prem2[[#This Row],[Return on Equity]]&lt;0.09)</f>
        <v>0</v>
      </c>
    </row>
    <row r="1011" spans="1:9" x14ac:dyDescent="0.2">
      <c r="A1011" s="155"/>
      <c r="C1011" s="148"/>
      <c r="D1011" s="160">
        <v>35856</v>
      </c>
      <c r="E1011" s="161">
        <v>0.1125</v>
      </c>
      <c r="F1011" s="161">
        <v>6.2885450000000009E-2</v>
      </c>
      <c r="G1011" s="133">
        <f t="shared" si="15"/>
        <v>4.9614549999999993E-2</v>
      </c>
      <c r="I1011" s="156">
        <f>--(Risk_Prem2[[#This Row],[Return on Equity]]&lt;0.09)</f>
        <v>0</v>
      </c>
    </row>
    <row r="1012" spans="1:9" x14ac:dyDescent="0.2">
      <c r="A1012" s="155"/>
      <c r="C1012" s="148"/>
      <c r="D1012" s="160">
        <v>35860</v>
      </c>
      <c r="E1012" s="161">
        <v>0.1075</v>
      </c>
      <c r="F1012" s="161">
        <v>6.2697450000000016E-2</v>
      </c>
      <c r="G1012" s="133">
        <f t="shared" si="15"/>
        <v>4.4802549999999983E-2</v>
      </c>
      <c r="I1012" s="156">
        <f>--(Risk_Prem2[[#This Row],[Return on Equity]]&lt;0.09)</f>
        <v>0</v>
      </c>
    </row>
    <row r="1013" spans="1:9" x14ac:dyDescent="0.2">
      <c r="A1013" s="155"/>
      <c r="C1013" s="148"/>
      <c r="D1013" s="160">
        <v>35874</v>
      </c>
      <c r="E1013" s="161">
        <v>0.105</v>
      </c>
      <c r="F1013" s="161">
        <v>6.2235500000000006E-2</v>
      </c>
      <c r="G1013" s="133">
        <f t="shared" si="15"/>
        <v>4.276449999999999E-2</v>
      </c>
      <c r="I1013" s="156">
        <f>--(Risk_Prem2[[#This Row],[Return on Equity]]&lt;0.09)</f>
        <v>0</v>
      </c>
    </row>
    <row r="1014" spans="1:9" x14ac:dyDescent="0.2">
      <c r="A1014" s="155"/>
      <c r="C1014" s="148"/>
      <c r="D1014" s="160">
        <v>35915</v>
      </c>
      <c r="E1014" s="161">
        <v>0.122</v>
      </c>
      <c r="F1014" s="161">
        <v>6.1230599999999982E-2</v>
      </c>
      <c r="G1014" s="133">
        <f t="shared" si="15"/>
        <v>6.0769400000000015E-2</v>
      </c>
      <c r="I1014" s="156">
        <f>--(Risk_Prem2[[#This Row],[Return on Equity]]&lt;0.09)</f>
        <v>0</v>
      </c>
    </row>
    <row r="1015" spans="1:9" x14ac:dyDescent="0.2">
      <c r="A1015" s="155"/>
      <c r="C1015" s="148"/>
      <c r="D1015" s="160">
        <v>35986</v>
      </c>
      <c r="E1015" s="161">
        <v>0.114</v>
      </c>
      <c r="F1015" s="161">
        <v>5.9372999999999995E-2</v>
      </c>
      <c r="G1015" s="133">
        <f t="shared" si="15"/>
        <v>5.4627000000000009E-2</v>
      </c>
      <c r="I1015" s="156">
        <f>--(Risk_Prem2[[#This Row],[Return on Equity]]&lt;0.09)</f>
        <v>0</v>
      </c>
    </row>
    <row r="1016" spans="1:9" x14ac:dyDescent="0.2">
      <c r="A1016" s="155"/>
      <c r="C1016" s="148"/>
      <c r="D1016" s="160">
        <v>36053</v>
      </c>
      <c r="E1016" s="161">
        <v>0.11900000000000001</v>
      </c>
      <c r="F1016" s="161">
        <v>5.781435E-2</v>
      </c>
      <c r="G1016" s="133">
        <f t="shared" si="15"/>
        <v>6.1185650000000008E-2</v>
      </c>
      <c r="I1016" s="156">
        <f>--(Risk_Prem2[[#This Row],[Return on Equity]]&lt;0.09)</f>
        <v>0</v>
      </c>
    </row>
    <row r="1017" spans="1:9" x14ac:dyDescent="0.2">
      <c r="A1017" s="155"/>
      <c r="C1017" s="148"/>
      <c r="D1017" s="160">
        <v>36129</v>
      </c>
      <c r="E1017" s="161">
        <v>0.126</v>
      </c>
      <c r="F1017" s="161">
        <v>5.5817849999999981E-2</v>
      </c>
      <c r="G1017" s="133">
        <f t="shared" si="15"/>
        <v>7.0182150000000026E-2</v>
      </c>
      <c r="I1017" s="156">
        <f>--(Risk_Prem2[[#This Row],[Return on Equity]]&lt;0.09)</f>
        <v>0</v>
      </c>
    </row>
    <row r="1018" spans="1:9" x14ac:dyDescent="0.2">
      <c r="A1018" s="155"/>
      <c r="C1018" s="148"/>
      <c r="D1018" s="160">
        <v>36139</v>
      </c>
      <c r="E1018" s="161">
        <v>0.122</v>
      </c>
      <c r="F1018" s="161">
        <v>5.5425049999999997E-2</v>
      </c>
      <c r="G1018" s="133">
        <f t="shared" si="15"/>
        <v>6.6574949999999994E-2</v>
      </c>
      <c r="I1018" s="156">
        <f>--(Risk_Prem2[[#This Row],[Return on Equity]]&lt;0.09)</f>
        <v>0</v>
      </c>
    </row>
    <row r="1019" spans="1:9" x14ac:dyDescent="0.2">
      <c r="A1019" s="155"/>
      <c r="C1019" s="148"/>
      <c r="D1019" s="160">
        <v>36146</v>
      </c>
      <c r="E1019" s="161">
        <v>0.121</v>
      </c>
      <c r="F1019" s="161">
        <v>5.5189999999999975E-2</v>
      </c>
      <c r="G1019" s="133">
        <f t="shared" si="15"/>
        <v>6.5810000000000021E-2</v>
      </c>
      <c r="I1019" s="156">
        <f>--(Risk_Prem2[[#This Row],[Return on Equity]]&lt;0.09)</f>
        <v>0</v>
      </c>
    </row>
    <row r="1020" spans="1:9" x14ac:dyDescent="0.2">
      <c r="A1020" s="155"/>
      <c r="C1020" s="148"/>
      <c r="D1020" s="160">
        <v>36196</v>
      </c>
      <c r="E1020" s="161">
        <v>0.10300000000000001</v>
      </c>
      <c r="F1020" s="161">
        <v>5.3824000000000004E-2</v>
      </c>
      <c r="G1020" s="133">
        <f t="shared" si="15"/>
        <v>4.9176000000000004E-2</v>
      </c>
      <c r="I1020" s="156">
        <f>--(Risk_Prem2[[#This Row],[Return on Equity]]&lt;0.09)</f>
        <v>0</v>
      </c>
    </row>
    <row r="1021" spans="1:9" x14ac:dyDescent="0.2">
      <c r="A1021" s="155"/>
      <c r="C1021" s="148"/>
      <c r="D1021" s="160">
        <v>36223</v>
      </c>
      <c r="E1021" s="161">
        <v>0.105</v>
      </c>
      <c r="F1021" s="161">
        <v>5.3382450000000012E-2</v>
      </c>
      <c r="G1021" s="133">
        <f t="shared" si="15"/>
        <v>5.1617549999999984E-2</v>
      </c>
      <c r="I1021" s="156">
        <f>--(Risk_Prem2[[#This Row],[Return on Equity]]&lt;0.09)</f>
        <v>0</v>
      </c>
    </row>
    <row r="1022" spans="1:9" x14ac:dyDescent="0.2">
      <c r="A1022" s="155"/>
      <c r="C1022" s="148"/>
      <c r="D1022" s="160">
        <v>36256</v>
      </c>
      <c r="E1022" s="161">
        <v>0.1094</v>
      </c>
      <c r="F1022" s="161">
        <v>5.3219350000000019E-2</v>
      </c>
      <c r="G1022" s="133">
        <f t="shared" si="15"/>
        <v>5.6180649999999978E-2</v>
      </c>
      <c r="I1022" s="156">
        <f>--(Risk_Prem2[[#This Row],[Return on Equity]]&lt;0.09)</f>
        <v>0</v>
      </c>
    </row>
    <row r="1023" spans="1:9" x14ac:dyDescent="0.2">
      <c r="A1023" s="155"/>
      <c r="C1023" s="148"/>
      <c r="D1023" s="160">
        <v>36370</v>
      </c>
      <c r="E1023" s="161">
        <v>0.1075</v>
      </c>
      <c r="F1023" s="161">
        <v>5.5161149999999957E-2</v>
      </c>
      <c r="G1023" s="133">
        <f t="shared" si="15"/>
        <v>5.2338850000000041E-2</v>
      </c>
      <c r="I1023" s="156">
        <f>--(Risk_Prem2[[#This Row],[Return on Equity]]&lt;0.09)</f>
        <v>0</v>
      </c>
    </row>
    <row r="1024" spans="1:9" x14ac:dyDescent="0.2">
      <c r="A1024" s="155"/>
      <c r="C1024" s="148"/>
      <c r="D1024" s="160">
        <v>36426</v>
      </c>
      <c r="E1024" s="161">
        <v>0.1075</v>
      </c>
      <c r="F1024" s="161">
        <v>5.6997550000000008E-2</v>
      </c>
      <c r="G1024" s="133">
        <f t="shared" si="15"/>
        <v>5.050244999999999E-2</v>
      </c>
      <c r="I1024" s="156">
        <f>--(Risk_Prem2[[#This Row],[Return on Equity]]&lt;0.09)</f>
        <v>0</v>
      </c>
    </row>
    <row r="1025" spans="1:9" x14ac:dyDescent="0.2">
      <c r="A1025" s="155"/>
      <c r="C1025" s="148"/>
      <c r="D1025" s="160">
        <v>36481</v>
      </c>
      <c r="E1025" s="161">
        <v>0.111</v>
      </c>
      <c r="F1025" s="161">
        <v>5.8954450000000047E-2</v>
      </c>
      <c r="G1025" s="133">
        <f t="shared" si="15"/>
        <v>5.2045549999999954E-2</v>
      </c>
      <c r="I1025" s="156">
        <f>--(Risk_Prem2[[#This Row],[Return on Equity]]&lt;0.09)</f>
        <v>0</v>
      </c>
    </row>
    <row r="1026" spans="1:9" x14ac:dyDescent="0.2">
      <c r="A1026" s="155"/>
      <c r="C1026" s="148"/>
      <c r="D1026" s="160">
        <v>36532</v>
      </c>
      <c r="E1026" s="161">
        <v>0.115</v>
      </c>
      <c r="F1026" s="161">
        <v>6.0469550000000039E-2</v>
      </c>
      <c r="G1026" s="133">
        <f t="shared" si="15"/>
        <v>5.4530449999999966E-2</v>
      </c>
      <c r="I1026" s="156">
        <f>--(Risk_Prem2[[#This Row],[Return on Equity]]&lt;0.09)</f>
        <v>0</v>
      </c>
    </row>
    <row r="1027" spans="1:9" x14ac:dyDescent="0.2">
      <c r="A1027" s="155"/>
      <c r="C1027" s="148"/>
      <c r="D1027" s="160">
        <v>36532</v>
      </c>
      <c r="E1027" s="161">
        <v>0.115</v>
      </c>
      <c r="F1027" s="161">
        <v>6.0469550000000039E-2</v>
      </c>
      <c r="G1027" s="133">
        <f t="shared" si="15"/>
        <v>5.4530449999999966E-2</v>
      </c>
      <c r="I1027" s="156">
        <f>--(Risk_Prem2[[#This Row],[Return on Equity]]&lt;0.09)</f>
        <v>0</v>
      </c>
    </row>
    <row r="1028" spans="1:9" x14ac:dyDescent="0.2">
      <c r="A1028" s="155"/>
      <c r="C1028" s="148"/>
      <c r="D1028" s="160">
        <v>36573</v>
      </c>
      <c r="E1028" s="161">
        <v>0.106</v>
      </c>
      <c r="F1028" s="161">
        <v>6.1735100000000057E-2</v>
      </c>
      <c r="G1028" s="133">
        <f t="shared" si="15"/>
        <v>4.426489999999994E-2</v>
      </c>
      <c r="I1028" s="156">
        <f>--(Risk_Prem2[[#This Row],[Return on Equity]]&lt;0.09)</f>
        <v>0</v>
      </c>
    </row>
    <row r="1029" spans="1:9" x14ac:dyDescent="0.2">
      <c r="A1029" s="155"/>
      <c r="C1029" s="148"/>
      <c r="D1029" s="160">
        <v>36613</v>
      </c>
      <c r="E1029" s="161">
        <v>0.1125</v>
      </c>
      <c r="F1029" s="161">
        <v>6.1950100000000043E-2</v>
      </c>
      <c r="G1029" s="133">
        <f t="shared" si="15"/>
        <v>5.054989999999996E-2</v>
      </c>
      <c r="I1029" s="156">
        <f>--(Risk_Prem2[[#This Row],[Return on Equity]]&lt;0.09)</f>
        <v>0</v>
      </c>
    </row>
    <row r="1030" spans="1:9" x14ac:dyDescent="0.2">
      <c r="A1030" s="155"/>
      <c r="C1030" s="148"/>
      <c r="D1030" s="160">
        <v>36670</v>
      </c>
      <c r="E1030" s="161">
        <v>0.11</v>
      </c>
      <c r="F1030" s="161">
        <v>6.1819100000000002E-2</v>
      </c>
      <c r="G1030" s="133">
        <f t="shared" si="15"/>
        <v>4.8180899999999999E-2</v>
      </c>
      <c r="I1030" s="156">
        <f>--(Risk_Prem2[[#This Row],[Return on Equity]]&lt;0.09)</f>
        <v>0</v>
      </c>
    </row>
    <row r="1031" spans="1:9" x14ac:dyDescent="0.2">
      <c r="A1031" s="155"/>
      <c r="C1031" s="148"/>
      <c r="D1031" s="160">
        <v>36725</v>
      </c>
      <c r="E1031" s="161">
        <v>0.122</v>
      </c>
      <c r="F1031" s="161">
        <v>6.1566649999999959E-2</v>
      </c>
      <c r="G1031" s="133">
        <f t="shared" si="15"/>
        <v>6.0433350000000038E-2</v>
      </c>
      <c r="I1031" s="156">
        <f>--(Risk_Prem2[[#This Row],[Return on Equity]]&lt;0.09)</f>
        <v>0</v>
      </c>
    </row>
    <row r="1032" spans="1:9" x14ac:dyDescent="0.2">
      <c r="A1032" s="155"/>
      <c r="C1032" s="148"/>
      <c r="D1032" s="160">
        <v>36798</v>
      </c>
      <c r="E1032" s="161">
        <v>0.1116</v>
      </c>
      <c r="F1032" s="161">
        <v>6.0313850000000023E-2</v>
      </c>
      <c r="G1032" s="133">
        <f t="shared" si="15"/>
        <v>5.1286149999999982E-2</v>
      </c>
      <c r="I1032" s="156">
        <f>--(Risk_Prem2[[#This Row],[Return on Equity]]&lt;0.09)</f>
        <v>0</v>
      </c>
    </row>
    <row r="1033" spans="1:9" x14ac:dyDescent="0.2">
      <c r="A1033" s="155"/>
      <c r="C1033" s="148"/>
      <c r="D1033" s="160">
        <v>36858</v>
      </c>
      <c r="E1033" s="161">
        <v>0.129</v>
      </c>
      <c r="F1033" s="161">
        <v>5.8881200000000036E-2</v>
      </c>
      <c r="G1033" s="133">
        <f t="shared" si="15"/>
        <v>7.0118799999999967E-2</v>
      </c>
      <c r="I1033" s="156">
        <f>--(Risk_Prem2[[#This Row],[Return on Equity]]&lt;0.09)</f>
        <v>0</v>
      </c>
    </row>
    <row r="1034" spans="1:9" x14ac:dyDescent="0.2">
      <c r="A1034" s="155"/>
      <c r="C1034" s="148"/>
      <c r="D1034" s="160">
        <v>36860</v>
      </c>
      <c r="E1034" s="161">
        <v>0.121</v>
      </c>
      <c r="F1034" s="161">
        <v>5.8833050000000046E-2</v>
      </c>
      <c r="G1034" s="133">
        <f t="shared" si="15"/>
        <v>6.216694999999995E-2</v>
      </c>
      <c r="I1034" s="156">
        <f>--(Risk_Prem2[[#This Row],[Return on Equity]]&lt;0.09)</f>
        <v>0</v>
      </c>
    </row>
    <row r="1035" spans="1:9" x14ac:dyDescent="0.2">
      <c r="A1035" s="155"/>
      <c r="C1035" s="148"/>
      <c r="D1035" s="160">
        <v>36914</v>
      </c>
      <c r="E1035" s="161">
        <v>0.1125</v>
      </c>
      <c r="F1035" s="161">
        <v>5.7928399999999998E-2</v>
      </c>
      <c r="G1035" s="133">
        <f t="shared" si="15"/>
        <v>5.4571600000000005E-2</v>
      </c>
      <c r="I1035" s="156">
        <f>--(Risk_Prem2[[#This Row],[Return on Equity]]&lt;0.09)</f>
        <v>0</v>
      </c>
    </row>
    <row r="1036" spans="1:9" x14ac:dyDescent="0.2">
      <c r="A1036" s="155"/>
      <c r="C1036" s="148"/>
      <c r="D1036" s="160">
        <v>36930</v>
      </c>
      <c r="E1036" s="161">
        <v>0.115</v>
      </c>
      <c r="F1036" s="161">
        <v>5.7711700000000005E-2</v>
      </c>
      <c r="G1036" s="133">
        <f t="shared" si="15"/>
        <v>5.72883E-2</v>
      </c>
      <c r="I1036" s="156">
        <f>--(Risk_Prem2[[#This Row],[Return on Equity]]&lt;0.09)</f>
        <v>0</v>
      </c>
    </row>
    <row r="1037" spans="1:9" x14ac:dyDescent="0.2">
      <c r="A1037" s="155"/>
      <c r="C1037" s="148"/>
      <c r="D1037" s="160">
        <v>37019</v>
      </c>
      <c r="E1037" s="161">
        <v>0.1075</v>
      </c>
      <c r="F1037" s="161">
        <v>5.6202749999999989E-2</v>
      </c>
      <c r="G1037" s="133">
        <f t="shared" si="15"/>
        <v>5.129725000000001E-2</v>
      </c>
      <c r="I1037" s="156">
        <f>--(Risk_Prem2[[#This Row],[Return on Equity]]&lt;0.09)</f>
        <v>0</v>
      </c>
    </row>
    <row r="1038" spans="1:9" x14ac:dyDescent="0.2">
      <c r="A1038" s="155"/>
      <c r="C1038" s="148"/>
      <c r="D1038" s="160">
        <v>37068</v>
      </c>
      <c r="E1038" s="161">
        <v>0.11</v>
      </c>
      <c r="F1038" s="161">
        <v>5.6221150000000011E-2</v>
      </c>
      <c r="G1038" s="133">
        <f t="shared" si="15"/>
        <v>5.3778849999999989E-2</v>
      </c>
      <c r="I1038" s="156">
        <f>--(Risk_Prem2[[#This Row],[Return on Equity]]&lt;0.09)</f>
        <v>0</v>
      </c>
    </row>
    <row r="1039" spans="1:9" x14ac:dyDescent="0.2">
      <c r="A1039" s="155"/>
      <c r="C1039" s="148"/>
      <c r="D1039" s="160">
        <v>37097</v>
      </c>
      <c r="E1039" s="161">
        <v>0.11019999999999999</v>
      </c>
      <c r="F1039" s="161">
        <v>5.5976400000000009E-2</v>
      </c>
      <c r="G1039" s="133">
        <f t="shared" si="15"/>
        <v>5.4223599999999983E-2</v>
      </c>
      <c r="I1039" s="156">
        <f>--(Risk_Prem2[[#This Row],[Return on Equity]]&lt;0.09)</f>
        <v>0</v>
      </c>
    </row>
    <row r="1040" spans="1:9" x14ac:dyDescent="0.2">
      <c r="A1040" s="155"/>
      <c r="C1040" s="148"/>
      <c r="D1040" s="160">
        <v>37097</v>
      </c>
      <c r="E1040" s="161">
        <v>0.11019999999999999</v>
      </c>
      <c r="F1040" s="161">
        <v>5.5976400000000009E-2</v>
      </c>
      <c r="G1040" s="133">
        <f t="shared" si="15"/>
        <v>5.4223599999999983E-2</v>
      </c>
      <c r="I1040" s="156">
        <f>--(Risk_Prem2[[#This Row],[Return on Equity]]&lt;0.09)</f>
        <v>0</v>
      </c>
    </row>
    <row r="1041" spans="1:9" x14ac:dyDescent="0.2">
      <c r="A1041" s="155"/>
      <c r="C1041" s="148"/>
      <c r="D1041" s="160">
        <v>37103</v>
      </c>
      <c r="E1041" s="161">
        <v>0.11</v>
      </c>
      <c r="F1041" s="161">
        <v>5.593745E-2</v>
      </c>
      <c r="G1041" s="133">
        <f t="shared" si="15"/>
        <v>5.4062550000000001E-2</v>
      </c>
      <c r="I1041" s="156">
        <f>--(Risk_Prem2[[#This Row],[Return on Equity]]&lt;0.09)</f>
        <v>0</v>
      </c>
    </row>
    <row r="1042" spans="1:9" x14ac:dyDescent="0.2">
      <c r="A1042" s="155"/>
      <c r="C1042" s="148"/>
      <c r="D1042" s="160">
        <v>37134</v>
      </c>
      <c r="E1042" s="161">
        <v>0.105</v>
      </c>
      <c r="F1042" s="161">
        <v>5.5586599999999972E-2</v>
      </c>
      <c r="G1042" s="133">
        <f t="shared" si="15"/>
        <v>4.9413400000000024E-2</v>
      </c>
      <c r="I1042" s="156">
        <f>--(Risk_Prem2[[#This Row],[Return on Equity]]&lt;0.09)</f>
        <v>0</v>
      </c>
    </row>
    <row r="1043" spans="1:9" x14ac:dyDescent="0.2">
      <c r="A1043" s="155"/>
      <c r="C1043" s="148"/>
      <c r="D1043" s="160">
        <v>37141</v>
      </c>
      <c r="E1043" s="161">
        <v>0.1075</v>
      </c>
      <c r="F1043" s="161">
        <v>5.5527899999999963E-2</v>
      </c>
      <c r="G1043" s="133">
        <f t="shared" si="15"/>
        <v>5.1972100000000035E-2</v>
      </c>
      <c r="I1043" s="156">
        <f>--(Risk_Prem2[[#This Row],[Return on Equity]]&lt;0.09)</f>
        <v>0</v>
      </c>
    </row>
    <row r="1044" spans="1:9" x14ac:dyDescent="0.2">
      <c r="A1044" s="155"/>
      <c r="C1044" s="148"/>
      <c r="D1044" s="160">
        <v>37144</v>
      </c>
      <c r="E1044" s="161">
        <v>0.11</v>
      </c>
      <c r="F1044" s="161">
        <v>5.5517999999999956E-2</v>
      </c>
      <c r="G1044" s="133">
        <f t="shared" si="15"/>
        <v>5.4482000000000044E-2</v>
      </c>
      <c r="I1044" s="156">
        <f>--(Risk_Prem2[[#This Row],[Return on Equity]]&lt;0.09)</f>
        <v>0</v>
      </c>
    </row>
    <row r="1045" spans="1:9" x14ac:dyDescent="0.2">
      <c r="A1045" s="155"/>
      <c r="C1045" s="148"/>
      <c r="D1045" s="160">
        <v>37154</v>
      </c>
      <c r="E1045" s="161">
        <v>0.1</v>
      </c>
      <c r="F1045" s="161">
        <v>5.5488349999999957E-2</v>
      </c>
      <c r="G1045" s="133">
        <f t="shared" si="15"/>
        <v>4.4511650000000048E-2</v>
      </c>
      <c r="I1045" s="156">
        <f>--(Risk_Prem2[[#This Row],[Return on Equity]]&lt;0.09)</f>
        <v>0</v>
      </c>
    </row>
    <row r="1046" spans="1:9" x14ac:dyDescent="0.2">
      <c r="A1046" s="155"/>
      <c r="C1046" s="148"/>
      <c r="D1046" s="160">
        <v>37188</v>
      </c>
      <c r="E1046" s="161">
        <v>0.10300000000000001</v>
      </c>
      <c r="F1046" s="161">
        <v>5.541264999999998E-2</v>
      </c>
      <c r="G1046" s="133">
        <f t="shared" si="15"/>
        <v>4.7587350000000028E-2</v>
      </c>
      <c r="I1046" s="156">
        <f>--(Risk_Prem2[[#This Row],[Return on Equity]]&lt;0.09)</f>
        <v>0</v>
      </c>
    </row>
    <row r="1047" spans="1:9" x14ac:dyDescent="0.2">
      <c r="A1047" s="155"/>
      <c r="C1047" s="148"/>
      <c r="D1047" s="160">
        <v>37223</v>
      </c>
      <c r="E1047" s="161">
        <v>0.106</v>
      </c>
      <c r="F1047" s="161">
        <v>5.49054E-2</v>
      </c>
      <c r="G1047" s="133">
        <f t="shared" si="15"/>
        <v>5.1094599999999997E-2</v>
      </c>
      <c r="I1047" s="156">
        <f>--(Risk_Prem2[[#This Row],[Return on Equity]]&lt;0.09)</f>
        <v>0</v>
      </c>
    </row>
    <row r="1048" spans="1:9" x14ac:dyDescent="0.2">
      <c r="A1048" s="155"/>
      <c r="C1048" s="148"/>
      <c r="D1048" s="160">
        <v>37228</v>
      </c>
      <c r="E1048" s="161">
        <v>0.1288</v>
      </c>
      <c r="F1048" s="161">
        <v>5.4869050000000016E-2</v>
      </c>
      <c r="G1048" s="133">
        <f t="shared" si="15"/>
        <v>7.3930949999999981E-2</v>
      </c>
      <c r="I1048" s="156">
        <f>--(Risk_Prem2[[#This Row],[Return on Equity]]&lt;0.09)</f>
        <v>0</v>
      </c>
    </row>
    <row r="1049" spans="1:9" x14ac:dyDescent="0.2">
      <c r="A1049" s="155"/>
      <c r="C1049" s="148"/>
      <c r="D1049" s="160">
        <v>37245</v>
      </c>
      <c r="E1049" s="161">
        <v>0.125</v>
      </c>
      <c r="F1049" s="161">
        <v>5.4963149999999988E-2</v>
      </c>
      <c r="G1049" s="133">
        <f t="shared" si="15"/>
        <v>7.0036850000000012E-2</v>
      </c>
      <c r="I1049" s="156">
        <f>--(Risk_Prem2[[#This Row],[Return on Equity]]&lt;0.09)</f>
        <v>0</v>
      </c>
    </row>
    <row r="1050" spans="1:9" x14ac:dyDescent="0.2">
      <c r="A1050" s="155"/>
      <c r="C1050" s="148"/>
      <c r="D1050" s="160">
        <v>37278</v>
      </c>
      <c r="E1050" s="161">
        <v>0.1</v>
      </c>
      <c r="F1050" s="161">
        <v>5.4970449999999997E-2</v>
      </c>
      <c r="G1050" s="133">
        <f t="shared" si="15"/>
        <v>4.5029550000000008E-2</v>
      </c>
      <c r="I1050" s="156">
        <f>--(Risk_Prem2[[#This Row],[Return on Equity]]&lt;0.09)</f>
        <v>0</v>
      </c>
    </row>
    <row r="1051" spans="1:9" x14ac:dyDescent="0.2">
      <c r="A1051" s="155"/>
      <c r="C1051" s="148"/>
      <c r="D1051" s="160">
        <v>37342</v>
      </c>
      <c r="E1051" s="161">
        <v>0.10099999999999999</v>
      </c>
      <c r="F1051" s="161">
        <v>5.4472699999999985E-2</v>
      </c>
      <c r="G1051" s="133">
        <f t="shared" si="15"/>
        <v>4.6527300000000008E-2</v>
      </c>
      <c r="I1051" s="156">
        <f>--(Risk_Prem2[[#This Row],[Return on Equity]]&lt;0.09)</f>
        <v>0</v>
      </c>
    </row>
    <row r="1052" spans="1:9" x14ac:dyDescent="0.2">
      <c r="A1052" s="155"/>
      <c r="C1052" s="148"/>
      <c r="D1052" s="160">
        <v>37368</v>
      </c>
      <c r="E1052" s="161">
        <v>0.11800000000000001</v>
      </c>
      <c r="F1052" s="161">
        <v>5.4506704999999996E-2</v>
      </c>
      <c r="G1052" s="133">
        <f t="shared" si="15"/>
        <v>6.3493295000000005E-2</v>
      </c>
      <c r="I1052" s="156">
        <f>--(Risk_Prem2[[#This Row],[Return on Equity]]&lt;0.09)</f>
        <v>0</v>
      </c>
    </row>
    <row r="1053" spans="1:9" x14ac:dyDescent="0.2">
      <c r="A1053" s="155"/>
      <c r="C1053" s="148"/>
      <c r="D1053" s="160">
        <v>37404</v>
      </c>
      <c r="E1053" s="161">
        <v>0.1017</v>
      </c>
      <c r="F1053" s="161">
        <v>5.4643645000000005E-2</v>
      </c>
      <c r="G1053" s="133">
        <f t="shared" si="15"/>
        <v>4.7056354999999994E-2</v>
      </c>
      <c r="I1053" s="156">
        <f>--(Risk_Prem2[[#This Row],[Return on Equity]]&lt;0.09)</f>
        <v>0</v>
      </c>
    </row>
    <row r="1054" spans="1:9" x14ac:dyDescent="0.2">
      <c r="A1054" s="155"/>
      <c r="C1054" s="148"/>
      <c r="D1054" s="160">
        <v>37417</v>
      </c>
      <c r="E1054" s="161">
        <v>0.12</v>
      </c>
      <c r="F1054" s="161">
        <v>5.4737105000000022E-2</v>
      </c>
      <c r="G1054" s="133">
        <f t="shared" si="15"/>
        <v>6.5262894999999974E-2</v>
      </c>
      <c r="I1054" s="156">
        <f>--(Risk_Prem2[[#This Row],[Return on Equity]]&lt;0.09)</f>
        <v>0</v>
      </c>
    </row>
    <row r="1055" spans="1:9" x14ac:dyDescent="0.2">
      <c r="A1055" s="155"/>
      <c r="C1055" s="148"/>
      <c r="D1055" s="160">
        <v>37425</v>
      </c>
      <c r="E1055" s="161">
        <v>0.1116</v>
      </c>
      <c r="F1055" s="161">
        <v>5.4755294999999995E-2</v>
      </c>
      <c r="G1055" s="133">
        <f t="shared" si="15"/>
        <v>5.6844705000000009E-2</v>
      </c>
      <c r="I1055" s="156">
        <f>--(Risk_Prem2[[#This Row],[Return on Equity]]&lt;0.09)</f>
        <v>0</v>
      </c>
    </row>
    <row r="1056" spans="1:9" x14ac:dyDescent="0.2">
      <c r="A1056" s="155"/>
      <c r="C1056" s="148"/>
      <c r="D1056" s="160">
        <v>37427</v>
      </c>
      <c r="E1056" s="161">
        <v>0.11</v>
      </c>
      <c r="F1056" s="161">
        <v>5.4755530000000004E-2</v>
      </c>
      <c r="G1056" s="133">
        <f t="shared" si="15"/>
        <v>5.5244469999999997E-2</v>
      </c>
      <c r="I1056" s="156">
        <f>--(Risk_Prem2[[#This Row],[Return on Equity]]&lt;0.09)</f>
        <v>0</v>
      </c>
    </row>
    <row r="1057" spans="1:9" x14ac:dyDescent="0.2">
      <c r="A1057" s="155"/>
      <c r="C1057" s="148"/>
      <c r="D1057" s="160">
        <v>37427</v>
      </c>
      <c r="E1057" s="161">
        <v>0.12300000000000001</v>
      </c>
      <c r="F1057" s="161">
        <v>5.4755530000000004E-2</v>
      </c>
      <c r="G1057" s="133">
        <f t="shared" si="15"/>
        <v>6.8244470000000002E-2</v>
      </c>
      <c r="I1057" s="156">
        <f>--(Risk_Prem2[[#This Row],[Return on Equity]]&lt;0.09)</f>
        <v>0</v>
      </c>
    </row>
    <row r="1058" spans="1:9" x14ac:dyDescent="0.2">
      <c r="A1058" s="155"/>
      <c r="C1058" s="148"/>
      <c r="D1058" s="160">
        <v>37452</v>
      </c>
      <c r="E1058" s="161">
        <v>0.11</v>
      </c>
      <c r="F1058" s="161">
        <v>5.4751090000000023E-2</v>
      </c>
      <c r="G1058" s="133">
        <f t="shared" si="15"/>
        <v>5.5248909999999977E-2</v>
      </c>
      <c r="I1058" s="156">
        <f>--(Risk_Prem2[[#This Row],[Return on Equity]]&lt;0.09)</f>
        <v>0</v>
      </c>
    </row>
    <row r="1059" spans="1:9" x14ac:dyDescent="0.2">
      <c r="A1059" s="155"/>
      <c r="C1059" s="148"/>
      <c r="D1059" s="160">
        <v>37511</v>
      </c>
      <c r="E1059" s="161">
        <v>0.12300000000000001</v>
      </c>
      <c r="F1059" s="161">
        <v>5.4518514999999983E-2</v>
      </c>
      <c r="G1059" s="133">
        <f t="shared" si="15"/>
        <v>6.8481485000000036E-2</v>
      </c>
      <c r="I1059" s="156">
        <f>--(Risk_Prem2[[#This Row],[Return on Equity]]&lt;0.09)</f>
        <v>0</v>
      </c>
    </row>
    <row r="1060" spans="1:9" x14ac:dyDescent="0.2">
      <c r="A1060" s="155"/>
      <c r="C1060" s="148"/>
      <c r="D1060" s="160">
        <v>37525</v>
      </c>
      <c r="E1060" s="161">
        <v>0.1045</v>
      </c>
      <c r="F1060" s="161">
        <v>5.4118579999999999E-2</v>
      </c>
      <c r="G1060" s="133">
        <f t="shared" si="15"/>
        <v>5.0381419999999996E-2</v>
      </c>
      <c r="I1060" s="156">
        <f>--(Risk_Prem2[[#This Row],[Return on Equity]]&lt;0.09)</f>
        <v>0</v>
      </c>
    </row>
    <row r="1061" spans="1:9" x14ac:dyDescent="0.2">
      <c r="A1061" s="155"/>
      <c r="C1061" s="148"/>
      <c r="D1061" s="160">
        <v>37594</v>
      </c>
      <c r="E1061" s="161">
        <v>0.11550000000000001</v>
      </c>
      <c r="F1061" s="161">
        <v>5.2908400000000022E-2</v>
      </c>
      <c r="G1061" s="133">
        <f t="shared" si="15"/>
        <v>6.2591599999999983E-2</v>
      </c>
      <c r="I1061" s="156">
        <f>--(Risk_Prem2[[#This Row],[Return on Equity]]&lt;0.09)</f>
        <v>0</v>
      </c>
    </row>
    <row r="1062" spans="1:9" x14ac:dyDescent="0.2">
      <c r="A1062" s="155"/>
      <c r="C1062" s="148"/>
      <c r="D1062" s="160">
        <v>37603</v>
      </c>
      <c r="E1062" s="161">
        <v>0.11749999999999999</v>
      </c>
      <c r="F1062" s="161">
        <v>5.269355000000002E-2</v>
      </c>
      <c r="G1062" s="133">
        <f t="shared" si="15"/>
        <v>6.4806449999999974E-2</v>
      </c>
      <c r="I1062" s="156">
        <f>--(Risk_Prem2[[#This Row],[Return on Equity]]&lt;0.09)</f>
        <v>0</v>
      </c>
    </row>
    <row r="1063" spans="1:9" x14ac:dyDescent="0.2">
      <c r="A1063" s="155"/>
      <c r="C1063" s="148"/>
      <c r="D1063" s="160">
        <v>37610</v>
      </c>
      <c r="E1063" s="161">
        <v>0.114</v>
      </c>
      <c r="F1063" s="161">
        <v>5.2493560000000022E-2</v>
      </c>
      <c r="G1063" s="133">
        <f t="shared" si="15"/>
        <v>6.1506439999999982E-2</v>
      </c>
      <c r="I1063" s="156">
        <f>--(Risk_Prem2[[#This Row],[Return on Equity]]&lt;0.09)</f>
        <v>0</v>
      </c>
    </row>
    <row r="1064" spans="1:9" x14ac:dyDescent="0.2">
      <c r="A1064" s="155"/>
      <c r="C1064" s="148"/>
      <c r="D1064" s="160">
        <v>37629</v>
      </c>
      <c r="E1064" s="161">
        <v>0.111</v>
      </c>
      <c r="F1064" s="161">
        <v>5.1905654999999981E-2</v>
      </c>
      <c r="G1064" s="133">
        <f t="shared" si="15"/>
        <v>5.909434500000002E-2</v>
      </c>
      <c r="I1064" s="156">
        <f>--(Risk_Prem2[[#This Row],[Return on Equity]]&lt;0.09)</f>
        <v>0</v>
      </c>
    </row>
    <row r="1065" spans="1:9" x14ac:dyDescent="0.2">
      <c r="A1065" s="155"/>
      <c r="C1065" s="148"/>
      <c r="D1065" s="160">
        <v>37652</v>
      </c>
      <c r="E1065" s="161">
        <v>0.1245</v>
      </c>
      <c r="F1065" s="161">
        <v>5.1277524999999935E-2</v>
      </c>
      <c r="G1065" s="133">
        <f t="shared" si="15"/>
        <v>7.3222475000000065E-2</v>
      </c>
      <c r="I1065" s="156">
        <f>--(Risk_Prem2[[#This Row],[Return on Equity]]&lt;0.09)</f>
        <v>0</v>
      </c>
    </row>
    <row r="1066" spans="1:9" x14ac:dyDescent="0.2">
      <c r="A1066" s="155"/>
      <c r="C1066" s="148"/>
      <c r="D1066" s="160">
        <v>37680</v>
      </c>
      <c r="E1066" s="161">
        <v>0.12300000000000001</v>
      </c>
      <c r="F1066" s="161">
        <v>5.0451579999999968E-2</v>
      </c>
      <c r="G1066" s="133">
        <f t="shared" si="15"/>
        <v>7.2548420000000044E-2</v>
      </c>
      <c r="I1066" s="156">
        <f>--(Risk_Prem2[[#This Row],[Return on Equity]]&lt;0.09)</f>
        <v>0</v>
      </c>
    </row>
    <row r="1067" spans="1:9" x14ac:dyDescent="0.2">
      <c r="A1067" s="155"/>
      <c r="C1067" s="148"/>
      <c r="D1067" s="160">
        <v>37686</v>
      </c>
      <c r="E1067" s="161">
        <v>0.1075</v>
      </c>
      <c r="F1067" s="161">
        <v>5.025915999999999E-2</v>
      </c>
      <c r="G1067" s="133">
        <f t="shared" si="15"/>
        <v>5.7240840000000008E-2</v>
      </c>
      <c r="I1067" s="156">
        <f>--(Risk_Prem2[[#This Row],[Return on Equity]]&lt;0.09)</f>
        <v>0</v>
      </c>
    </row>
    <row r="1068" spans="1:9" x14ac:dyDescent="0.2">
      <c r="A1068" s="155"/>
      <c r="C1068" s="148"/>
      <c r="D1068" s="160">
        <v>37687</v>
      </c>
      <c r="E1068" s="161">
        <v>9.9600000000000008E-2</v>
      </c>
      <c r="F1068" s="161">
        <v>5.0212619999999993E-2</v>
      </c>
      <c r="G1068" s="133">
        <f t="shared" si="15"/>
        <v>4.9387380000000015E-2</v>
      </c>
      <c r="I1068" s="156">
        <f>--(Risk_Prem2[[#This Row],[Return on Equity]]&lt;0.09)</f>
        <v>0</v>
      </c>
    </row>
    <row r="1069" spans="1:9" x14ac:dyDescent="0.2">
      <c r="A1069" s="155"/>
      <c r="C1069" s="148"/>
      <c r="D1069" s="160">
        <v>37700</v>
      </c>
      <c r="E1069" s="161">
        <v>0.12</v>
      </c>
      <c r="F1069" s="161">
        <v>4.9839924999999993E-2</v>
      </c>
      <c r="G1069" s="133">
        <f t="shared" si="15"/>
        <v>7.0160075000000002E-2</v>
      </c>
      <c r="I1069" s="156">
        <f>--(Risk_Prem2[[#This Row],[Return on Equity]]&lt;0.09)</f>
        <v>0</v>
      </c>
    </row>
    <row r="1070" spans="1:9" x14ac:dyDescent="0.2">
      <c r="A1070" s="155"/>
      <c r="C1070" s="148"/>
      <c r="D1070" s="160">
        <v>37714</v>
      </c>
      <c r="E1070" s="161">
        <v>0.12</v>
      </c>
      <c r="F1070" s="161">
        <v>4.9577599999999993E-2</v>
      </c>
      <c r="G1070" s="133">
        <f t="shared" ref="G1070:G1133" si="16">E1070-F1070</f>
        <v>7.0422399999999996E-2</v>
      </c>
      <c r="I1070" s="156">
        <f>--(Risk_Prem2[[#This Row],[Return on Equity]]&lt;0.09)</f>
        <v>0</v>
      </c>
    </row>
    <row r="1071" spans="1:9" x14ac:dyDescent="0.2">
      <c r="A1071" s="155"/>
      <c r="C1071" s="148"/>
      <c r="D1071" s="160">
        <v>37726</v>
      </c>
      <c r="E1071" s="161">
        <v>0.1115</v>
      </c>
      <c r="F1071" s="161">
        <v>4.9369774999999984E-2</v>
      </c>
      <c r="G1071" s="133">
        <f t="shared" si="16"/>
        <v>6.2130225000000018E-2</v>
      </c>
      <c r="I1071" s="156">
        <f>--(Risk_Prem2[[#This Row],[Return on Equity]]&lt;0.09)</f>
        <v>0</v>
      </c>
    </row>
    <row r="1072" spans="1:9" x14ac:dyDescent="0.2">
      <c r="A1072" s="155"/>
      <c r="C1072" s="148"/>
      <c r="D1072" s="160">
        <v>37797</v>
      </c>
      <c r="E1072" s="161">
        <v>0.1075</v>
      </c>
      <c r="F1072" s="161">
        <v>4.7923609999999985E-2</v>
      </c>
      <c r="G1072" s="133">
        <f t="shared" si="16"/>
        <v>5.9576390000000014E-2</v>
      </c>
      <c r="I1072" s="156">
        <f>--(Risk_Prem2[[#This Row],[Return on Equity]]&lt;0.09)</f>
        <v>0</v>
      </c>
    </row>
    <row r="1073" spans="1:9" x14ac:dyDescent="0.2">
      <c r="A1073" s="155"/>
      <c r="C1073" s="148"/>
      <c r="D1073" s="160">
        <v>37798</v>
      </c>
      <c r="E1073" s="161">
        <v>0.1075</v>
      </c>
      <c r="F1073" s="161">
        <v>4.7916619999999986E-2</v>
      </c>
      <c r="G1073" s="133">
        <f t="shared" si="16"/>
        <v>5.9583380000000012E-2</v>
      </c>
      <c r="I1073" s="156">
        <f>--(Risk_Prem2[[#This Row],[Return on Equity]]&lt;0.09)</f>
        <v>0</v>
      </c>
    </row>
    <row r="1074" spans="1:9" x14ac:dyDescent="0.2">
      <c r="A1074" s="155"/>
      <c r="C1074" s="148"/>
      <c r="D1074" s="160">
        <v>37811</v>
      </c>
      <c r="E1074" s="161">
        <v>9.7500000000000003E-2</v>
      </c>
      <c r="F1074" s="161">
        <v>4.7893089999999985E-2</v>
      </c>
      <c r="G1074" s="133">
        <f t="shared" si="16"/>
        <v>4.9606910000000018E-2</v>
      </c>
      <c r="I1074" s="156">
        <f>--(Risk_Prem2[[#This Row],[Return on Equity]]&lt;0.09)</f>
        <v>0</v>
      </c>
    </row>
    <row r="1075" spans="1:9" x14ac:dyDescent="0.2">
      <c r="A1075" s="155"/>
      <c r="C1075" s="148"/>
      <c r="D1075" s="160">
        <v>37818</v>
      </c>
      <c r="E1075" s="161">
        <v>9.7500000000000003E-2</v>
      </c>
      <c r="F1075" s="161">
        <v>4.7918094999999987E-2</v>
      </c>
      <c r="G1075" s="133">
        <f t="shared" si="16"/>
        <v>4.9581905000000016E-2</v>
      </c>
      <c r="I1075" s="156">
        <f>--(Risk_Prem2[[#This Row],[Return on Equity]]&lt;0.09)</f>
        <v>0</v>
      </c>
    </row>
    <row r="1076" spans="1:9" x14ac:dyDescent="0.2">
      <c r="A1076" s="155"/>
      <c r="C1076" s="148"/>
      <c r="D1076" s="160">
        <v>37827</v>
      </c>
      <c r="E1076" s="161">
        <v>9.5000000000000001E-2</v>
      </c>
      <c r="F1076" s="161">
        <v>4.7954594999999996E-2</v>
      </c>
      <c r="G1076" s="133">
        <f t="shared" si="16"/>
        <v>4.7045405000000005E-2</v>
      </c>
      <c r="I1076" s="156">
        <f>--(Risk_Prem2[[#This Row],[Return on Equity]]&lt;0.09)</f>
        <v>0</v>
      </c>
    </row>
    <row r="1077" spans="1:9" x14ac:dyDescent="0.2">
      <c r="A1077" s="155"/>
      <c r="C1077" s="148"/>
      <c r="D1077" s="160">
        <v>37859</v>
      </c>
      <c r="E1077" s="161">
        <v>0.105</v>
      </c>
      <c r="F1077" s="161">
        <v>4.8304124999999969E-2</v>
      </c>
      <c r="G1077" s="133">
        <f t="shared" si="16"/>
        <v>5.6695875000000027E-2</v>
      </c>
      <c r="I1077" s="156">
        <f>--(Risk_Prem2[[#This Row],[Return on Equity]]&lt;0.09)</f>
        <v>0</v>
      </c>
    </row>
    <row r="1078" spans="1:9" x14ac:dyDescent="0.2">
      <c r="A1078" s="155"/>
      <c r="C1078" s="148"/>
      <c r="D1078" s="160">
        <v>37972</v>
      </c>
      <c r="E1078" s="161">
        <v>9.849999999999999E-2</v>
      </c>
      <c r="F1078" s="161">
        <v>4.9353754999999992E-2</v>
      </c>
      <c r="G1078" s="133">
        <f t="shared" si="16"/>
        <v>4.9146244999999998E-2</v>
      </c>
      <c r="I1078" s="156">
        <f>--(Risk_Prem2[[#This Row],[Return on Equity]]&lt;0.09)</f>
        <v>0</v>
      </c>
    </row>
    <row r="1079" spans="1:9" x14ac:dyDescent="0.2">
      <c r="A1079" s="155"/>
      <c r="C1079" s="148"/>
      <c r="D1079" s="160">
        <v>37972</v>
      </c>
      <c r="E1079" s="161">
        <v>0.107</v>
      </c>
      <c r="F1079" s="161">
        <v>4.9353754999999992E-2</v>
      </c>
      <c r="G1079" s="133">
        <f t="shared" si="16"/>
        <v>5.7646245000000006E-2</v>
      </c>
      <c r="I1079" s="156">
        <f>--(Risk_Prem2[[#This Row],[Return on Equity]]&lt;0.09)</f>
        <v>0</v>
      </c>
    </row>
    <row r="1080" spans="1:9" x14ac:dyDescent="0.2">
      <c r="A1080" s="155"/>
      <c r="C1080" s="148"/>
      <c r="D1080" s="160">
        <v>37973</v>
      </c>
      <c r="E1080" s="161">
        <v>0.115</v>
      </c>
      <c r="F1080" s="161">
        <v>4.9363669999999998E-2</v>
      </c>
      <c r="G1080" s="133">
        <f t="shared" si="16"/>
        <v>6.5636330000000007E-2</v>
      </c>
      <c r="I1080" s="156">
        <f>--(Risk_Prem2[[#This Row],[Return on Equity]]&lt;0.09)</f>
        <v>0</v>
      </c>
    </row>
    <row r="1081" spans="1:9" x14ac:dyDescent="0.2">
      <c r="A1081" s="155"/>
      <c r="C1081" s="148"/>
      <c r="D1081" s="160">
        <v>37974</v>
      </c>
      <c r="E1081" s="161">
        <v>0.12</v>
      </c>
      <c r="F1081" s="161">
        <v>4.9376585000000001E-2</v>
      </c>
      <c r="G1081" s="133">
        <f t="shared" si="16"/>
        <v>7.0623414999999995E-2</v>
      </c>
      <c r="I1081" s="156">
        <f>--(Risk_Prem2[[#This Row],[Return on Equity]]&lt;0.09)</f>
        <v>0</v>
      </c>
    </row>
    <row r="1082" spans="1:9" x14ac:dyDescent="0.2">
      <c r="A1082" s="155"/>
      <c r="C1082" s="148"/>
      <c r="D1082" s="160">
        <v>37974</v>
      </c>
      <c r="E1082" s="161">
        <v>0.12</v>
      </c>
      <c r="F1082" s="161">
        <v>4.9376585000000001E-2</v>
      </c>
      <c r="G1082" s="133">
        <f t="shared" si="16"/>
        <v>7.0623414999999995E-2</v>
      </c>
      <c r="I1082" s="156">
        <f>--(Risk_Prem2[[#This Row],[Return on Equity]]&lt;0.09)</f>
        <v>0</v>
      </c>
    </row>
    <row r="1083" spans="1:9" x14ac:dyDescent="0.2">
      <c r="A1083" s="155"/>
      <c r="C1083" s="148"/>
      <c r="D1083" s="160">
        <v>37978</v>
      </c>
      <c r="E1083" s="161">
        <v>0.105</v>
      </c>
      <c r="F1083" s="161">
        <v>4.9394299999999988E-2</v>
      </c>
      <c r="G1083" s="133">
        <f t="shared" si="16"/>
        <v>5.5605700000000008E-2</v>
      </c>
      <c r="I1083" s="156">
        <f>--(Risk_Prem2[[#This Row],[Return on Equity]]&lt;0.09)</f>
        <v>0</v>
      </c>
    </row>
    <row r="1084" spans="1:9" x14ac:dyDescent="0.2">
      <c r="A1084" s="155"/>
      <c r="C1084" s="148"/>
      <c r="D1084" s="160">
        <v>37999</v>
      </c>
      <c r="E1084" s="161">
        <v>0.12</v>
      </c>
      <c r="F1084" s="161">
        <v>4.9484714999999985E-2</v>
      </c>
      <c r="G1084" s="133">
        <f t="shared" si="16"/>
        <v>7.0515285000000011E-2</v>
      </c>
      <c r="I1084" s="156">
        <f>--(Risk_Prem2[[#This Row],[Return on Equity]]&lt;0.09)</f>
        <v>0</v>
      </c>
    </row>
    <row r="1085" spans="1:9" x14ac:dyDescent="0.2">
      <c r="A1085" s="155"/>
      <c r="C1085" s="148"/>
      <c r="D1085" s="160">
        <v>38048</v>
      </c>
      <c r="E1085" s="161">
        <v>0.1075</v>
      </c>
      <c r="F1085" s="161">
        <v>4.9874455000000005E-2</v>
      </c>
      <c r="G1085" s="133">
        <f t="shared" si="16"/>
        <v>5.7625544999999993E-2</v>
      </c>
      <c r="I1085" s="156">
        <f>--(Risk_Prem2[[#This Row],[Return on Equity]]&lt;0.09)</f>
        <v>0</v>
      </c>
    </row>
    <row r="1086" spans="1:9" x14ac:dyDescent="0.2">
      <c r="A1086" s="155"/>
      <c r="C1086" s="148"/>
      <c r="D1086" s="160">
        <v>38072</v>
      </c>
      <c r="E1086" s="161">
        <v>0.10249999999999999</v>
      </c>
      <c r="F1086" s="161">
        <v>5.0211335000000031E-2</v>
      </c>
      <c r="G1086" s="133">
        <f t="shared" si="16"/>
        <v>5.2288664999999963E-2</v>
      </c>
      <c r="I1086" s="156">
        <f>--(Risk_Prem2[[#This Row],[Return on Equity]]&lt;0.09)</f>
        <v>0</v>
      </c>
    </row>
    <row r="1087" spans="1:9" x14ac:dyDescent="0.2">
      <c r="A1087" s="155"/>
      <c r="C1087" s="148"/>
      <c r="D1087" s="160">
        <v>38082</v>
      </c>
      <c r="E1087" s="161">
        <v>0.1125</v>
      </c>
      <c r="F1087" s="161">
        <v>5.0327295000000029E-2</v>
      </c>
      <c r="G1087" s="133">
        <f t="shared" si="16"/>
        <v>6.2172704999999974E-2</v>
      </c>
      <c r="I1087" s="156">
        <f>--(Risk_Prem2[[#This Row],[Return on Equity]]&lt;0.09)</f>
        <v>0</v>
      </c>
    </row>
    <row r="1088" spans="1:9" x14ac:dyDescent="0.2">
      <c r="A1088" s="155"/>
      <c r="C1088" s="148"/>
      <c r="D1088" s="160">
        <v>38125</v>
      </c>
      <c r="E1088" s="161">
        <v>0.105</v>
      </c>
      <c r="F1088" s="161">
        <v>5.073539500000001E-2</v>
      </c>
      <c r="G1088" s="133">
        <f t="shared" si="16"/>
        <v>5.4264604999999987E-2</v>
      </c>
      <c r="I1088" s="156">
        <f>--(Risk_Prem2[[#This Row],[Return on Equity]]&lt;0.09)</f>
        <v>0</v>
      </c>
    </row>
    <row r="1089" spans="1:9" x14ac:dyDescent="0.2">
      <c r="A1089" s="155"/>
      <c r="C1089" s="148"/>
      <c r="D1089" s="160">
        <v>38132</v>
      </c>
      <c r="E1089" s="161">
        <v>0.10249999999999999</v>
      </c>
      <c r="F1089" s="161">
        <v>5.0754530000000013E-2</v>
      </c>
      <c r="G1089" s="133">
        <f t="shared" si="16"/>
        <v>5.1745469999999981E-2</v>
      </c>
      <c r="I1089" s="156">
        <f>--(Risk_Prem2[[#This Row],[Return on Equity]]&lt;0.09)</f>
        <v>0</v>
      </c>
    </row>
    <row r="1090" spans="1:9" x14ac:dyDescent="0.2">
      <c r="A1090" s="155"/>
      <c r="C1090" s="148"/>
      <c r="D1090" s="160">
        <v>38134</v>
      </c>
      <c r="E1090" s="161">
        <v>0.10249999999999999</v>
      </c>
      <c r="F1090" s="161">
        <v>5.0760485000000008E-2</v>
      </c>
      <c r="G1090" s="133">
        <f t="shared" si="16"/>
        <v>5.1739514999999986E-2</v>
      </c>
      <c r="I1090" s="156">
        <f>--(Risk_Prem2[[#This Row],[Return on Equity]]&lt;0.09)</f>
        <v>0</v>
      </c>
    </row>
    <row r="1091" spans="1:9" x14ac:dyDescent="0.2">
      <c r="A1091" s="155"/>
      <c r="C1091" s="148"/>
      <c r="D1091" s="160">
        <v>38140</v>
      </c>
      <c r="E1091" s="161">
        <v>0.11220000000000001</v>
      </c>
      <c r="F1091" s="161">
        <v>5.0778860000000002E-2</v>
      </c>
      <c r="G1091" s="133">
        <f t="shared" si="16"/>
        <v>6.1421140000000006E-2</v>
      </c>
      <c r="I1091" s="156">
        <f>--(Risk_Prem2[[#This Row],[Return on Equity]]&lt;0.09)</f>
        <v>0</v>
      </c>
    </row>
    <row r="1092" spans="1:9" x14ac:dyDescent="0.2">
      <c r="A1092" s="155"/>
      <c r="C1092" s="148"/>
      <c r="D1092" s="160">
        <v>38168</v>
      </c>
      <c r="E1092" s="161">
        <v>0.105</v>
      </c>
      <c r="F1092" s="161">
        <v>5.0999780000000022E-2</v>
      </c>
      <c r="G1092" s="133">
        <f t="shared" si="16"/>
        <v>5.4000219999999974E-2</v>
      </c>
      <c r="I1092" s="156">
        <f>--(Risk_Prem2[[#This Row],[Return on Equity]]&lt;0.09)</f>
        <v>0</v>
      </c>
    </row>
    <row r="1093" spans="1:9" x14ac:dyDescent="0.2">
      <c r="A1093" s="155"/>
      <c r="C1093" s="148"/>
      <c r="D1093" s="160">
        <v>38168</v>
      </c>
      <c r="E1093" s="161">
        <v>0.105</v>
      </c>
      <c r="F1093" s="161">
        <v>5.0999780000000022E-2</v>
      </c>
      <c r="G1093" s="133">
        <f t="shared" si="16"/>
        <v>5.4000219999999974E-2</v>
      </c>
      <c r="I1093" s="156">
        <f>--(Risk_Prem2[[#This Row],[Return on Equity]]&lt;0.09)</f>
        <v>0</v>
      </c>
    </row>
    <row r="1094" spans="1:9" x14ac:dyDescent="0.2">
      <c r="A1094" s="155"/>
      <c r="C1094" s="148"/>
      <c r="D1094" s="160">
        <v>38184</v>
      </c>
      <c r="E1094" s="161">
        <v>0.11599999999999999</v>
      </c>
      <c r="F1094" s="161">
        <v>5.1100485000000001E-2</v>
      </c>
      <c r="G1094" s="133">
        <f t="shared" si="16"/>
        <v>6.4899514999999991E-2</v>
      </c>
      <c r="I1094" s="156">
        <f>--(Risk_Prem2[[#This Row],[Return on Equity]]&lt;0.09)</f>
        <v>0</v>
      </c>
    </row>
    <row r="1095" spans="1:9" x14ac:dyDescent="0.2">
      <c r="A1095" s="155"/>
      <c r="C1095" s="148"/>
      <c r="D1095" s="160">
        <v>38224</v>
      </c>
      <c r="E1095" s="161">
        <v>0.10249999999999999</v>
      </c>
      <c r="F1095" s="161">
        <v>5.1028705000000042E-2</v>
      </c>
      <c r="G1095" s="133">
        <f t="shared" si="16"/>
        <v>5.1471294999999952E-2</v>
      </c>
      <c r="I1095" s="156">
        <f>--(Risk_Prem2[[#This Row],[Return on Equity]]&lt;0.09)</f>
        <v>0</v>
      </c>
    </row>
    <row r="1096" spans="1:9" x14ac:dyDescent="0.2">
      <c r="A1096" s="155"/>
      <c r="C1096" s="148"/>
      <c r="D1096" s="160">
        <v>38239</v>
      </c>
      <c r="E1096" s="161">
        <v>0.10400000000000001</v>
      </c>
      <c r="F1096" s="161">
        <v>5.0973580000000025E-2</v>
      </c>
      <c r="G1096" s="133">
        <f t="shared" si="16"/>
        <v>5.3026419999999984E-2</v>
      </c>
      <c r="I1096" s="156">
        <f>--(Risk_Prem2[[#This Row],[Return on Equity]]&lt;0.09)</f>
        <v>0</v>
      </c>
    </row>
    <row r="1097" spans="1:9" x14ac:dyDescent="0.2">
      <c r="A1097" s="155"/>
      <c r="C1097" s="148"/>
      <c r="D1097" s="160">
        <v>38300</v>
      </c>
      <c r="E1097" s="161">
        <v>0.105</v>
      </c>
      <c r="F1097" s="161">
        <v>5.0650630000000002E-2</v>
      </c>
      <c r="G1097" s="133">
        <f t="shared" si="16"/>
        <v>5.4349369999999994E-2</v>
      </c>
      <c r="I1097" s="156">
        <f>--(Risk_Prem2[[#This Row],[Return on Equity]]&lt;0.09)</f>
        <v>0</v>
      </c>
    </row>
    <row r="1098" spans="1:9" x14ac:dyDescent="0.2">
      <c r="A1098" s="155"/>
      <c r="C1098" s="148"/>
      <c r="D1098" s="160">
        <v>38314</v>
      </c>
      <c r="E1098" s="161">
        <v>0.11</v>
      </c>
      <c r="F1098" s="161">
        <v>5.0628380000000001E-2</v>
      </c>
      <c r="G1098" s="133">
        <f t="shared" si="16"/>
        <v>5.937162E-2</v>
      </c>
      <c r="I1098" s="156">
        <f>--(Risk_Prem2[[#This Row],[Return on Equity]]&lt;0.09)</f>
        <v>0</v>
      </c>
    </row>
    <row r="1099" spans="1:9" x14ac:dyDescent="0.2">
      <c r="A1099" s="155"/>
      <c r="C1099" s="148"/>
      <c r="D1099" s="160">
        <v>38335</v>
      </c>
      <c r="E1099" s="161">
        <v>0.10970000000000001</v>
      </c>
      <c r="F1099" s="161">
        <v>5.065215E-2</v>
      </c>
      <c r="G1099" s="133">
        <f t="shared" si="16"/>
        <v>5.9047850000000006E-2</v>
      </c>
      <c r="I1099" s="156">
        <f>--(Risk_Prem2[[#This Row],[Return on Equity]]&lt;0.09)</f>
        <v>0</v>
      </c>
    </row>
    <row r="1100" spans="1:9" x14ac:dyDescent="0.2">
      <c r="A1100" s="155"/>
      <c r="C1100" s="148"/>
      <c r="D1100" s="160">
        <v>38342</v>
      </c>
      <c r="E1100" s="161">
        <v>0.1125</v>
      </c>
      <c r="F1100" s="161">
        <v>5.0680660000000016E-2</v>
      </c>
      <c r="G1100" s="133">
        <f t="shared" si="16"/>
        <v>6.1819339999999987E-2</v>
      </c>
      <c r="I1100" s="156">
        <f>--(Risk_Prem2[[#This Row],[Return on Equity]]&lt;0.09)</f>
        <v>0</v>
      </c>
    </row>
    <row r="1101" spans="1:9" x14ac:dyDescent="0.2">
      <c r="A1101" s="155"/>
      <c r="C1101" s="148"/>
      <c r="D1101" s="160">
        <v>38342</v>
      </c>
      <c r="E1101" s="161">
        <v>0.115</v>
      </c>
      <c r="F1101" s="161">
        <v>5.0680660000000016E-2</v>
      </c>
      <c r="G1101" s="133">
        <f t="shared" si="16"/>
        <v>6.4319339999999989E-2</v>
      </c>
      <c r="I1101" s="156">
        <f>--(Risk_Prem2[[#This Row],[Return on Equity]]&lt;0.09)</f>
        <v>0</v>
      </c>
    </row>
    <row r="1102" spans="1:9" x14ac:dyDescent="0.2">
      <c r="A1102" s="155"/>
      <c r="C1102" s="148"/>
      <c r="D1102" s="160">
        <v>38343</v>
      </c>
      <c r="E1102" s="161">
        <v>0.107</v>
      </c>
      <c r="F1102" s="161">
        <v>5.0688820000000009E-2</v>
      </c>
      <c r="G1102" s="133">
        <f t="shared" si="16"/>
        <v>5.6311179999999988E-2</v>
      </c>
      <c r="I1102" s="156">
        <f>--(Risk_Prem2[[#This Row],[Return on Equity]]&lt;0.09)</f>
        <v>0</v>
      </c>
    </row>
    <row r="1103" spans="1:9" x14ac:dyDescent="0.2">
      <c r="A1103" s="155"/>
      <c r="C1103" s="148"/>
      <c r="D1103" s="160">
        <v>38343</v>
      </c>
      <c r="E1103" s="161">
        <v>0.115</v>
      </c>
      <c r="F1103" s="161">
        <v>5.0688820000000009E-2</v>
      </c>
      <c r="G1103" s="133">
        <f t="shared" si="16"/>
        <v>6.4311179999999996E-2</v>
      </c>
      <c r="I1103" s="156">
        <f>--(Risk_Prem2[[#This Row],[Return on Equity]]&lt;0.09)</f>
        <v>0</v>
      </c>
    </row>
    <row r="1104" spans="1:9" x14ac:dyDescent="0.2">
      <c r="A1104" s="155"/>
      <c r="C1104" s="148"/>
      <c r="D1104" s="160">
        <v>38350</v>
      </c>
      <c r="E1104" s="161">
        <v>9.849999999999999E-2</v>
      </c>
      <c r="F1104" s="161">
        <v>5.0743129999999997E-2</v>
      </c>
      <c r="G1104" s="133">
        <f t="shared" si="16"/>
        <v>4.7756869999999993E-2</v>
      </c>
      <c r="I1104" s="156">
        <f>--(Risk_Prem2[[#This Row],[Return on Equity]]&lt;0.09)</f>
        <v>0</v>
      </c>
    </row>
    <row r="1105" spans="1:9" x14ac:dyDescent="0.2">
      <c r="A1105" s="155"/>
      <c r="C1105" s="148"/>
      <c r="D1105" s="160">
        <v>38358</v>
      </c>
      <c r="E1105" s="161">
        <v>0.107</v>
      </c>
      <c r="F1105" s="161">
        <v>5.0765169999999998E-2</v>
      </c>
      <c r="G1105" s="133">
        <f t="shared" si="16"/>
        <v>5.623483E-2</v>
      </c>
      <c r="I1105" s="156">
        <f>--(Risk_Prem2[[#This Row],[Return on Equity]]&lt;0.09)</f>
        <v>0</v>
      </c>
    </row>
    <row r="1106" spans="1:9" x14ac:dyDescent="0.2">
      <c r="A1106" s="155"/>
      <c r="C1106" s="148"/>
      <c r="D1106" s="160">
        <v>38401</v>
      </c>
      <c r="E1106" s="161">
        <v>0.10300000000000001</v>
      </c>
      <c r="F1106" s="161">
        <v>4.9777244999999991E-2</v>
      </c>
      <c r="G1106" s="133">
        <f t="shared" si="16"/>
        <v>5.3222755000000017E-2</v>
      </c>
      <c r="I1106" s="156">
        <f>--(Risk_Prem2[[#This Row],[Return on Equity]]&lt;0.09)</f>
        <v>0</v>
      </c>
    </row>
    <row r="1107" spans="1:9" x14ac:dyDescent="0.2">
      <c r="A1107" s="155"/>
      <c r="C1107" s="148"/>
      <c r="D1107" s="160">
        <v>38408</v>
      </c>
      <c r="E1107" s="161">
        <v>0.105</v>
      </c>
      <c r="F1107" s="161">
        <v>4.9580269999999996E-2</v>
      </c>
      <c r="G1107" s="133">
        <f t="shared" si="16"/>
        <v>5.541973E-2</v>
      </c>
      <c r="I1107" s="156">
        <f>--(Risk_Prem2[[#This Row],[Return on Equity]]&lt;0.09)</f>
        <v>0</v>
      </c>
    </row>
    <row r="1108" spans="1:9" x14ac:dyDescent="0.2">
      <c r="A1108" s="155"/>
      <c r="C1108" s="148"/>
      <c r="D1108" s="160">
        <v>38421</v>
      </c>
      <c r="E1108" s="161">
        <v>0.11</v>
      </c>
      <c r="F1108" s="161">
        <v>4.9281899999999997E-2</v>
      </c>
      <c r="G1108" s="133">
        <f t="shared" si="16"/>
        <v>6.0718100000000004E-2</v>
      </c>
      <c r="I1108" s="156">
        <f>--(Risk_Prem2[[#This Row],[Return on Equity]]&lt;0.09)</f>
        <v>0</v>
      </c>
    </row>
    <row r="1109" spans="1:9" x14ac:dyDescent="0.2">
      <c r="A1109" s="155"/>
      <c r="C1109" s="148"/>
      <c r="D1109" s="160">
        <v>38435</v>
      </c>
      <c r="E1109" s="161">
        <v>0.10300000000000001</v>
      </c>
      <c r="F1109" s="161">
        <v>4.8971625000000005E-2</v>
      </c>
      <c r="G1109" s="133">
        <f t="shared" si="16"/>
        <v>5.4028375000000003E-2</v>
      </c>
      <c r="I1109" s="156">
        <f>--(Risk_Prem2[[#This Row],[Return on Equity]]&lt;0.09)</f>
        <v>0</v>
      </c>
    </row>
    <row r="1110" spans="1:9" x14ac:dyDescent="0.2">
      <c r="A1110" s="155"/>
      <c r="C1110" s="148"/>
      <c r="D1110" s="160">
        <v>38446</v>
      </c>
      <c r="E1110" s="161">
        <v>0.1</v>
      </c>
      <c r="F1110" s="161">
        <v>4.8770170000000015E-2</v>
      </c>
      <c r="G1110" s="133">
        <f t="shared" si="16"/>
        <v>5.122982999999999E-2</v>
      </c>
      <c r="I1110" s="156">
        <f>--(Risk_Prem2[[#This Row],[Return on Equity]]&lt;0.09)</f>
        <v>0</v>
      </c>
    </row>
    <row r="1111" spans="1:9" x14ac:dyDescent="0.2">
      <c r="A1111" s="155"/>
      <c r="C1111" s="148"/>
      <c r="D1111" s="160">
        <v>38449</v>
      </c>
      <c r="E1111" s="161">
        <v>0.10249999999999999</v>
      </c>
      <c r="F1111" s="161">
        <v>4.8687225000000015E-2</v>
      </c>
      <c r="G1111" s="133">
        <f t="shared" si="16"/>
        <v>5.3812774999999979E-2</v>
      </c>
      <c r="I1111" s="156">
        <f>--(Risk_Prem2[[#This Row],[Return on Equity]]&lt;0.09)</f>
        <v>0</v>
      </c>
    </row>
    <row r="1112" spans="1:9" x14ac:dyDescent="0.2">
      <c r="A1112" s="155"/>
      <c r="C1112" s="148"/>
      <c r="D1112" s="160">
        <v>38490</v>
      </c>
      <c r="E1112" s="161">
        <v>0.10249999999999999</v>
      </c>
      <c r="F1112" s="161">
        <v>4.7804755000000011E-2</v>
      </c>
      <c r="G1112" s="133">
        <f t="shared" si="16"/>
        <v>5.4695244999999983E-2</v>
      </c>
      <c r="I1112" s="156">
        <f>--(Risk_Prem2[[#This Row],[Return on Equity]]&lt;0.09)</f>
        <v>0</v>
      </c>
    </row>
    <row r="1113" spans="1:9" x14ac:dyDescent="0.2">
      <c r="A1113" s="155"/>
      <c r="C1113" s="148"/>
      <c r="D1113" s="160">
        <v>38497</v>
      </c>
      <c r="E1113" s="161">
        <v>0.1075</v>
      </c>
      <c r="F1113" s="161">
        <v>4.7649545000000015E-2</v>
      </c>
      <c r="G1113" s="133">
        <f t="shared" si="16"/>
        <v>5.9850454999999983E-2</v>
      </c>
      <c r="I1113" s="156">
        <f>--(Risk_Prem2[[#This Row],[Return on Equity]]&lt;0.09)</f>
        <v>0</v>
      </c>
    </row>
    <row r="1114" spans="1:9" x14ac:dyDescent="0.2">
      <c r="A1114" s="155"/>
      <c r="C1114" s="148"/>
      <c r="D1114" s="160">
        <v>38498</v>
      </c>
      <c r="E1114" s="161">
        <v>9.7500000000000003E-2</v>
      </c>
      <c r="F1114" s="161">
        <v>4.7619625000000013E-2</v>
      </c>
      <c r="G1114" s="133">
        <f t="shared" si="16"/>
        <v>4.9880374999999991E-2</v>
      </c>
      <c r="I1114" s="156">
        <f>--(Risk_Prem2[[#This Row],[Return on Equity]]&lt;0.09)</f>
        <v>0</v>
      </c>
    </row>
    <row r="1115" spans="1:9" x14ac:dyDescent="0.2">
      <c r="A1115" s="155"/>
      <c r="C1115" s="148"/>
      <c r="D1115" s="160">
        <v>38504</v>
      </c>
      <c r="E1115" s="161">
        <v>9.7500000000000003E-2</v>
      </c>
      <c r="F1115" s="161">
        <v>4.7479965000000013E-2</v>
      </c>
      <c r="G1115" s="133">
        <f t="shared" si="16"/>
        <v>5.002003499999999E-2</v>
      </c>
      <c r="I1115" s="156">
        <f>--(Risk_Prem2[[#This Row],[Return on Equity]]&lt;0.09)</f>
        <v>0</v>
      </c>
    </row>
    <row r="1116" spans="1:9" x14ac:dyDescent="0.2">
      <c r="A1116" s="155"/>
      <c r="C1116" s="148"/>
      <c r="D1116" s="160">
        <v>38552</v>
      </c>
      <c r="E1116" s="161">
        <v>0.115</v>
      </c>
      <c r="F1116" s="161">
        <v>4.6447849999999985E-2</v>
      </c>
      <c r="G1116" s="133">
        <f t="shared" si="16"/>
        <v>6.855215000000002E-2</v>
      </c>
      <c r="I1116" s="156">
        <f>--(Risk_Prem2[[#This Row],[Return on Equity]]&lt;0.09)</f>
        <v>0</v>
      </c>
    </row>
    <row r="1117" spans="1:9" x14ac:dyDescent="0.2">
      <c r="A1117" s="155"/>
      <c r="C1117" s="148"/>
      <c r="D1117" s="160">
        <v>38569</v>
      </c>
      <c r="E1117" s="161">
        <v>0.11749999999999999</v>
      </c>
      <c r="F1117" s="161">
        <v>4.6236454999999996E-2</v>
      </c>
      <c r="G1117" s="133">
        <f t="shared" si="16"/>
        <v>7.1263544999999998E-2</v>
      </c>
      <c r="I1117" s="156">
        <f>--(Risk_Prem2[[#This Row],[Return on Equity]]&lt;0.09)</f>
        <v>0</v>
      </c>
    </row>
    <row r="1118" spans="1:9" x14ac:dyDescent="0.2">
      <c r="A1118" s="155"/>
      <c r="C1118" s="148"/>
      <c r="D1118" s="160">
        <v>38579</v>
      </c>
      <c r="E1118" s="161">
        <v>0.1013</v>
      </c>
      <c r="F1118" s="161">
        <v>4.6140174999999999E-2</v>
      </c>
      <c r="G1118" s="133">
        <f t="shared" si="16"/>
        <v>5.5159825000000003E-2</v>
      </c>
      <c r="I1118" s="156">
        <f>--(Risk_Prem2[[#This Row],[Return on Equity]]&lt;0.09)</f>
        <v>0</v>
      </c>
    </row>
    <row r="1119" spans="1:9" x14ac:dyDescent="0.2">
      <c r="A1119" s="155"/>
      <c r="C1119" s="148"/>
      <c r="D1119" s="160">
        <v>38623</v>
      </c>
      <c r="E1119" s="161">
        <v>0.1</v>
      </c>
      <c r="F1119" s="161">
        <v>4.5426810000000047E-2</v>
      </c>
      <c r="G1119" s="133">
        <f t="shared" si="16"/>
        <v>5.4573189999999959E-2</v>
      </c>
      <c r="I1119" s="156">
        <f>--(Risk_Prem2[[#This Row],[Return on Equity]]&lt;0.09)</f>
        <v>0</v>
      </c>
    </row>
    <row r="1120" spans="1:9" x14ac:dyDescent="0.2">
      <c r="A1120" s="155"/>
      <c r="C1120" s="148"/>
      <c r="D1120" s="160">
        <v>38629</v>
      </c>
      <c r="E1120" s="161">
        <v>0.1075</v>
      </c>
      <c r="F1120" s="161">
        <v>4.5367425000000051E-2</v>
      </c>
      <c r="G1120" s="133">
        <f t="shared" si="16"/>
        <v>6.2132574999999947E-2</v>
      </c>
      <c r="I1120" s="156">
        <f>--(Risk_Prem2[[#This Row],[Return on Equity]]&lt;0.09)</f>
        <v>0</v>
      </c>
    </row>
    <row r="1121" spans="1:9" x14ac:dyDescent="0.2">
      <c r="A1121" s="155"/>
      <c r="C1121" s="148"/>
      <c r="D1121" s="160">
        <v>38698</v>
      </c>
      <c r="E1121" s="161">
        <v>0.11</v>
      </c>
      <c r="F1121" s="161">
        <v>4.5480054999999991E-2</v>
      </c>
      <c r="G1121" s="133">
        <f t="shared" si="16"/>
        <v>6.4519945000000009E-2</v>
      </c>
      <c r="I1121" s="156">
        <f>--(Risk_Prem2[[#This Row],[Return on Equity]]&lt;0.09)</f>
        <v>0</v>
      </c>
    </row>
    <row r="1122" spans="1:9" x14ac:dyDescent="0.2">
      <c r="A1122" s="155"/>
      <c r="C1122" s="148"/>
      <c r="D1122" s="160">
        <v>38699</v>
      </c>
      <c r="E1122" s="161">
        <v>0.1075</v>
      </c>
      <c r="F1122" s="161">
        <v>4.5480899999999991E-2</v>
      </c>
      <c r="G1122" s="133">
        <f t="shared" si="16"/>
        <v>6.2019100000000008E-2</v>
      </c>
      <c r="I1122" s="156">
        <f>--(Risk_Prem2[[#This Row],[Return on Equity]]&lt;0.09)</f>
        <v>0</v>
      </c>
    </row>
    <row r="1123" spans="1:9" x14ac:dyDescent="0.2">
      <c r="A1123" s="155"/>
      <c r="C1123" s="148"/>
      <c r="D1123" s="160">
        <v>38707</v>
      </c>
      <c r="E1123" s="161">
        <v>0.10289999999999999</v>
      </c>
      <c r="F1123" s="161">
        <v>4.5437975000000012E-2</v>
      </c>
      <c r="G1123" s="133">
        <f t="shared" si="16"/>
        <v>5.7462024999999979E-2</v>
      </c>
      <c r="I1123" s="156">
        <f>--(Risk_Prem2[[#This Row],[Return on Equity]]&lt;0.09)</f>
        <v>0</v>
      </c>
    </row>
    <row r="1124" spans="1:9" x14ac:dyDescent="0.2">
      <c r="A1124" s="155"/>
      <c r="C1124" s="148"/>
      <c r="D1124" s="160">
        <v>38707</v>
      </c>
      <c r="E1124" s="161">
        <v>0.10400000000000001</v>
      </c>
      <c r="F1124" s="161">
        <v>4.5437975000000012E-2</v>
      </c>
      <c r="G1124" s="133">
        <f t="shared" si="16"/>
        <v>5.8562024999999997E-2</v>
      </c>
      <c r="I1124" s="156">
        <f>--(Risk_Prem2[[#This Row],[Return on Equity]]&lt;0.09)</f>
        <v>0</v>
      </c>
    </row>
    <row r="1125" spans="1:9" x14ac:dyDescent="0.2">
      <c r="A1125" s="155"/>
      <c r="C1125" s="148"/>
      <c r="D1125" s="160">
        <v>38708</v>
      </c>
      <c r="E1125" s="161">
        <v>0.11</v>
      </c>
      <c r="F1125" s="161">
        <v>4.5429970000000007E-2</v>
      </c>
      <c r="G1125" s="133">
        <f t="shared" si="16"/>
        <v>6.457003E-2</v>
      </c>
      <c r="I1125" s="156">
        <f>--(Risk_Prem2[[#This Row],[Return on Equity]]&lt;0.09)</f>
        <v>0</v>
      </c>
    </row>
    <row r="1126" spans="1:9" x14ac:dyDescent="0.2">
      <c r="A1126" s="155"/>
      <c r="C1126" s="148"/>
      <c r="D1126" s="160">
        <v>38708</v>
      </c>
      <c r="E1126" s="161">
        <v>0.1115</v>
      </c>
      <c r="F1126" s="161">
        <v>4.5429970000000007E-2</v>
      </c>
      <c r="G1126" s="133">
        <f t="shared" si="16"/>
        <v>6.6070030000000002E-2</v>
      </c>
      <c r="I1126" s="156">
        <f>--(Risk_Prem2[[#This Row],[Return on Equity]]&lt;0.09)</f>
        <v>0</v>
      </c>
    </row>
    <row r="1127" spans="1:9" x14ac:dyDescent="0.2">
      <c r="A1127" s="155"/>
      <c r="C1127" s="148"/>
      <c r="D1127" s="160">
        <v>38714</v>
      </c>
      <c r="E1127" s="161">
        <v>0.1</v>
      </c>
      <c r="F1127" s="161">
        <v>4.5381459999999992E-2</v>
      </c>
      <c r="G1127" s="133">
        <f t="shared" si="16"/>
        <v>5.4618540000000014E-2</v>
      </c>
      <c r="I1127" s="156">
        <f>--(Risk_Prem2[[#This Row],[Return on Equity]]&lt;0.09)</f>
        <v>0</v>
      </c>
    </row>
    <row r="1128" spans="1:9" x14ac:dyDescent="0.2">
      <c r="A1128" s="155"/>
      <c r="C1128" s="148"/>
      <c r="D1128" s="160">
        <v>38714</v>
      </c>
      <c r="E1128" s="161">
        <v>0.1</v>
      </c>
      <c r="F1128" s="161">
        <v>4.5381459999999992E-2</v>
      </c>
      <c r="G1128" s="133">
        <f t="shared" si="16"/>
        <v>5.4618540000000014E-2</v>
      </c>
      <c r="I1128" s="156">
        <f>--(Risk_Prem2[[#This Row],[Return on Equity]]&lt;0.09)</f>
        <v>0</v>
      </c>
    </row>
    <row r="1129" spans="1:9" x14ac:dyDescent="0.2">
      <c r="A1129" s="155"/>
      <c r="C1129" s="148"/>
      <c r="D1129" s="160">
        <v>38722</v>
      </c>
      <c r="E1129" s="161">
        <v>0.11</v>
      </c>
      <c r="F1129" s="161">
        <v>4.5288720000000005E-2</v>
      </c>
      <c r="G1129" s="133">
        <f t="shared" si="16"/>
        <v>6.4711279999999996E-2</v>
      </c>
      <c r="I1129" s="156">
        <f>--(Risk_Prem2[[#This Row],[Return on Equity]]&lt;0.09)</f>
        <v>0</v>
      </c>
    </row>
    <row r="1130" spans="1:9" x14ac:dyDescent="0.2">
      <c r="A1130" s="155"/>
      <c r="C1130" s="148"/>
      <c r="D1130" s="160">
        <v>38744</v>
      </c>
      <c r="E1130" s="161">
        <v>9.7500000000000003E-2</v>
      </c>
      <c r="F1130" s="161">
        <v>4.5202390000000002E-2</v>
      </c>
      <c r="G1130" s="133">
        <f t="shared" si="16"/>
        <v>5.2297610000000001E-2</v>
      </c>
      <c r="I1130" s="156">
        <f>--(Risk_Prem2[[#This Row],[Return on Equity]]&lt;0.09)</f>
        <v>0</v>
      </c>
    </row>
    <row r="1131" spans="1:9" x14ac:dyDescent="0.2">
      <c r="A1131" s="155"/>
      <c r="C1131" s="148"/>
      <c r="D1131" s="160">
        <v>38779</v>
      </c>
      <c r="E1131" s="161">
        <v>0.10390000000000001</v>
      </c>
      <c r="F1131" s="161">
        <v>4.5308105000000001E-2</v>
      </c>
      <c r="G1131" s="133">
        <f t="shared" si="16"/>
        <v>5.8591895000000005E-2</v>
      </c>
      <c r="I1131" s="156">
        <f>--(Risk_Prem2[[#This Row],[Return on Equity]]&lt;0.09)</f>
        <v>0</v>
      </c>
    </row>
    <row r="1132" spans="1:9" x14ac:dyDescent="0.2">
      <c r="A1132" s="155"/>
      <c r="C1132" s="148"/>
      <c r="D1132" s="160">
        <v>38824</v>
      </c>
      <c r="E1132" s="161">
        <v>0.10199999999999999</v>
      </c>
      <c r="F1132" s="161">
        <v>4.614783499999997E-2</v>
      </c>
      <c r="G1132" s="133">
        <f t="shared" si="16"/>
        <v>5.5852165000000023E-2</v>
      </c>
      <c r="I1132" s="156">
        <f>--(Risk_Prem2[[#This Row],[Return on Equity]]&lt;0.09)</f>
        <v>0</v>
      </c>
    </row>
    <row r="1133" spans="1:9" x14ac:dyDescent="0.2">
      <c r="A1133" s="155"/>
      <c r="C1133" s="148"/>
      <c r="D1133" s="160">
        <v>38833</v>
      </c>
      <c r="E1133" s="161">
        <v>0.106</v>
      </c>
      <c r="F1133" s="161">
        <v>4.6398069999999993E-2</v>
      </c>
      <c r="G1133" s="133">
        <f t="shared" si="16"/>
        <v>5.9601930000000004E-2</v>
      </c>
      <c r="I1133" s="156">
        <f>--(Risk_Prem2[[#This Row],[Return on Equity]]&lt;0.09)</f>
        <v>0</v>
      </c>
    </row>
    <row r="1134" spans="1:9" x14ac:dyDescent="0.2">
      <c r="A1134" s="155"/>
      <c r="C1134" s="148"/>
      <c r="D1134" s="160">
        <v>38854</v>
      </c>
      <c r="E1134" s="161">
        <v>0.11599999999999999</v>
      </c>
      <c r="F1134" s="161">
        <v>4.6941779999999975E-2</v>
      </c>
      <c r="G1134" s="133">
        <f t="shared" ref="G1134:G1197" si="17">E1134-F1134</f>
        <v>6.9058220000000017E-2</v>
      </c>
      <c r="I1134" s="156">
        <f>--(Risk_Prem2[[#This Row],[Return on Equity]]&lt;0.09)</f>
        <v>0</v>
      </c>
    </row>
    <row r="1135" spans="1:9" x14ac:dyDescent="0.2">
      <c r="A1135" s="155"/>
      <c r="C1135" s="148"/>
      <c r="D1135" s="160">
        <v>38874</v>
      </c>
      <c r="E1135" s="161">
        <v>0.1</v>
      </c>
      <c r="F1135" s="161">
        <v>4.7440834999999994E-2</v>
      </c>
      <c r="G1135" s="133">
        <f t="shared" si="17"/>
        <v>5.2559165000000012E-2</v>
      </c>
      <c r="I1135" s="156">
        <f>--(Risk_Prem2[[#This Row],[Return on Equity]]&lt;0.09)</f>
        <v>0</v>
      </c>
    </row>
    <row r="1136" spans="1:9" x14ac:dyDescent="0.2">
      <c r="A1136" s="155"/>
      <c r="C1136" s="148"/>
      <c r="D1136" s="160">
        <v>38895</v>
      </c>
      <c r="E1136" s="161">
        <v>0.1075</v>
      </c>
      <c r="F1136" s="161">
        <v>4.799825000000002E-2</v>
      </c>
      <c r="G1136" s="133">
        <f t="shared" si="17"/>
        <v>5.9501749999999978E-2</v>
      </c>
      <c r="I1136" s="156">
        <f>--(Risk_Prem2[[#This Row],[Return on Equity]]&lt;0.09)</f>
        <v>0</v>
      </c>
    </row>
    <row r="1137" spans="1:9" x14ac:dyDescent="0.2">
      <c r="A1137" s="155"/>
      <c r="C1137" s="148"/>
      <c r="D1137" s="160">
        <v>38904</v>
      </c>
      <c r="E1137" s="161">
        <v>0.10199999999999999</v>
      </c>
      <c r="F1137" s="161">
        <v>4.8250234999999995E-2</v>
      </c>
      <c r="G1137" s="133">
        <f t="shared" si="17"/>
        <v>5.3749764999999998E-2</v>
      </c>
      <c r="I1137" s="156">
        <f>--(Risk_Prem2[[#This Row],[Return on Equity]]&lt;0.09)</f>
        <v>0</v>
      </c>
    </row>
    <row r="1138" spans="1:9" x14ac:dyDescent="0.2">
      <c r="A1138" s="155"/>
      <c r="C1138" s="148"/>
      <c r="D1138" s="160">
        <v>38922</v>
      </c>
      <c r="E1138" s="161">
        <v>9.6000000000000002E-2</v>
      </c>
      <c r="F1138" s="161">
        <v>4.8560284999999988E-2</v>
      </c>
      <c r="G1138" s="133">
        <f t="shared" si="17"/>
        <v>4.7439715000000014E-2</v>
      </c>
      <c r="I1138" s="156">
        <f>--(Risk_Prem2[[#This Row],[Return on Equity]]&lt;0.09)</f>
        <v>0</v>
      </c>
    </row>
    <row r="1139" spans="1:9" x14ac:dyDescent="0.2">
      <c r="A1139" s="155"/>
      <c r="C1139" s="148"/>
      <c r="D1139" s="160">
        <v>38924</v>
      </c>
      <c r="E1139" s="161">
        <v>0.105</v>
      </c>
      <c r="F1139" s="161">
        <v>4.860072E-2</v>
      </c>
      <c r="G1139" s="133">
        <f t="shared" si="17"/>
        <v>5.6399279999999996E-2</v>
      </c>
      <c r="I1139" s="156">
        <f>--(Risk_Prem2[[#This Row],[Return on Equity]]&lt;0.09)</f>
        <v>0</v>
      </c>
    </row>
    <row r="1140" spans="1:9" x14ac:dyDescent="0.2">
      <c r="A1140" s="155"/>
      <c r="C1140" s="148"/>
      <c r="D1140" s="160">
        <v>38926</v>
      </c>
      <c r="E1140" s="161">
        <v>0.10050000000000001</v>
      </c>
      <c r="F1140" s="161">
        <v>4.8641905000000006E-2</v>
      </c>
      <c r="G1140" s="133">
        <f t="shared" si="17"/>
        <v>5.1858095E-2</v>
      </c>
      <c r="I1140" s="156">
        <f>--(Risk_Prem2[[#This Row],[Return on Equity]]&lt;0.09)</f>
        <v>0</v>
      </c>
    </row>
    <row r="1141" spans="1:9" x14ac:dyDescent="0.2">
      <c r="A1141" s="155"/>
      <c r="C1141" s="148"/>
      <c r="D1141" s="160">
        <v>38952</v>
      </c>
      <c r="E1141" s="161">
        <v>9.5500000000000002E-2</v>
      </c>
      <c r="F1141" s="161">
        <v>4.8874224999999993E-2</v>
      </c>
      <c r="G1141" s="133">
        <f t="shared" si="17"/>
        <v>4.6625775000000008E-2</v>
      </c>
      <c r="I1141" s="156">
        <f>--(Risk_Prem2[[#This Row],[Return on Equity]]&lt;0.09)</f>
        <v>0</v>
      </c>
    </row>
    <row r="1142" spans="1:9" x14ac:dyDescent="0.2">
      <c r="A1142" s="155"/>
      <c r="C1142" s="148"/>
      <c r="D1142" s="160">
        <v>38961</v>
      </c>
      <c r="E1142" s="161">
        <v>0.10539999999999999</v>
      </c>
      <c r="F1142" s="161">
        <v>4.8957119999999986E-2</v>
      </c>
      <c r="G1142" s="133">
        <f t="shared" si="17"/>
        <v>5.6442880000000008E-2</v>
      </c>
      <c r="I1142" s="156">
        <f>--(Risk_Prem2[[#This Row],[Return on Equity]]&lt;0.09)</f>
        <v>0</v>
      </c>
    </row>
    <row r="1143" spans="1:9" x14ac:dyDescent="0.2">
      <c r="A1143" s="155"/>
      <c r="C1143" s="148"/>
      <c r="D1143" s="160">
        <v>38974</v>
      </c>
      <c r="E1143" s="161">
        <v>0.1</v>
      </c>
      <c r="F1143" s="161">
        <v>4.9057829999999976E-2</v>
      </c>
      <c r="G1143" s="133">
        <f t="shared" si="17"/>
        <v>5.094217000000003E-2</v>
      </c>
      <c r="I1143" s="156">
        <f>--(Risk_Prem2[[#This Row],[Return on Equity]]&lt;0.09)</f>
        <v>0</v>
      </c>
    </row>
    <row r="1144" spans="1:9" x14ac:dyDescent="0.2">
      <c r="A1144" s="155"/>
      <c r="C1144" s="148"/>
      <c r="D1144" s="160">
        <v>38996</v>
      </c>
      <c r="E1144" s="161">
        <v>9.6699999999999994E-2</v>
      </c>
      <c r="F1144" s="161">
        <v>4.918154999999997E-2</v>
      </c>
      <c r="G1144" s="133">
        <f t="shared" si="17"/>
        <v>4.7518450000000025E-2</v>
      </c>
      <c r="I1144" s="156">
        <f>--(Risk_Prem2[[#This Row],[Return on Equity]]&lt;0.09)</f>
        <v>0</v>
      </c>
    </row>
    <row r="1145" spans="1:9" x14ac:dyDescent="0.2">
      <c r="A1145" s="155"/>
      <c r="C1145" s="148"/>
      <c r="D1145" s="160">
        <v>39042</v>
      </c>
      <c r="E1145" s="161">
        <v>0.1008</v>
      </c>
      <c r="F1145" s="161">
        <v>4.9507710000000031E-2</v>
      </c>
      <c r="G1145" s="133">
        <f t="shared" si="17"/>
        <v>5.129228999999997E-2</v>
      </c>
      <c r="I1145" s="156">
        <f>--(Risk_Prem2[[#This Row],[Return on Equity]]&lt;0.09)</f>
        <v>0</v>
      </c>
    </row>
    <row r="1146" spans="1:9" x14ac:dyDescent="0.2">
      <c r="A1146" s="155"/>
      <c r="C1146" s="148"/>
      <c r="D1146" s="160">
        <v>39042</v>
      </c>
      <c r="E1146" s="161">
        <v>0.1008</v>
      </c>
      <c r="F1146" s="161">
        <v>4.9507710000000031E-2</v>
      </c>
      <c r="G1146" s="133">
        <f t="shared" si="17"/>
        <v>5.129228999999997E-2</v>
      </c>
      <c r="I1146" s="156">
        <f>--(Risk_Prem2[[#This Row],[Return on Equity]]&lt;0.09)</f>
        <v>0</v>
      </c>
    </row>
    <row r="1147" spans="1:9" x14ac:dyDescent="0.2">
      <c r="A1147" s="155"/>
      <c r="C1147" s="148"/>
      <c r="D1147" s="160">
        <v>39042</v>
      </c>
      <c r="E1147" s="161">
        <v>0.1012</v>
      </c>
      <c r="F1147" s="161">
        <v>4.9507710000000031E-2</v>
      </c>
      <c r="G1147" s="133">
        <f t="shared" si="17"/>
        <v>5.1692289999999967E-2</v>
      </c>
      <c r="I1147" s="156">
        <f>--(Risk_Prem2[[#This Row],[Return on Equity]]&lt;0.09)</f>
        <v>0</v>
      </c>
    </row>
    <row r="1148" spans="1:9" x14ac:dyDescent="0.2">
      <c r="A1148" s="155"/>
      <c r="C1148" s="148"/>
      <c r="D1148" s="160">
        <v>39052</v>
      </c>
      <c r="E1148" s="161">
        <v>0.10249999999999999</v>
      </c>
      <c r="F1148" s="161">
        <v>4.9540805000000049E-2</v>
      </c>
      <c r="G1148" s="133">
        <f t="shared" si="17"/>
        <v>5.2959194999999945E-2</v>
      </c>
      <c r="I1148" s="156">
        <f>--(Risk_Prem2[[#This Row],[Return on Equity]]&lt;0.09)</f>
        <v>0</v>
      </c>
    </row>
    <row r="1149" spans="1:9" x14ac:dyDescent="0.2">
      <c r="A1149" s="155"/>
      <c r="C1149" s="148"/>
      <c r="D1149" s="160">
        <v>39052</v>
      </c>
      <c r="E1149" s="161">
        <v>0.105</v>
      </c>
      <c r="F1149" s="161">
        <v>4.9540805000000049E-2</v>
      </c>
      <c r="G1149" s="133">
        <f t="shared" si="17"/>
        <v>5.5459194999999947E-2</v>
      </c>
      <c r="I1149" s="156">
        <f>--(Risk_Prem2[[#This Row],[Return on Equity]]&lt;0.09)</f>
        <v>0</v>
      </c>
    </row>
    <row r="1150" spans="1:9" x14ac:dyDescent="0.2">
      <c r="A1150" s="155"/>
      <c r="C1150" s="148"/>
      <c r="D1150" s="160">
        <v>39058</v>
      </c>
      <c r="E1150" s="161">
        <v>0.1075</v>
      </c>
      <c r="F1150" s="161">
        <v>4.9545205000000037E-2</v>
      </c>
      <c r="G1150" s="133">
        <f t="shared" si="17"/>
        <v>5.7954794999999962E-2</v>
      </c>
      <c r="I1150" s="156">
        <f>--(Risk_Prem2[[#This Row],[Return on Equity]]&lt;0.09)</f>
        <v>0</v>
      </c>
    </row>
    <row r="1151" spans="1:9" x14ac:dyDescent="0.2">
      <c r="A1151" s="155"/>
      <c r="C1151" s="148"/>
      <c r="D1151" s="160">
        <v>39072</v>
      </c>
      <c r="E1151" s="161">
        <v>0.109</v>
      </c>
      <c r="F1151" s="161">
        <v>4.9528340000000039E-2</v>
      </c>
      <c r="G1151" s="133">
        <f t="shared" si="17"/>
        <v>5.9471659999999961E-2</v>
      </c>
      <c r="I1151" s="156">
        <f>--(Risk_Prem2[[#This Row],[Return on Equity]]&lt;0.09)</f>
        <v>0</v>
      </c>
    </row>
    <row r="1152" spans="1:9" x14ac:dyDescent="0.2">
      <c r="A1152" s="155"/>
      <c r="C1152" s="148"/>
      <c r="D1152" s="160">
        <v>39072</v>
      </c>
      <c r="E1152" s="161">
        <v>0.1125</v>
      </c>
      <c r="F1152" s="161">
        <v>4.9528340000000039E-2</v>
      </c>
      <c r="G1152" s="133">
        <f t="shared" si="17"/>
        <v>6.2971659999999957E-2</v>
      </c>
      <c r="I1152" s="156">
        <f>--(Risk_Prem2[[#This Row],[Return on Equity]]&lt;0.09)</f>
        <v>0</v>
      </c>
    </row>
    <row r="1153" spans="1:9" x14ac:dyDescent="0.2">
      <c r="A1153" s="155"/>
      <c r="C1153" s="148"/>
      <c r="D1153" s="160">
        <v>39073</v>
      </c>
      <c r="E1153" s="161">
        <v>0.10249999999999999</v>
      </c>
      <c r="F1153" s="161">
        <v>4.9530365000000035E-2</v>
      </c>
      <c r="G1153" s="133">
        <f t="shared" si="17"/>
        <v>5.2969634999999959E-2</v>
      </c>
      <c r="I1153" s="156">
        <f>--(Risk_Prem2[[#This Row],[Return on Equity]]&lt;0.09)</f>
        <v>0</v>
      </c>
    </row>
    <row r="1154" spans="1:9" x14ac:dyDescent="0.2">
      <c r="A1154" s="155"/>
      <c r="C1154" s="148"/>
      <c r="D1154" s="160">
        <v>39087</v>
      </c>
      <c r="E1154" s="161">
        <v>0.1</v>
      </c>
      <c r="F1154" s="161">
        <v>4.9526725000000021E-2</v>
      </c>
      <c r="G1154" s="133">
        <f t="shared" si="17"/>
        <v>5.0473274999999984E-2</v>
      </c>
      <c r="I1154" s="156">
        <f>--(Risk_Prem2[[#This Row],[Return on Equity]]&lt;0.09)</f>
        <v>0</v>
      </c>
    </row>
    <row r="1155" spans="1:9" x14ac:dyDescent="0.2">
      <c r="A1155" s="155"/>
      <c r="C1155" s="148"/>
      <c r="D1155" s="160">
        <v>39093</v>
      </c>
      <c r="E1155" s="161">
        <v>0.10099999999999999</v>
      </c>
      <c r="F1155" s="161">
        <v>4.9495975000000018E-2</v>
      </c>
      <c r="G1155" s="133">
        <f t="shared" si="17"/>
        <v>5.1504024999999974E-2</v>
      </c>
      <c r="I1155" s="156">
        <f>--(Risk_Prem2[[#This Row],[Return on Equity]]&lt;0.09)</f>
        <v>0</v>
      </c>
    </row>
    <row r="1156" spans="1:9" x14ac:dyDescent="0.2">
      <c r="A1156" s="155"/>
      <c r="C1156" s="148"/>
      <c r="D1156" s="160">
        <v>39093</v>
      </c>
      <c r="E1156" s="161">
        <v>0.10099999999999999</v>
      </c>
      <c r="F1156" s="161">
        <v>4.9495975000000018E-2</v>
      </c>
      <c r="G1156" s="133">
        <f t="shared" si="17"/>
        <v>5.1504024999999974E-2</v>
      </c>
      <c r="I1156" s="156">
        <f>--(Risk_Prem2[[#This Row],[Return on Equity]]&lt;0.09)</f>
        <v>0</v>
      </c>
    </row>
    <row r="1157" spans="1:9" x14ac:dyDescent="0.2">
      <c r="A1157" s="155"/>
      <c r="C1157" s="148"/>
      <c r="D1157" s="160">
        <v>39093</v>
      </c>
      <c r="E1157" s="161">
        <v>0.109</v>
      </c>
      <c r="F1157" s="161">
        <v>4.9495975000000018E-2</v>
      </c>
      <c r="G1157" s="133">
        <f t="shared" si="17"/>
        <v>5.9504024999999981E-2</v>
      </c>
      <c r="I1157" s="156">
        <f>--(Risk_Prem2[[#This Row],[Return on Equity]]&lt;0.09)</f>
        <v>0</v>
      </c>
    </row>
    <row r="1158" spans="1:9" x14ac:dyDescent="0.2">
      <c r="A1158" s="155"/>
      <c r="C1158" s="148"/>
      <c r="D1158" s="160">
        <v>39094</v>
      </c>
      <c r="E1158" s="161">
        <v>0.10099999999999999</v>
      </c>
      <c r="F1158" s="161">
        <v>4.9486210000000017E-2</v>
      </c>
      <c r="G1158" s="133">
        <f t="shared" si="17"/>
        <v>5.1513789999999976E-2</v>
      </c>
      <c r="I1158" s="156">
        <f>--(Risk_Prem2[[#This Row],[Return on Equity]]&lt;0.09)</f>
        <v>0</v>
      </c>
    </row>
    <row r="1159" spans="1:9" x14ac:dyDescent="0.2">
      <c r="A1159" s="155"/>
      <c r="C1159" s="148"/>
      <c r="D1159" s="160">
        <v>39095</v>
      </c>
      <c r="E1159" s="161">
        <v>0.10400000000000001</v>
      </c>
      <c r="F1159" s="161">
        <v>4.9486210000000017E-2</v>
      </c>
      <c r="G1159" s="133">
        <f t="shared" si="17"/>
        <v>5.4513789999999993E-2</v>
      </c>
      <c r="I1159" s="156">
        <f>--(Risk_Prem2[[#This Row],[Return on Equity]]&lt;0.09)</f>
        <v>0</v>
      </c>
    </row>
    <row r="1160" spans="1:9" x14ac:dyDescent="0.2">
      <c r="A1160" s="155"/>
      <c r="C1160" s="148"/>
      <c r="D1160" s="160">
        <v>39101</v>
      </c>
      <c r="E1160" s="161">
        <v>0.10800000000000001</v>
      </c>
      <c r="F1160" s="161">
        <v>4.9434705000000016E-2</v>
      </c>
      <c r="G1160" s="133">
        <f t="shared" si="17"/>
        <v>5.8565294999999996E-2</v>
      </c>
      <c r="I1160" s="156">
        <f>--(Risk_Prem2[[#This Row],[Return on Equity]]&lt;0.09)</f>
        <v>0</v>
      </c>
    </row>
    <row r="1161" spans="1:9" x14ac:dyDescent="0.2">
      <c r="A1161" s="155"/>
      <c r="C1161" s="148"/>
      <c r="D1161" s="160">
        <v>39162</v>
      </c>
      <c r="E1161" s="161">
        <v>0.11349999999999999</v>
      </c>
      <c r="F1161" s="161">
        <v>4.8661975000000003E-2</v>
      </c>
      <c r="G1161" s="133">
        <f t="shared" si="17"/>
        <v>6.4838024999999994E-2</v>
      </c>
      <c r="I1161" s="156">
        <f>--(Risk_Prem2[[#This Row],[Return on Equity]]&lt;0.09)</f>
        <v>0</v>
      </c>
    </row>
    <row r="1162" spans="1:9" x14ac:dyDescent="0.2">
      <c r="A1162" s="155"/>
      <c r="C1162" s="148"/>
      <c r="D1162" s="160">
        <v>39163</v>
      </c>
      <c r="E1162" s="161">
        <v>9.7500000000000003E-2</v>
      </c>
      <c r="F1162" s="161">
        <v>4.8643889999999995E-2</v>
      </c>
      <c r="G1162" s="133">
        <f t="shared" si="17"/>
        <v>4.8856110000000008E-2</v>
      </c>
      <c r="I1162" s="156">
        <f>--(Risk_Prem2[[#This Row],[Return on Equity]]&lt;0.09)</f>
        <v>0</v>
      </c>
    </row>
    <row r="1163" spans="1:9" x14ac:dyDescent="0.2">
      <c r="A1163" s="155"/>
      <c r="C1163" s="148"/>
      <c r="D1163" s="160">
        <v>39217</v>
      </c>
      <c r="E1163" s="161">
        <v>0.1</v>
      </c>
      <c r="F1163" s="161">
        <v>4.8080460000000019E-2</v>
      </c>
      <c r="G1163" s="133">
        <f t="shared" si="17"/>
        <v>5.1919539999999986E-2</v>
      </c>
      <c r="I1163" s="156">
        <f>--(Risk_Prem2[[#This Row],[Return on Equity]]&lt;0.09)</f>
        <v>0</v>
      </c>
    </row>
    <row r="1164" spans="1:9" x14ac:dyDescent="0.2">
      <c r="A1164" s="155"/>
      <c r="C1164" s="148"/>
      <c r="D1164" s="160">
        <v>39219</v>
      </c>
      <c r="E1164" s="161">
        <v>0.10249999999999999</v>
      </c>
      <c r="F1164" s="161">
        <v>4.8063975000000009E-2</v>
      </c>
      <c r="G1164" s="133">
        <f t="shared" si="17"/>
        <v>5.4436024999999985E-2</v>
      </c>
      <c r="I1164" s="156">
        <f>--(Risk_Prem2[[#This Row],[Return on Equity]]&lt;0.09)</f>
        <v>0</v>
      </c>
    </row>
    <row r="1165" spans="1:9" x14ac:dyDescent="0.2">
      <c r="A1165" s="155"/>
      <c r="C1165" s="148"/>
      <c r="D1165" s="160">
        <v>39219</v>
      </c>
      <c r="E1165" s="161">
        <v>0.10249999999999999</v>
      </c>
      <c r="F1165" s="161">
        <v>4.8063975000000009E-2</v>
      </c>
      <c r="G1165" s="133">
        <f t="shared" si="17"/>
        <v>5.4436024999999985E-2</v>
      </c>
      <c r="I1165" s="156">
        <f>--(Risk_Prem2[[#This Row],[Return on Equity]]&lt;0.09)</f>
        <v>0</v>
      </c>
    </row>
    <row r="1166" spans="1:9" x14ac:dyDescent="0.2">
      <c r="A1166" s="155"/>
      <c r="C1166" s="148"/>
      <c r="D1166" s="160">
        <v>39224</v>
      </c>
      <c r="E1166" s="161">
        <v>0.10199999999999999</v>
      </c>
      <c r="F1166" s="161">
        <v>4.8045000000000018E-2</v>
      </c>
      <c r="G1166" s="133">
        <f t="shared" si="17"/>
        <v>5.3954999999999975E-2</v>
      </c>
      <c r="I1166" s="156">
        <f>--(Risk_Prem2[[#This Row],[Return on Equity]]&lt;0.09)</f>
        <v>0</v>
      </c>
    </row>
    <row r="1167" spans="1:9" x14ac:dyDescent="0.2">
      <c r="A1167" s="155"/>
      <c r="C1167" s="148"/>
      <c r="D1167" s="160">
        <v>39224</v>
      </c>
      <c r="E1167" s="161">
        <v>0.105</v>
      </c>
      <c r="F1167" s="161">
        <v>4.8045000000000018E-2</v>
      </c>
      <c r="G1167" s="133">
        <f t="shared" si="17"/>
        <v>5.6954999999999978E-2</v>
      </c>
      <c r="I1167" s="156">
        <f>--(Risk_Prem2[[#This Row],[Return on Equity]]&lt;0.09)</f>
        <v>0</v>
      </c>
    </row>
    <row r="1168" spans="1:9" x14ac:dyDescent="0.2">
      <c r="A1168" s="155"/>
      <c r="C1168" s="148"/>
      <c r="D1168" s="160">
        <v>39225</v>
      </c>
      <c r="E1168" s="161">
        <v>0.107</v>
      </c>
      <c r="F1168" s="161">
        <v>4.8045595000000017E-2</v>
      </c>
      <c r="G1168" s="133">
        <f t="shared" si="17"/>
        <v>5.8954404999999981E-2</v>
      </c>
      <c r="I1168" s="156">
        <f>--(Risk_Prem2[[#This Row],[Return on Equity]]&lt;0.09)</f>
        <v>0</v>
      </c>
    </row>
    <row r="1169" spans="1:9" x14ac:dyDescent="0.2">
      <c r="A1169" s="155"/>
      <c r="C1169" s="148"/>
      <c r="D1169" s="160">
        <v>39227</v>
      </c>
      <c r="E1169" s="161">
        <v>9.6699999999999994E-2</v>
      </c>
      <c r="F1169" s="161">
        <v>4.8046375000000016E-2</v>
      </c>
      <c r="G1169" s="133">
        <f t="shared" si="17"/>
        <v>4.8653624999999978E-2</v>
      </c>
      <c r="I1169" s="156">
        <f>--(Risk_Prem2[[#This Row],[Return on Equity]]&lt;0.09)</f>
        <v>0</v>
      </c>
    </row>
    <row r="1170" spans="1:9" x14ac:dyDescent="0.2">
      <c r="A1170" s="155"/>
      <c r="C1170" s="148"/>
      <c r="D1170" s="160">
        <v>39248</v>
      </c>
      <c r="E1170" s="161">
        <v>9.9000000000000005E-2</v>
      </c>
      <c r="F1170" s="161">
        <v>4.8216160000000008E-2</v>
      </c>
      <c r="G1170" s="133">
        <f t="shared" si="17"/>
        <v>5.0783839999999997E-2</v>
      </c>
      <c r="I1170" s="156">
        <f>--(Risk_Prem2[[#This Row],[Return on Equity]]&lt;0.09)</f>
        <v>0</v>
      </c>
    </row>
    <row r="1171" spans="1:9" x14ac:dyDescent="0.2">
      <c r="A1171" s="155"/>
      <c r="C1171" s="148"/>
      <c r="D1171" s="160">
        <v>39254</v>
      </c>
      <c r="E1171" s="161">
        <v>0.10199999999999999</v>
      </c>
      <c r="F1171" s="161">
        <v>4.8283169999999986E-2</v>
      </c>
      <c r="G1171" s="133">
        <f t="shared" si="17"/>
        <v>5.3716830000000007E-2</v>
      </c>
      <c r="I1171" s="156">
        <f>--(Risk_Prem2[[#This Row],[Return on Equity]]&lt;0.09)</f>
        <v>0</v>
      </c>
    </row>
    <row r="1172" spans="1:9" x14ac:dyDescent="0.2">
      <c r="A1172" s="155"/>
      <c r="C1172" s="148"/>
      <c r="D1172" s="160">
        <v>39255</v>
      </c>
      <c r="E1172" s="161">
        <v>0.105</v>
      </c>
      <c r="F1172" s="161">
        <v>4.830009499999998E-2</v>
      </c>
      <c r="G1172" s="133">
        <f t="shared" si="17"/>
        <v>5.6699905000000016E-2</v>
      </c>
      <c r="I1172" s="156">
        <f>--(Risk_Prem2[[#This Row],[Return on Equity]]&lt;0.09)</f>
        <v>0</v>
      </c>
    </row>
    <row r="1173" spans="1:9" x14ac:dyDescent="0.2">
      <c r="A1173" s="155"/>
      <c r="C1173" s="148"/>
      <c r="D1173" s="160">
        <v>39261</v>
      </c>
      <c r="E1173" s="161">
        <v>0.1075</v>
      </c>
      <c r="F1173" s="161">
        <v>4.8369924999999994E-2</v>
      </c>
      <c r="G1173" s="133">
        <f t="shared" si="17"/>
        <v>5.9130075000000004E-2</v>
      </c>
      <c r="I1173" s="156">
        <f>--(Risk_Prem2[[#This Row],[Return on Equity]]&lt;0.09)</f>
        <v>0</v>
      </c>
    </row>
    <row r="1174" spans="1:9" x14ac:dyDescent="0.2">
      <c r="A1174" s="155"/>
      <c r="C1174" s="148"/>
      <c r="D1174" s="160">
        <v>39275</v>
      </c>
      <c r="E1174" s="161">
        <v>9.6699999999999994E-2</v>
      </c>
      <c r="F1174" s="161">
        <v>4.8589229999999997E-2</v>
      </c>
      <c r="G1174" s="133">
        <f t="shared" si="17"/>
        <v>4.8110769999999997E-2</v>
      </c>
      <c r="I1174" s="156">
        <f>--(Risk_Prem2[[#This Row],[Return on Equity]]&lt;0.09)</f>
        <v>0</v>
      </c>
    </row>
    <row r="1175" spans="1:9" x14ac:dyDescent="0.2">
      <c r="A1175" s="155"/>
      <c r="C1175" s="148"/>
      <c r="D1175" s="160">
        <v>39282</v>
      </c>
      <c r="E1175" s="161">
        <v>0.1</v>
      </c>
      <c r="F1175" s="161">
        <v>4.8655155000000019E-2</v>
      </c>
      <c r="G1175" s="133">
        <f t="shared" si="17"/>
        <v>5.1344844999999986E-2</v>
      </c>
      <c r="I1175" s="156">
        <f>--(Risk_Prem2[[#This Row],[Return on Equity]]&lt;0.09)</f>
        <v>0</v>
      </c>
    </row>
    <row r="1176" spans="1:9" x14ac:dyDescent="0.2">
      <c r="A1176" s="155"/>
      <c r="C1176" s="148"/>
      <c r="D1176" s="160">
        <v>39282</v>
      </c>
      <c r="E1176" s="161">
        <v>0.1</v>
      </c>
      <c r="F1176" s="161">
        <v>4.8655155000000019E-2</v>
      </c>
      <c r="G1176" s="133">
        <f t="shared" si="17"/>
        <v>5.1344844999999986E-2</v>
      </c>
      <c r="I1176" s="156">
        <f>--(Risk_Prem2[[#This Row],[Return on Equity]]&lt;0.09)</f>
        <v>0</v>
      </c>
    </row>
    <row r="1177" spans="1:9" x14ac:dyDescent="0.2">
      <c r="A1177" s="155"/>
      <c r="C1177" s="148"/>
      <c r="D1177" s="160">
        <v>39309</v>
      </c>
      <c r="E1177" s="161">
        <v>0.10400000000000001</v>
      </c>
      <c r="F1177" s="161">
        <v>4.8791689999999999E-2</v>
      </c>
      <c r="G1177" s="133">
        <f t="shared" si="17"/>
        <v>5.520831000000001E-2</v>
      </c>
      <c r="I1177" s="156">
        <f>--(Risk_Prem2[[#This Row],[Return on Equity]]&lt;0.09)</f>
        <v>0</v>
      </c>
    </row>
    <row r="1178" spans="1:9" x14ac:dyDescent="0.2">
      <c r="A1178" s="155"/>
      <c r="C1178" s="148"/>
      <c r="D1178" s="160">
        <v>39364</v>
      </c>
      <c r="E1178" s="161">
        <v>0.1</v>
      </c>
      <c r="F1178" s="161">
        <v>4.9086119999999997E-2</v>
      </c>
      <c r="G1178" s="133">
        <f t="shared" si="17"/>
        <v>5.0913880000000009E-2</v>
      </c>
      <c r="I1178" s="156">
        <f>--(Risk_Prem2[[#This Row],[Return on Equity]]&lt;0.09)</f>
        <v>0</v>
      </c>
    </row>
    <row r="1179" spans="1:9" x14ac:dyDescent="0.2">
      <c r="A1179" s="155"/>
      <c r="C1179" s="148"/>
      <c r="D1179" s="160">
        <v>39372</v>
      </c>
      <c r="E1179" s="161">
        <v>9.0999999999999998E-2</v>
      </c>
      <c r="F1179" s="161">
        <v>4.9126994999999979E-2</v>
      </c>
      <c r="G1179" s="133">
        <f t="shared" si="17"/>
        <v>4.1873005000000019E-2</v>
      </c>
      <c r="I1179" s="156">
        <f>--(Risk_Prem2[[#This Row],[Return on Equity]]&lt;0.09)</f>
        <v>0</v>
      </c>
    </row>
    <row r="1180" spans="1:9" x14ac:dyDescent="0.2">
      <c r="A1180" s="155"/>
      <c r="C1180" s="148"/>
      <c r="D1180" s="160">
        <v>39386</v>
      </c>
      <c r="E1180" s="161">
        <v>9.9600000000000008E-2</v>
      </c>
      <c r="F1180" s="161">
        <v>4.9043509999999978E-2</v>
      </c>
      <c r="G1180" s="133">
        <f t="shared" si="17"/>
        <v>5.055649000000003E-2</v>
      </c>
      <c r="I1180" s="156">
        <f>--(Risk_Prem2[[#This Row],[Return on Equity]]&lt;0.09)</f>
        <v>0</v>
      </c>
    </row>
    <row r="1181" spans="1:9" x14ac:dyDescent="0.2">
      <c r="A1181" s="155"/>
      <c r="C1181" s="148"/>
      <c r="D1181" s="160">
        <v>39415</v>
      </c>
      <c r="E1181" s="161">
        <v>0.109</v>
      </c>
      <c r="F1181" s="161">
        <v>4.8677349999999973E-2</v>
      </c>
      <c r="G1181" s="133">
        <f t="shared" si="17"/>
        <v>6.0322650000000026E-2</v>
      </c>
      <c r="I1181" s="156">
        <f>--(Risk_Prem2[[#This Row],[Return on Equity]]&lt;0.09)</f>
        <v>0</v>
      </c>
    </row>
    <row r="1182" spans="1:9" x14ac:dyDescent="0.2">
      <c r="A1182" s="155"/>
      <c r="C1182" s="148"/>
      <c r="D1182" s="160">
        <v>39422</v>
      </c>
      <c r="E1182" s="161">
        <v>0.1075</v>
      </c>
      <c r="F1182" s="161">
        <v>4.8601469999999987E-2</v>
      </c>
      <c r="G1182" s="133">
        <f t="shared" si="17"/>
        <v>5.8898530000000011E-2</v>
      </c>
      <c r="I1182" s="156">
        <f>--(Risk_Prem2[[#This Row],[Return on Equity]]&lt;0.09)</f>
        <v>0</v>
      </c>
    </row>
    <row r="1183" spans="1:9" x14ac:dyDescent="0.2">
      <c r="A1183" s="155"/>
      <c r="C1183" s="148"/>
      <c r="D1183" s="160">
        <v>39429</v>
      </c>
      <c r="E1183" s="161">
        <v>9.9600000000000008E-2</v>
      </c>
      <c r="F1183" s="161">
        <v>4.8581100000000002E-2</v>
      </c>
      <c r="G1183" s="133">
        <f t="shared" si="17"/>
        <v>5.1018900000000006E-2</v>
      </c>
      <c r="I1183" s="156">
        <f>--(Risk_Prem2[[#This Row],[Return on Equity]]&lt;0.09)</f>
        <v>0</v>
      </c>
    </row>
    <row r="1184" spans="1:9" x14ac:dyDescent="0.2">
      <c r="A1184" s="155"/>
      <c r="C1184" s="148"/>
      <c r="D1184" s="160">
        <v>39430</v>
      </c>
      <c r="E1184" s="161">
        <v>0.107</v>
      </c>
      <c r="F1184" s="161">
        <v>4.857794499999999E-2</v>
      </c>
      <c r="G1184" s="133">
        <f t="shared" si="17"/>
        <v>5.8422055000000007E-2</v>
      </c>
      <c r="I1184" s="156">
        <f>--(Risk_Prem2[[#This Row],[Return on Equity]]&lt;0.09)</f>
        <v>0</v>
      </c>
    </row>
    <row r="1185" spans="1:9" x14ac:dyDescent="0.2">
      <c r="A1185" s="155"/>
      <c r="C1185" s="148"/>
      <c r="D1185" s="160">
        <v>39430</v>
      </c>
      <c r="E1185" s="161">
        <v>0.10800000000000001</v>
      </c>
      <c r="F1185" s="161">
        <v>4.857794499999999E-2</v>
      </c>
      <c r="G1185" s="133">
        <f t="shared" si="17"/>
        <v>5.9422055000000022E-2</v>
      </c>
      <c r="I1185" s="156">
        <f>--(Risk_Prem2[[#This Row],[Return on Equity]]&lt;0.09)</f>
        <v>0</v>
      </c>
    </row>
    <row r="1186" spans="1:9" x14ac:dyDescent="0.2">
      <c r="A1186" s="155"/>
      <c r="C1186" s="148"/>
      <c r="D1186" s="160">
        <v>39435</v>
      </c>
      <c r="E1186" s="161">
        <v>0.10199999999999999</v>
      </c>
      <c r="F1186" s="161">
        <v>4.8553399999999997E-2</v>
      </c>
      <c r="G1186" s="133">
        <f t="shared" si="17"/>
        <v>5.3446599999999997E-2</v>
      </c>
      <c r="I1186" s="156">
        <f>--(Risk_Prem2[[#This Row],[Return on Equity]]&lt;0.09)</f>
        <v>0</v>
      </c>
    </row>
    <row r="1187" spans="1:9" x14ac:dyDescent="0.2">
      <c r="A1187" s="155"/>
      <c r="C1187" s="148"/>
      <c r="D1187" s="160">
        <v>39436</v>
      </c>
      <c r="E1187" s="161">
        <v>0.10199999999999999</v>
      </c>
      <c r="F1187" s="161">
        <v>4.8542589999999997E-2</v>
      </c>
      <c r="G1187" s="133">
        <f t="shared" si="17"/>
        <v>5.3457409999999997E-2</v>
      </c>
      <c r="I1187" s="156">
        <f>--(Risk_Prem2[[#This Row],[Return on Equity]]&lt;0.09)</f>
        <v>0</v>
      </c>
    </row>
    <row r="1188" spans="1:9" x14ac:dyDescent="0.2">
      <c r="A1188" s="155"/>
      <c r="C1188" s="148"/>
      <c r="D1188" s="160">
        <v>39436</v>
      </c>
      <c r="E1188" s="161">
        <v>0.11</v>
      </c>
      <c r="F1188" s="161">
        <v>4.8542589999999997E-2</v>
      </c>
      <c r="G1188" s="133">
        <f t="shared" si="17"/>
        <v>6.1457410000000004E-2</v>
      </c>
      <c r="I1188" s="156">
        <f>--(Risk_Prem2[[#This Row],[Return on Equity]]&lt;0.09)</f>
        <v>0</v>
      </c>
    </row>
    <row r="1189" spans="1:9" x14ac:dyDescent="0.2">
      <c r="A1189" s="155"/>
      <c r="C1189" s="148"/>
      <c r="D1189" s="160">
        <v>39444</v>
      </c>
      <c r="E1189" s="161">
        <v>0.10249999999999999</v>
      </c>
      <c r="F1189" s="161">
        <v>4.8501264999999988E-2</v>
      </c>
      <c r="G1189" s="133">
        <f t="shared" si="17"/>
        <v>5.3998735000000006E-2</v>
      </c>
      <c r="I1189" s="156">
        <f>--(Risk_Prem2[[#This Row],[Return on Equity]]&lt;0.09)</f>
        <v>0</v>
      </c>
    </row>
    <row r="1190" spans="1:9" x14ac:dyDescent="0.2">
      <c r="A1190" s="155"/>
      <c r="C1190" s="148"/>
      <c r="D1190" s="160">
        <v>39447</v>
      </c>
      <c r="E1190" s="161">
        <v>0.1125</v>
      </c>
      <c r="F1190" s="161">
        <v>4.8483864999999994E-2</v>
      </c>
      <c r="G1190" s="133">
        <f t="shared" si="17"/>
        <v>6.4016135000000002E-2</v>
      </c>
      <c r="I1190" s="156">
        <f>--(Risk_Prem2[[#This Row],[Return on Equity]]&lt;0.09)</f>
        <v>0</v>
      </c>
    </row>
    <row r="1191" spans="1:9" x14ac:dyDescent="0.2">
      <c r="A1191" s="155"/>
      <c r="C1191" s="148"/>
      <c r="D1191" s="160">
        <v>39455</v>
      </c>
      <c r="E1191" s="161">
        <v>0.1075</v>
      </c>
      <c r="F1191" s="161">
        <v>4.8343504999999995E-2</v>
      </c>
      <c r="G1191" s="133">
        <f t="shared" si="17"/>
        <v>5.9156495000000003E-2</v>
      </c>
      <c r="I1191" s="156">
        <f>--(Risk_Prem2[[#This Row],[Return on Equity]]&lt;0.09)</f>
        <v>0</v>
      </c>
    </row>
    <row r="1192" spans="1:9" x14ac:dyDescent="0.2">
      <c r="A1192" s="155"/>
      <c r="C1192" s="148"/>
      <c r="D1192" s="160">
        <v>39464</v>
      </c>
      <c r="E1192" s="161">
        <v>0.1075</v>
      </c>
      <c r="F1192" s="161">
        <v>4.814949000000001E-2</v>
      </c>
      <c r="G1192" s="133">
        <f t="shared" si="17"/>
        <v>5.9350509999999988E-2</v>
      </c>
      <c r="I1192" s="156">
        <f>--(Risk_Prem2[[#This Row],[Return on Equity]]&lt;0.09)</f>
        <v>0</v>
      </c>
    </row>
    <row r="1193" spans="1:9" x14ac:dyDescent="0.2">
      <c r="A1193" s="155"/>
      <c r="C1193" s="148"/>
      <c r="D1193" s="160">
        <v>39475</v>
      </c>
      <c r="E1193" s="161">
        <v>9.4E-2</v>
      </c>
      <c r="F1193" s="161">
        <v>4.7950795000000018E-2</v>
      </c>
      <c r="G1193" s="133">
        <f t="shared" si="17"/>
        <v>4.6049204999999982E-2</v>
      </c>
      <c r="I1193" s="156">
        <f>--(Risk_Prem2[[#This Row],[Return on Equity]]&lt;0.09)</f>
        <v>0</v>
      </c>
    </row>
    <row r="1194" spans="1:9" x14ac:dyDescent="0.2">
      <c r="A1194" s="155"/>
      <c r="C1194" s="148"/>
      <c r="D1194" s="160">
        <v>39477</v>
      </c>
      <c r="E1194" s="161">
        <v>0.1</v>
      </c>
      <c r="F1194" s="161">
        <v>4.7905805000000017E-2</v>
      </c>
      <c r="G1194" s="133">
        <f t="shared" si="17"/>
        <v>5.2094194999999989E-2</v>
      </c>
      <c r="I1194" s="156">
        <f>--(Risk_Prem2[[#This Row],[Return on Equity]]&lt;0.09)</f>
        <v>0</v>
      </c>
    </row>
    <row r="1195" spans="1:9" x14ac:dyDescent="0.2">
      <c r="A1195" s="155"/>
      <c r="C1195" s="148"/>
      <c r="D1195" s="160">
        <v>39478</v>
      </c>
      <c r="E1195" s="161">
        <v>0.10710000000000001</v>
      </c>
      <c r="F1195" s="161">
        <v>4.7877900000000029E-2</v>
      </c>
      <c r="G1195" s="133">
        <f t="shared" si="17"/>
        <v>5.9222099999999986E-2</v>
      </c>
      <c r="I1195" s="156">
        <f>--(Risk_Prem2[[#This Row],[Return on Equity]]&lt;0.09)</f>
        <v>0</v>
      </c>
    </row>
    <row r="1196" spans="1:9" x14ac:dyDescent="0.2">
      <c r="A1196" s="155"/>
      <c r="C1196" s="148"/>
      <c r="D1196" s="160">
        <v>39507</v>
      </c>
      <c r="E1196" s="161">
        <v>0.10249999999999999</v>
      </c>
      <c r="F1196" s="161">
        <v>4.7492605000000007E-2</v>
      </c>
      <c r="G1196" s="133">
        <f t="shared" si="17"/>
        <v>5.5007394999999987E-2</v>
      </c>
      <c r="I1196" s="156">
        <f>--(Risk_Prem2[[#This Row],[Return on Equity]]&lt;0.09)</f>
        <v>0</v>
      </c>
    </row>
    <row r="1197" spans="1:9" x14ac:dyDescent="0.2">
      <c r="A1197" s="155"/>
      <c r="C1197" s="148"/>
      <c r="D1197" s="160">
        <v>39519</v>
      </c>
      <c r="E1197" s="161">
        <v>0.10249999999999999</v>
      </c>
      <c r="F1197" s="161">
        <v>4.7279645000000009E-2</v>
      </c>
      <c r="G1197" s="133">
        <f t="shared" si="17"/>
        <v>5.5220354999999985E-2</v>
      </c>
      <c r="I1197" s="156">
        <f>--(Risk_Prem2[[#This Row],[Return on Equity]]&lt;0.09)</f>
        <v>0</v>
      </c>
    </row>
    <row r="1198" spans="1:9" x14ac:dyDescent="0.2">
      <c r="A1198" s="155"/>
      <c r="C1198" s="148"/>
      <c r="D1198" s="160">
        <v>39532</v>
      </c>
      <c r="E1198" s="161">
        <v>9.0999999999999998E-2</v>
      </c>
      <c r="F1198" s="161">
        <v>4.6842684999999981E-2</v>
      </c>
      <c r="G1198" s="133">
        <f t="shared" ref="G1198:G1261" si="18">E1198-F1198</f>
        <v>4.4157315000000016E-2</v>
      </c>
      <c r="I1198" s="156">
        <f>--(Risk_Prem2[[#This Row],[Return on Equity]]&lt;0.09)</f>
        <v>0</v>
      </c>
    </row>
    <row r="1199" spans="1:9" x14ac:dyDescent="0.2">
      <c r="A1199" s="155"/>
      <c r="C1199" s="148"/>
      <c r="D1199" s="160">
        <v>39560</v>
      </c>
      <c r="E1199" s="161">
        <v>0.10249999999999999</v>
      </c>
      <c r="F1199" s="161">
        <v>4.6039035000000006E-2</v>
      </c>
      <c r="G1199" s="133">
        <f t="shared" si="18"/>
        <v>5.6460964999999988E-2</v>
      </c>
      <c r="I1199" s="156">
        <f>--(Risk_Prem2[[#This Row],[Return on Equity]]&lt;0.09)</f>
        <v>0</v>
      </c>
    </row>
    <row r="1200" spans="1:9" x14ac:dyDescent="0.2">
      <c r="A1200" s="155"/>
      <c r="C1200" s="148"/>
      <c r="D1200" s="160">
        <v>39562</v>
      </c>
      <c r="E1200" s="161">
        <v>0.10099999999999999</v>
      </c>
      <c r="F1200" s="161">
        <v>4.5979275000000007E-2</v>
      </c>
      <c r="G1200" s="133">
        <f t="shared" si="18"/>
        <v>5.5020724999999986E-2</v>
      </c>
      <c r="I1200" s="156">
        <f>--(Risk_Prem2[[#This Row],[Return on Equity]]&lt;0.09)</f>
        <v>0</v>
      </c>
    </row>
    <row r="1201" spans="1:9" x14ac:dyDescent="0.2">
      <c r="A1201" s="155"/>
      <c r="C1201" s="148"/>
      <c r="D1201" s="160">
        <v>39569</v>
      </c>
      <c r="E1201" s="161">
        <v>0.107</v>
      </c>
      <c r="F1201" s="161">
        <v>4.5856575000000017E-2</v>
      </c>
      <c r="G1201" s="133">
        <f t="shared" si="18"/>
        <v>6.114342499999998E-2</v>
      </c>
      <c r="I1201" s="156">
        <f>--(Risk_Prem2[[#This Row],[Return on Equity]]&lt;0.09)</f>
        <v>0</v>
      </c>
    </row>
    <row r="1202" spans="1:9" x14ac:dyDescent="0.2">
      <c r="A1202" s="155"/>
      <c r="C1202" s="148"/>
      <c r="D1202" s="160">
        <v>39587</v>
      </c>
      <c r="E1202" s="161">
        <v>0.11</v>
      </c>
      <c r="F1202" s="161">
        <v>4.5635369999999995E-2</v>
      </c>
      <c r="G1202" s="133">
        <f t="shared" si="18"/>
        <v>6.4364630000000006E-2</v>
      </c>
      <c r="I1202" s="156">
        <f>--(Risk_Prem2[[#This Row],[Return on Equity]]&lt;0.09)</f>
        <v>0</v>
      </c>
    </row>
    <row r="1203" spans="1:9" x14ac:dyDescent="0.2">
      <c r="A1203" s="155"/>
      <c r="C1203" s="148"/>
      <c r="D1203" s="160">
        <v>39595</v>
      </c>
      <c r="E1203" s="161">
        <v>0.1</v>
      </c>
      <c r="F1203" s="161">
        <v>4.5515289999999979E-2</v>
      </c>
      <c r="G1203" s="133">
        <f t="shared" si="18"/>
        <v>5.4484710000000026E-2</v>
      </c>
      <c r="I1203" s="156">
        <f>--(Risk_Prem2[[#This Row],[Return on Equity]]&lt;0.09)</f>
        <v>0</v>
      </c>
    </row>
    <row r="1204" spans="1:9" x14ac:dyDescent="0.2">
      <c r="A1204" s="155"/>
      <c r="C1204" s="148"/>
      <c r="D1204" s="160">
        <v>39609</v>
      </c>
      <c r="E1204" s="161">
        <v>0.107</v>
      </c>
      <c r="F1204" s="161">
        <v>4.5423774999999965E-2</v>
      </c>
      <c r="G1204" s="133">
        <f t="shared" si="18"/>
        <v>6.1576225000000033E-2</v>
      </c>
      <c r="I1204" s="156">
        <f>--(Risk_Prem2[[#This Row],[Return on Equity]]&lt;0.09)</f>
        <v>0</v>
      </c>
    </row>
    <row r="1205" spans="1:9" x14ac:dyDescent="0.2">
      <c r="A1205" s="155"/>
      <c r="C1205" s="148"/>
      <c r="D1205" s="160">
        <v>39626</v>
      </c>
      <c r="E1205" s="161">
        <v>0.105</v>
      </c>
      <c r="F1205" s="161">
        <v>4.538727499999997E-2</v>
      </c>
      <c r="G1205" s="133">
        <f t="shared" si="18"/>
        <v>5.9612725000000026E-2</v>
      </c>
      <c r="I1205" s="156">
        <f>--(Risk_Prem2[[#This Row],[Return on Equity]]&lt;0.09)</f>
        <v>0</v>
      </c>
    </row>
    <row r="1206" spans="1:9" x14ac:dyDescent="0.2">
      <c r="A1206" s="155"/>
      <c r="C1206" s="148"/>
      <c r="D1206" s="160">
        <v>39626</v>
      </c>
      <c r="E1206" s="161">
        <v>0.1104</v>
      </c>
      <c r="F1206" s="161">
        <v>4.538727499999997E-2</v>
      </c>
      <c r="G1206" s="133">
        <f t="shared" si="18"/>
        <v>6.5012725000000021E-2</v>
      </c>
      <c r="I1206" s="156">
        <f>--(Risk_Prem2[[#This Row],[Return on Equity]]&lt;0.09)</f>
        <v>0</v>
      </c>
    </row>
    <row r="1207" spans="1:9" x14ac:dyDescent="0.2">
      <c r="A1207" s="155"/>
      <c r="C1207" s="148"/>
      <c r="D1207" s="160">
        <v>39639</v>
      </c>
      <c r="E1207" s="161">
        <v>0.1043</v>
      </c>
      <c r="F1207" s="161">
        <v>4.5235064999999963E-2</v>
      </c>
      <c r="G1207" s="133">
        <f t="shared" si="18"/>
        <v>5.9064935000000041E-2</v>
      </c>
      <c r="I1207" s="156">
        <f>--(Risk_Prem2[[#This Row],[Return on Equity]]&lt;0.09)</f>
        <v>0</v>
      </c>
    </row>
    <row r="1208" spans="1:9" x14ac:dyDescent="0.2">
      <c r="A1208" s="155"/>
      <c r="C1208" s="148"/>
      <c r="D1208" s="160">
        <v>39645</v>
      </c>
      <c r="E1208" s="161">
        <v>9.4E-2</v>
      </c>
      <c r="F1208" s="161">
        <v>4.5163544999999958E-2</v>
      </c>
      <c r="G1208" s="133">
        <f t="shared" si="18"/>
        <v>4.8836455000000042E-2</v>
      </c>
      <c r="I1208" s="156">
        <f>--(Risk_Prem2[[#This Row],[Return on Equity]]&lt;0.09)</f>
        <v>0</v>
      </c>
    </row>
    <row r="1209" spans="1:9" x14ac:dyDescent="0.2">
      <c r="A1209" s="155"/>
      <c r="C1209" s="148"/>
      <c r="D1209" s="160">
        <v>39659</v>
      </c>
      <c r="E1209" s="161">
        <v>0.10800000000000001</v>
      </c>
      <c r="F1209" s="161">
        <v>4.5087534999999949E-2</v>
      </c>
      <c r="G1209" s="133">
        <f t="shared" si="18"/>
        <v>6.2912465000000056E-2</v>
      </c>
      <c r="I1209" s="156">
        <f>--(Risk_Prem2[[#This Row],[Return on Equity]]&lt;0.09)</f>
        <v>0</v>
      </c>
    </row>
    <row r="1210" spans="1:9" x14ac:dyDescent="0.2">
      <c r="A1210" s="155"/>
      <c r="C1210" s="148"/>
      <c r="D1210" s="160">
        <v>39660</v>
      </c>
      <c r="E1210" s="161">
        <v>0.107</v>
      </c>
      <c r="F1210" s="161">
        <v>4.5082029999999967E-2</v>
      </c>
      <c r="G1210" s="133">
        <f t="shared" si="18"/>
        <v>6.191797000000003E-2</v>
      </c>
      <c r="I1210" s="156">
        <f>--(Risk_Prem2[[#This Row],[Return on Equity]]&lt;0.09)</f>
        <v>0</v>
      </c>
    </row>
    <row r="1211" spans="1:9" x14ac:dyDescent="0.2">
      <c r="A1211" s="155"/>
      <c r="C1211" s="148"/>
      <c r="D1211" s="160">
        <v>39671</v>
      </c>
      <c r="E1211" s="161">
        <v>0.10249999999999999</v>
      </c>
      <c r="F1211" s="161">
        <v>4.505768999999997E-2</v>
      </c>
      <c r="G1211" s="133">
        <f t="shared" si="18"/>
        <v>5.7442310000000024E-2</v>
      </c>
      <c r="I1211" s="156">
        <f>--(Risk_Prem2[[#This Row],[Return on Equity]]&lt;0.09)</f>
        <v>0</v>
      </c>
    </row>
    <row r="1212" spans="1:9" x14ac:dyDescent="0.2">
      <c r="A1212" s="155"/>
      <c r="C1212" s="148"/>
      <c r="D1212" s="160">
        <v>39686</v>
      </c>
      <c r="E1212" s="161">
        <v>0.1018</v>
      </c>
      <c r="F1212" s="161">
        <v>4.4992214999999974E-2</v>
      </c>
      <c r="G1212" s="133">
        <f t="shared" si="18"/>
        <v>5.6807785000000027E-2</v>
      </c>
      <c r="I1212" s="156">
        <f>--(Risk_Prem2[[#This Row],[Return on Equity]]&lt;0.09)</f>
        <v>0</v>
      </c>
    </row>
    <row r="1213" spans="1:9" x14ac:dyDescent="0.2">
      <c r="A1213" s="155"/>
      <c r="C1213" s="148"/>
      <c r="D1213" s="160">
        <v>39701</v>
      </c>
      <c r="E1213" s="161">
        <v>0.10300000000000001</v>
      </c>
      <c r="F1213" s="161">
        <v>4.4954185000000008E-2</v>
      </c>
      <c r="G1213" s="133">
        <f t="shared" si="18"/>
        <v>5.8045815000000001E-2</v>
      </c>
      <c r="I1213" s="156">
        <f>--(Risk_Prem2[[#This Row],[Return on Equity]]&lt;0.09)</f>
        <v>0</v>
      </c>
    </row>
    <row r="1214" spans="1:9" x14ac:dyDescent="0.2">
      <c r="A1214" s="155"/>
      <c r="C1214" s="148"/>
      <c r="D1214" s="160">
        <v>39715</v>
      </c>
      <c r="E1214" s="161">
        <v>0.1065</v>
      </c>
      <c r="F1214" s="161">
        <v>4.4804484999999998E-2</v>
      </c>
      <c r="G1214" s="133">
        <f t="shared" si="18"/>
        <v>6.1695514999999999E-2</v>
      </c>
      <c r="I1214" s="156">
        <f>--(Risk_Prem2[[#This Row],[Return on Equity]]&lt;0.09)</f>
        <v>0</v>
      </c>
    </row>
    <row r="1215" spans="1:9" x14ac:dyDescent="0.2">
      <c r="A1215" s="155"/>
      <c r="C1215" s="148"/>
      <c r="D1215" s="160">
        <v>39715</v>
      </c>
      <c r="E1215" s="161">
        <v>0.1065</v>
      </c>
      <c r="F1215" s="161">
        <v>4.4804484999999998E-2</v>
      </c>
      <c r="G1215" s="133">
        <f t="shared" si="18"/>
        <v>6.1695514999999999E-2</v>
      </c>
      <c r="I1215" s="156">
        <f>--(Risk_Prem2[[#This Row],[Return on Equity]]&lt;0.09)</f>
        <v>0</v>
      </c>
    </row>
    <row r="1216" spans="1:9" x14ac:dyDescent="0.2">
      <c r="A1216" s="155"/>
      <c r="C1216" s="148"/>
      <c r="D1216" s="160">
        <v>39715</v>
      </c>
      <c r="E1216" s="161">
        <v>0.1065</v>
      </c>
      <c r="F1216" s="161">
        <v>4.4804484999999998E-2</v>
      </c>
      <c r="G1216" s="133">
        <f t="shared" si="18"/>
        <v>6.1695514999999999E-2</v>
      </c>
      <c r="I1216" s="156">
        <f>--(Risk_Prem2[[#This Row],[Return on Equity]]&lt;0.09)</f>
        <v>0</v>
      </c>
    </row>
    <row r="1217" spans="1:9" x14ac:dyDescent="0.2">
      <c r="A1217" s="155"/>
      <c r="C1217" s="148"/>
      <c r="D1217" s="160">
        <v>39721</v>
      </c>
      <c r="E1217" s="161">
        <v>0.10199999999999999</v>
      </c>
      <c r="F1217" s="161">
        <v>4.4750110000000003E-2</v>
      </c>
      <c r="G1217" s="133">
        <f t="shared" si="18"/>
        <v>5.7249889999999991E-2</v>
      </c>
      <c r="I1217" s="156">
        <f>--(Risk_Prem2[[#This Row],[Return on Equity]]&lt;0.09)</f>
        <v>0</v>
      </c>
    </row>
    <row r="1218" spans="1:9" x14ac:dyDescent="0.2">
      <c r="A1218" s="155"/>
      <c r="C1218" s="148"/>
      <c r="D1218" s="160">
        <v>39729</v>
      </c>
      <c r="E1218" s="161">
        <v>0.10150000000000001</v>
      </c>
      <c r="F1218" s="161">
        <v>4.4623629999999997E-2</v>
      </c>
      <c r="G1218" s="133">
        <f t="shared" si="18"/>
        <v>5.6876370000000009E-2</v>
      </c>
      <c r="I1218" s="156">
        <f>--(Risk_Prem2[[#This Row],[Return on Equity]]&lt;0.09)</f>
        <v>0</v>
      </c>
    </row>
    <row r="1219" spans="1:9" x14ac:dyDescent="0.2">
      <c r="A1219" s="155"/>
      <c r="C1219" s="148"/>
      <c r="D1219" s="160">
        <v>39765</v>
      </c>
      <c r="E1219" s="161">
        <v>0.10550000000000001</v>
      </c>
      <c r="F1219" s="161">
        <v>4.4452234999999993E-2</v>
      </c>
      <c r="G1219" s="133">
        <f t="shared" si="18"/>
        <v>6.1047765000000018E-2</v>
      </c>
      <c r="I1219" s="156">
        <f>--(Risk_Prem2[[#This Row],[Return on Equity]]&lt;0.09)</f>
        <v>0</v>
      </c>
    </row>
    <row r="1220" spans="1:9" x14ac:dyDescent="0.2">
      <c r="A1220" s="155"/>
      <c r="C1220" s="148"/>
      <c r="D1220" s="160">
        <v>39769</v>
      </c>
      <c r="E1220" s="161">
        <v>0.10199999999999999</v>
      </c>
      <c r="F1220" s="161">
        <v>4.443246499999999E-2</v>
      </c>
      <c r="G1220" s="133">
        <f t="shared" si="18"/>
        <v>5.7567535000000003E-2</v>
      </c>
      <c r="I1220" s="156">
        <f>--(Risk_Prem2[[#This Row],[Return on Equity]]&lt;0.09)</f>
        <v>0</v>
      </c>
    </row>
    <row r="1221" spans="1:9" x14ac:dyDescent="0.2">
      <c r="A1221" s="155"/>
      <c r="C1221" s="148"/>
      <c r="D1221" s="160">
        <v>39783</v>
      </c>
      <c r="E1221" s="161">
        <v>0.10249999999999999</v>
      </c>
      <c r="F1221" s="161">
        <v>4.3955734999999975E-2</v>
      </c>
      <c r="G1221" s="133">
        <f t="shared" si="18"/>
        <v>5.8544265000000019E-2</v>
      </c>
      <c r="I1221" s="156">
        <f>--(Risk_Prem2[[#This Row],[Return on Equity]]&lt;0.09)</f>
        <v>0</v>
      </c>
    </row>
    <row r="1222" spans="1:9" x14ac:dyDescent="0.2">
      <c r="A1222" s="155"/>
      <c r="C1222" s="148"/>
      <c r="D1222" s="160">
        <v>39805</v>
      </c>
      <c r="E1222" s="161">
        <v>0.11</v>
      </c>
      <c r="F1222" s="161">
        <v>4.2698614999999968E-2</v>
      </c>
      <c r="G1222" s="133">
        <f t="shared" si="18"/>
        <v>6.7301385000000033E-2</v>
      </c>
      <c r="I1222" s="156">
        <f>--(Risk_Prem2[[#This Row],[Return on Equity]]&lt;0.09)</f>
        <v>0</v>
      </c>
    </row>
    <row r="1223" spans="1:9" x14ac:dyDescent="0.2">
      <c r="A1223" s="155"/>
      <c r="C1223" s="148"/>
      <c r="D1223" s="160">
        <v>39811</v>
      </c>
      <c r="E1223" s="161">
        <v>0.1</v>
      </c>
      <c r="F1223" s="161">
        <v>4.2378929999999967E-2</v>
      </c>
      <c r="G1223" s="133">
        <f t="shared" si="18"/>
        <v>5.7621070000000038E-2</v>
      </c>
      <c r="I1223" s="156">
        <f>--(Risk_Prem2[[#This Row],[Return on Equity]]&lt;0.09)</f>
        <v>0</v>
      </c>
    </row>
    <row r="1224" spans="1:9" x14ac:dyDescent="0.2">
      <c r="A1224" s="155"/>
      <c r="C1224" s="148"/>
      <c r="D1224" s="160">
        <v>39811</v>
      </c>
      <c r="E1224" s="161">
        <v>0.10199999999999999</v>
      </c>
      <c r="F1224" s="161">
        <v>4.2378929999999967E-2</v>
      </c>
      <c r="G1224" s="133">
        <f t="shared" si="18"/>
        <v>5.9621070000000026E-2</v>
      </c>
      <c r="I1224" s="156">
        <f>--(Risk_Prem2[[#This Row],[Return on Equity]]&lt;0.09)</f>
        <v>0</v>
      </c>
    </row>
    <row r="1225" spans="1:9" x14ac:dyDescent="0.2">
      <c r="A1225" s="155"/>
      <c r="C1225" s="148"/>
      <c r="D1225" s="160">
        <v>39813</v>
      </c>
      <c r="E1225" s="161">
        <v>0.1075</v>
      </c>
      <c r="F1225" s="161">
        <v>4.2209994999999959E-2</v>
      </c>
      <c r="G1225" s="133">
        <f t="shared" si="18"/>
        <v>6.529000500000004E-2</v>
      </c>
      <c r="I1225" s="156">
        <f>--(Risk_Prem2[[#This Row],[Return on Equity]]&lt;0.09)</f>
        <v>0</v>
      </c>
    </row>
    <row r="1226" spans="1:9" x14ac:dyDescent="0.2">
      <c r="A1226" s="155"/>
      <c r="C1226" s="148"/>
      <c r="D1226" s="160">
        <v>39827</v>
      </c>
      <c r="E1226" s="161">
        <v>0.105</v>
      </c>
      <c r="F1226" s="161">
        <v>4.1509119999999962E-2</v>
      </c>
      <c r="G1226" s="133">
        <f t="shared" si="18"/>
        <v>6.3490880000000027E-2</v>
      </c>
      <c r="I1226" s="156">
        <f>--(Risk_Prem2[[#This Row],[Return on Equity]]&lt;0.09)</f>
        <v>0</v>
      </c>
    </row>
    <row r="1227" spans="1:9" x14ac:dyDescent="0.2">
      <c r="A1227" s="155"/>
      <c r="C1227" s="148"/>
      <c r="D1227" s="160">
        <v>39834</v>
      </c>
      <c r="E1227" s="161">
        <v>0.105</v>
      </c>
      <c r="F1227" s="161">
        <v>4.1150309999999975E-2</v>
      </c>
      <c r="G1227" s="133">
        <f t="shared" si="18"/>
        <v>6.3849690000000014E-2</v>
      </c>
      <c r="I1227" s="156">
        <f>--(Risk_Prem2[[#This Row],[Return on Equity]]&lt;0.09)</f>
        <v>0</v>
      </c>
    </row>
    <row r="1228" spans="1:9" x14ac:dyDescent="0.2">
      <c r="A1228" s="155"/>
      <c r="C1228" s="148"/>
      <c r="D1228" s="160">
        <v>39834</v>
      </c>
      <c r="E1228" s="161">
        <v>0.105</v>
      </c>
      <c r="F1228" s="161">
        <v>4.1150309999999975E-2</v>
      </c>
      <c r="G1228" s="133">
        <f t="shared" si="18"/>
        <v>6.3849690000000014E-2</v>
      </c>
      <c r="I1228" s="156">
        <f>--(Risk_Prem2[[#This Row],[Return on Equity]]&lt;0.09)</f>
        <v>0</v>
      </c>
    </row>
    <row r="1229" spans="1:9" x14ac:dyDescent="0.2">
      <c r="A1229" s="155"/>
      <c r="C1229" s="148"/>
      <c r="D1229" s="160">
        <v>39834</v>
      </c>
      <c r="E1229" s="161">
        <v>0.105</v>
      </c>
      <c r="F1229" s="161">
        <v>4.1150309999999975E-2</v>
      </c>
      <c r="G1229" s="133">
        <f t="shared" si="18"/>
        <v>6.3849690000000014E-2</v>
      </c>
      <c r="I1229" s="156">
        <f>--(Risk_Prem2[[#This Row],[Return on Equity]]&lt;0.09)</f>
        <v>0</v>
      </c>
    </row>
    <row r="1230" spans="1:9" x14ac:dyDescent="0.2">
      <c r="A1230" s="155"/>
      <c r="C1230" s="148"/>
      <c r="D1230" s="160">
        <v>39840</v>
      </c>
      <c r="E1230" s="161">
        <v>0.1076</v>
      </c>
      <c r="F1230" s="161">
        <v>4.0912529999999968E-2</v>
      </c>
      <c r="G1230" s="133">
        <f t="shared" si="18"/>
        <v>6.6687470000000026E-2</v>
      </c>
      <c r="I1230" s="156">
        <f>--(Risk_Prem2[[#This Row],[Return on Equity]]&lt;0.09)</f>
        <v>0</v>
      </c>
    </row>
    <row r="1231" spans="1:9" x14ac:dyDescent="0.2">
      <c r="A1231" s="155"/>
      <c r="C1231" s="148"/>
      <c r="D1231" s="160">
        <v>39843</v>
      </c>
      <c r="E1231" s="161">
        <v>0.105</v>
      </c>
      <c r="F1231" s="161">
        <v>4.0762724999999979E-2</v>
      </c>
      <c r="G1231" s="133">
        <f t="shared" si="18"/>
        <v>6.423727500000001E-2</v>
      </c>
      <c r="I1231" s="156">
        <f>--(Risk_Prem2[[#This Row],[Return on Equity]]&lt;0.09)</f>
        <v>0</v>
      </c>
    </row>
    <row r="1232" spans="1:9" x14ac:dyDescent="0.2">
      <c r="A1232" s="155"/>
      <c r="C1232" s="148"/>
      <c r="D1232" s="160">
        <v>39848</v>
      </c>
      <c r="E1232" s="161">
        <v>8.7499999999999994E-2</v>
      </c>
      <c r="F1232" s="161">
        <v>4.0625459999999981E-2</v>
      </c>
      <c r="G1232" s="133">
        <f t="shared" si="18"/>
        <v>4.6874540000000013E-2</v>
      </c>
      <c r="I1232" s="156">
        <f>--(Risk_Prem2[[#This Row],[Return on Equity]]&lt;0.09)</f>
        <v>1</v>
      </c>
    </row>
    <row r="1233" spans="1:9" x14ac:dyDescent="0.2">
      <c r="A1233" s="155"/>
      <c r="C1233" s="148"/>
      <c r="D1233" s="160">
        <v>39876</v>
      </c>
      <c r="E1233" s="161">
        <v>0.105</v>
      </c>
      <c r="F1233" s="161">
        <v>3.9637715000000018E-2</v>
      </c>
      <c r="G1233" s="133">
        <f t="shared" si="18"/>
        <v>6.5362284999999978E-2</v>
      </c>
      <c r="I1233" s="156">
        <f>--(Risk_Prem2[[#This Row],[Return on Equity]]&lt;0.09)</f>
        <v>0</v>
      </c>
    </row>
    <row r="1234" spans="1:9" x14ac:dyDescent="0.2">
      <c r="A1234" s="155"/>
      <c r="C1234" s="148"/>
      <c r="D1234" s="160">
        <v>39884</v>
      </c>
      <c r="E1234" s="161">
        <v>0.115</v>
      </c>
      <c r="F1234" s="161">
        <v>3.9308615000000019E-2</v>
      </c>
      <c r="G1234" s="133">
        <f t="shared" si="18"/>
        <v>7.5691384999999986E-2</v>
      </c>
      <c r="I1234" s="156">
        <f>--(Risk_Prem2[[#This Row],[Return on Equity]]&lt;0.09)</f>
        <v>0</v>
      </c>
    </row>
    <row r="1235" spans="1:9" x14ac:dyDescent="0.2">
      <c r="A1235" s="155"/>
      <c r="C1235" s="148"/>
      <c r="D1235" s="160">
        <v>39905</v>
      </c>
      <c r="E1235" s="161">
        <v>0.111</v>
      </c>
      <c r="F1235" s="161">
        <v>3.8514375000000017E-2</v>
      </c>
      <c r="G1235" s="133">
        <f t="shared" si="18"/>
        <v>7.2485624999999984E-2</v>
      </c>
      <c r="I1235" s="156">
        <f>--(Risk_Prem2[[#This Row],[Return on Equity]]&lt;0.09)</f>
        <v>0</v>
      </c>
    </row>
    <row r="1236" spans="1:9" x14ac:dyDescent="0.2">
      <c r="A1236" s="155"/>
      <c r="C1236" s="148"/>
      <c r="D1236" s="160">
        <v>39924</v>
      </c>
      <c r="E1236" s="161">
        <v>0.1061</v>
      </c>
      <c r="F1236" s="161">
        <v>3.8009035000000024E-2</v>
      </c>
      <c r="G1236" s="133">
        <f t="shared" si="18"/>
        <v>6.8090964999999976E-2</v>
      </c>
      <c r="I1236" s="156">
        <f>--(Risk_Prem2[[#This Row],[Return on Equity]]&lt;0.09)</f>
        <v>0</v>
      </c>
    </row>
    <row r="1237" spans="1:9" x14ac:dyDescent="0.2">
      <c r="A1237" s="155"/>
      <c r="C1237" s="148"/>
      <c r="D1237" s="160">
        <v>39927</v>
      </c>
      <c r="E1237" s="161">
        <v>0.1</v>
      </c>
      <c r="F1237" s="161">
        <v>3.789086500000003E-2</v>
      </c>
      <c r="G1237" s="133">
        <f t="shared" si="18"/>
        <v>6.2109134999999975E-2</v>
      </c>
      <c r="I1237" s="156">
        <f>--(Risk_Prem2[[#This Row],[Return on Equity]]&lt;0.09)</f>
        <v>0</v>
      </c>
    </row>
    <row r="1238" spans="1:9" x14ac:dyDescent="0.2">
      <c r="A1238" s="155"/>
      <c r="C1238" s="148"/>
      <c r="D1238" s="160">
        <v>39933</v>
      </c>
      <c r="E1238" s="161">
        <v>0.1125</v>
      </c>
      <c r="F1238" s="161">
        <v>3.7755245000000021E-2</v>
      </c>
      <c r="G1238" s="133">
        <f t="shared" si="18"/>
        <v>7.4744754999999982E-2</v>
      </c>
      <c r="I1238" s="156">
        <f>--(Risk_Prem2[[#This Row],[Return on Equity]]&lt;0.09)</f>
        <v>0</v>
      </c>
    </row>
    <row r="1239" spans="1:9" x14ac:dyDescent="0.2">
      <c r="A1239" s="155"/>
      <c r="C1239" s="148"/>
      <c r="D1239" s="160">
        <v>39937</v>
      </c>
      <c r="E1239" s="161">
        <v>0.1074</v>
      </c>
      <c r="F1239" s="161">
        <v>3.7696825000000017E-2</v>
      </c>
      <c r="G1239" s="133">
        <f t="shared" si="18"/>
        <v>6.9703174999999978E-2</v>
      </c>
      <c r="I1239" s="156">
        <f>--(Risk_Prem2[[#This Row],[Return on Equity]]&lt;0.09)</f>
        <v>0</v>
      </c>
    </row>
    <row r="1240" spans="1:9" x14ac:dyDescent="0.2">
      <c r="A1240" s="155"/>
      <c r="C1240" s="148"/>
      <c r="D1240" s="160">
        <v>39953</v>
      </c>
      <c r="E1240" s="161">
        <v>0.10249999999999999</v>
      </c>
      <c r="F1240" s="161">
        <v>3.74344E-2</v>
      </c>
      <c r="G1240" s="133">
        <f t="shared" si="18"/>
        <v>6.5065600000000001E-2</v>
      </c>
      <c r="I1240" s="156">
        <f>--(Risk_Prem2[[#This Row],[Return on Equity]]&lt;0.09)</f>
        <v>0</v>
      </c>
    </row>
    <row r="1241" spans="1:9" x14ac:dyDescent="0.2">
      <c r="A1241" s="155"/>
      <c r="C1241" s="148"/>
      <c r="D1241" s="160">
        <v>39961</v>
      </c>
      <c r="E1241" s="161">
        <v>0.105</v>
      </c>
      <c r="F1241" s="161">
        <v>3.7429730000000015E-2</v>
      </c>
      <c r="G1241" s="133">
        <f t="shared" si="18"/>
        <v>6.7570269999999988E-2</v>
      </c>
      <c r="I1241" s="156">
        <f>--(Risk_Prem2[[#This Row],[Return on Equity]]&lt;0.09)</f>
        <v>0</v>
      </c>
    </row>
    <row r="1242" spans="1:9" x14ac:dyDescent="0.2">
      <c r="A1242" s="155"/>
      <c r="C1242" s="148"/>
      <c r="D1242" s="160">
        <v>39986</v>
      </c>
      <c r="E1242" s="161">
        <v>0.1</v>
      </c>
      <c r="F1242" s="161">
        <v>3.7637790000000011E-2</v>
      </c>
      <c r="G1242" s="133">
        <f t="shared" si="18"/>
        <v>6.2362209999999994E-2</v>
      </c>
      <c r="I1242" s="156">
        <f>--(Risk_Prem2[[#This Row],[Return on Equity]]&lt;0.09)</f>
        <v>0</v>
      </c>
    </row>
    <row r="1243" spans="1:9" x14ac:dyDescent="0.2">
      <c r="A1243" s="155"/>
      <c r="C1243" s="148"/>
      <c r="D1243" s="160">
        <v>39988</v>
      </c>
      <c r="E1243" s="161">
        <v>0.10800000000000001</v>
      </c>
      <c r="F1243" s="161">
        <v>3.7668755000000012E-2</v>
      </c>
      <c r="G1243" s="133">
        <f t="shared" si="18"/>
        <v>7.0331245000000001E-2</v>
      </c>
      <c r="I1243" s="156">
        <f>--(Risk_Prem2[[#This Row],[Return on Equity]]&lt;0.09)</f>
        <v>0</v>
      </c>
    </row>
    <row r="1244" spans="1:9" x14ac:dyDescent="0.2">
      <c r="A1244" s="155"/>
      <c r="C1244" s="148"/>
      <c r="D1244" s="160">
        <v>40002</v>
      </c>
      <c r="E1244" s="161">
        <v>0.10630000000000001</v>
      </c>
      <c r="F1244" s="161">
        <v>3.7664310000000013E-2</v>
      </c>
      <c r="G1244" s="133">
        <f t="shared" si="18"/>
        <v>6.8635689999999999E-2</v>
      </c>
      <c r="I1244" s="156">
        <f>--(Risk_Prem2[[#This Row],[Return on Equity]]&lt;0.09)</f>
        <v>0</v>
      </c>
    </row>
    <row r="1245" spans="1:9" x14ac:dyDescent="0.2">
      <c r="A1245" s="155"/>
      <c r="C1245" s="148"/>
      <c r="D1245" s="160">
        <v>40011</v>
      </c>
      <c r="E1245" s="161">
        <v>0.105</v>
      </c>
      <c r="F1245" s="161">
        <v>3.7766770000000012E-2</v>
      </c>
      <c r="G1245" s="133">
        <f t="shared" si="18"/>
        <v>6.7233229999999977E-2</v>
      </c>
      <c r="I1245" s="156">
        <f>--(Risk_Prem2[[#This Row],[Return on Equity]]&lt;0.09)</f>
        <v>0</v>
      </c>
    </row>
    <row r="1246" spans="1:9" x14ac:dyDescent="0.2">
      <c r="A1246" s="155"/>
      <c r="C1246" s="148"/>
      <c r="D1246" s="160">
        <v>40056</v>
      </c>
      <c r="E1246" s="161">
        <v>0.10249999999999999</v>
      </c>
      <c r="F1246" s="161">
        <v>3.8173985000000014E-2</v>
      </c>
      <c r="G1246" s="133">
        <f t="shared" si="18"/>
        <v>6.4326014999999986E-2</v>
      </c>
      <c r="I1246" s="156">
        <f>--(Risk_Prem2[[#This Row],[Return on Equity]]&lt;0.09)</f>
        <v>0</v>
      </c>
    </row>
    <row r="1247" spans="1:9" x14ac:dyDescent="0.2">
      <c r="A1247" s="155"/>
      <c r="C1247" s="148"/>
      <c r="D1247" s="160">
        <v>40100</v>
      </c>
      <c r="E1247" s="161">
        <v>0.107</v>
      </c>
      <c r="F1247" s="161">
        <v>4.0127500000000003E-2</v>
      </c>
      <c r="G1247" s="133">
        <f t="shared" si="18"/>
        <v>6.6872500000000001E-2</v>
      </c>
      <c r="I1247" s="156">
        <f>--(Risk_Prem2[[#This Row],[Return on Equity]]&lt;0.09)</f>
        <v>0</v>
      </c>
    </row>
    <row r="1248" spans="1:9" x14ac:dyDescent="0.2">
      <c r="A1248" s="155"/>
      <c r="C1248" s="148"/>
      <c r="D1248" s="160">
        <v>40109</v>
      </c>
      <c r="E1248" s="161">
        <v>0.10880000000000001</v>
      </c>
      <c r="F1248" s="161">
        <v>4.0573575000000008E-2</v>
      </c>
      <c r="G1248" s="133">
        <f t="shared" si="18"/>
        <v>6.8226425000000007E-2</v>
      </c>
      <c r="I1248" s="156">
        <f>--(Risk_Prem2[[#This Row],[Return on Equity]]&lt;0.09)</f>
        <v>0</v>
      </c>
    </row>
    <row r="1249" spans="1:9" x14ac:dyDescent="0.2">
      <c r="A1249" s="155"/>
      <c r="C1249" s="148"/>
      <c r="D1249" s="160">
        <v>40119</v>
      </c>
      <c r="E1249" s="161">
        <v>0.107</v>
      </c>
      <c r="F1249" s="161">
        <v>4.0911160000000002E-2</v>
      </c>
      <c r="G1249" s="133">
        <f t="shared" si="18"/>
        <v>6.6088839999999996E-2</v>
      </c>
      <c r="I1249" s="156">
        <f>--(Risk_Prem2[[#This Row],[Return on Equity]]&lt;0.09)</f>
        <v>0</v>
      </c>
    </row>
    <row r="1250" spans="1:9" x14ac:dyDescent="0.2">
      <c r="A1250" s="155"/>
      <c r="C1250" s="148"/>
      <c r="D1250" s="160">
        <v>40120</v>
      </c>
      <c r="E1250" s="161">
        <v>0.107</v>
      </c>
      <c r="F1250" s="161">
        <v>4.0965425000000007E-2</v>
      </c>
      <c r="G1250" s="133">
        <f t="shared" si="18"/>
        <v>6.6034574999999984E-2</v>
      </c>
      <c r="I1250" s="156">
        <f>--(Risk_Prem2[[#This Row],[Return on Equity]]&lt;0.09)</f>
        <v>0</v>
      </c>
    </row>
    <row r="1251" spans="1:9" x14ac:dyDescent="0.2">
      <c r="A1251" s="155"/>
      <c r="C1251" s="148"/>
      <c r="D1251" s="160">
        <v>40141</v>
      </c>
      <c r="E1251" s="161">
        <v>0.10249999999999999</v>
      </c>
      <c r="F1251" s="161">
        <v>4.1533230000000011E-2</v>
      </c>
      <c r="G1251" s="133">
        <f t="shared" si="18"/>
        <v>6.0966769999999983E-2</v>
      </c>
      <c r="I1251" s="156">
        <f>--(Risk_Prem2[[#This Row],[Return on Equity]]&lt;0.09)</f>
        <v>0</v>
      </c>
    </row>
    <row r="1252" spans="1:9" x14ac:dyDescent="0.2">
      <c r="A1252" s="155"/>
      <c r="C1252" s="148"/>
      <c r="D1252" s="160">
        <v>40142</v>
      </c>
      <c r="E1252" s="161">
        <v>0.1075</v>
      </c>
      <c r="F1252" s="161">
        <v>4.1567560000000017E-2</v>
      </c>
      <c r="G1252" s="133">
        <f t="shared" si="18"/>
        <v>6.5932439999999981E-2</v>
      </c>
      <c r="I1252" s="156">
        <f>--(Risk_Prem2[[#This Row],[Return on Equity]]&lt;0.09)</f>
        <v>0</v>
      </c>
    </row>
    <row r="1253" spans="1:9" x14ac:dyDescent="0.2">
      <c r="A1253" s="155"/>
      <c r="C1253" s="148"/>
      <c r="D1253" s="160">
        <v>40147</v>
      </c>
      <c r="E1253" s="161">
        <v>0.10349999999999999</v>
      </c>
      <c r="F1253" s="161">
        <v>4.1661690000000008E-2</v>
      </c>
      <c r="G1253" s="133">
        <f t="shared" si="18"/>
        <v>6.1838309999999987E-2</v>
      </c>
      <c r="I1253" s="156">
        <f>--(Risk_Prem2[[#This Row],[Return on Equity]]&lt;0.09)</f>
        <v>0</v>
      </c>
    </row>
    <row r="1254" spans="1:9" x14ac:dyDescent="0.2">
      <c r="A1254" s="155"/>
      <c r="C1254" s="148"/>
      <c r="D1254" s="160">
        <v>40150</v>
      </c>
      <c r="E1254" s="161">
        <v>0.105</v>
      </c>
      <c r="F1254" s="161">
        <v>4.176682000000001E-2</v>
      </c>
      <c r="G1254" s="133">
        <f t="shared" si="18"/>
        <v>6.3233179999999986E-2</v>
      </c>
      <c r="I1254" s="156">
        <f>--(Risk_Prem2[[#This Row],[Return on Equity]]&lt;0.09)</f>
        <v>0</v>
      </c>
    </row>
    <row r="1255" spans="1:9" x14ac:dyDescent="0.2">
      <c r="A1255" s="155"/>
      <c r="C1255" s="148"/>
      <c r="D1255" s="160">
        <v>40154</v>
      </c>
      <c r="E1255" s="161">
        <v>0.107</v>
      </c>
      <c r="F1255" s="161">
        <v>4.1839824999999997E-2</v>
      </c>
      <c r="G1255" s="133">
        <f t="shared" si="18"/>
        <v>6.5160175000000001E-2</v>
      </c>
      <c r="I1255" s="156">
        <f>--(Risk_Prem2[[#This Row],[Return on Equity]]&lt;0.09)</f>
        <v>0</v>
      </c>
    </row>
    <row r="1256" spans="1:9" x14ac:dyDescent="0.2">
      <c r="A1256" s="155"/>
      <c r="C1256" s="148"/>
      <c r="D1256" s="160">
        <v>40163</v>
      </c>
      <c r="E1256" s="161">
        <v>0.109</v>
      </c>
      <c r="F1256" s="161">
        <v>4.2143010000000022E-2</v>
      </c>
      <c r="G1256" s="133">
        <f t="shared" si="18"/>
        <v>6.6856989999999977E-2</v>
      </c>
      <c r="I1256" s="156">
        <f>--(Risk_Prem2[[#This Row],[Return on Equity]]&lt;0.09)</f>
        <v>0</v>
      </c>
    </row>
    <row r="1257" spans="1:9" x14ac:dyDescent="0.2">
      <c r="A1257" s="155"/>
      <c r="C1257" s="148"/>
      <c r="D1257" s="160">
        <v>40163</v>
      </c>
      <c r="E1257" s="161">
        <v>0.11</v>
      </c>
      <c r="F1257" s="161">
        <v>4.2143010000000022E-2</v>
      </c>
      <c r="G1257" s="133">
        <f t="shared" si="18"/>
        <v>6.7856989999999978E-2</v>
      </c>
      <c r="I1257" s="156">
        <f>--(Risk_Prem2[[#This Row],[Return on Equity]]&lt;0.09)</f>
        <v>0</v>
      </c>
    </row>
    <row r="1258" spans="1:9" x14ac:dyDescent="0.2">
      <c r="A1258" s="155"/>
      <c r="C1258" s="148"/>
      <c r="D1258" s="160">
        <v>40165</v>
      </c>
      <c r="E1258" s="161">
        <v>0.10400000000000001</v>
      </c>
      <c r="F1258" s="161">
        <v>4.2222530000000029E-2</v>
      </c>
      <c r="G1258" s="133">
        <f t="shared" si="18"/>
        <v>6.177746999999998E-2</v>
      </c>
      <c r="I1258" s="156">
        <f>--(Risk_Prem2[[#This Row],[Return on Equity]]&lt;0.09)</f>
        <v>0</v>
      </c>
    </row>
    <row r="1259" spans="1:9" x14ac:dyDescent="0.2">
      <c r="A1259" s="155"/>
      <c r="C1259" s="148"/>
      <c r="D1259" s="160">
        <v>40165</v>
      </c>
      <c r="E1259" s="161">
        <v>0.10400000000000001</v>
      </c>
      <c r="F1259" s="161">
        <v>4.2222530000000029E-2</v>
      </c>
      <c r="G1259" s="133">
        <f t="shared" si="18"/>
        <v>6.177746999999998E-2</v>
      </c>
      <c r="I1259" s="156">
        <f>--(Risk_Prem2[[#This Row],[Return on Equity]]&lt;0.09)</f>
        <v>0</v>
      </c>
    </row>
    <row r="1260" spans="1:9" x14ac:dyDescent="0.2">
      <c r="A1260" s="155"/>
      <c r="C1260" s="148"/>
      <c r="D1260" s="160">
        <v>40169</v>
      </c>
      <c r="E1260" s="161">
        <v>0.10199999999999999</v>
      </c>
      <c r="F1260" s="161">
        <v>4.2301820000000018E-2</v>
      </c>
      <c r="G1260" s="133">
        <f t="shared" si="18"/>
        <v>5.9698179999999976E-2</v>
      </c>
      <c r="I1260" s="156">
        <f>--(Risk_Prem2[[#This Row],[Return on Equity]]&lt;0.09)</f>
        <v>0</v>
      </c>
    </row>
    <row r="1261" spans="1:9" x14ac:dyDescent="0.2">
      <c r="A1261" s="155"/>
      <c r="C1261" s="148"/>
      <c r="D1261" s="160">
        <v>40169</v>
      </c>
      <c r="E1261" s="161">
        <v>0.10400000000000001</v>
      </c>
      <c r="F1261" s="161">
        <v>4.2301820000000018E-2</v>
      </c>
      <c r="G1261" s="133">
        <f t="shared" si="18"/>
        <v>6.1698179999999991E-2</v>
      </c>
      <c r="I1261" s="156">
        <f>--(Risk_Prem2[[#This Row],[Return on Equity]]&lt;0.09)</f>
        <v>0</v>
      </c>
    </row>
    <row r="1262" spans="1:9" x14ac:dyDescent="0.2">
      <c r="A1262" s="155"/>
      <c r="C1262" s="148"/>
      <c r="D1262" s="160">
        <v>40169</v>
      </c>
      <c r="E1262" s="161">
        <v>0.10400000000000001</v>
      </c>
      <c r="F1262" s="161">
        <v>4.2301820000000018E-2</v>
      </c>
      <c r="G1262" s="133">
        <f t="shared" ref="G1262:G1325" si="19">E1262-F1262</f>
        <v>6.1698179999999991E-2</v>
      </c>
      <c r="I1262" s="156">
        <f>--(Risk_Prem2[[#This Row],[Return on Equity]]&lt;0.09)</f>
        <v>0</v>
      </c>
    </row>
    <row r="1263" spans="1:9" x14ac:dyDescent="0.2">
      <c r="A1263" s="155"/>
      <c r="C1263" s="148"/>
      <c r="D1263" s="160">
        <v>40177</v>
      </c>
      <c r="E1263" s="161">
        <v>0.1</v>
      </c>
      <c r="F1263" s="161">
        <v>4.2602649999999992E-2</v>
      </c>
      <c r="G1263" s="133">
        <f t="shared" si="19"/>
        <v>5.7397350000000014E-2</v>
      </c>
      <c r="I1263" s="156">
        <f>--(Risk_Prem2[[#This Row],[Return on Equity]]&lt;0.09)</f>
        <v>0</v>
      </c>
    </row>
    <row r="1264" spans="1:9" x14ac:dyDescent="0.2">
      <c r="A1264" s="155"/>
      <c r="C1264" s="148"/>
      <c r="D1264" s="160">
        <v>40182</v>
      </c>
      <c r="E1264" s="161">
        <v>0.10800000000000001</v>
      </c>
      <c r="F1264" s="161">
        <v>4.2755130000000016E-2</v>
      </c>
      <c r="G1264" s="133">
        <f t="shared" si="19"/>
        <v>6.5244869999999996E-2</v>
      </c>
      <c r="I1264" s="156">
        <f>--(Risk_Prem2[[#This Row],[Return on Equity]]&lt;0.09)</f>
        <v>0</v>
      </c>
    </row>
    <row r="1265" spans="1:9" x14ac:dyDescent="0.2">
      <c r="A1265" s="155"/>
      <c r="C1265" s="148"/>
      <c r="D1265" s="160">
        <v>40189</v>
      </c>
      <c r="E1265" s="161">
        <v>0.11</v>
      </c>
      <c r="F1265" s="161">
        <v>4.3024215000000011E-2</v>
      </c>
      <c r="G1265" s="133">
        <f t="shared" si="19"/>
        <v>6.6975784999999982E-2</v>
      </c>
      <c r="I1265" s="156">
        <f>--(Risk_Prem2[[#This Row],[Return on Equity]]&lt;0.09)</f>
        <v>0</v>
      </c>
    </row>
    <row r="1266" spans="1:9" x14ac:dyDescent="0.2">
      <c r="A1266" s="155"/>
      <c r="C1266" s="148"/>
      <c r="D1266" s="160">
        <v>40204</v>
      </c>
      <c r="E1266" s="161">
        <v>0.1013</v>
      </c>
      <c r="F1266" s="161">
        <v>4.3499850000000014E-2</v>
      </c>
      <c r="G1266" s="133">
        <f t="shared" si="19"/>
        <v>5.7800149999999988E-2</v>
      </c>
      <c r="I1266" s="156">
        <f>--(Risk_Prem2[[#This Row],[Return on Equity]]&lt;0.09)</f>
        <v>0</v>
      </c>
    </row>
    <row r="1267" spans="1:9" x14ac:dyDescent="0.2">
      <c r="A1267" s="155"/>
      <c r="C1267" s="148"/>
      <c r="D1267" s="160">
        <v>40205</v>
      </c>
      <c r="E1267" s="161">
        <v>0.10400000000000001</v>
      </c>
      <c r="F1267" s="161">
        <v>4.3537805000000013E-2</v>
      </c>
      <c r="G1267" s="133">
        <f t="shared" si="19"/>
        <v>6.0462194999999996E-2</v>
      </c>
      <c r="I1267" s="156">
        <f>--(Risk_Prem2[[#This Row],[Return on Equity]]&lt;0.09)</f>
        <v>0</v>
      </c>
    </row>
    <row r="1268" spans="1:9" x14ac:dyDescent="0.2">
      <c r="A1268" s="155"/>
      <c r="C1268" s="148"/>
      <c r="D1268" s="160">
        <v>40205</v>
      </c>
      <c r="E1268" s="161">
        <v>0.10400000000000001</v>
      </c>
      <c r="F1268" s="161">
        <v>4.3537805000000013E-2</v>
      </c>
      <c r="G1268" s="133">
        <f t="shared" si="19"/>
        <v>6.0462194999999996E-2</v>
      </c>
      <c r="I1268" s="156">
        <f>--(Risk_Prem2[[#This Row],[Return on Equity]]&lt;0.09)</f>
        <v>0</v>
      </c>
    </row>
    <row r="1269" spans="1:9" x14ac:dyDescent="0.2">
      <c r="A1269" s="155"/>
      <c r="C1269" s="148"/>
      <c r="D1269" s="160">
        <v>40205</v>
      </c>
      <c r="E1269" s="161">
        <v>0.107</v>
      </c>
      <c r="F1269" s="161">
        <v>4.3537805000000013E-2</v>
      </c>
      <c r="G1269" s="133">
        <f t="shared" si="19"/>
        <v>6.3462194999999985E-2</v>
      </c>
      <c r="I1269" s="156">
        <f>--(Risk_Prem2[[#This Row],[Return on Equity]]&lt;0.09)</f>
        <v>0</v>
      </c>
    </row>
    <row r="1270" spans="1:9" x14ac:dyDescent="0.2">
      <c r="A1270" s="155"/>
      <c r="C1270" s="148"/>
      <c r="D1270" s="160">
        <v>40218</v>
      </c>
      <c r="E1270" s="161">
        <v>9.8000000000000004E-2</v>
      </c>
      <c r="F1270" s="161">
        <v>4.3800075000000022E-2</v>
      </c>
      <c r="G1270" s="133">
        <f t="shared" si="19"/>
        <v>5.4199924999999982E-2</v>
      </c>
      <c r="I1270" s="156">
        <f>--(Risk_Prem2[[#This Row],[Return on Equity]]&lt;0.09)</f>
        <v>0</v>
      </c>
    </row>
    <row r="1271" spans="1:9" x14ac:dyDescent="0.2">
      <c r="A1271" s="155"/>
      <c r="C1271" s="148"/>
      <c r="D1271" s="160">
        <v>40227</v>
      </c>
      <c r="E1271" s="161">
        <v>0.106</v>
      </c>
      <c r="F1271" s="161">
        <v>4.3974925000000019E-2</v>
      </c>
      <c r="G1271" s="133">
        <f t="shared" si="19"/>
        <v>6.2025074999999978E-2</v>
      </c>
      <c r="I1271" s="156">
        <f>--(Risk_Prem2[[#This Row],[Return on Equity]]&lt;0.09)</f>
        <v>0</v>
      </c>
    </row>
    <row r="1272" spans="1:9" x14ac:dyDescent="0.2">
      <c r="A1272" s="155"/>
      <c r="C1272" s="148"/>
      <c r="D1272" s="160">
        <v>40233</v>
      </c>
      <c r="E1272" s="161">
        <v>0.1018</v>
      </c>
      <c r="F1272" s="161">
        <v>4.4077970000000015E-2</v>
      </c>
      <c r="G1272" s="133">
        <f t="shared" si="19"/>
        <v>5.7722029999999987E-2</v>
      </c>
      <c r="I1272" s="156">
        <f>--(Risk_Prem2[[#This Row],[Return on Equity]]&lt;0.09)</f>
        <v>0</v>
      </c>
    </row>
    <row r="1273" spans="1:9" x14ac:dyDescent="0.2">
      <c r="A1273" s="155"/>
      <c r="C1273" s="148"/>
      <c r="D1273" s="160">
        <v>40239</v>
      </c>
      <c r="E1273" s="161">
        <v>9.6300000000000011E-2</v>
      </c>
      <c r="F1273" s="161">
        <v>4.4112229999999995E-2</v>
      </c>
      <c r="G1273" s="133">
        <f t="shared" si="19"/>
        <v>5.2187770000000015E-2</v>
      </c>
      <c r="I1273" s="156">
        <f>--(Risk_Prem2[[#This Row],[Return on Equity]]&lt;0.09)</f>
        <v>0</v>
      </c>
    </row>
    <row r="1274" spans="1:9" x14ac:dyDescent="0.2">
      <c r="A1274" s="155"/>
      <c r="C1274" s="148"/>
      <c r="D1274" s="160">
        <v>40241</v>
      </c>
      <c r="E1274" s="161">
        <v>0.105</v>
      </c>
      <c r="F1274" s="161">
        <v>4.4113314999999986E-2</v>
      </c>
      <c r="G1274" s="133">
        <f t="shared" si="19"/>
        <v>6.088668500000001E-2</v>
      </c>
      <c r="I1274" s="156">
        <f>--(Risk_Prem2[[#This Row],[Return on Equity]]&lt;0.09)</f>
        <v>0</v>
      </c>
    </row>
    <row r="1275" spans="1:9" x14ac:dyDescent="0.2">
      <c r="A1275" s="155"/>
      <c r="C1275" s="148"/>
      <c r="D1275" s="160">
        <v>40242</v>
      </c>
      <c r="E1275" s="161">
        <v>0.105</v>
      </c>
      <c r="F1275" s="161">
        <v>4.4128624999999977E-2</v>
      </c>
      <c r="G1275" s="133">
        <f t="shared" si="19"/>
        <v>6.0871375000000019E-2</v>
      </c>
      <c r="I1275" s="156">
        <f>--(Risk_Prem2[[#This Row],[Return on Equity]]&lt;0.09)</f>
        <v>0</v>
      </c>
    </row>
    <row r="1276" spans="1:9" x14ac:dyDescent="0.2">
      <c r="A1276" s="155"/>
      <c r="C1276" s="148"/>
      <c r="D1276" s="160">
        <v>40248</v>
      </c>
      <c r="E1276" s="161">
        <v>0.11900000000000001</v>
      </c>
      <c r="F1276" s="161">
        <v>4.4162614999999975E-2</v>
      </c>
      <c r="G1276" s="133">
        <f t="shared" si="19"/>
        <v>7.4837385000000034E-2</v>
      </c>
      <c r="I1276" s="156">
        <f>--(Risk_Prem2[[#This Row],[Return on Equity]]&lt;0.09)</f>
        <v>0</v>
      </c>
    </row>
    <row r="1277" spans="1:9" x14ac:dyDescent="0.2">
      <c r="A1277" s="155"/>
      <c r="C1277" s="148"/>
      <c r="D1277" s="160">
        <v>40254</v>
      </c>
      <c r="E1277" s="161">
        <v>0.1</v>
      </c>
      <c r="F1277" s="161">
        <v>4.4149779999999972E-2</v>
      </c>
      <c r="G1277" s="133">
        <f t="shared" si="19"/>
        <v>5.5850220000000034E-2</v>
      </c>
      <c r="I1277" s="156">
        <f>--(Risk_Prem2[[#This Row],[Return on Equity]]&lt;0.09)</f>
        <v>0</v>
      </c>
    </row>
    <row r="1278" spans="1:9" x14ac:dyDescent="0.2">
      <c r="A1278" s="155"/>
      <c r="C1278" s="148"/>
      <c r="D1278" s="160">
        <v>40262</v>
      </c>
      <c r="E1278" s="161">
        <v>0.10150000000000001</v>
      </c>
      <c r="F1278" s="161">
        <v>4.4167044999999981E-2</v>
      </c>
      <c r="G1278" s="133">
        <f t="shared" si="19"/>
        <v>5.7332955000000026E-2</v>
      </c>
      <c r="I1278" s="156">
        <f>--(Risk_Prem2[[#This Row],[Return on Equity]]&lt;0.09)</f>
        <v>0</v>
      </c>
    </row>
    <row r="1279" spans="1:9" x14ac:dyDescent="0.2">
      <c r="A1279" s="155"/>
      <c r="C1279" s="148"/>
      <c r="D1279" s="160">
        <v>40270</v>
      </c>
      <c r="E1279" s="161">
        <v>0.10099999999999999</v>
      </c>
      <c r="F1279" s="161">
        <v>4.4272550000000008E-2</v>
      </c>
      <c r="G1279" s="133">
        <f t="shared" si="19"/>
        <v>5.6727449999999985E-2</v>
      </c>
      <c r="I1279" s="156">
        <f>--(Risk_Prem2[[#This Row],[Return on Equity]]&lt;0.09)</f>
        <v>0</v>
      </c>
    </row>
    <row r="1280" spans="1:9" x14ac:dyDescent="0.2">
      <c r="A1280" s="155"/>
      <c r="C1280" s="148"/>
      <c r="D1280" s="160">
        <v>40295</v>
      </c>
      <c r="E1280" s="161">
        <v>0.1</v>
      </c>
      <c r="F1280" s="161">
        <v>4.4572045000000005E-2</v>
      </c>
      <c r="G1280" s="133">
        <f t="shared" si="19"/>
        <v>5.5427955000000001E-2</v>
      </c>
      <c r="I1280" s="156">
        <f>--(Risk_Prem2[[#This Row],[Return on Equity]]&lt;0.09)</f>
        <v>0</v>
      </c>
    </row>
    <row r="1281" spans="1:9" x14ac:dyDescent="0.2">
      <c r="A1281" s="155"/>
      <c r="C1281" s="148"/>
      <c r="D1281" s="160">
        <v>40297</v>
      </c>
      <c r="E1281" s="161">
        <v>9.9000000000000005E-2</v>
      </c>
      <c r="F1281" s="161">
        <v>4.4582985000000006E-2</v>
      </c>
      <c r="G1281" s="133">
        <f t="shared" si="19"/>
        <v>5.4417014999999999E-2</v>
      </c>
      <c r="I1281" s="156">
        <f>--(Risk_Prem2[[#This Row],[Return on Equity]]&lt;0.09)</f>
        <v>0</v>
      </c>
    </row>
    <row r="1282" spans="1:9" x14ac:dyDescent="0.2">
      <c r="A1282" s="155"/>
      <c r="C1282" s="148"/>
      <c r="D1282" s="160">
        <v>40297</v>
      </c>
      <c r="E1282" s="161">
        <v>0.10060000000000001</v>
      </c>
      <c r="F1282" s="161">
        <v>4.4582985000000006E-2</v>
      </c>
      <c r="G1282" s="133">
        <f t="shared" si="19"/>
        <v>5.6017015000000003E-2</v>
      </c>
      <c r="I1282" s="156">
        <f>--(Risk_Prem2[[#This Row],[Return on Equity]]&lt;0.09)</f>
        <v>0</v>
      </c>
    </row>
    <row r="1283" spans="1:9" x14ac:dyDescent="0.2">
      <c r="A1283" s="155"/>
      <c r="C1283" s="148"/>
      <c r="D1283" s="160">
        <v>40297</v>
      </c>
      <c r="E1283" s="161">
        <v>0.1026</v>
      </c>
      <c r="F1283" s="161">
        <v>4.4582985000000006E-2</v>
      </c>
      <c r="G1283" s="133">
        <f t="shared" si="19"/>
        <v>5.8017014999999991E-2</v>
      </c>
      <c r="I1283" s="156">
        <f>--(Risk_Prem2[[#This Row],[Return on Equity]]&lt;0.09)</f>
        <v>0</v>
      </c>
    </row>
    <row r="1284" spans="1:9" x14ac:dyDescent="0.2">
      <c r="A1284" s="155"/>
      <c r="C1284" s="148"/>
      <c r="D1284" s="160">
        <v>40310</v>
      </c>
      <c r="E1284" s="161">
        <v>0.10300000000000001</v>
      </c>
      <c r="F1284" s="161">
        <v>4.4546975000000003E-2</v>
      </c>
      <c r="G1284" s="133">
        <f t="shared" si="19"/>
        <v>5.8453025000000006E-2</v>
      </c>
      <c r="I1284" s="156">
        <f>--(Risk_Prem2[[#This Row],[Return on Equity]]&lt;0.09)</f>
        <v>0</v>
      </c>
    </row>
    <row r="1285" spans="1:9" x14ac:dyDescent="0.2">
      <c r="A1285" s="155"/>
      <c r="C1285" s="148"/>
      <c r="D1285" s="160">
        <v>40310</v>
      </c>
      <c r="E1285" s="161">
        <v>0.10300000000000001</v>
      </c>
      <c r="F1285" s="161">
        <v>4.4546975000000003E-2</v>
      </c>
      <c r="G1285" s="133">
        <f t="shared" si="19"/>
        <v>5.8453025000000006E-2</v>
      </c>
      <c r="I1285" s="156">
        <f>--(Risk_Prem2[[#This Row],[Return on Equity]]&lt;0.09)</f>
        <v>0</v>
      </c>
    </row>
    <row r="1286" spans="1:9" x14ac:dyDescent="0.2">
      <c r="A1286" s="155"/>
      <c r="C1286" s="148"/>
      <c r="D1286" s="160">
        <v>40326</v>
      </c>
      <c r="E1286" s="161">
        <v>0.10099999999999999</v>
      </c>
      <c r="F1286" s="161">
        <v>4.4417099999999987E-2</v>
      </c>
      <c r="G1286" s="133">
        <f t="shared" si="19"/>
        <v>5.6582900000000005E-2</v>
      </c>
      <c r="I1286" s="156">
        <f>--(Risk_Prem2[[#This Row],[Return on Equity]]&lt;0.09)</f>
        <v>0</v>
      </c>
    </row>
    <row r="1287" spans="1:9" x14ac:dyDescent="0.2">
      <c r="A1287" s="155"/>
      <c r="C1287" s="148"/>
      <c r="D1287" s="160">
        <v>40326</v>
      </c>
      <c r="E1287" s="161">
        <v>0.10199999999999999</v>
      </c>
      <c r="F1287" s="161">
        <v>4.4417099999999987E-2</v>
      </c>
      <c r="G1287" s="133">
        <f t="shared" si="19"/>
        <v>5.7582900000000006E-2</v>
      </c>
      <c r="I1287" s="156">
        <f>--(Risk_Prem2[[#This Row],[Return on Equity]]&lt;0.09)</f>
        <v>0</v>
      </c>
    </row>
    <row r="1288" spans="1:9" x14ac:dyDescent="0.2">
      <c r="A1288" s="155"/>
      <c r="C1288" s="148"/>
      <c r="D1288" s="160">
        <v>40336</v>
      </c>
      <c r="E1288" s="161">
        <v>0.10300000000000001</v>
      </c>
      <c r="F1288" s="161">
        <v>4.4407954999999999E-2</v>
      </c>
      <c r="G1288" s="133">
        <f t="shared" si="19"/>
        <v>5.8592045000000009E-2</v>
      </c>
      <c r="I1288" s="156">
        <f>--(Risk_Prem2[[#This Row],[Return on Equity]]&lt;0.09)</f>
        <v>0</v>
      </c>
    </row>
    <row r="1289" spans="1:9" x14ac:dyDescent="0.2">
      <c r="A1289" s="155"/>
      <c r="C1289" s="148"/>
      <c r="D1289" s="160">
        <v>40345</v>
      </c>
      <c r="E1289" s="161">
        <v>0.1</v>
      </c>
      <c r="F1289" s="161">
        <v>4.438433E-2</v>
      </c>
      <c r="G1289" s="133">
        <f t="shared" si="19"/>
        <v>5.5615670000000006E-2</v>
      </c>
      <c r="I1289" s="156">
        <f>--(Risk_Prem2[[#This Row],[Return on Equity]]&lt;0.09)</f>
        <v>0</v>
      </c>
    </row>
    <row r="1290" spans="1:9" x14ac:dyDescent="0.2">
      <c r="A1290" s="155"/>
      <c r="C1290" s="148"/>
      <c r="D1290" s="160">
        <v>40357</v>
      </c>
      <c r="E1290" s="161">
        <v>9.6699999999999994E-2</v>
      </c>
      <c r="F1290" s="161">
        <v>4.4334775000000014E-2</v>
      </c>
      <c r="G1290" s="133">
        <f t="shared" si="19"/>
        <v>5.2365224999999981E-2</v>
      </c>
      <c r="I1290" s="156">
        <f>--(Risk_Prem2[[#This Row],[Return on Equity]]&lt;0.09)</f>
        <v>0</v>
      </c>
    </row>
    <row r="1291" spans="1:9" x14ac:dyDescent="0.2">
      <c r="A1291" s="155"/>
      <c r="C1291" s="148"/>
      <c r="D1291" s="160">
        <v>40357</v>
      </c>
      <c r="E1291" s="161">
        <v>0.105</v>
      </c>
      <c r="F1291" s="161">
        <v>4.4334775000000014E-2</v>
      </c>
      <c r="G1291" s="133">
        <f t="shared" si="19"/>
        <v>6.0665224999999982E-2</v>
      </c>
      <c r="I1291" s="156">
        <f>--(Risk_Prem2[[#This Row],[Return on Equity]]&lt;0.09)</f>
        <v>0</v>
      </c>
    </row>
    <row r="1292" spans="1:9" x14ac:dyDescent="0.2">
      <c r="A1292" s="155"/>
      <c r="C1292" s="148"/>
      <c r="D1292" s="160">
        <v>40359</v>
      </c>
      <c r="E1292" s="161">
        <v>9.4E-2</v>
      </c>
      <c r="F1292" s="161">
        <v>4.4306095000000018E-2</v>
      </c>
      <c r="G1292" s="133">
        <f t="shared" si="19"/>
        <v>4.9693904999999983E-2</v>
      </c>
      <c r="I1292" s="156">
        <f>--(Risk_Prem2[[#This Row],[Return on Equity]]&lt;0.09)</f>
        <v>0</v>
      </c>
    </row>
    <row r="1293" spans="1:9" x14ac:dyDescent="0.2">
      <c r="A1293" s="155"/>
      <c r="C1293" s="148"/>
      <c r="D1293" s="160">
        <v>40360</v>
      </c>
      <c r="E1293" s="161">
        <v>0.10249999999999999</v>
      </c>
      <c r="F1293" s="161">
        <v>4.429219500000002E-2</v>
      </c>
      <c r="G1293" s="133">
        <f t="shared" si="19"/>
        <v>5.8207804999999974E-2</v>
      </c>
      <c r="I1293" s="156">
        <f>--(Risk_Prem2[[#This Row],[Return on Equity]]&lt;0.09)</f>
        <v>0</v>
      </c>
    </row>
    <row r="1294" spans="1:9" x14ac:dyDescent="0.2">
      <c r="A1294" s="155"/>
      <c r="C1294" s="148"/>
      <c r="D1294" s="160">
        <v>40374</v>
      </c>
      <c r="E1294" s="161">
        <v>0.10529999999999999</v>
      </c>
      <c r="F1294" s="161">
        <v>4.4274310000000018E-2</v>
      </c>
      <c r="G1294" s="133">
        <f t="shared" si="19"/>
        <v>6.1025689999999973E-2</v>
      </c>
      <c r="I1294" s="156">
        <f>--(Risk_Prem2[[#This Row],[Return on Equity]]&lt;0.09)</f>
        <v>0</v>
      </c>
    </row>
    <row r="1295" spans="1:9" x14ac:dyDescent="0.2">
      <c r="A1295" s="155"/>
      <c r="C1295" s="148"/>
      <c r="D1295" s="160">
        <v>40374</v>
      </c>
      <c r="E1295" s="161">
        <v>0.107</v>
      </c>
      <c r="F1295" s="161">
        <v>4.4274310000000018E-2</v>
      </c>
      <c r="G1295" s="133">
        <f t="shared" si="19"/>
        <v>6.2725689999999973E-2</v>
      </c>
      <c r="I1295" s="156">
        <f>--(Risk_Prem2[[#This Row],[Return on Equity]]&lt;0.09)</f>
        <v>0</v>
      </c>
    </row>
    <row r="1296" spans="1:9" x14ac:dyDescent="0.2">
      <c r="A1296" s="155"/>
      <c r="C1296" s="148"/>
      <c r="D1296" s="160">
        <v>40389</v>
      </c>
      <c r="E1296" s="161">
        <v>0.107</v>
      </c>
      <c r="F1296" s="161">
        <v>4.4144900000000015E-2</v>
      </c>
      <c r="G1296" s="133">
        <f t="shared" si="19"/>
        <v>6.2855099999999983E-2</v>
      </c>
      <c r="I1296" s="156">
        <f>--(Risk_Prem2[[#This Row],[Return on Equity]]&lt;0.09)</f>
        <v>0</v>
      </c>
    </row>
    <row r="1297" spans="1:9" x14ac:dyDescent="0.2">
      <c r="A1297" s="155"/>
      <c r="C1297" s="148"/>
      <c r="D1297" s="160">
        <v>40394</v>
      </c>
      <c r="E1297" s="161">
        <v>0.105</v>
      </c>
      <c r="F1297" s="161">
        <v>4.4109435000000016E-2</v>
      </c>
      <c r="G1297" s="133">
        <f t="shared" si="19"/>
        <v>6.089056499999998E-2</v>
      </c>
      <c r="I1297" s="156">
        <f>--(Risk_Prem2[[#This Row],[Return on Equity]]&lt;0.09)</f>
        <v>0</v>
      </c>
    </row>
    <row r="1298" spans="1:9" x14ac:dyDescent="0.2">
      <c r="A1298" s="155"/>
      <c r="C1298" s="148"/>
      <c r="D1298" s="160">
        <v>40396</v>
      </c>
      <c r="E1298" s="161">
        <v>9.8299999999999998E-2</v>
      </c>
      <c r="F1298" s="161">
        <v>4.4083630000000013E-2</v>
      </c>
      <c r="G1298" s="133">
        <f t="shared" si="19"/>
        <v>5.4216369999999986E-2</v>
      </c>
      <c r="I1298" s="156">
        <f>--(Risk_Prem2[[#This Row],[Return on Equity]]&lt;0.09)</f>
        <v>0</v>
      </c>
    </row>
    <row r="1299" spans="1:9" x14ac:dyDescent="0.2">
      <c r="A1299" s="155"/>
      <c r="C1299" s="148"/>
      <c r="D1299" s="160">
        <v>40415</v>
      </c>
      <c r="E1299" s="161">
        <v>9.9000000000000005E-2</v>
      </c>
      <c r="F1299" s="161">
        <v>4.3707389999999985E-2</v>
      </c>
      <c r="G1299" s="133">
        <f t="shared" si="19"/>
        <v>5.529261000000002E-2</v>
      </c>
      <c r="I1299" s="156">
        <f>--(Risk_Prem2[[#This Row],[Return on Equity]]&lt;0.09)</f>
        <v>0</v>
      </c>
    </row>
    <row r="1300" spans="1:9" x14ac:dyDescent="0.2">
      <c r="A1300" s="155"/>
      <c r="C1300" s="148"/>
      <c r="D1300" s="160">
        <v>40424</v>
      </c>
      <c r="E1300" s="161">
        <v>0.106</v>
      </c>
      <c r="F1300" s="161">
        <v>4.3491149999999985E-2</v>
      </c>
      <c r="G1300" s="133">
        <f t="shared" si="19"/>
        <v>6.2508850000000005E-2</v>
      </c>
      <c r="I1300" s="156">
        <f>--(Risk_Prem2[[#This Row],[Return on Equity]]&lt;0.09)</f>
        <v>0</v>
      </c>
    </row>
    <row r="1301" spans="1:9" x14ac:dyDescent="0.2">
      <c r="A1301" s="155"/>
      <c r="C1301" s="148"/>
      <c r="D1301" s="160">
        <v>40435</v>
      </c>
      <c r="E1301" s="161">
        <v>0.107</v>
      </c>
      <c r="F1301" s="161">
        <v>4.3307564999999985E-2</v>
      </c>
      <c r="G1301" s="133">
        <f t="shared" si="19"/>
        <v>6.3692435000000019E-2</v>
      </c>
      <c r="I1301" s="156">
        <f>--(Risk_Prem2[[#This Row],[Return on Equity]]&lt;0.09)</f>
        <v>0</v>
      </c>
    </row>
    <row r="1302" spans="1:9" x14ac:dyDescent="0.2">
      <c r="A1302" s="155"/>
      <c r="C1302" s="148"/>
      <c r="D1302" s="160">
        <v>40437</v>
      </c>
      <c r="E1302" s="161">
        <v>0.1</v>
      </c>
      <c r="F1302" s="161">
        <v>4.3251160000000004E-2</v>
      </c>
      <c r="G1302" s="133">
        <f t="shared" si="19"/>
        <v>5.6748840000000002E-2</v>
      </c>
      <c r="I1302" s="156">
        <f>--(Risk_Prem2[[#This Row],[Return on Equity]]&lt;0.09)</f>
        <v>0</v>
      </c>
    </row>
    <row r="1303" spans="1:9" x14ac:dyDescent="0.2">
      <c r="A1303" s="155"/>
      <c r="C1303" s="148"/>
      <c r="D1303" s="160">
        <v>40437</v>
      </c>
      <c r="E1303" s="161">
        <v>0.1</v>
      </c>
      <c r="F1303" s="161">
        <v>4.3251160000000004E-2</v>
      </c>
      <c r="G1303" s="133">
        <f t="shared" si="19"/>
        <v>5.6748840000000002E-2</v>
      </c>
      <c r="I1303" s="156">
        <f>--(Risk_Prem2[[#This Row],[Return on Equity]]&lt;0.09)</f>
        <v>0</v>
      </c>
    </row>
    <row r="1304" spans="1:9" x14ac:dyDescent="0.2">
      <c r="A1304" s="155"/>
      <c r="C1304" s="148"/>
      <c r="D1304" s="160">
        <v>40451</v>
      </c>
      <c r="E1304" s="161">
        <v>9.7500000000000003E-2</v>
      </c>
      <c r="F1304" s="161">
        <v>4.2862235000000019E-2</v>
      </c>
      <c r="G1304" s="133">
        <f t="shared" si="19"/>
        <v>5.4637764999999984E-2</v>
      </c>
      <c r="I1304" s="156">
        <f>--(Risk_Prem2[[#This Row],[Return on Equity]]&lt;0.09)</f>
        <v>0</v>
      </c>
    </row>
    <row r="1305" spans="1:9" x14ac:dyDescent="0.2">
      <c r="A1305" s="155"/>
      <c r="C1305" s="148"/>
      <c r="D1305" s="160">
        <v>40465</v>
      </c>
      <c r="E1305" s="161">
        <v>0.10349999999999999</v>
      </c>
      <c r="F1305" s="161">
        <v>4.2416735000000004E-2</v>
      </c>
      <c r="G1305" s="133">
        <f t="shared" si="19"/>
        <v>6.1083264999999991E-2</v>
      </c>
      <c r="I1305" s="156">
        <f>--(Risk_Prem2[[#This Row],[Return on Equity]]&lt;0.09)</f>
        <v>0</v>
      </c>
    </row>
    <row r="1306" spans="1:9" x14ac:dyDescent="0.2">
      <c r="A1306" s="155"/>
      <c r="C1306" s="148"/>
      <c r="D1306" s="160">
        <v>40479</v>
      </c>
      <c r="E1306" s="161">
        <v>0.107</v>
      </c>
      <c r="F1306" s="161">
        <v>4.2089504999999985E-2</v>
      </c>
      <c r="G1306" s="133">
        <f t="shared" si="19"/>
        <v>6.4910495000000012E-2</v>
      </c>
      <c r="I1306" s="156">
        <f>--(Risk_Prem2[[#This Row],[Return on Equity]]&lt;0.09)</f>
        <v>0</v>
      </c>
    </row>
    <row r="1307" spans="1:9" x14ac:dyDescent="0.2">
      <c r="A1307" s="155"/>
      <c r="C1307" s="148"/>
      <c r="D1307" s="160">
        <v>40484</v>
      </c>
      <c r="E1307" s="161">
        <v>0.1038</v>
      </c>
      <c r="F1307" s="161">
        <v>4.2003574999999987E-2</v>
      </c>
      <c r="G1307" s="133">
        <f t="shared" si="19"/>
        <v>6.1796425000000016E-2</v>
      </c>
      <c r="I1307" s="156">
        <f>--(Risk_Prem2[[#This Row],[Return on Equity]]&lt;0.09)</f>
        <v>0</v>
      </c>
    </row>
    <row r="1308" spans="1:9" x14ac:dyDescent="0.2">
      <c r="A1308" s="155"/>
      <c r="C1308" s="148"/>
      <c r="D1308" s="160">
        <v>40486</v>
      </c>
      <c r="E1308" s="161">
        <v>0.107</v>
      </c>
      <c r="F1308" s="161">
        <v>4.1953549999999985E-2</v>
      </c>
      <c r="G1308" s="133">
        <f t="shared" si="19"/>
        <v>6.5046450000000006E-2</v>
      </c>
      <c r="I1308" s="156">
        <f>--(Risk_Prem2[[#This Row],[Return on Equity]]&lt;0.09)</f>
        <v>0</v>
      </c>
    </row>
    <row r="1309" spans="1:9" x14ac:dyDescent="0.2">
      <c r="A1309" s="155"/>
      <c r="C1309" s="148"/>
      <c r="D1309" s="160">
        <v>40501</v>
      </c>
      <c r="E1309" s="161">
        <v>0.10199999999999999</v>
      </c>
      <c r="F1309" s="161">
        <v>4.1773109999999995E-2</v>
      </c>
      <c r="G1309" s="133">
        <f t="shared" si="19"/>
        <v>6.0226889999999998E-2</v>
      </c>
      <c r="I1309" s="156">
        <f>--(Risk_Prem2[[#This Row],[Return on Equity]]&lt;0.09)</f>
        <v>0</v>
      </c>
    </row>
    <row r="1310" spans="1:9" x14ac:dyDescent="0.2">
      <c r="A1310" s="155"/>
      <c r="C1310" s="148"/>
      <c r="D1310" s="160">
        <v>40504</v>
      </c>
      <c r="E1310" s="161">
        <v>0.1</v>
      </c>
      <c r="F1310" s="161">
        <v>4.1750884999999995E-2</v>
      </c>
      <c r="G1310" s="133">
        <f t="shared" si="19"/>
        <v>5.8249115000000011E-2</v>
      </c>
      <c r="I1310" s="156">
        <f>--(Risk_Prem2[[#This Row],[Return on Equity]]&lt;0.09)</f>
        <v>0</v>
      </c>
    </row>
    <row r="1311" spans="1:9" x14ac:dyDescent="0.2">
      <c r="A1311" s="155"/>
      <c r="C1311" s="148"/>
      <c r="D1311" s="160">
        <v>40513</v>
      </c>
      <c r="E1311" s="161">
        <v>0.1013</v>
      </c>
      <c r="F1311" s="161">
        <v>4.1585334999999987E-2</v>
      </c>
      <c r="G1311" s="133">
        <f t="shared" si="19"/>
        <v>5.9714665000000014E-2</v>
      </c>
      <c r="I1311" s="156">
        <f>--(Risk_Prem2[[#This Row],[Return on Equity]]&lt;0.09)</f>
        <v>0</v>
      </c>
    </row>
    <row r="1312" spans="1:9" x14ac:dyDescent="0.2">
      <c r="A1312" s="155"/>
      <c r="C1312" s="148"/>
      <c r="D1312" s="160">
        <v>40518</v>
      </c>
      <c r="E1312" s="161">
        <v>9.8599999999999993E-2</v>
      </c>
      <c r="F1312" s="161">
        <v>4.1541309999999998E-2</v>
      </c>
      <c r="G1312" s="133">
        <f t="shared" si="19"/>
        <v>5.7058689999999995E-2</v>
      </c>
      <c r="I1312" s="156">
        <f>--(Risk_Prem2[[#This Row],[Return on Equity]]&lt;0.09)</f>
        <v>0</v>
      </c>
    </row>
    <row r="1313" spans="1:9" x14ac:dyDescent="0.2">
      <c r="A1313" s="155"/>
      <c r="C1313" s="148"/>
      <c r="D1313" s="160">
        <v>40521</v>
      </c>
      <c r="E1313" s="161">
        <v>0.10249999999999999</v>
      </c>
      <c r="F1313" s="161">
        <v>4.1516984999999992E-2</v>
      </c>
      <c r="G1313" s="133">
        <f t="shared" si="19"/>
        <v>6.0983015000000002E-2</v>
      </c>
      <c r="I1313" s="156">
        <f>--(Risk_Prem2[[#This Row],[Return on Equity]]&lt;0.09)</f>
        <v>0</v>
      </c>
    </row>
    <row r="1314" spans="1:9" x14ac:dyDescent="0.2">
      <c r="A1314" s="155"/>
      <c r="C1314" s="148"/>
      <c r="D1314" s="160">
        <v>40525</v>
      </c>
      <c r="E1314" s="161">
        <v>0.107</v>
      </c>
      <c r="F1314" s="161">
        <v>4.1492380000000002E-2</v>
      </c>
      <c r="G1314" s="133">
        <f t="shared" si="19"/>
        <v>6.5507619999999989E-2</v>
      </c>
      <c r="I1314" s="156">
        <f>--(Risk_Prem2[[#This Row],[Return on Equity]]&lt;0.09)</f>
        <v>0</v>
      </c>
    </row>
    <row r="1315" spans="1:9" x14ac:dyDescent="0.2">
      <c r="A1315" s="155"/>
      <c r="C1315" s="148"/>
      <c r="D1315" s="160">
        <v>40526</v>
      </c>
      <c r="E1315" s="161">
        <v>0.1013</v>
      </c>
      <c r="F1315" s="161">
        <v>4.1485044999999998E-2</v>
      </c>
      <c r="G1315" s="133">
        <f t="shared" si="19"/>
        <v>5.9814955000000003E-2</v>
      </c>
      <c r="I1315" s="156">
        <f>--(Risk_Prem2[[#This Row],[Return on Equity]]&lt;0.09)</f>
        <v>0</v>
      </c>
    </row>
    <row r="1316" spans="1:9" x14ac:dyDescent="0.2">
      <c r="A1316" s="155"/>
      <c r="C1316" s="148"/>
      <c r="D1316" s="160">
        <v>40527</v>
      </c>
      <c r="E1316" s="161">
        <v>0.10439999999999999</v>
      </c>
      <c r="F1316" s="161">
        <v>4.1480219999999991E-2</v>
      </c>
      <c r="G1316" s="133">
        <f t="shared" si="19"/>
        <v>6.2919780000000008E-2</v>
      </c>
      <c r="I1316" s="156">
        <f>--(Risk_Prem2[[#This Row],[Return on Equity]]&lt;0.09)</f>
        <v>0</v>
      </c>
    </row>
    <row r="1317" spans="1:9" x14ac:dyDescent="0.2">
      <c r="A1317" s="155"/>
      <c r="C1317" s="148"/>
      <c r="D1317" s="160">
        <v>40529</v>
      </c>
      <c r="E1317" s="161">
        <v>0.1</v>
      </c>
      <c r="F1317" s="161">
        <v>4.1464170000000002E-2</v>
      </c>
      <c r="G1317" s="133">
        <f t="shared" si="19"/>
        <v>5.8535830000000004E-2</v>
      </c>
      <c r="I1317" s="156">
        <f>--(Risk_Prem2[[#This Row],[Return on Equity]]&lt;0.09)</f>
        <v>0</v>
      </c>
    </row>
    <row r="1318" spans="1:9" x14ac:dyDescent="0.2">
      <c r="A1318" s="155"/>
      <c r="C1318" s="148"/>
      <c r="D1318" s="160">
        <v>40532</v>
      </c>
      <c r="E1318" s="161">
        <v>0.106</v>
      </c>
      <c r="F1318" s="161">
        <v>4.1454910000000005E-2</v>
      </c>
      <c r="G1318" s="133">
        <f t="shared" si="19"/>
        <v>6.4545089999999999E-2</v>
      </c>
      <c r="I1318" s="156">
        <f>--(Risk_Prem2[[#This Row],[Return on Equity]]&lt;0.09)</f>
        <v>0</v>
      </c>
    </row>
    <row r="1319" spans="1:9" x14ac:dyDescent="0.2">
      <c r="A1319" s="155"/>
      <c r="C1319" s="148"/>
      <c r="D1319" s="160">
        <v>40533</v>
      </c>
      <c r="E1319" s="161">
        <v>0.10300000000000001</v>
      </c>
      <c r="F1319" s="161">
        <v>4.1446470000000006E-2</v>
      </c>
      <c r="G1319" s="133">
        <f t="shared" si="19"/>
        <v>6.1553530000000002E-2</v>
      </c>
      <c r="I1319" s="156">
        <f>--(Risk_Prem2[[#This Row],[Return on Equity]]&lt;0.09)</f>
        <v>0</v>
      </c>
    </row>
    <row r="1320" spans="1:9" x14ac:dyDescent="0.2">
      <c r="A1320" s="155"/>
      <c r="C1320" s="148"/>
      <c r="D1320" s="160">
        <v>40539</v>
      </c>
      <c r="E1320" s="161">
        <v>9.9000000000000005E-2</v>
      </c>
      <c r="F1320" s="161">
        <v>4.1420650000000003E-2</v>
      </c>
      <c r="G1320" s="133">
        <f t="shared" si="19"/>
        <v>5.7579350000000001E-2</v>
      </c>
      <c r="I1320" s="156">
        <f>--(Risk_Prem2[[#This Row],[Return on Equity]]&lt;0.09)</f>
        <v>0</v>
      </c>
    </row>
    <row r="1321" spans="1:9" x14ac:dyDescent="0.2">
      <c r="A1321" s="155"/>
      <c r="C1321" s="148"/>
      <c r="D1321" s="160">
        <v>40541</v>
      </c>
      <c r="E1321" s="161">
        <v>0.1115</v>
      </c>
      <c r="F1321" s="161">
        <v>4.1401930000000003E-2</v>
      </c>
      <c r="G1321" s="133">
        <f t="shared" si="19"/>
        <v>7.0098069999999998E-2</v>
      </c>
      <c r="I1321" s="156">
        <f>--(Risk_Prem2[[#This Row],[Return on Equity]]&lt;0.09)</f>
        <v>0</v>
      </c>
    </row>
    <row r="1322" spans="1:9" x14ac:dyDescent="0.2">
      <c r="A1322" s="155"/>
      <c r="C1322" s="148"/>
      <c r="D1322" s="160">
        <v>40548</v>
      </c>
      <c r="E1322" s="161">
        <v>0.10150000000000001</v>
      </c>
      <c r="F1322" s="161">
        <v>4.1320884999999981E-2</v>
      </c>
      <c r="G1322" s="133">
        <f t="shared" si="19"/>
        <v>6.0179115000000026E-2</v>
      </c>
      <c r="I1322" s="156">
        <f>--(Risk_Prem2[[#This Row],[Return on Equity]]&lt;0.09)</f>
        <v>0</v>
      </c>
    </row>
    <row r="1323" spans="1:9" x14ac:dyDescent="0.2">
      <c r="A1323" s="155"/>
      <c r="C1323" s="148"/>
      <c r="D1323" s="160">
        <v>40555</v>
      </c>
      <c r="E1323" s="161">
        <v>0.10300000000000001</v>
      </c>
      <c r="F1323" s="161">
        <v>4.1247490000000005E-2</v>
      </c>
      <c r="G1323" s="133">
        <f t="shared" si="19"/>
        <v>6.1752510000000004E-2</v>
      </c>
      <c r="I1323" s="156">
        <f>--(Risk_Prem2[[#This Row],[Return on Equity]]&lt;0.09)</f>
        <v>0</v>
      </c>
    </row>
    <row r="1324" spans="1:9" x14ac:dyDescent="0.2">
      <c r="A1324" s="155"/>
      <c r="C1324" s="148"/>
      <c r="D1324" s="160">
        <v>40556</v>
      </c>
      <c r="E1324" s="161">
        <v>0.10300000000000001</v>
      </c>
      <c r="F1324" s="161">
        <v>4.1234775000000008E-2</v>
      </c>
      <c r="G1324" s="133">
        <f t="shared" si="19"/>
        <v>6.1765225E-2</v>
      </c>
      <c r="I1324" s="156">
        <f>--(Risk_Prem2[[#This Row],[Return on Equity]]&lt;0.09)</f>
        <v>0</v>
      </c>
    </row>
    <row r="1325" spans="1:9" x14ac:dyDescent="0.2">
      <c r="A1325" s="155"/>
      <c r="C1325" s="148"/>
      <c r="D1325" s="160">
        <v>40561</v>
      </c>
      <c r="E1325" s="161">
        <v>0.1</v>
      </c>
      <c r="F1325" s="161">
        <v>4.120998E-2</v>
      </c>
      <c r="G1325" s="133">
        <f t="shared" si="19"/>
        <v>5.8790020000000005E-2</v>
      </c>
      <c r="I1325" s="156">
        <f>--(Risk_Prem2[[#This Row],[Return on Equity]]&lt;0.09)</f>
        <v>0</v>
      </c>
    </row>
    <row r="1326" spans="1:9" x14ac:dyDescent="0.2">
      <c r="A1326" s="155"/>
      <c r="C1326" s="148"/>
      <c r="D1326" s="160">
        <v>40563</v>
      </c>
      <c r="E1326" s="161">
        <v>9.3000000000000013E-2</v>
      </c>
      <c r="F1326" s="161">
        <v>4.1194564999999989E-2</v>
      </c>
      <c r="G1326" s="133">
        <f t="shared" ref="G1326:G1389" si="20">E1326-F1326</f>
        <v>5.1805435000000025E-2</v>
      </c>
      <c r="I1326" s="156">
        <f>--(Risk_Prem2[[#This Row],[Return on Equity]]&lt;0.09)</f>
        <v>0</v>
      </c>
    </row>
    <row r="1327" spans="1:9" x14ac:dyDescent="0.2">
      <c r="A1327" s="155"/>
      <c r="C1327" s="148"/>
      <c r="D1327" s="160">
        <v>40563</v>
      </c>
      <c r="E1327" s="161">
        <v>0.1013</v>
      </c>
      <c r="F1327" s="161">
        <v>4.1194564999999989E-2</v>
      </c>
      <c r="G1327" s="133">
        <f t="shared" si="20"/>
        <v>6.0105435000000013E-2</v>
      </c>
      <c r="I1327" s="156">
        <f>--(Risk_Prem2[[#This Row],[Return on Equity]]&lt;0.09)</f>
        <v>0</v>
      </c>
    </row>
    <row r="1328" spans="1:9" x14ac:dyDescent="0.2">
      <c r="A1328" s="155"/>
      <c r="C1328" s="148"/>
      <c r="D1328" s="160">
        <v>40574</v>
      </c>
      <c r="E1328" s="161">
        <v>9.6000000000000002E-2</v>
      </c>
      <c r="F1328" s="161">
        <v>4.1157145000000013E-2</v>
      </c>
      <c r="G1328" s="133">
        <f t="shared" si="20"/>
        <v>5.4842854999999989E-2</v>
      </c>
      <c r="I1328" s="156">
        <f>--(Risk_Prem2[[#This Row],[Return on Equity]]&lt;0.09)</f>
        <v>0</v>
      </c>
    </row>
    <row r="1329" spans="1:9" x14ac:dyDescent="0.2">
      <c r="A1329" s="155"/>
      <c r="C1329" s="148"/>
      <c r="D1329" s="160">
        <v>40577</v>
      </c>
      <c r="E1329" s="161">
        <v>0.1</v>
      </c>
      <c r="F1329" s="161">
        <v>4.116259500000001E-2</v>
      </c>
      <c r="G1329" s="133">
        <f t="shared" si="20"/>
        <v>5.8837404999999995E-2</v>
      </c>
      <c r="I1329" s="156">
        <f>--(Risk_Prem2[[#This Row],[Return on Equity]]&lt;0.09)</f>
        <v>0</v>
      </c>
    </row>
    <row r="1330" spans="1:9" x14ac:dyDescent="0.2">
      <c r="A1330" s="155"/>
      <c r="C1330" s="148"/>
      <c r="D1330" s="160">
        <v>40599</v>
      </c>
      <c r="E1330" s="161">
        <v>0.1</v>
      </c>
      <c r="F1330" s="161">
        <v>4.142336000000002E-2</v>
      </c>
      <c r="G1330" s="133">
        <f t="shared" si="20"/>
        <v>5.8576639999999985E-2</v>
      </c>
      <c r="I1330" s="156">
        <f>--(Risk_Prem2[[#This Row],[Return on Equity]]&lt;0.09)</f>
        <v>0</v>
      </c>
    </row>
    <row r="1331" spans="1:9" x14ac:dyDescent="0.2">
      <c r="A1331" s="155"/>
      <c r="C1331" s="148"/>
      <c r="D1331" s="160">
        <v>40627</v>
      </c>
      <c r="E1331" s="161">
        <v>9.8000000000000004E-2</v>
      </c>
      <c r="F1331" s="161">
        <v>4.177166999999999E-2</v>
      </c>
      <c r="G1331" s="133">
        <f t="shared" si="20"/>
        <v>5.6228330000000014E-2</v>
      </c>
      <c r="I1331" s="156">
        <f>--(Risk_Prem2[[#This Row],[Return on Equity]]&lt;0.09)</f>
        <v>0</v>
      </c>
    </row>
    <row r="1332" spans="1:9" x14ac:dyDescent="0.2">
      <c r="A1332" s="155"/>
      <c r="C1332" s="148"/>
      <c r="D1332" s="160">
        <v>40632</v>
      </c>
      <c r="E1332" s="161">
        <v>0.1</v>
      </c>
      <c r="F1332" s="161">
        <v>4.1832554999999993E-2</v>
      </c>
      <c r="G1332" s="133">
        <f t="shared" si="20"/>
        <v>5.8167445000000012E-2</v>
      </c>
      <c r="I1332" s="156">
        <f>--(Risk_Prem2[[#This Row],[Return on Equity]]&lt;0.09)</f>
        <v>0</v>
      </c>
    </row>
    <row r="1333" spans="1:9" x14ac:dyDescent="0.2">
      <c r="A1333" s="155"/>
      <c r="C1333" s="148"/>
      <c r="D1333" s="160">
        <v>40645</v>
      </c>
      <c r="E1333" s="161">
        <v>0.1</v>
      </c>
      <c r="F1333" s="161">
        <v>4.2102435000000001E-2</v>
      </c>
      <c r="G1333" s="133">
        <f t="shared" si="20"/>
        <v>5.7897565000000005E-2</v>
      </c>
      <c r="I1333" s="156">
        <f>--(Risk_Prem2[[#This Row],[Return on Equity]]&lt;0.09)</f>
        <v>0</v>
      </c>
    </row>
    <row r="1334" spans="1:9" x14ac:dyDescent="0.2">
      <c r="A1334" s="155"/>
      <c r="C1334" s="148"/>
      <c r="D1334" s="160">
        <v>40658</v>
      </c>
      <c r="E1334" s="161">
        <v>0.1074</v>
      </c>
      <c r="F1334" s="161">
        <v>4.2312974999999982E-2</v>
      </c>
      <c r="G1334" s="133">
        <f t="shared" si="20"/>
        <v>6.5087025000000021E-2</v>
      </c>
      <c r="I1334" s="156">
        <f>--(Risk_Prem2[[#This Row],[Return on Equity]]&lt;0.09)</f>
        <v>0</v>
      </c>
    </row>
    <row r="1335" spans="1:9" x14ac:dyDescent="0.2">
      <c r="A1335" s="155"/>
      <c r="C1335" s="148"/>
      <c r="D1335" s="160">
        <v>40659</v>
      </c>
      <c r="E1335" s="161">
        <v>9.6699999999999994E-2</v>
      </c>
      <c r="F1335" s="161">
        <v>4.2333554999999981E-2</v>
      </c>
      <c r="G1335" s="133">
        <f t="shared" si="20"/>
        <v>5.4366445000000013E-2</v>
      </c>
      <c r="I1335" s="156">
        <f>--(Risk_Prem2[[#This Row],[Return on Equity]]&lt;0.09)</f>
        <v>0</v>
      </c>
    </row>
    <row r="1336" spans="1:9" x14ac:dyDescent="0.2">
      <c r="A1336" s="155"/>
      <c r="C1336" s="148"/>
      <c r="D1336" s="160">
        <v>40660</v>
      </c>
      <c r="E1336" s="161">
        <v>0.10400000000000001</v>
      </c>
      <c r="F1336" s="161">
        <v>4.2361739999999981E-2</v>
      </c>
      <c r="G1336" s="133">
        <f t="shared" si="20"/>
        <v>6.1638260000000028E-2</v>
      </c>
      <c r="I1336" s="156">
        <f>--(Risk_Prem2[[#This Row],[Return on Equity]]&lt;0.09)</f>
        <v>0</v>
      </c>
    </row>
    <row r="1337" spans="1:9" x14ac:dyDescent="0.2">
      <c r="A1337" s="155"/>
      <c r="C1337" s="148"/>
      <c r="D1337" s="160">
        <v>40667</v>
      </c>
      <c r="E1337" s="161">
        <v>0.1</v>
      </c>
      <c r="F1337" s="161">
        <v>4.2448554999999992E-2</v>
      </c>
      <c r="G1337" s="133">
        <f t="shared" si="20"/>
        <v>5.7551445000000014E-2</v>
      </c>
      <c r="I1337" s="156">
        <f>--(Risk_Prem2[[#This Row],[Return on Equity]]&lt;0.09)</f>
        <v>0</v>
      </c>
    </row>
    <row r="1338" spans="1:9" x14ac:dyDescent="0.2">
      <c r="A1338" s="155"/>
      <c r="C1338" s="148"/>
      <c r="D1338" s="160">
        <v>40667</v>
      </c>
      <c r="E1338" s="161">
        <v>0.1</v>
      </c>
      <c r="F1338" s="161">
        <v>4.2448554999999992E-2</v>
      </c>
      <c r="G1338" s="133">
        <f t="shared" si="20"/>
        <v>5.7551445000000014E-2</v>
      </c>
      <c r="I1338" s="156">
        <f>--(Risk_Prem2[[#This Row],[Return on Equity]]&lt;0.09)</f>
        <v>0</v>
      </c>
    </row>
    <row r="1339" spans="1:9" x14ac:dyDescent="0.2">
      <c r="A1339" s="155"/>
      <c r="C1339" s="148"/>
      <c r="D1339" s="160">
        <v>40687</v>
      </c>
      <c r="E1339" s="161">
        <v>0.105</v>
      </c>
      <c r="F1339" s="161">
        <v>4.2676204999999995E-2</v>
      </c>
      <c r="G1339" s="133">
        <f t="shared" si="20"/>
        <v>6.2323795000000001E-2</v>
      </c>
      <c r="I1339" s="156">
        <f>--(Risk_Prem2[[#This Row],[Return on Equity]]&lt;0.09)</f>
        <v>0</v>
      </c>
    </row>
    <row r="1340" spans="1:9" x14ac:dyDescent="0.2">
      <c r="A1340" s="155"/>
      <c r="C1340" s="148"/>
      <c r="D1340" s="160">
        <v>40702</v>
      </c>
      <c r="E1340" s="161">
        <v>0.1075</v>
      </c>
      <c r="F1340" s="161">
        <v>4.3013209999999982E-2</v>
      </c>
      <c r="G1340" s="133">
        <f t="shared" si="20"/>
        <v>6.4486790000000016E-2</v>
      </c>
      <c r="I1340" s="156">
        <f>--(Risk_Prem2[[#This Row],[Return on Equity]]&lt;0.09)</f>
        <v>0</v>
      </c>
    </row>
    <row r="1341" spans="1:9" x14ac:dyDescent="0.2">
      <c r="A1341" s="155"/>
      <c r="C1341" s="148"/>
      <c r="D1341" s="160">
        <v>40710</v>
      </c>
      <c r="E1341" s="161">
        <v>9.1999999999999998E-2</v>
      </c>
      <c r="F1341" s="161">
        <v>4.3151199999999994E-2</v>
      </c>
      <c r="G1341" s="133">
        <f t="shared" si="20"/>
        <v>4.8848800000000005E-2</v>
      </c>
      <c r="I1341" s="156">
        <f>--(Risk_Prem2[[#This Row],[Return on Equity]]&lt;0.09)</f>
        <v>0</v>
      </c>
    </row>
    <row r="1342" spans="1:9" x14ac:dyDescent="0.2">
      <c r="A1342" s="155"/>
      <c r="C1342" s="148"/>
      <c r="D1342" s="160">
        <v>40711</v>
      </c>
      <c r="E1342" s="161">
        <v>9.9499999999999991E-2</v>
      </c>
      <c r="F1342" s="161">
        <v>4.3168014999999983E-2</v>
      </c>
      <c r="G1342" s="133">
        <f t="shared" si="20"/>
        <v>5.6331985000000008E-2</v>
      </c>
      <c r="I1342" s="156">
        <f>--(Risk_Prem2[[#This Row],[Return on Equity]]&lt;0.09)</f>
        <v>0</v>
      </c>
    </row>
    <row r="1343" spans="1:9" x14ac:dyDescent="0.2">
      <c r="A1343" s="155"/>
      <c r="C1343" s="148"/>
      <c r="D1343" s="160">
        <v>40737</v>
      </c>
      <c r="E1343" s="161">
        <v>0.10199999999999999</v>
      </c>
      <c r="F1343" s="161">
        <v>4.3627729999999997E-2</v>
      </c>
      <c r="G1343" s="133">
        <f t="shared" si="20"/>
        <v>5.8372269999999997E-2</v>
      </c>
      <c r="I1343" s="156">
        <f>--(Risk_Prem2[[#This Row],[Return on Equity]]&lt;0.09)</f>
        <v>0</v>
      </c>
    </row>
    <row r="1344" spans="1:9" x14ac:dyDescent="0.2">
      <c r="A1344" s="155"/>
      <c r="C1344" s="148"/>
      <c r="D1344" s="160">
        <v>40756</v>
      </c>
      <c r="E1344" s="161">
        <v>9.1999999999999998E-2</v>
      </c>
      <c r="F1344" s="161">
        <v>4.387095999999998E-2</v>
      </c>
      <c r="G1344" s="133">
        <f t="shared" si="20"/>
        <v>4.8129040000000019E-2</v>
      </c>
      <c r="I1344" s="156">
        <f>--(Risk_Prem2[[#This Row],[Return on Equity]]&lt;0.09)</f>
        <v>0</v>
      </c>
    </row>
    <row r="1345" spans="1:9" x14ac:dyDescent="0.2">
      <c r="A1345" s="155"/>
      <c r="C1345" s="148"/>
      <c r="D1345" s="160">
        <v>40763</v>
      </c>
      <c r="E1345" s="161">
        <v>0.1</v>
      </c>
      <c r="F1345" s="161">
        <v>4.381568999999997E-2</v>
      </c>
      <c r="G1345" s="133">
        <f t="shared" si="20"/>
        <v>5.6184310000000036E-2</v>
      </c>
      <c r="I1345" s="156">
        <f>--(Risk_Prem2[[#This Row],[Return on Equity]]&lt;0.09)</f>
        <v>0</v>
      </c>
    </row>
    <row r="1346" spans="1:9" x14ac:dyDescent="0.2">
      <c r="A1346" s="155"/>
      <c r="C1346" s="148"/>
      <c r="D1346" s="160">
        <v>40766</v>
      </c>
      <c r="E1346" s="161">
        <v>0.1</v>
      </c>
      <c r="F1346" s="161">
        <v>4.3758889999999974E-2</v>
      </c>
      <c r="G1346" s="133">
        <f t="shared" si="20"/>
        <v>5.6241110000000032E-2</v>
      </c>
      <c r="I1346" s="156">
        <f>--(Risk_Prem2[[#This Row],[Return on Equity]]&lt;0.09)</f>
        <v>0</v>
      </c>
    </row>
    <row r="1347" spans="1:9" x14ac:dyDescent="0.2">
      <c r="A1347" s="155"/>
      <c r="C1347" s="148"/>
      <c r="D1347" s="160">
        <v>40767</v>
      </c>
      <c r="E1347" s="161">
        <v>0.10349999999999999</v>
      </c>
      <c r="F1347" s="161">
        <v>4.373921499999997E-2</v>
      </c>
      <c r="G1347" s="133">
        <f t="shared" si="20"/>
        <v>5.9760785000000025E-2</v>
      </c>
      <c r="I1347" s="156">
        <f>--(Risk_Prem2[[#This Row],[Return on Equity]]&lt;0.09)</f>
        <v>0</v>
      </c>
    </row>
    <row r="1348" spans="1:9" x14ac:dyDescent="0.2">
      <c r="A1348" s="155"/>
      <c r="C1348" s="148"/>
      <c r="D1348" s="160">
        <v>40774</v>
      </c>
      <c r="E1348" s="161">
        <v>0.10249999999999999</v>
      </c>
      <c r="F1348" s="161">
        <v>4.3573509999999989E-2</v>
      </c>
      <c r="G1348" s="133">
        <f t="shared" si="20"/>
        <v>5.8926490000000005E-2</v>
      </c>
      <c r="I1348" s="156">
        <f>--(Risk_Prem2[[#This Row],[Return on Equity]]&lt;0.09)</f>
        <v>0</v>
      </c>
    </row>
    <row r="1349" spans="1:9" x14ac:dyDescent="0.2">
      <c r="A1349" s="155"/>
      <c r="C1349" s="148"/>
      <c r="D1349" s="160">
        <v>40788</v>
      </c>
      <c r="E1349" s="161">
        <v>0.1288</v>
      </c>
      <c r="F1349" s="161">
        <v>4.3201639999999993E-2</v>
      </c>
      <c r="G1349" s="133">
        <f t="shared" si="20"/>
        <v>8.5598360000000012E-2</v>
      </c>
      <c r="I1349" s="156">
        <f>--(Risk_Prem2[[#This Row],[Return on Equity]]&lt;0.09)</f>
        <v>0</v>
      </c>
    </row>
    <row r="1350" spans="1:9" x14ac:dyDescent="0.2">
      <c r="A1350" s="155"/>
      <c r="C1350" s="148"/>
      <c r="D1350" s="160">
        <v>40808</v>
      </c>
      <c r="E1350" s="161">
        <v>0.1</v>
      </c>
      <c r="F1350" s="161">
        <v>4.2412050000000007E-2</v>
      </c>
      <c r="G1350" s="133">
        <f t="shared" si="20"/>
        <v>5.7587949999999999E-2</v>
      </c>
      <c r="I1350" s="156">
        <f>--(Risk_Prem2[[#This Row],[Return on Equity]]&lt;0.09)</f>
        <v>0</v>
      </c>
    </row>
    <row r="1351" spans="1:9" x14ac:dyDescent="0.2">
      <c r="A1351" s="155"/>
      <c r="C1351" s="148"/>
      <c r="D1351" s="160">
        <v>40828</v>
      </c>
      <c r="E1351" s="161">
        <v>0.10300000000000001</v>
      </c>
      <c r="F1351" s="161">
        <v>4.1387189999999997E-2</v>
      </c>
      <c r="G1351" s="133">
        <f t="shared" si="20"/>
        <v>6.1612810000000011E-2</v>
      </c>
      <c r="I1351" s="156">
        <f>--(Risk_Prem2[[#This Row],[Return on Equity]]&lt;0.09)</f>
        <v>0</v>
      </c>
    </row>
    <row r="1352" spans="1:9" x14ac:dyDescent="0.2">
      <c r="A1352" s="155"/>
      <c r="C1352" s="148"/>
      <c r="D1352" s="160">
        <v>40836</v>
      </c>
      <c r="E1352" s="161">
        <v>0.105</v>
      </c>
      <c r="F1352" s="161">
        <v>4.0992300000000009E-2</v>
      </c>
      <c r="G1352" s="133">
        <f t="shared" si="20"/>
        <v>6.4007699999999987E-2</v>
      </c>
      <c r="I1352" s="156">
        <f>--(Risk_Prem2[[#This Row],[Return on Equity]]&lt;0.09)</f>
        <v>0</v>
      </c>
    </row>
    <row r="1353" spans="1:9" x14ac:dyDescent="0.2">
      <c r="A1353" s="155"/>
      <c r="C1353" s="148"/>
      <c r="D1353" s="160">
        <v>40877</v>
      </c>
      <c r="E1353" s="161">
        <v>0.109</v>
      </c>
      <c r="F1353" s="161">
        <v>3.8742940000000003E-2</v>
      </c>
      <c r="G1353" s="133">
        <f t="shared" si="20"/>
        <v>7.0257059999999996E-2</v>
      </c>
      <c r="I1353" s="156">
        <f>--(Risk_Prem2[[#This Row],[Return on Equity]]&lt;0.09)</f>
        <v>0</v>
      </c>
    </row>
    <row r="1354" spans="1:9" x14ac:dyDescent="0.2">
      <c r="A1354" s="155"/>
      <c r="C1354" s="148"/>
      <c r="D1354" s="160">
        <v>40877</v>
      </c>
      <c r="E1354" s="161">
        <v>0.109</v>
      </c>
      <c r="F1354" s="161">
        <v>3.8742940000000003E-2</v>
      </c>
      <c r="G1354" s="133">
        <f t="shared" si="20"/>
        <v>7.0257059999999996E-2</v>
      </c>
      <c r="I1354" s="156">
        <f>--(Risk_Prem2[[#This Row],[Return on Equity]]&lt;0.09)</f>
        <v>0</v>
      </c>
    </row>
    <row r="1355" spans="1:9" x14ac:dyDescent="0.2">
      <c r="A1355" s="155"/>
      <c r="C1355" s="148"/>
      <c r="D1355" s="160">
        <v>40891</v>
      </c>
      <c r="E1355" s="161">
        <v>0.1</v>
      </c>
      <c r="F1355" s="161">
        <v>3.7976950000000002E-2</v>
      </c>
      <c r="G1355" s="133">
        <f t="shared" si="20"/>
        <v>6.2023050000000003E-2</v>
      </c>
      <c r="I1355" s="156">
        <f>--(Risk_Prem2[[#This Row],[Return on Equity]]&lt;0.09)</f>
        <v>0</v>
      </c>
    </row>
    <row r="1356" spans="1:9" x14ac:dyDescent="0.2">
      <c r="A1356" s="155"/>
      <c r="C1356" s="148"/>
      <c r="D1356" s="160">
        <v>40891</v>
      </c>
      <c r="E1356" s="161">
        <v>0.10300000000000001</v>
      </c>
      <c r="F1356" s="161">
        <v>3.7976950000000002E-2</v>
      </c>
      <c r="G1356" s="133">
        <f t="shared" si="20"/>
        <v>6.5023049999999999E-2</v>
      </c>
      <c r="I1356" s="156">
        <f>--(Risk_Prem2[[#This Row],[Return on Equity]]&lt;0.09)</f>
        <v>0</v>
      </c>
    </row>
    <row r="1357" spans="1:9" x14ac:dyDescent="0.2">
      <c r="A1357" s="155"/>
      <c r="C1357" s="148"/>
      <c r="D1357" s="160">
        <v>40897</v>
      </c>
      <c r="E1357" s="161">
        <v>0.10199999999999999</v>
      </c>
      <c r="F1357" s="161">
        <v>3.7649209999999995E-2</v>
      </c>
      <c r="G1357" s="133">
        <f t="shared" si="20"/>
        <v>6.4350789999999991E-2</v>
      </c>
      <c r="I1357" s="156">
        <f>--(Risk_Prem2[[#This Row],[Return on Equity]]&lt;0.09)</f>
        <v>0</v>
      </c>
    </row>
    <row r="1358" spans="1:9" x14ac:dyDescent="0.2">
      <c r="A1358" s="155"/>
      <c r="C1358" s="148"/>
      <c r="D1358" s="160">
        <v>40898</v>
      </c>
      <c r="E1358" s="161">
        <v>0.10199999999999999</v>
      </c>
      <c r="F1358" s="161">
        <v>3.7581484999999998E-2</v>
      </c>
      <c r="G1358" s="133">
        <f t="shared" si="20"/>
        <v>6.4418514999999996E-2</v>
      </c>
      <c r="I1358" s="156">
        <f>--(Risk_Prem2[[#This Row],[Return on Equity]]&lt;0.09)</f>
        <v>0</v>
      </c>
    </row>
    <row r="1359" spans="1:9" x14ac:dyDescent="0.2">
      <c r="A1359" s="155"/>
      <c r="C1359" s="148"/>
      <c r="D1359" s="160">
        <v>40899</v>
      </c>
      <c r="E1359" s="161">
        <v>9.9000000000000005E-2</v>
      </c>
      <c r="F1359" s="161">
        <v>3.7508720000000009E-2</v>
      </c>
      <c r="G1359" s="133">
        <f t="shared" si="20"/>
        <v>6.1491279999999995E-2</v>
      </c>
      <c r="I1359" s="156">
        <f>--(Risk_Prem2[[#This Row],[Return on Equity]]&lt;0.09)</f>
        <v>0</v>
      </c>
    </row>
    <row r="1360" spans="1:9" x14ac:dyDescent="0.2">
      <c r="A1360" s="155"/>
      <c r="C1360" s="148"/>
      <c r="D1360" s="160">
        <v>40899</v>
      </c>
      <c r="E1360" s="161">
        <v>0.10400000000000001</v>
      </c>
      <c r="F1360" s="161">
        <v>3.7508720000000009E-2</v>
      </c>
      <c r="G1360" s="133">
        <f t="shared" si="20"/>
        <v>6.649128E-2</v>
      </c>
      <c r="I1360" s="156">
        <f>--(Risk_Prem2[[#This Row],[Return on Equity]]&lt;0.09)</f>
        <v>0</v>
      </c>
    </row>
    <row r="1361" spans="1:9" x14ac:dyDescent="0.2">
      <c r="A1361" s="155"/>
      <c r="C1361" s="148"/>
      <c r="D1361" s="160">
        <v>40900</v>
      </c>
      <c r="E1361" s="161">
        <v>0.10189999999999999</v>
      </c>
      <c r="F1361" s="161">
        <v>3.7440730000000005E-2</v>
      </c>
      <c r="G1361" s="133">
        <f t="shared" si="20"/>
        <v>6.4459269999999985E-2</v>
      </c>
      <c r="I1361" s="156">
        <f>--(Risk_Prem2[[#This Row],[Return on Equity]]&lt;0.09)</f>
        <v>0</v>
      </c>
    </row>
    <row r="1362" spans="1:9" x14ac:dyDescent="0.2">
      <c r="A1362" s="155"/>
      <c r="C1362" s="148"/>
      <c r="D1362" s="160">
        <v>40933</v>
      </c>
      <c r="E1362" s="161">
        <v>0.105</v>
      </c>
      <c r="F1362" s="161">
        <v>3.5699994999999998E-2</v>
      </c>
      <c r="G1362" s="133">
        <f t="shared" si="20"/>
        <v>6.9300004999999998E-2</v>
      </c>
      <c r="I1362" s="156">
        <f>--(Risk_Prem2[[#This Row],[Return on Equity]]&lt;0.09)</f>
        <v>0</v>
      </c>
    </row>
    <row r="1363" spans="1:9" x14ac:dyDescent="0.2">
      <c r="A1363" s="155"/>
      <c r="C1363" s="148"/>
      <c r="D1363" s="160">
        <v>40935</v>
      </c>
      <c r="E1363" s="161">
        <v>0.105</v>
      </c>
      <c r="F1363" s="161">
        <v>3.5560449999999993E-2</v>
      </c>
      <c r="G1363" s="133">
        <f t="shared" si="20"/>
        <v>6.9439550000000003E-2</v>
      </c>
      <c r="I1363" s="156">
        <f>--(Risk_Prem2[[#This Row],[Return on Equity]]&lt;0.09)</f>
        <v>0</v>
      </c>
    </row>
    <row r="1364" spans="1:9" x14ac:dyDescent="0.2">
      <c r="A1364" s="155"/>
      <c r="C1364" s="148"/>
      <c r="D1364" s="160">
        <v>40954</v>
      </c>
      <c r="E1364" s="161">
        <v>0.10199999999999999</v>
      </c>
      <c r="F1364" s="161">
        <v>3.4730250000000004E-2</v>
      </c>
      <c r="G1364" s="133">
        <f t="shared" si="20"/>
        <v>6.7269749999999989E-2</v>
      </c>
      <c r="I1364" s="156">
        <f>--(Risk_Prem2[[#This Row],[Return on Equity]]&lt;0.09)</f>
        <v>0</v>
      </c>
    </row>
    <row r="1365" spans="1:9" x14ac:dyDescent="0.2">
      <c r="A1365" s="155"/>
      <c r="C1365" s="148"/>
      <c r="D1365" s="160">
        <v>40962</v>
      </c>
      <c r="E1365" s="161">
        <v>9.9000000000000005E-2</v>
      </c>
      <c r="F1365" s="161">
        <v>3.4389119999999995E-2</v>
      </c>
      <c r="G1365" s="133">
        <f t="shared" si="20"/>
        <v>6.4610880000000009E-2</v>
      </c>
      <c r="I1365" s="156">
        <f>--(Risk_Prem2[[#This Row],[Return on Equity]]&lt;0.09)</f>
        <v>0</v>
      </c>
    </row>
    <row r="1366" spans="1:9" x14ac:dyDescent="0.2">
      <c r="A1366" s="155"/>
      <c r="C1366" s="148"/>
      <c r="D1366" s="160">
        <v>40966</v>
      </c>
      <c r="E1366" s="161">
        <v>0.10249999999999999</v>
      </c>
      <c r="F1366" s="161">
        <v>3.4268259999999995E-2</v>
      </c>
      <c r="G1366" s="133">
        <f t="shared" si="20"/>
        <v>6.8231739999999999E-2</v>
      </c>
      <c r="I1366" s="156">
        <f>--(Risk_Prem2[[#This Row],[Return on Equity]]&lt;0.09)</f>
        <v>0</v>
      </c>
    </row>
    <row r="1367" spans="1:9" x14ac:dyDescent="0.2">
      <c r="A1367" s="155"/>
      <c r="C1367" s="148"/>
      <c r="D1367" s="160">
        <v>40968</v>
      </c>
      <c r="E1367" s="161">
        <v>0.10400000000000001</v>
      </c>
      <c r="F1367" s="161">
        <v>3.4149560000000002E-2</v>
      </c>
      <c r="G1367" s="133">
        <f t="shared" si="20"/>
        <v>6.9850440000000014E-2</v>
      </c>
      <c r="I1367" s="156">
        <f>--(Risk_Prem2[[#This Row],[Return on Equity]]&lt;0.09)</f>
        <v>0</v>
      </c>
    </row>
    <row r="1368" spans="1:9" x14ac:dyDescent="0.2">
      <c r="A1368" s="155"/>
      <c r="C1368" s="148"/>
      <c r="D1368" s="160">
        <v>40997</v>
      </c>
      <c r="E1368" s="161">
        <v>0.10369999999999999</v>
      </c>
      <c r="F1368" s="161">
        <v>3.3163905000000014E-2</v>
      </c>
      <c r="G1368" s="133">
        <f t="shared" si="20"/>
        <v>7.0536094999999965E-2</v>
      </c>
      <c r="I1368" s="156">
        <f>--(Risk_Prem2[[#This Row],[Return on Equity]]&lt;0.09)</f>
        <v>0</v>
      </c>
    </row>
    <row r="1369" spans="1:9" x14ac:dyDescent="0.2">
      <c r="A1369" s="155"/>
      <c r="C1369" s="148"/>
      <c r="D1369" s="160">
        <v>41003</v>
      </c>
      <c r="E1369" s="161">
        <v>0.1</v>
      </c>
      <c r="F1369" s="161">
        <v>3.2978010000000009E-2</v>
      </c>
      <c r="G1369" s="133">
        <f t="shared" si="20"/>
        <v>6.7021990000000004E-2</v>
      </c>
      <c r="I1369" s="156">
        <f>--(Risk_Prem2[[#This Row],[Return on Equity]]&lt;0.09)</f>
        <v>0</v>
      </c>
    </row>
    <row r="1370" spans="1:9" x14ac:dyDescent="0.2">
      <c r="A1370" s="155"/>
      <c r="C1370" s="148"/>
      <c r="D1370" s="160">
        <v>41025</v>
      </c>
      <c r="E1370" s="161">
        <v>0.1</v>
      </c>
      <c r="F1370" s="161">
        <v>3.2071719999999998E-2</v>
      </c>
      <c r="G1370" s="133">
        <f t="shared" si="20"/>
        <v>6.7928280000000008E-2</v>
      </c>
      <c r="I1370" s="156">
        <f>--(Risk_Prem2[[#This Row],[Return on Equity]]&lt;0.09)</f>
        <v>0</v>
      </c>
    </row>
    <row r="1371" spans="1:9" x14ac:dyDescent="0.2">
      <c r="A1371" s="155"/>
      <c r="C1371" s="148"/>
      <c r="D1371" s="160">
        <v>41031</v>
      </c>
      <c r="E1371" s="161">
        <v>0.1</v>
      </c>
      <c r="F1371" s="161">
        <v>3.1839275E-2</v>
      </c>
      <c r="G1371" s="133">
        <f t="shared" si="20"/>
        <v>6.8160725000000005E-2</v>
      </c>
      <c r="I1371" s="156">
        <f>--(Risk_Prem2[[#This Row],[Return on Equity]]&lt;0.09)</f>
        <v>0</v>
      </c>
    </row>
    <row r="1372" spans="1:9" x14ac:dyDescent="0.2">
      <c r="A1372" s="155"/>
      <c r="C1372" s="148"/>
      <c r="D1372" s="160">
        <v>41036</v>
      </c>
      <c r="E1372" s="161">
        <v>9.8000000000000004E-2</v>
      </c>
      <c r="F1372" s="161">
        <v>3.1679054999999991E-2</v>
      </c>
      <c r="G1372" s="133">
        <f t="shared" si="20"/>
        <v>6.632094500000002E-2</v>
      </c>
      <c r="I1372" s="156">
        <f>--(Risk_Prem2[[#This Row],[Return on Equity]]&lt;0.09)</f>
        <v>0</v>
      </c>
    </row>
    <row r="1373" spans="1:9" x14ac:dyDescent="0.2">
      <c r="A1373" s="155"/>
      <c r="C1373" s="148"/>
      <c r="D1373" s="160">
        <v>41044</v>
      </c>
      <c r="E1373" s="161">
        <v>0.1</v>
      </c>
      <c r="F1373" s="161">
        <v>3.144644499999999E-2</v>
      </c>
      <c r="G1373" s="133">
        <f t="shared" si="20"/>
        <v>6.8553555000000016E-2</v>
      </c>
      <c r="I1373" s="156">
        <f>--(Risk_Prem2[[#This Row],[Return on Equity]]&lt;0.09)</f>
        <v>0</v>
      </c>
    </row>
    <row r="1374" spans="1:9" x14ac:dyDescent="0.2">
      <c r="A1374" s="155"/>
      <c r="C1374" s="148"/>
      <c r="D1374" s="160">
        <v>41058</v>
      </c>
      <c r="E1374" s="161">
        <v>0.10050000000000001</v>
      </c>
      <c r="F1374" s="161">
        <v>3.1078864999999983E-2</v>
      </c>
      <c r="G1374" s="133">
        <f t="shared" si="20"/>
        <v>6.9421135000000023E-2</v>
      </c>
      <c r="I1374" s="156">
        <f>--(Risk_Prem2[[#This Row],[Return on Equity]]&lt;0.09)</f>
        <v>0</v>
      </c>
    </row>
    <row r="1375" spans="1:9" x14ac:dyDescent="0.2">
      <c r="A1375" s="155"/>
      <c r="C1375" s="148"/>
      <c r="D1375" s="160">
        <v>41067</v>
      </c>
      <c r="E1375" s="161">
        <v>0.10300000000000001</v>
      </c>
      <c r="F1375" s="161">
        <v>3.0756959999999989E-2</v>
      </c>
      <c r="G1375" s="133">
        <f t="shared" si="20"/>
        <v>7.2243040000000022E-2</v>
      </c>
      <c r="I1375" s="156">
        <f>--(Risk_Prem2[[#This Row],[Return on Equity]]&lt;0.09)</f>
        <v>0</v>
      </c>
    </row>
    <row r="1376" spans="1:9" x14ac:dyDescent="0.2">
      <c r="A1376" s="155"/>
      <c r="C1376" s="148"/>
      <c r="D1376" s="160">
        <v>41074</v>
      </c>
      <c r="E1376" s="161">
        <v>9.4E-2</v>
      </c>
      <c r="F1376" s="161">
        <v>3.0613499999999988E-2</v>
      </c>
      <c r="G1376" s="133">
        <f t="shared" si="20"/>
        <v>6.3386500000000012E-2</v>
      </c>
      <c r="I1376" s="156">
        <f>--(Risk_Prem2[[#This Row],[Return on Equity]]&lt;0.09)</f>
        <v>0</v>
      </c>
    </row>
    <row r="1377" spans="1:9" x14ac:dyDescent="0.2">
      <c r="A1377" s="155"/>
      <c r="C1377" s="148"/>
      <c r="D1377" s="160">
        <v>41075</v>
      </c>
      <c r="E1377" s="161">
        <v>0.10400000000000001</v>
      </c>
      <c r="F1377" s="161">
        <v>3.0585384999999996E-2</v>
      </c>
      <c r="G1377" s="133">
        <f t="shared" si="20"/>
        <v>7.3414615000000016E-2</v>
      </c>
      <c r="I1377" s="156">
        <f>--(Risk_Prem2[[#This Row],[Return on Equity]]&lt;0.09)</f>
        <v>0</v>
      </c>
    </row>
    <row r="1378" spans="1:9" x14ac:dyDescent="0.2">
      <c r="A1378" s="155"/>
      <c r="C1378" s="148"/>
      <c r="D1378" s="160">
        <v>41078</v>
      </c>
      <c r="E1378" s="161">
        <v>9.6000000000000002E-2</v>
      </c>
      <c r="F1378" s="161">
        <v>3.0555869999999992E-2</v>
      </c>
      <c r="G1378" s="133">
        <f t="shared" si="20"/>
        <v>6.5444130000000017E-2</v>
      </c>
      <c r="I1378" s="156">
        <f>--(Risk_Prem2[[#This Row],[Return on Equity]]&lt;0.09)</f>
        <v>0</v>
      </c>
    </row>
    <row r="1379" spans="1:9" x14ac:dyDescent="0.2">
      <c r="A1379" s="155"/>
      <c r="C1379" s="148"/>
      <c r="D1379" s="160">
        <v>41079</v>
      </c>
      <c r="E1379" s="161">
        <v>9.2499999999999999E-2</v>
      </c>
      <c r="F1379" s="161">
        <v>3.0526169999999991E-2</v>
      </c>
      <c r="G1379" s="133">
        <f t="shared" si="20"/>
        <v>6.1973830000000008E-2</v>
      </c>
      <c r="I1379" s="156">
        <f>--(Risk_Prem2[[#This Row],[Return on Equity]]&lt;0.09)</f>
        <v>0</v>
      </c>
    </row>
    <row r="1380" spans="1:9" x14ac:dyDescent="0.2">
      <c r="A1380" s="155"/>
      <c r="C1380" s="148"/>
      <c r="D1380" s="160">
        <v>41086</v>
      </c>
      <c r="E1380" s="161">
        <v>0.10099999999999999</v>
      </c>
      <c r="F1380" s="161">
        <v>3.0386129999999994E-2</v>
      </c>
      <c r="G1380" s="133">
        <f t="shared" si="20"/>
        <v>7.0613869999999995E-2</v>
      </c>
      <c r="I1380" s="156">
        <f>--(Risk_Prem2[[#This Row],[Return on Equity]]&lt;0.09)</f>
        <v>0</v>
      </c>
    </row>
    <row r="1381" spans="1:9" x14ac:dyDescent="0.2">
      <c r="A1381" s="155"/>
      <c r="C1381" s="148"/>
      <c r="D1381" s="160">
        <v>41089</v>
      </c>
      <c r="E1381" s="161">
        <v>0.1</v>
      </c>
      <c r="F1381" s="161">
        <v>3.0357564999999986E-2</v>
      </c>
      <c r="G1381" s="133">
        <f t="shared" si="20"/>
        <v>6.9642435000000016E-2</v>
      </c>
      <c r="I1381" s="156">
        <f>--(Risk_Prem2[[#This Row],[Return on Equity]]&lt;0.09)</f>
        <v>0</v>
      </c>
    </row>
    <row r="1382" spans="1:9" x14ac:dyDescent="0.2">
      <c r="A1382" s="155"/>
      <c r="C1382" s="148"/>
      <c r="D1382" s="160">
        <v>41099</v>
      </c>
      <c r="E1382" s="161">
        <v>0.10199999999999999</v>
      </c>
      <c r="F1382" s="161">
        <v>3.0275404999999974E-2</v>
      </c>
      <c r="G1382" s="133">
        <f t="shared" si="20"/>
        <v>7.1724595000000016E-2</v>
      </c>
      <c r="I1382" s="156">
        <f>--(Risk_Prem2[[#This Row],[Return on Equity]]&lt;0.09)</f>
        <v>0</v>
      </c>
    </row>
    <row r="1383" spans="1:9" x14ac:dyDescent="0.2">
      <c r="A1383" s="155"/>
      <c r="C1383" s="148"/>
      <c r="D1383" s="160">
        <v>41106</v>
      </c>
      <c r="E1383" s="161">
        <v>9.8000000000000004E-2</v>
      </c>
      <c r="F1383" s="161">
        <v>3.0188814999999973E-2</v>
      </c>
      <c r="G1383" s="133">
        <f t="shared" si="20"/>
        <v>6.7811185000000024E-2</v>
      </c>
      <c r="I1383" s="156">
        <f>--(Risk_Prem2[[#This Row],[Return on Equity]]&lt;0.09)</f>
        <v>0</v>
      </c>
    </row>
    <row r="1384" spans="1:9" x14ac:dyDescent="0.2">
      <c r="A1384" s="155"/>
      <c r="C1384" s="148"/>
      <c r="D1384" s="160">
        <v>41110</v>
      </c>
      <c r="E1384" s="161">
        <v>9.3100000000000002E-2</v>
      </c>
      <c r="F1384" s="161">
        <v>3.0072789999999978E-2</v>
      </c>
      <c r="G1384" s="133">
        <f t="shared" si="20"/>
        <v>6.3027210000000028E-2</v>
      </c>
      <c r="I1384" s="156">
        <f>--(Risk_Prem2[[#This Row],[Return on Equity]]&lt;0.09)</f>
        <v>0</v>
      </c>
    </row>
    <row r="1385" spans="1:9" x14ac:dyDescent="0.2">
      <c r="A1385" s="155"/>
      <c r="C1385" s="148"/>
      <c r="D1385" s="160">
        <v>41110</v>
      </c>
      <c r="E1385" s="161">
        <v>9.8100000000000007E-2</v>
      </c>
      <c r="F1385" s="161">
        <v>3.0072789999999978E-2</v>
      </c>
      <c r="G1385" s="133">
        <f t="shared" si="20"/>
        <v>6.8027210000000032E-2</v>
      </c>
      <c r="I1385" s="156">
        <f>--(Risk_Prem2[[#This Row],[Return on Equity]]&lt;0.09)</f>
        <v>0</v>
      </c>
    </row>
    <row r="1386" spans="1:9" x14ac:dyDescent="0.2">
      <c r="A1386" s="155"/>
      <c r="C1386" s="148"/>
      <c r="D1386" s="160">
        <v>41165</v>
      </c>
      <c r="E1386" s="161">
        <v>9.8000000000000004E-2</v>
      </c>
      <c r="F1386" s="161">
        <v>2.9396009999999979E-2</v>
      </c>
      <c r="G1386" s="133">
        <f t="shared" si="20"/>
        <v>6.8603990000000031E-2</v>
      </c>
      <c r="I1386" s="156">
        <f>--(Risk_Prem2[[#This Row],[Return on Equity]]&lt;0.09)</f>
        <v>0</v>
      </c>
    </row>
    <row r="1387" spans="1:9" x14ac:dyDescent="0.2">
      <c r="A1387" s="155"/>
      <c r="C1387" s="148"/>
      <c r="D1387" s="160">
        <v>41171</v>
      </c>
      <c r="E1387" s="161">
        <v>9.8000000000000004E-2</v>
      </c>
      <c r="F1387" s="161">
        <v>2.9396929999999974E-2</v>
      </c>
      <c r="G1387" s="133">
        <f t="shared" si="20"/>
        <v>6.860307000000003E-2</v>
      </c>
      <c r="I1387" s="156">
        <f>--(Risk_Prem2[[#This Row],[Return on Equity]]&lt;0.09)</f>
        <v>0</v>
      </c>
    </row>
    <row r="1388" spans="1:9" x14ac:dyDescent="0.2">
      <c r="A1388" s="155"/>
      <c r="C1388" s="148"/>
      <c r="D1388" s="160">
        <v>41171</v>
      </c>
      <c r="E1388" s="161">
        <v>0.10050000000000001</v>
      </c>
      <c r="F1388" s="161">
        <v>2.9396929999999974E-2</v>
      </c>
      <c r="G1388" s="133">
        <f t="shared" si="20"/>
        <v>7.1103070000000032E-2</v>
      </c>
      <c r="I1388" s="156">
        <f>--(Risk_Prem2[[#This Row],[Return on Equity]]&lt;0.09)</f>
        <v>0</v>
      </c>
    </row>
    <row r="1389" spans="1:9" x14ac:dyDescent="0.2">
      <c r="A1389" s="155"/>
      <c r="C1389" s="148"/>
      <c r="D1389" s="160">
        <v>41178</v>
      </c>
      <c r="E1389" s="161">
        <v>9.5000000000000001E-2</v>
      </c>
      <c r="F1389" s="161">
        <v>2.9393189999999986E-2</v>
      </c>
      <c r="G1389" s="133">
        <f t="shared" si="20"/>
        <v>6.5606810000000015E-2</v>
      </c>
      <c r="I1389" s="156">
        <f>--(Risk_Prem2[[#This Row],[Return on Equity]]&lt;0.09)</f>
        <v>0</v>
      </c>
    </row>
    <row r="1390" spans="1:9" x14ac:dyDescent="0.2">
      <c r="A1390" s="155"/>
      <c r="C1390" s="148"/>
      <c r="D1390" s="160">
        <v>41194</v>
      </c>
      <c r="E1390" s="161">
        <v>9.6000000000000002E-2</v>
      </c>
      <c r="F1390" s="161">
        <v>2.9323840000000007E-2</v>
      </c>
      <c r="G1390" s="133">
        <f t="shared" ref="G1390:G1453" si="21">E1390-F1390</f>
        <v>6.6676159999999998E-2</v>
      </c>
      <c r="I1390" s="156">
        <f>--(Risk_Prem2[[#This Row],[Return on Equity]]&lt;0.09)</f>
        <v>0</v>
      </c>
    </row>
    <row r="1391" spans="1:9" x14ac:dyDescent="0.2">
      <c r="A1391" s="155"/>
      <c r="C1391" s="148"/>
      <c r="D1391" s="160">
        <v>41205</v>
      </c>
      <c r="E1391" s="161">
        <v>9.7500000000000003E-2</v>
      </c>
      <c r="F1391" s="161">
        <v>2.9318135000000013E-2</v>
      </c>
      <c r="G1391" s="133">
        <f t="shared" si="21"/>
        <v>6.8181864999999994E-2</v>
      </c>
      <c r="I1391" s="156">
        <f>--(Risk_Prem2[[#This Row],[Return on Equity]]&lt;0.09)</f>
        <v>0</v>
      </c>
    </row>
    <row r="1392" spans="1:9" x14ac:dyDescent="0.2">
      <c r="A1392" s="155"/>
      <c r="C1392" s="148"/>
      <c r="D1392" s="160">
        <v>41206</v>
      </c>
      <c r="E1392" s="161">
        <v>0.10300000000000001</v>
      </c>
      <c r="F1392" s="161">
        <v>2.9317795000000015E-2</v>
      </c>
      <c r="G1392" s="133">
        <f t="shared" si="21"/>
        <v>7.3682205000000001E-2</v>
      </c>
      <c r="I1392" s="156">
        <f>--(Risk_Prem2[[#This Row],[Return on Equity]]&lt;0.09)</f>
        <v>0</v>
      </c>
    </row>
    <row r="1393" spans="1:9" x14ac:dyDescent="0.2">
      <c r="A1393" s="155"/>
      <c r="C1393" s="148"/>
      <c r="D1393" s="160">
        <v>41222</v>
      </c>
      <c r="E1393" s="161">
        <v>0.10300000000000001</v>
      </c>
      <c r="F1393" s="161">
        <v>2.9200860000000023E-2</v>
      </c>
      <c r="G1393" s="133">
        <f t="shared" si="21"/>
        <v>7.3799139999999985E-2</v>
      </c>
      <c r="I1393" s="156">
        <f>--(Risk_Prem2[[#This Row],[Return on Equity]]&lt;0.09)</f>
        <v>0</v>
      </c>
    </row>
    <row r="1394" spans="1:9" x14ac:dyDescent="0.2">
      <c r="A1394" s="155"/>
      <c r="C1394" s="148"/>
      <c r="D1394" s="160">
        <v>41241</v>
      </c>
      <c r="E1394" s="161">
        <v>0.10400000000000001</v>
      </c>
      <c r="F1394" s="161">
        <v>2.8965480000000033E-2</v>
      </c>
      <c r="G1394" s="133">
        <f t="shared" si="21"/>
        <v>7.503451999999998E-2</v>
      </c>
      <c r="I1394" s="156">
        <f>--(Risk_Prem2[[#This Row],[Return on Equity]]&lt;0.09)</f>
        <v>0</v>
      </c>
    </row>
    <row r="1395" spans="1:9" x14ac:dyDescent="0.2">
      <c r="A1395" s="155"/>
      <c r="C1395" s="148"/>
      <c r="D1395" s="160">
        <v>41242</v>
      </c>
      <c r="E1395" s="161">
        <v>9.7500000000000003E-2</v>
      </c>
      <c r="F1395" s="161">
        <v>2.8948325000000039E-2</v>
      </c>
      <c r="G1395" s="133">
        <f t="shared" si="21"/>
        <v>6.8551674999999965E-2</v>
      </c>
      <c r="I1395" s="156">
        <f>--(Risk_Prem2[[#This Row],[Return on Equity]]&lt;0.09)</f>
        <v>0</v>
      </c>
    </row>
    <row r="1396" spans="1:9" x14ac:dyDescent="0.2">
      <c r="A1396" s="155"/>
      <c r="C1396" s="148"/>
      <c r="D1396" s="160">
        <v>41242</v>
      </c>
      <c r="E1396" s="161">
        <v>9.8800000000000013E-2</v>
      </c>
      <c r="F1396" s="161">
        <v>2.8948325000000039E-2</v>
      </c>
      <c r="G1396" s="133">
        <f t="shared" si="21"/>
        <v>6.9851674999999974E-2</v>
      </c>
      <c r="I1396" s="156">
        <f>--(Risk_Prem2[[#This Row],[Return on Equity]]&lt;0.09)</f>
        <v>0</v>
      </c>
    </row>
    <row r="1397" spans="1:9" x14ac:dyDescent="0.2">
      <c r="A1397" s="155"/>
      <c r="C1397" s="148"/>
      <c r="D1397" s="160">
        <v>41248</v>
      </c>
      <c r="E1397" s="161">
        <v>9.7100000000000006E-2</v>
      </c>
      <c r="F1397" s="161">
        <v>2.8891185000000038E-2</v>
      </c>
      <c r="G1397" s="133">
        <f t="shared" si="21"/>
        <v>6.8208814999999964E-2</v>
      </c>
      <c r="I1397" s="156">
        <f>--(Risk_Prem2[[#This Row],[Return on Equity]]&lt;0.09)</f>
        <v>0</v>
      </c>
    </row>
    <row r="1398" spans="1:9" x14ac:dyDescent="0.2">
      <c r="A1398" s="155"/>
      <c r="C1398" s="148"/>
      <c r="D1398" s="160">
        <v>41248</v>
      </c>
      <c r="E1398" s="161">
        <v>0.10400000000000001</v>
      </c>
      <c r="F1398" s="161">
        <v>2.8891185000000038E-2</v>
      </c>
      <c r="G1398" s="133">
        <f t="shared" si="21"/>
        <v>7.5108814999999968E-2</v>
      </c>
      <c r="I1398" s="156">
        <f>--(Risk_Prem2[[#This Row],[Return on Equity]]&lt;0.09)</f>
        <v>0</v>
      </c>
    </row>
    <row r="1399" spans="1:9" x14ac:dyDescent="0.2">
      <c r="A1399" s="155"/>
      <c r="C1399" s="148"/>
      <c r="D1399" s="160">
        <v>41255</v>
      </c>
      <c r="E1399" s="161">
        <v>9.8000000000000004E-2</v>
      </c>
      <c r="F1399" s="161">
        <v>2.8816970000000032E-2</v>
      </c>
      <c r="G1399" s="133">
        <f t="shared" si="21"/>
        <v>6.9183029999999979E-2</v>
      </c>
      <c r="I1399" s="156">
        <f>--(Risk_Prem2[[#This Row],[Return on Equity]]&lt;0.09)</f>
        <v>0</v>
      </c>
    </row>
    <row r="1400" spans="1:9" x14ac:dyDescent="0.2">
      <c r="A1400" s="155"/>
      <c r="C1400" s="148"/>
      <c r="D1400" s="160">
        <v>41256</v>
      </c>
      <c r="E1400" s="161">
        <v>9.5000000000000001E-2</v>
      </c>
      <c r="F1400" s="161">
        <v>2.880351500000003E-2</v>
      </c>
      <c r="G1400" s="133">
        <f t="shared" si="21"/>
        <v>6.6196484999999972E-2</v>
      </c>
      <c r="I1400" s="156">
        <f>--(Risk_Prem2[[#This Row],[Return on Equity]]&lt;0.09)</f>
        <v>0</v>
      </c>
    </row>
    <row r="1401" spans="1:9" x14ac:dyDescent="0.2">
      <c r="A1401" s="155"/>
      <c r="C1401" s="148"/>
      <c r="D1401" s="160">
        <v>41256</v>
      </c>
      <c r="E1401" s="161">
        <v>0.105</v>
      </c>
      <c r="F1401" s="161">
        <v>2.880351500000003E-2</v>
      </c>
      <c r="G1401" s="133">
        <f t="shared" si="21"/>
        <v>7.6196484999999967E-2</v>
      </c>
      <c r="I1401" s="156">
        <f>--(Risk_Prem2[[#This Row],[Return on Equity]]&lt;0.09)</f>
        <v>0</v>
      </c>
    </row>
    <row r="1402" spans="1:9" x14ac:dyDescent="0.2">
      <c r="A1402" s="155"/>
      <c r="C1402" s="148"/>
      <c r="D1402" s="160">
        <v>41257</v>
      </c>
      <c r="E1402" s="161">
        <v>0.10400000000000001</v>
      </c>
      <c r="F1402" s="161">
        <v>2.8787825000000034E-2</v>
      </c>
      <c r="G1402" s="133">
        <f t="shared" si="21"/>
        <v>7.5212174999999978E-2</v>
      </c>
      <c r="I1402" s="156">
        <f>--(Risk_Prem2[[#This Row],[Return on Equity]]&lt;0.09)</f>
        <v>0</v>
      </c>
    </row>
    <row r="1403" spans="1:9" x14ac:dyDescent="0.2">
      <c r="A1403" s="155"/>
      <c r="C1403" s="148"/>
      <c r="D1403" s="160">
        <v>41262</v>
      </c>
      <c r="E1403" s="161">
        <v>9.7100000000000006E-2</v>
      </c>
      <c r="F1403" s="161">
        <v>2.8742410000000027E-2</v>
      </c>
      <c r="G1403" s="133">
        <f t="shared" si="21"/>
        <v>6.8357589999999982E-2</v>
      </c>
      <c r="I1403" s="156">
        <f>--(Risk_Prem2[[#This Row],[Return on Equity]]&lt;0.09)</f>
        <v>0</v>
      </c>
    </row>
    <row r="1404" spans="1:9" x14ac:dyDescent="0.2">
      <c r="A1404" s="155"/>
      <c r="C1404" s="148"/>
      <c r="D1404" s="160">
        <v>41262</v>
      </c>
      <c r="E1404" s="161">
        <v>0.10249999999999999</v>
      </c>
      <c r="F1404" s="161">
        <v>2.8742410000000027E-2</v>
      </c>
      <c r="G1404" s="133">
        <f t="shared" si="21"/>
        <v>7.375758999999997E-2</v>
      </c>
      <c r="I1404" s="156">
        <f>--(Risk_Prem2[[#This Row],[Return on Equity]]&lt;0.09)</f>
        <v>0</v>
      </c>
    </row>
    <row r="1405" spans="1:9" x14ac:dyDescent="0.2">
      <c r="A1405" s="155"/>
      <c r="C1405" s="148"/>
      <c r="D1405" s="160">
        <v>41263</v>
      </c>
      <c r="E1405" s="161">
        <v>9.5000000000000001E-2</v>
      </c>
      <c r="F1405" s="161">
        <v>2.8720705000000023E-2</v>
      </c>
      <c r="G1405" s="133">
        <f t="shared" si="21"/>
        <v>6.6279294999999974E-2</v>
      </c>
      <c r="I1405" s="156">
        <f>--(Risk_Prem2[[#This Row],[Return on Equity]]&lt;0.09)</f>
        <v>0</v>
      </c>
    </row>
    <row r="1406" spans="1:9" x14ac:dyDescent="0.2">
      <c r="A1406" s="155"/>
      <c r="C1406" s="148"/>
      <c r="D1406" s="160">
        <v>41263</v>
      </c>
      <c r="E1406" s="161">
        <v>9.8000000000000004E-2</v>
      </c>
      <c r="F1406" s="161">
        <v>2.8720705000000023E-2</v>
      </c>
      <c r="G1406" s="133">
        <f t="shared" si="21"/>
        <v>6.9279294999999977E-2</v>
      </c>
      <c r="I1406" s="156">
        <f>--(Risk_Prem2[[#This Row],[Return on Equity]]&lt;0.09)</f>
        <v>0</v>
      </c>
    </row>
    <row r="1407" spans="1:9" x14ac:dyDescent="0.2">
      <c r="A1407" s="155"/>
      <c r="C1407" s="148"/>
      <c r="D1407" s="160">
        <v>41263</v>
      </c>
      <c r="E1407" s="161">
        <v>0.10249999999999999</v>
      </c>
      <c r="F1407" s="161">
        <v>2.8720705000000023E-2</v>
      </c>
      <c r="G1407" s="133">
        <f t="shared" si="21"/>
        <v>7.3779294999999967E-2</v>
      </c>
      <c r="I1407" s="156">
        <f>--(Risk_Prem2[[#This Row],[Return on Equity]]&lt;0.09)</f>
        <v>0</v>
      </c>
    </row>
    <row r="1408" spans="1:9" x14ac:dyDescent="0.2">
      <c r="A1408" s="155"/>
      <c r="C1408" s="148"/>
      <c r="D1408" s="160">
        <v>41263</v>
      </c>
      <c r="E1408" s="161">
        <v>0.10249999999999999</v>
      </c>
      <c r="F1408" s="161">
        <v>2.8720705000000023E-2</v>
      </c>
      <c r="G1408" s="133">
        <f t="shared" si="21"/>
        <v>7.3779294999999967E-2</v>
      </c>
      <c r="I1408" s="156">
        <f>--(Risk_Prem2[[#This Row],[Return on Equity]]&lt;0.09)</f>
        <v>0</v>
      </c>
    </row>
    <row r="1409" spans="1:9" x14ac:dyDescent="0.2">
      <c r="A1409" s="155"/>
      <c r="C1409" s="148"/>
      <c r="D1409" s="160">
        <v>41263</v>
      </c>
      <c r="E1409" s="161">
        <v>0.10300000000000001</v>
      </c>
      <c r="F1409" s="161">
        <v>2.8720705000000023E-2</v>
      </c>
      <c r="G1409" s="133">
        <f t="shared" si="21"/>
        <v>7.4279294999999981E-2</v>
      </c>
      <c r="I1409" s="156">
        <f>--(Risk_Prem2[[#This Row],[Return on Equity]]&lt;0.09)</f>
        <v>0</v>
      </c>
    </row>
    <row r="1410" spans="1:9" x14ac:dyDescent="0.2">
      <c r="A1410" s="155"/>
      <c r="C1410" s="148"/>
      <c r="D1410" s="160">
        <v>41263</v>
      </c>
      <c r="E1410" s="161">
        <v>0.10400000000000001</v>
      </c>
      <c r="F1410" s="161">
        <v>2.8720705000000023E-2</v>
      </c>
      <c r="G1410" s="133">
        <f t="shared" si="21"/>
        <v>7.5279294999999982E-2</v>
      </c>
      <c r="I1410" s="156">
        <f>--(Risk_Prem2[[#This Row],[Return on Equity]]&lt;0.09)</f>
        <v>0</v>
      </c>
    </row>
    <row r="1411" spans="1:9" x14ac:dyDescent="0.2">
      <c r="A1411" s="155"/>
      <c r="C1411" s="148"/>
      <c r="D1411" s="160">
        <v>41263</v>
      </c>
      <c r="E1411" s="161">
        <v>0.1045</v>
      </c>
      <c r="F1411" s="161">
        <v>2.8720705000000023E-2</v>
      </c>
      <c r="G1411" s="133">
        <f t="shared" si="21"/>
        <v>7.5779294999999969E-2</v>
      </c>
      <c r="I1411" s="156">
        <f>--(Risk_Prem2[[#This Row],[Return on Equity]]&lt;0.09)</f>
        <v>0</v>
      </c>
    </row>
    <row r="1412" spans="1:9" x14ac:dyDescent="0.2">
      <c r="A1412" s="155"/>
      <c r="C1412" s="148"/>
      <c r="D1412" s="160">
        <v>41264</v>
      </c>
      <c r="E1412" s="161">
        <v>0.10199999999999999</v>
      </c>
      <c r="F1412" s="161">
        <v>2.8696960000000025E-2</v>
      </c>
      <c r="G1412" s="133">
        <f t="shared" si="21"/>
        <v>7.3303039999999972E-2</v>
      </c>
      <c r="I1412" s="156">
        <f>--(Risk_Prem2[[#This Row],[Return on Equity]]&lt;0.09)</f>
        <v>0</v>
      </c>
    </row>
    <row r="1413" spans="1:9" x14ac:dyDescent="0.2">
      <c r="A1413" s="155"/>
      <c r="C1413" s="148"/>
      <c r="D1413" s="160">
        <v>41269</v>
      </c>
      <c r="E1413" s="161">
        <v>9.8000000000000004E-2</v>
      </c>
      <c r="F1413" s="161">
        <v>2.8621580000000021E-2</v>
      </c>
      <c r="G1413" s="133">
        <f t="shared" si="21"/>
        <v>6.9378419999999982E-2</v>
      </c>
      <c r="I1413" s="156">
        <f>--(Risk_Prem2[[#This Row],[Return on Equity]]&lt;0.09)</f>
        <v>0</v>
      </c>
    </row>
    <row r="1414" spans="1:9" x14ac:dyDescent="0.2">
      <c r="A1414" s="155"/>
      <c r="C1414" s="148"/>
      <c r="D1414" s="160">
        <v>41283</v>
      </c>
      <c r="E1414" s="161">
        <v>9.6999999999999989E-2</v>
      </c>
      <c r="F1414" s="161">
        <v>2.846275500000001E-2</v>
      </c>
      <c r="G1414" s="133">
        <f t="shared" si="21"/>
        <v>6.8537244999999983E-2</v>
      </c>
      <c r="I1414" s="156">
        <f>--(Risk_Prem2[[#This Row],[Return on Equity]]&lt;0.09)</f>
        <v>0</v>
      </c>
    </row>
    <row r="1415" spans="1:9" x14ac:dyDescent="0.2">
      <c r="A1415" s="155"/>
      <c r="C1415" s="148"/>
      <c r="D1415" s="160">
        <v>41283</v>
      </c>
      <c r="E1415" s="161">
        <v>9.6999999999999989E-2</v>
      </c>
      <c r="F1415" s="161">
        <v>2.846275500000001E-2</v>
      </c>
      <c r="G1415" s="133">
        <f t="shared" si="21"/>
        <v>6.8537244999999983E-2</v>
      </c>
      <c r="I1415" s="156">
        <f>--(Risk_Prem2[[#This Row],[Return on Equity]]&lt;0.09)</f>
        <v>0</v>
      </c>
    </row>
    <row r="1416" spans="1:9" x14ac:dyDescent="0.2">
      <c r="A1416" s="155"/>
      <c r="C1416" s="148"/>
      <c r="D1416" s="160">
        <v>41283</v>
      </c>
      <c r="E1416" s="161">
        <v>9.6999999999999989E-2</v>
      </c>
      <c r="F1416" s="161">
        <v>2.846275500000001E-2</v>
      </c>
      <c r="G1416" s="133">
        <f t="shared" si="21"/>
        <v>6.8537244999999983E-2</v>
      </c>
      <c r="I1416" s="156">
        <f>--(Risk_Prem2[[#This Row],[Return on Equity]]&lt;0.09)</f>
        <v>0</v>
      </c>
    </row>
    <row r="1417" spans="1:9" x14ac:dyDescent="0.2">
      <c r="A1417" s="155"/>
      <c r="C1417" s="148"/>
      <c r="D1417" s="160">
        <v>41290</v>
      </c>
      <c r="E1417" s="161">
        <v>9.6000000000000002E-2</v>
      </c>
      <c r="F1417" s="161">
        <v>2.8419520000000014E-2</v>
      </c>
      <c r="G1417" s="133">
        <f t="shared" si="21"/>
        <v>6.7580479999999984E-2</v>
      </c>
      <c r="I1417" s="156">
        <f>--(Risk_Prem2[[#This Row],[Return on Equity]]&lt;0.09)</f>
        <v>0</v>
      </c>
    </row>
    <row r="1418" spans="1:9" x14ac:dyDescent="0.2">
      <c r="A1418" s="155"/>
      <c r="C1418" s="148"/>
      <c r="D1418" s="160">
        <v>41290</v>
      </c>
      <c r="E1418" s="161">
        <v>9.6000000000000002E-2</v>
      </c>
      <c r="F1418" s="161">
        <v>2.8419520000000014E-2</v>
      </c>
      <c r="G1418" s="133">
        <f t="shared" si="21"/>
        <v>6.7580479999999984E-2</v>
      </c>
      <c r="I1418" s="156">
        <f>--(Risk_Prem2[[#This Row],[Return on Equity]]&lt;0.09)</f>
        <v>0</v>
      </c>
    </row>
    <row r="1419" spans="1:9" x14ac:dyDescent="0.2">
      <c r="A1419" s="155"/>
      <c r="C1419" s="148"/>
      <c r="D1419" s="160">
        <v>41318</v>
      </c>
      <c r="E1419" s="161">
        <v>0.10199999999999999</v>
      </c>
      <c r="F1419" s="161">
        <v>2.844207E-2</v>
      </c>
      <c r="G1419" s="133">
        <f t="shared" si="21"/>
        <v>7.3557929999999994E-2</v>
      </c>
      <c r="I1419" s="156">
        <f>--(Risk_Prem2[[#This Row],[Return on Equity]]&lt;0.09)</f>
        <v>0</v>
      </c>
    </row>
    <row r="1420" spans="1:9" x14ac:dyDescent="0.2">
      <c r="A1420" s="155"/>
      <c r="C1420" s="148"/>
      <c r="D1420" s="160">
        <v>41327</v>
      </c>
      <c r="E1420" s="161">
        <v>9.7500000000000003E-2</v>
      </c>
      <c r="F1420" s="161">
        <v>2.8535854999999999E-2</v>
      </c>
      <c r="G1420" s="133">
        <f t="shared" si="21"/>
        <v>6.8964145000000004E-2</v>
      </c>
      <c r="I1420" s="156">
        <f>--(Risk_Prem2[[#This Row],[Return on Equity]]&lt;0.09)</f>
        <v>0</v>
      </c>
    </row>
    <row r="1421" spans="1:9" x14ac:dyDescent="0.2">
      <c r="A1421" s="155"/>
      <c r="C1421" s="148"/>
      <c r="D1421" s="160">
        <v>41332</v>
      </c>
      <c r="E1421" s="161">
        <v>0.1</v>
      </c>
      <c r="F1421" s="161">
        <v>2.8573249999999991E-2</v>
      </c>
      <c r="G1421" s="133">
        <f t="shared" si="21"/>
        <v>7.1426750000000011E-2</v>
      </c>
      <c r="I1421" s="156">
        <f>--(Risk_Prem2[[#This Row],[Return on Equity]]&lt;0.09)</f>
        <v>0</v>
      </c>
    </row>
    <row r="1422" spans="1:9" x14ac:dyDescent="0.2">
      <c r="A1422" s="155"/>
      <c r="C1422" s="148"/>
      <c r="D1422" s="160">
        <v>41347</v>
      </c>
      <c r="E1422" s="161">
        <v>9.3000000000000013E-2</v>
      </c>
      <c r="F1422" s="161">
        <v>2.8818004999999994E-2</v>
      </c>
      <c r="G1422" s="133">
        <f t="shared" si="21"/>
        <v>6.4181995000000019E-2</v>
      </c>
      <c r="I1422" s="156">
        <f>--(Risk_Prem2[[#This Row],[Return on Equity]]&lt;0.09)</f>
        <v>0</v>
      </c>
    </row>
    <row r="1423" spans="1:9" x14ac:dyDescent="0.2">
      <c r="A1423" s="155"/>
      <c r="C1423" s="148"/>
      <c r="D1423" s="160">
        <v>41360</v>
      </c>
      <c r="E1423" s="161">
        <v>9.8000000000000004E-2</v>
      </c>
      <c r="F1423" s="161">
        <v>2.901277E-2</v>
      </c>
      <c r="G1423" s="133">
        <f t="shared" si="21"/>
        <v>6.898723000000001E-2</v>
      </c>
      <c r="I1423" s="156">
        <f>--(Risk_Prem2[[#This Row],[Return on Equity]]&lt;0.09)</f>
        <v>0</v>
      </c>
    </row>
    <row r="1424" spans="1:9" x14ac:dyDescent="0.2">
      <c r="A1424" s="155"/>
      <c r="C1424" s="148"/>
      <c r="D1424" s="160">
        <v>41395</v>
      </c>
      <c r="E1424" s="161">
        <v>9.8400000000000001E-2</v>
      </c>
      <c r="F1424" s="161">
        <v>2.9396739999999998E-2</v>
      </c>
      <c r="G1424" s="133">
        <f t="shared" si="21"/>
        <v>6.9003260000000011E-2</v>
      </c>
      <c r="I1424" s="156">
        <f>--(Risk_Prem2[[#This Row],[Return on Equity]]&lt;0.09)</f>
        <v>0</v>
      </c>
    </row>
    <row r="1425" spans="1:9" x14ac:dyDescent="0.2">
      <c r="A1425" s="155"/>
      <c r="C1425" s="148"/>
      <c r="D1425" s="160">
        <v>41409</v>
      </c>
      <c r="E1425" s="161">
        <v>0.10300000000000001</v>
      </c>
      <c r="F1425" s="161">
        <v>2.9602710000000001E-2</v>
      </c>
      <c r="G1425" s="133">
        <f t="shared" si="21"/>
        <v>7.3397290000000004E-2</v>
      </c>
      <c r="I1425" s="156">
        <f>--(Risk_Prem2[[#This Row],[Return on Equity]]&lt;0.09)</f>
        <v>0</v>
      </c>
    </row>
    <row r="1426" spans="1:9" x14ac:dyDescent="0.2">
      <c r="A1426" s="155"/>
      <c r="C1426" s="148"/>
      <c r="D1426" s="160">
        <v>41424</v>
      </c>
      <c r="E1426" s="161">
        <v>0.10199999999999999</v>
      </c>
      <c r="F1426" s="161">
        <v>2.9796390000000002E-2</v>
      </c>
      <c r="G1426" s="133">
        <f t="shared" si="21"/>
        <v>7.2203609999999988E-2</v>
      </c>
      <c r="I1426" s="156">
        <f>--(Risk_Prem2[[#This Row],[Return on Equity]]&lt;0.09)</f>
        <v>0</v>
      </c>
    </row>
    <row r="1427" spans="1:9" x14ac:dyDescent="0.2">
      <c r="A1427" s="155"/>
      <c r="C1427" s="148"/>
      <c r="D1427" s="160">
        <v>41425</v>
      </c>
      <c r="E1427" s="161">
        <v>0.09</v>
      </c>
      <c r="F1427" s="161">
        <v>2.9820289999999999E-2</v>
      </c>
      <c r="G1427" s="133">
        <f t="shared" si="21"/>
        <v>6.0179709999999997E-2</v>
      </c>
      <c r="I1427" s="156">
        <f>--(Risk_Prem2[[#This Row],[Return on Equity]]&lt;0.09)</f>
        <v>0</v>
      </c>
    </row>
    <row r="1428" spans="1:9" x14ac:dyDescent="0.2">
      <c r="A1428" s="155"/>
      <c r="C1428" s="148"/>
      <c r="D1428" s="160">
        <v>41436</v>
      </c>
      <c r="E1428" s="161">
        <v>0.1</v>
      </c>
      <c r="F1428" s="161">
        <v>3.002247500000001E-2</v>
      </c>
      <c r="G1428" s="133">
        <f t="shared" si="21"/>
        <v>6.9977524999999999E-2</v>
      </c>
      <c r="I1428" s="156">
        <f>--(Risk_Prem2[[#This Row],[Return on Equity]]&lt;0.09)</f>
        <v>0</v>
      </c>
    </row>
    <row r="1429" spans="1:9" x14ac:dyDescent="0.2">
      <c r="A1429" s="155"/>
      <c r="C1429" s="148"/>
      <c r="D1429" s="160">
        <v>41446</v>
      </c>
      <c r="E1429" s="161">
        <v>9.7500000000000003E-2</v>
      </c>
      <c r="F1429" s="161">
        <v>3.0235500000000012E-2</v>
      </c>
      <c r="G1429" s="133">
        <f t="shared" si="21"/>
        <v>6.7264499999999991E-2</v>
      </c>
      <c r="I1429" s="156">
        <f>--(Risk_Prem2[[#This Row],[Return on Equity]]&lt;0.09)</f>
        <v>0</v>
      </c>
    </row>
    <row r="1430" spans="1:9" x14ac:dyDescent="0.2">
      <c r="A1430" s="155"/>
      <c r="C1430" s="148"/>
      <c r="D1430" s="160">
        <v>41450</v>
      </c>
      <c r="E1430" s="161">
        <v>9.8000000000000004E-2</v>
      </c>
      <c r="F1430" s="161">
        <v>3.0291925000000015E-2</v>
      </c>
      <c r="G1430" s="133">
        <f t="shared" si="21"/>
        <v>6.7708074999999993E-2</v>
      </c>
      <c r="I1430" s="156">
        <f>--(Risk_Prem2[[#This Row],[Return on Equity]]&lt;0.09)</f>
        <v>0</v>
      </c>
    </row>
    <row r="1431" spans="1:9" x14ac:dyDescent="0.2">
      <c r="A1431" s="155"/>
      <c r="C1431" s="148"/>
      <c r="D1431" s="160">
        <v>41467</v>
      </c>
      <c r="E1431" s="161">
        <v>9.3599999999999989E-2</v>
      </c>
      <c r="F1431" s="161">
        <v>3.0747120000000017E-2</v>
      </c>
      <c r="G1431" s="133">
        <f t="shared" si="21"/>
        <v>6.2852879999999972E-2</v>
      </c>
      <c r="I1431" s="156">
        <f>--(Risk_Prem2[[#This Row],[Return on Equity]]&lt;0.09)</f>
        <v>0</v>
      </c>
    </row>
    <row r="1432" spans="1:9" x14ac:dyDescent="0.2">
      <c r="A1432" s="155"/>
      <c r="C1432" s="148"/>
      <c r="D1432" s="160">
        <v>41494</v>
      </c>
      <c r="E1432" s="161">
        <v>9.8299999999999998E-2</v>
      </c>
      <c r="F1432" s="161">
        <v>3.1437945000000023E-2</v>
      </c>
      <c r="G1432" s="133">
        <f t="shared" si="21"/>
        <v>6.6862054999999976E-2</v>
      </c>
      <c r="I1432" s="156">
        <f>--(Risk_Prem2[[#This Row],[Return on Equity]]&lt;0.09)</f>
        <v>0</v>
      </c>
    </row>
    <row r="1433" spans="1:9" x14ac:dyDescent="0.2">
      <c r="A1433" s="155"/>
      <c r="C1433" s="148"/>
      <c r="D1433" s="160">
        <v>41500</v>
      </c>
      <c r="E1433" s="161">
        <v>9.1499999999999998E-2</v>
      </c>
      <c r="F1433" s="161">
        <v>3.1602895000000027E-2</v>
      </c>
      <c r="G1433" s="133">
        <f t="shared" si="21"/>
        <v>5.9897104999999971E-2</v>
      </c>
      <c r="I1433" s="156">
        <f>--(Risk_Prem2[[#This Row],[Return on Equity]]&lt;0.09)</f>
        <v>0</v>
      </c>
    </row>
    <row r="1434" spans="1:9" x14ac:dyDescent="0.2">
      <c r="A1434" s="155"/>
      <c r="C1434" s="148"/>
      <c r="D1434" s="160">
        <v>41528</v>
      </c>
      <c r="E1434" s="161">
        <v>0.10199999999999999</v>
      </c>
      <c r="F1434" s="161">
        <v>3.2637825000000023E-2</v>
      </c>
      <c r="G1434" s="133">
        <f t="shared" si="21"/>
        <v>6.936217499999997E-2</v>
      </c>
      <c r="I1434" s="156">
        <f>--(Risk_Prem2[[#This Row],[Return on Equity]]&lt;0.09)</f>
        <v>0</v>
      </c>
    </row>
    <row r="1435" spans="1:9" x14ac:dyDescent="0.2">
      <c r="A1435" s="155"/>
      <c r="C1435" s="148"/>
      <c r="D1435" s="160">
        <v>41528</v>
      </c>
      <c r="E1435" s="161">
        <v>0.10249999999999999</v>
      </c>
      <c r="F1435" s="161">
        <v>3.2637825000000023E-2</v>
      </c>
      <c r="G1435" s="133">
        <f t="shared" si="21"/>
        <v>6.9862174999999971E-2</v>
      </c>
      <c r="I1435" s="156">
        <f>--(Risk_Prem2[[#This Row],[Return on Equity]]&lt;0.09)</f>
        <v>0</v>
      </c>
    </row>
    <row r="1436" spans="1:9" x14ac:dyDescent="0.2">
      <c r="A1436" s="155"/>
      <c r="C1436" s="148"/>
      <c r="D1436" s="160">
        <v>41541</v>
      </c>
      <c r="E1436" s="161">
        <v>0.10199999999999999</v>
      </c>
      <c r="F1436" s="161">
        <v>3.3051120000000017E-2</v>
      </c>
      <c r="G1436" s="133">
        <f t="shared" si="21"/>
        <v>6.8948879999999976E-2</v>
      </c>
      <c r="I1436" s="156">
        <f>--(Risk_Prem2[[#This Row],[Return on Equity]]&lt;0.09)</f>
        <v>0</v>
      </c>
    </row>
    <row r="1437" spans="1:9" x14ac:dyDescent="0.2">
      <c r="A1437" s="155"/>
      <c r="C1437" s="148"/>
      <c r="D1437" s="160">
        <v>41550</v>
      </c>
      <c r="E1437" s="161">
        <v>9.6500000000000002E-2</v>
      </c>
      <c r="F1437" s="161">
        <v>3.3313845000000002E-2</v>
      </c>
      <c r="G1437" s="133">
        <f t="shared" si="21"/>
        <v>6.3186154999999994E-2</v>
      </c>
      <c r="I1437" s="156">
        <f>--(Risk_Prem2[[#This Row],[Return on Equity]]&lt;0.09)</f>
        <v>0</v>
      </c>
    </row>
    <row r="1438" spans="1:9" x14ac:dyDescent="0.2">
      <c r="A1438" s="155"/>
      <c r="C1438" s="148"/>
      <c r="D1438" s="160">
        <v>41584</v>
      </c>
      <c r="E1438" s="161">
        <v>0.10199999999999999</v>
      </c>
      <c r="F1438" s="161">
        <v>3.4068189999999998E-2</v>
      </c>
      <c r="G1438" s="133">
        <f t="shared" si="21"/>
        <v>6.7931809999999995E-2</v>
      </c>
      <c r="I1438" s="156">
        <f>--(Risk_Prem2[[#This Row],[Return on Equity]]&lt;0.09)</f>
        <v>0</v>
      </c>
    </row>
    <row r="1439" spans="1:9" x14ac:dyDescent="0.2">
      <c r="A1439" s="155"/>
      <c r="C1439" s="148"/>
      <c r="D1439" s="160">
        <v>41599</v>
      </c>
      <c r="E1439" s="161">
        <v>0.1</v>
      </c>
      <c r="F1439" s="161">
        <v>3.4417204999999999E-2</v>
      </c>
      <c r="G1439" s="133">
        <f t="shared" si="21"/>
        <v>6.5582794999999999E-2</v>
      </c>
      <c r="I1439" s="156">
        <f>--(Risk_Prem2[[#This Row],[Return on Equity]]&lt;0.09)</f>
        <v>0</v>
      </c>
    </row>
    <row r="1440" spans="1:9" x14ac:dyDescent="0.2">
      <c r="A1440" s="155"/>
      <c r="C1440" s="148"/>
      <c r="D1440" s="160">
        <v>41604</v>
      </c>
      <c r="E1440" s="161">
        <v>0.1</v>
      </c>
      <c r="F1440" s="161">
        <v>3.4511484999999988E-2</v>
      </c>
      <c r="G1440" s="133">
        <f t="shared" si="21"/>
        <v>6.5488515000000025E-2</v>
      </c>
      <c r="I1440" s="156">
        <f>--(Risk_Prem2[[#This Row],[Return on Equity]]&lt;0.09)</f>
        <v>0</v>
      </c>
    </row>
    <row r="1441" spans="1:9" x14ac:dyDescent="0.2">
      <c r="A1441" s="155"/>
      <c r="C1441" s="148"/>
      <c r="D1441" s="160">
        <v>41611</v>
      </c>
      <c r="E1441" s="161">
        <v>0.10249999999999999</v>
      </c>
      <c r="F1441" s="161">
        <v>3.4685594999999993E-2</v>
      </c>
      <c r="G1441" s="133">
        <f t="shared" si="21"/>
        <v>6.7814404999999994E-2</v>
      </c>
      <c r="I1441" s="156">
        <f>--(Risk_Prem2[[#This Row],[Return on Equity]]&lt;0.09)</f>
        <v>0</v>
      </c>
    </row>
    <row r="1442" spans="1:9" x14ac:dyDescent="0.2">
      <c r="A1442" s="155"/>
      <c r="C1442" s="148"/>
      <c r="D1442" s="160">
        <v>41612</v>
      </c>
      <c r="E1442" s="161">
        <v>9.5000000000000001E-2</v>
      </c>
      <c r="F1442" s="161">
        <v>3.472568999999999E-2</v>
      </c>
      <c r="G1442" s="133">
        <f t="shared" si="21"/>
        <v>6.0274310000000011E-2</v>
      </c>
      <c r="I1442" s="156">
        <f>--(Risk_Prem2[[#This Row],[Return on Equity]]&lt;0.09)</f>
        <v>0</v>
      </c>
    </row>
    <row r="1443" spans="1:9" x14ac:dyDescent="0.2">
      <c r="A1443" s="155"/>
      <c r="C1443" s="148"/>
      <c r="D1443" s="160">
        <v>41613</v>
      </c>
      <c r="E1443" s="161">
        <v>0.10199999999999999</v>
      </c>
      <c r="F1443" s="161">
        <v>3.4767099999999995E-2</v>
      </c>
      <c r="G1443" s="133">
        <f t="shared" si="21"/>
        <v>6.7232899999999998E-2</v>
      </c>
      <c r="I1443" s="156">
        <f>--(Risk_Prem2[[#This Row],[Return on Equity]]&lt;0.09)</f>
        <v>0</v>
      </c>
    </row>
    <row r="1444" spans="1:9" x14ac:dyDescent="0.2">
      <c r="A1444" s="155"/>
      <c r="C1444" s="148"/>
      <c r="D1444" s="160">
        <v>41617</v>
      </c>
      <c r="E1444" s="161">
        <v>8.72E-2</v>
      </c>
      <c r="F1444" s="161">
        <v>3.4848279999999988E-2</v>
      </c>
      <c r="G1444" s="133">
        <f t="shared" si="21"/>
        <v>5.2351720000000011E-2</v>
      </c>
      <c r="I1444" s="156">
        <f>--(Risk_Prem2[[#This Row],[Return on Equity]]&lt;0.09)</f>
        <v>1</v>
      </c>
    </row>
    <row r="1445" spans="1:9" x14ac:dyDescent="0.2">
      <c r="A1445" s="155"/>
      <c r="C1445" s="148"/>
      <c r="D1445" s="160">
        <v>41617</v>
      </c>
      <c r="E1445" s="161">
        <v>9.7500000000000003E-2</v>
      </c>
      <c r="F1445" s="161">
        <v>3.4848279999999988E-2</v>
      </c>
      <c r="G1445" s="133">
        <f t="shared" si="21"/>
        <v>6.2651720000000022E-2</v>
      </c>
      <c r="I1445" s="156">
        <f>--(Risk_Prem2[[#This Row],[Return on Equity]]&lt;0.09)</f>
        <v>0</v>
      </c>
    </row>
    <row r="1446" spans="1:9" x14ac:dyDescent="0.2">
      <c r="A1446" s="155"/>
      <c r="C1446" s="148"/>
      <c r="D1446" s="160">
        <v>41621</v>
      </c>
      <c r="E1446" s="161">
        <v>9.7500000000000003E-2</v>
      </c>
      <c r="F1446" s="161">
        <v>3.498755999999998E-2</v>
      </c>
      <c r="G1446" s="133">
        <f t="shared" si="21"/>
        <v>6.251244000000003E-2</v>
      </c>
      <c r="I1446" s="156">
        <f>--(Risk_Prem2[[#This Row],[Return on Equity]]&lt;0.09)</f>
        <v>0</v>
      </c>
    </row>
    <row r="1447" spans="1:9" x14ac:dyDescent="0.2">
      <c r="A1447" s="155"/>
      <c r="C1447" s="148"/>
      <c r="D1447" s="160">
        <v>41624</v>
      </c>
      <c r="E1447" s="161">
        <v>9.9499999999999991E-2</v>
      </c>
      <c r="F1447" s="161">
        <v>3.5019269999999977E-2</v>
      </c>
      <c r="G1447" s="133">
        <f t="shared" si="21"/>
        <v>6.4480730000000014E-2</v>
      </c>
      <c r="I1447" s="156">
        <f>--(Risk_Prem2[[#This Row],[Return on Equity]]&lt;0.09)</f>
        <v>0</v>
      </c>
    </row>
    <row r="1448" spans="1:9" x14ac:dyDescent="0.2">
      <c r="A1448" s="155"/>
      <c r="C1448" s="148"/>
      <c r="D1448" s="160">
        <v>41624</v>
      </c>
      <c r="E1448" s="161">
        <v>9.9499999999999991E-2</v>
      </c>
      <c r="F1448" s="161">
        <v>3.5019269999999977E-2</v>
      </c>
      <c r="G1448" s="133">
        <f t="shared" si="21"/>
        <v>6.4480730000000014E-2</v>
      </c>
      <c r="I1448" s="156">
        <f>--(Risk_Prem2[[#This Row],[Return on Equity]]&lt;0.09)</f>
        <v>0</v>
      </c>
    </row>
    <row r="1449" spans="1:9" x14ac:dyDescent="0.2">
      <c r="A1449" s="155"/>
      <c r="C1449" s="148"/>
      <c r="D1449" s="160">
        <v>41624</v>
      </c>
      <c r="E1449" s="161">
        <v>0.1012</v>
      </c>
      <c r="F1449" s="161">
        <v>3.5019269999999977E-2</v>
      </c>
      <c r="G1449" s="133">
        <f t="shared" si="21"/>
        <v>6.6180730000000021E-2</v>
      </c>
      <c r="I1449" s="156">
        <f>--(Risk_Prem2[[#This Row],[Return on Equity]]&lt;0.09)</f>
        <v>0</v>
      </c>
    </row>
    <row r="1450" spans="1:9" x14ac:dyDescent="0.2">
      <c r="A1450" s="155"/>
      <c r="C1450" s="148"/>
      <c r="D1450" s="160">
        <v>41625</v>
      </c>
      <c r="E1450" s="161">
        <v>9.5000000000000001E-2</v>
      </c>
      <c r="F1450" s="161">
        <v>3.5051909999999985E-2</v>
      </c>
      <c r="G1450" s="133">
        <f t="shared" si="21"/>
        <v>5.9948090000000016E-2</v>
      </c>
      <c r="I1450" s="156">
        <f>--(Risk_Prem2[[#This Row],[Return on Equity]]&lt;0.09)</f>
        <v>0</v>
      </c>
    </row>
    <row r="1451" spans="1:9" x14ac:dyDescent="0.2">
      <c r="A1451" s="155"/>
      <c r="C1451" s="148"/>
      <c r="D1451" s="160">
        <v>41625</v>
      </c>
      <c r="E1451" s="161">
        <v>0.10949999999999999</v>
      </c>
      <c r="F1451" s="161">
        <v>3.5051909999999985E-2</v>
      </c>
      <c r="G1451" s="133">
        <f t="shared" si="21"/>
        <v>7.4448089999999995E-2</v>
      </c>
      <c r="I1451" s="156">
        <f>--(Risk_Prem2[[#This Row],[Return on Equity]]&lt;0.09)</f>
        <v>0</v>
      </c>
    </row>
    <row r="1452" spans="1:9" x14ac:dyDescent="0.2">
      <c r="A1452" s="155"/>
      <c r="C1452" s="148"/>
      <c r="D1452" s="160">
        <v>41626</v>
      </c>
      <c r="E1452" s="161">
        <v>8.72E-2</v>
      </c>
      <c r="F1452" s="161">
        <v>3.5086329999999985E-2</v>
      </c>
      <c r="G1452" s="133">
        <f t="shared" si="21"/>
        <v>5.2113670000000015E-2</v>
      </c>
      <c r="I1452" s="156">
        <f>--(Risk_Prem2[[#This Row],[Return on Equity]]&lt;0.09)</f>
        <v>1</v>
      </c>
    </row>
    <row r="1453" spans="1:9" x14ac:dyDescent="0.2">
      <c r="A1453" s="155"/>
      <c r="C1453" s="148"/>
      <c r="D1453" s="160">
        <v>41626</v>
      </c>
      <c r="E1453" s="161">
        <v>9.8000000000000004E-2</v>
      </c>
      <c r="F1453" s="161">
        <v>3.5086329999999985E-2</v>
      </c>
      <c r="G1453" s="133">
        <f t="shared" si="21"/>
        <v>6.2913670000000019E-2</v>
      </c>
      <c r="I1453" s="156">
        <f>--(Risk_Prem2[[#This Row],[Return on Equity]]&lt;0.09)</f>
        <v>0</v>
      </c>
    </row>
    <row r="1454" spans="1:9" x14ac:dyDescent="0.2">
      <c r="A1454" s="155"/>
      <c r="C1454" s="148"/>
      <c r="D1454" s="160">
        <v>41627</v>
      </c>
      <c r="E1454" s="161">
        <v>0.10150000000000001</v>
      </c>
      <c r="F1454" s="161">
        <v>3.5119854999999978E-2</v>
      </c>
      <c r="G1454" s="133">
        <f t="shared" ref="G1454:G1517" si="22">E1454-F1454</f>
        <v>6.6380145000000029E-2</v>
      </c>
      <c r="I1454" s="156">
        <f>--(Risk_Prem2[[#This Row],[Return on Equity]]&lt;0.09)</f>
        <v>0</v>
      </c>
    </row>
    <row r="1455" spans="1:9" x14ac:dyDescent="0.2">
      <c r="A1455" s="155"/>
      <c r="C1455" s="148"/>
      <c r="D1455" s="160">
        <v>41638</v>
      </c>
      <c r="E1455" s="161">
        <v>9.5000000000000001E-2</v>
      </c>
      <c r="F1455" s="161">
        <v>3.5373319999999979E-2</v>
      </c>
      <c r="G1455" s="133">
        <f t="shared" si="22"/>
        <v>5.9626680000000022E-2</v>
      </c>
      <c r="I1455" s="156">
        <f>--(Risk_Prem2[[#This Row],[Return on Equity]]&lt;0.09)</f>
        <v>0</v>
      </c>
    </row>
    <row r="1456" spans="1:9" x14ac:dyDescent="0.2">
      <c r="A1456" s="155"/>
      <c r="C1456" s="148"/>
      <c r="D1456" s="160">
        <v>41690</v>
      </c>
      <c r="E1456" s="161">
        <v>9.1999999999999998E-2</v>
      </c>
      <c r="F1456" s="161">
        <v>3.6827419999999972E-2</v>
      </c>
      <c r="G1456" s="133">
        <f t="shared" si="22"/>
        <v>5.5172580000000027E-2</v>
      </c>
      <c r="I1456" s="156">
        <f>--(Risk_Prem2[[#This Row],[Return on Equity]]&lt;0.09)</f>
        <v>0</v>
      </c>
    </row>
    <row r="1457" spans="1:9" x14ac:dyDescent="0.2">
      <c r="A1457" s="155"/>
      <c r="C1457" s="148"/>
      <c r="D1457" s="160">
        <v>41696</v>
      </c>
      <c r="E1457" s="161">
        <v>9.7500000000000003E-2</v>
      </c>
      <c r="F1457" s="161">
        <v>3.6926519999999977E-2</v>
      </c>
      <c r="G1457" s="133">
        <f t="shared" si="22"/>
        <v>6.0573480000000027E-2</v>
      </c>
      <c r="I1457" s="156">
        <f>--(Risk_Prem2[[#This Row],[Return on Equity]]&lt;0.09)</f>
        <v>0</v>
      </c>
    </row>
    <row r="1458" spans="1:9" x14ac:dyDescent="0.2">
      <c r="A1458" s="155"/>
      <c r="C1458" s="148"/>
      <c r="D1458" s="160">
        <v>41715</v>
      </c>
      <c r="E1458" s="161">
        <v>9.5500000000000002E-2</v>
      </c>
      <c r="F1458" s="161">
        <v>3.7172019999999972E-2</v>
      </c>
      <c r="G1458" s="133">
        <f t="shared" si="22"/>
        <v>5.8327980000000029E-2</v>
      </c>
      <c r="I1458" s="156">
        <f>--(Risk_Prem2[[#This Row],[Return on Equity]]&lt;0.09)</f>
        <v>0</v>
      </c>
    </row>
    <row r="1459" spans="1:9" x14ac:dyDescent="0.2">
      <c r="A1459" s="155"/>
      <c r="C1459" s="148"/>
      <c r="D1459" s="160">
        <v>41724</v>
      </c>
      <c r="E1459" s="161">
        <v>9.4E-2</v>
      </c>
      <c r="F1459" s="161">
        <v>3.7263304999999983E-2</v>
      </c>
      <c r="G1459" s="133">
        <f t="shared" si="22"/>
        <v>5.6736695000000018E-2</v>
      </c>
      <c r="I1459" s="156">
        <f>--(Risk_Prem2[[#This Row],[Return on Equity]]&lt;0.09)</f>
        <v>0</v>
      </c>
    </row>
    <row r="1460" spans="1:9" x14ac:dyDescent="0.2">
      <c r="A1460" s="155"/>
      <c r="C1460" s="148"/>
      <c r="D1460" s="160">
        <v>41724</v>
      </c>
      <c r="E1460" s="161">
        <v>9.9600000000000008E-2</v>
      </c>
      <c r="F1460" s="161">
        <v>3.7263304999999983E-2</v>
      </c>
      <c r="G1460" s="133">
        <f t="shared" si="22"/>
        <v>6.2336695000000025E-2</v>
      </c>
      <c r="I1460" s="156">
        <f>--(Risk_Prem2[[#This Row],[Return on Equity]]&lt;0.09)</f>
        <v>0</v>
      </c>
    </row>
    <row r="1461" spans="1:9" x14ac:dyDescent="0.2">
      <c r="A1461" s="155"/>
      <c r="C1461" s="148"/>
      <c r="D1461" s="160">
        <v>41731</v>
      </c>
      <c r="E1461" s="161">
        <v>9.6999999999999989E-2</v>
      </c>
      <c r="F1461" s="161">
        <v>3.7265424999999998E-2</v>
      </c>
      <c r="G1461" s="133">
        <f t="shared" si="22"/>
        <v>5.9734574999999991E-2</v>
      </c>
      <c r="I1461" s="156">
        <f>--(Risk_Prem2[[#This Row],[Return on Equity]]&lt;0.09)</f>
        <v>0</v>
      </c>
    </row>
    <row r="1462" spans="1:9" x14ac:dyDescent="0.2">
      <c r="A1462" s="155"/>
      <c r="C1462" s="148"/>
      <c r="D1462" s="160">
        <v>41775</v>
      </c>
      <c r="E1462" s="161">
        <v>9.8000000000000004E-2</v>
      </c>
      <c r="F1462" s="161">
        <v>3.7029440000000025E-2</v>
      </c>
      <c r="G1462" s="133">
        <f t="shared" si="22"/>
        <v>6.0970559999999979E-2</v>
      </c>
      <c r="I1462" s="156">
        <f>--(Risk_Prem2[[#This Row],[Return on Equity]]&lt;0.09)</f>
        <v>0</v>
      </c>
    </row>
    <row r="1463" spans="1:9" x14ac:dyDescent="0.2">
      <c r="A1463" s="155"/>
      <c r="C1463" s="148"/>
      <c r="D1463" s="160">
        <v>41789</v>
      </c>
      <c r="E1463" s="161">
        <v>9.6999999999999989E-2</v>
      </c>
      <c r="F1463" s="161">
        <v>3.6805080000000032E-2</v>
      </c>
      <c r="G1463" s="133">
        <f t="shared" si="22"/>
        <v>6.0194919999999957E-2</v>
      </c>
      <c r="I1463" s="156">
        <f>--(Risk_Prem2[[#This Row],[Return on Equity]]&lt;0.09)</f>
        <v>0</v>
      </c>
    </row>
    <row r="1464" spans="1:9" x14ac:dyDescent="0.2">
      <c r="A1464" s="155"/>
      <c r="C1464" s="148"/>
      <c r="D1464" s="160">
        <v>41796</v>
      </c>
      <c r="E1464" s="161">
        <v>0.10400000000000001</v>
      </c>
      <c r="F1464" s="161">
        <v>3.6730525000000028E-2</v>
      </c>
      <c r="G1464" s="133">
        <f t="shared" si="22"/>
        <v>6.7269474999999981E-2</v>
      </c>
      <c r="I1464" s="156">
        <f>--(Risk_Prem2[[#This Row],[Return on Equity]]&lt;0.09)</f>
        <v>0</v>
      </c>
    </row>
    <row r="1465" spans="1:9" x14ac:dyDescent="0.2">
      <c r="A1465" s="155"/>
      <c r="C1465" s="148"/>
      <c r="D1465" s="160">
        <v>41820</v>
      </c>
      <c r="E1465" s="161">
        <v>9.5500000000000002E-2</v>
      </c>
      <c r="F1465" s="161">
        <v>3.6410425000000031E-2</v>
      </c>
      <c r="G1465" s="133">
        <f t="shared" si="22"/>
        <v>5.9089574999999971E-2</v>
      </c>
      <c r="I1465" s="156">
        <f>--(Risk_Prem2[[#This Row],[Return on Equity]]&lt;0.09)</f>
        <v>0</v>
      </c>
    </row>
    <row r="1466" spans="1:9" x14ac:dyDescent="0.2">
      <c r="A1466" s="155"/>
      <c r="C1466" s="148"/>
      <c r="D1466" s="160">
        <v>41822</v>
      </c>
      <c r="E1466" s="161">
        <v>9.6199999999999994E-2</v>
      </c>
      <c r="F1466" s="161">
        <v>3.6386405000000031E-2</v>
      </c>
      <c r="G1466" s="133">
        <f t="shared" si="22"/>
        <v>5.9813594999999962E-2</v>
      </c>
      <c r="I1466" s="156">
        <f>--(Risk_Prem2[[#This Row],[Return on Equity]]&lt;0.09)</f>
        <v>0</v>
      </c>
    </row>
    <row r="1467" spans="1:9" x14ac:dyDescent="0.2">
      <c r="A1467" s="155"/>
      <c r="C1467" s="148"/>
      <c r="D1467" s="160">
        <v>41830</v>
      </c>
      <c r="E1467" s="161">
        <v>9.9499999999999991E-2</v>
      </c>
      <c r="F1467" s="161">
        <v>3.6301360000000032E-2</v>
      </c>
      <c r="G1467" s="133">
        <f t="shared" si="22"/>
        <v>6.3198639999999959E-2</v>
      </c>
      <c r="I1467" s="156">
        <f>--(Risk_Prem2[[#This Row],[Return on Equity]]&lt;0.09)</f>
        <v>0</v>
      </c>
    </row>
    <row r="1468" spans="1:9" x14ac:dyDescent="0.2">
      <c r="A1468" s="155"/>
      <c r="C1468" s="148"/>
      <c r="D1468" s="160">
        <v>41843</v>
      </c>
      <c r="E1468" s="161">
        <v>9.7500000000000003E-2</v>
      </c>
      <c r="F1468" s="161">
        <v>3.6109350000000026E-2</v>
      </c>
      <c r="G1468" s="133">
        <f t="shared" si="22"/>
        <v>6.1390649999999977E-2</v>
      </c>
      <c r="I1468" s="156">
        <f>--(Risk_Prem2[[#This Row],[Return on Equity]]&lt;0.09)</f>
        <v>0</v>
      </c>
    </row>
    <row r="1469" spans="1:9" x14ac:dyDescent="0.2">
      <c r="A1469" s="155"/>
      <c r="C1469" s="148"/>
      <c r="D1469" s="160">
        <v>41849</v>
      </c>
      <c r="E1469" s="161">
        <v>9.4499999999999987E-2</v>
      </c>
      <c r="F1469" s="161">
        <v>3.6031120000000028E-2</v>
      </c>
      <c r="G1469" s="133">
        <f t="shared" si="22"/>
        <v>5.8468879999999959E-2</v>
      </c>
      <c r="I1469" s="156">
        <f>--(Risk_Prem2[[#This Row],[Return on Equity]]&lt;0.09)</f>
        <v>0</v>
      </c>
    </row>
    <row r="1470" spans="1:9" x14ac:dyDescent="0.2">
      <c r="A1470" s="155"/>
      <c r="C1470" s="148"/>
      <c r="D1470" s="160">
        <v>41851</v>
      </c>
      <c r="E1470" s="161">
        <v>9.9000000000000005E-2</v>
      </c>
      <c r="F1470" s="161">
        <v>3.6002300000000022E-2</v>
      </c>
      <c r="G1470" s="133">
        <f t="shared" si="22"/>
        <v>6.299769999999999E-2</v>
      </c>
      <c r="I1470" s="156">
        <f>--(Risk_Prem2[[#This Row],[Return on Equity]]&lt;0.09)</f>
        <v>0</v>
      </c>
    </row>
    <row r="1471" spans="1:9" x14ac:dyDescent="0.2">
      <c r="A1471" s="155"/>
      <c r="C1471" s="148"/>
      <c r="D1471" s="160">
        <v>41871</v>
      </c>
      <c r="E1471" s="161">
        <v>9.7500000000000003E-2</v>
      </c>
      <c r="F1471" s="161">
        <v>3.5661080000000019E-2</v>
      </c>
      <c r="G1471" s="133">
        <f t="shared" si="22"/>
        <v>6.1838919999999985E-2</v>
      </c>
      <c r="I1471" s="156">
        <f>--(Risk_Prem2[[#This Row],[Return on Equity]]&lt;0.09)</f>
        <v>0</v>
      </c>
    </row>
    <row r="1472" spans="1:9" x14ac:dyDescent="0.2">
      <c r="A1472" s="155"/>
      <c r="C1472" s="148"/>
      <c r="D1472" s="160">
        <v>41876</v>
      </c>
      <c r="E1472" s="161">
        <v>9.6000000000000002E-2</v>
      </c>
      <c r="F1472" s="161">
        <v>3.5568070000000021E-2</v>
      </c>
      <c r="G1472" s="133">
        <f t="shared" si="22"/>
        <v>6.0431929999999981E-2</v>
      </c>
      <c r="I1472" s="156">
        <f>--(Risk_Prem2[[#This Row],[Return on Equity]]&lt;0.09)</f>
        <v>0</v>
      </c>
    </row>
    <row r="1473" spans="1:9" x14ac:dyDescent="0.2">
      <c r="A1473" s="155"/>
      <c r="C1473" s="148"/>
      <c r="D1473" s="160">
        <v>41880</v>
      </c>
      <c r="E1473" s="161">
        <v>9.8000000000000004E-2</v>
      </c>
      <c r="F1473" s="161">
        <v>3.5417600000000014E-2</v>
      </c>
      <c r="G1473" s="133">
        <f t="shared" si="22"/>
        <v>6.2582399999999982E-2</v>
      </c>
      <c r="I1473" s="156">
        <f>--(Risk_Prem2[[#This Row],[Return on Equity]]&lt;0.09)</f>
        <v>0</v>
      </c>
    </row>
    <row r="1474" spans="1:9" x14ac:dyDescent="0.2">
      <c r="A1474" s="155"/>
      <c r="C1474" s="148"/>
      <c r="D1474" s="160">
        <v>41893</v>
      </c>
      <c r="E1474" s="161">
        <v>9.6000000000000002E-2</v>
      </c>
      <c r="F1474" s="161">
        <v>3.5130945000000011E-2</v>
      </c>
      <c r="G1474" s="133">
        <f t="shared" si="22"/>
        <v>6.0869054999999991E-2</v>
      </c>
      <c r="I1474" s="156">
        <f>--(Risk_Prem2[[#This Row],[Return on Equity]]&lt;0.09)</f>
        <v>0</v>
      </c>
    </row>
    <row r="1475" spans="1:9" x14ac:dyDescent="0.2">
      <c r="A1475" s="155"/>
      <c r="C1475" s="148"/>
      <c r="D1475" s="160">
        <v>41897</v>
      </c>
      <c r="E1475" s="161">
        <v>0.10249999999999999</v>
      </c>
      <c r="F1475" s="161">
        <v>3.5077285000000014E-2</v>
      </c>
      <c r="G1475" s="133">
        <f t="shared" si="22"/>
        <v>6.742271499999998E-2</v>
      </c>
      <c r="I1475" s="156">
        <f>--(Risk_Prem2[[#This Row],[Return on Equity]]&lt;0.09)</f>
        <v>0</v>
      </c>
    </row>
    <row r="1476" spans="1:9" x14ac:dyDescent="0.2">
      <c r="A1476" s="155"/>
      <c r="C1476" s="148"/>
      <c r="D1476" s="160">
        <v>41921</v>
      </c>
      <c r="E1476" s="161">
        <v>9.8000000000000004E-2</v>
      </c>
      <c r="F1476" s="161">
        <v>3.4450265000000001E-2</v>
      </c>
      <c r="G1476" s="133">
        <f t="shared" si="22"/>
        <v>6.3549734999999996E-2</v>
      </c>
      <c r="I1476" s="156">
        <f>--(Risk_Prem2[[#This Row],[Return on Equity]]&lt;0.09)</f>
        <v>0</v>
      </c>
    </row>
    <row r="1477" spans="1:9" x14ac:dyDescent="0.2">
      <c r="A1477" s="155"/>
      <c r="C1477" s="148"/>
      <c r="D1477" s="160">
        <v>41949</v>
      </c>
      <c r="E1477" s="161">
        <v>9.5600000000000004E-2</v>
      </c>
      <c r="F1477" s="161">
        <v>3.3700879999999982E-2</v>
      </c>
      <c r="G1477" s="133">
        <f t="shared" si="22"/>
        <v>6.1899120000000023E-2</v>
      </c>
      <c r="I1477" s="156">
        <f>--(Risk_Prem2[[#This Row],[Return on Equity]]&lt;0.09)</f>
        <v>0</v>
      </c>
    </row>
    <row r="1478" spans="1:9" x14ac:dyDescent="0.2">
      <c r="A1478" s="155"/>
      <c r="C1478" s="148"/>
      <c r="D1478" s="160">
        <v>41949</v>
      </c>
      <c r="E1478" s="161">
        <v>0.10199999999999999</v>
      </c>
      <c r="F1478" s="161">
        <v>3.3700879999999982E-2</v>
      </c>
      <c r="G1478" s="133">
        <f t="shared" si="22"/>
        <v>6.8299120000000019E-2</v>
      </c>
      <c r="I1478" s="156">
        <f>--(Risk_Prem2[[#This Row],[Return on Equity]]&lt;0.09)</f>
        <v>0</v>
      </c>
    </row>
    <row r="1479" spans="1:9" x14ac:dyDescent="0.2">
      <c r="A1479" s="155"/>
      <c r="C1479" s="148"/>
      <c r="D1479" s="160">
        <v>41957</v>
      </c>
      <c r="E1479" s="161">
        <v>0.10199999999999999</v>
      </c>
      <c r="F1479" s="161">
        <v>3.3536809999999993E-2</v>
      </c>
      <c r="G1479" s="133">
        <f t="shared" si="22"/>
        <v>6.8463190000000007E-2</v>
      </c>
      <c r="I1479" s="156">
        <f>--(Risk_Prem2[[#This Row],[Return on Equity]]&lt;0.09)</f>
        <v>0</v>
      </c>
    </row>
    <row r="1480" spans="1:9" x14ac:dyDescent="0.2">
      <c r="A1480" s="155"/>
      <c r="C1480" s="148"/>
      <c r="D1480" s="160">
        <v>41969</v>
      </c>
      <c r="E1480" s="161">
        <v>9.6999999999999989E-2</v>
      </c>
      <c r="F1480" s="161">
        <v>3.3269735000000002E-2</v>
      </c>
      <c r="G1480" s="133">
        <f t="shared" si="22"/>
        <v>6.373026499999998E-2</v>
      </c>
      <c r="I1480" s="156">
        <f>--(Risk_Prem2[[#This Row],[Return on Equity]]&lt;0.09)</f>
        <v>0</v>
      </c>
    </row>
    <row r="1481" spans="1:9" x14ac:dyDescent="0.2">
      <c r="A1481" s="155"/>
      <c r="C1481" s="148"/>
      <c r="D1481" s="160">
        <v>41969</v>
      </c>
      <c r="E1481" s="161">
        <v>0.10199999999999999</v>
      </c>
      <c r="F1481" s="161">
        <v>3.3269735000000002E-2</v>
      </c>
      <c r="G1481" s="133">
        <f t="shared" si="22"/>
        <v>6.8730264999999985E-2</v>
      </c>
      <c r="I1481" s="156">
        <f>--(Risk_Prem2[[#This Row],[Return on Equity]]&lt;0.09)</f>
        <v>0</v>
      </c>
    </row>
    <row r="1482" spans="1:9" x14ac:dyDescent="0.2">
      <c r="A1482" s="155"/>
      <c r="C1482" s="148"/>
      <c r="D1482" s="160">
        <v>41977</v>
      </c>
      <c r="E1482" s="161">
        <v>9.6799999999999997E-2</v>
      </c>
      <c r="F1482" s="161">
        <v>3.3057195000000011E-2</v>
      </c>
      <c r="G1482" s="133">
        <f t="shared" si="22"/>
        <v>6.3742804999999986E-2</v>
      </c>
      <c r="I1482" s="156">
        <f>--(Risk_Prem2[[#This Row],[Return on Equity]]&lt;0.09)</f>
        <v>0</v>
      </c>
    </row>
    <row r="1483" spans="1:9" x14ac:dyDescent="0.2">
      <c r="A1483" s="155"/>
      <c r="C1483" s="148"/>
      <c r="D1483" s="160">
        <v>41983</v>
      </c>
      <c r="E1483" s="161">
        <v>9.2499999999999999E-2</v>
      </c>
      <c r="F1483" s="161">
        <v>3.2914300000000007E-2</v>
      </c>
      <c r="G1483" s="133">
        <f t="shared" si="22"/>
        <v>5.9585699999999991E-2</v>
      </c>
      <c r="I1483" s="156">
        <f>--(Risk_Prem2[[#This Row],[Return on Equity]]&lt;0.09)</f>
        <v>0</v>
      </c>
    </row>
    <row r="1484" spans="1:9" x14ac:dyDescent="0.2">
      <c r="A1484" s="155"/>
      <c r="C1484" s="148"/>
      <c r="D1484" s="160">
        <v>41983</v>
      </c>
      <c r="E1484" s="161">
        <v>9.2499999999999999E-2</v>
      </c>
      <c r="F1484" s="161">
        <v>3.2914300000000007E-2</v>
      </c>
      <c r="G1484" s="133">
        <f t="shared" si="22"/>
        <v>5.9585699999999991E-2</v>
      </c>
      <c r="I1484" s="156">
        <f>--(Risk_Prem2[[#This Row],[Return on Equity]]&lt;0.09)</f>
        <v>0</v>
      </c>
    </row>
    <row r="1485" spans="1:9" x14ac:dyDescent="0.2">
      <c r="A1485" s="155"/>
      <c r="C1485" s="148"/>
      <c r="D1485" s="160">
        <v>41984</v>
      </c>
      <c r="E1485" s="161">
        <v>0.1007</v>
      </c>
      <c r="F1485" s="161">
        <v>3.2870150000000015E-2</v>
      </c>
      <c r="G1485" s="133">
        <f t="shared" si="22"/>
        <v>6.7829849999999983E-2</v>
      </c>
      <c r="I1485" s="156">
        <f>--(Risk_Prem2[[#This Row],[Return on Equity]]&lt;0.09)</f>
        <v>0</v>
      </c>
    </row>
    <row r="1486" spans="1:9" x14ac:dyDescent="0.2">
      <c r="A1486" s="155"/>
      <c r="C1486" s="148"/>
      <c r="D1486" s="160">
        <v>41985</v>
      </c>
      <c r="E1486" s="161">
        <v>0.10199999999999999</v>
      </c>
      <c r="F1486" s="161">
        <v>3.2820980000000007E-2</v>
      </c>
      <c r="G1486" s="133">
        <f t="shared" si="22"/>
        <v>6.917901999999998E-2</v>
      </c>
      <c r="I1486" s="156">
        <f>--(Risk_Prem2[[#This Row],[Return on Equity]]&lt;0.09)</f>
        <v>0</v>
      </c>
    </row>
    <row r="1487" spans="1:9" x14ac:dyDescent="0.2">
      <c r="A1487" s="155"/>
      <c r="C1487" s="148"/>
      <c r="D1487" s="160">
        <v>41990</v>
      </c>
      <c r="E1487" s="161">
        <v>9.1700000000000004E-2</v>
      </c>
      <c r="F1487" s="161">
        <v>3.2674025000000002E-2</v>
      </c>
      <c r="G1487" s="133">
        <f t="shared" si="22"/>
        <v>5.9025975000000001E-2</v>
      </c>
      <c r="I1487" s="156">
        <f>--(Risk_Prem2[[#This Row],[Return on Equity]]&lt;0.09)</f>
        <v>0</v>
      </c>
    </row>
    <row r="1488" spans="1:9" x14ac:dyDescent="0.2">
      <c r="A1488" s="155"/>
      <c r="C1488" s="148"/>
      <c r="D1488" s="160">
        <v>41991</v>
      </c>
      <c r="E1488" s="161">
        <v>9.8299999999999998E-2</v>
      </c>
      <c r="F1488" s="161">
        <v>3.2635405000000006E-2</v>
      </c>
      <c r="G1488" s="133">
        <f t="shared" si="22"/>
        <v>6.5664594999999992E-2</v>
      </c>
      <c r="I1488" s="156">
        <f>--(Risk_Prem2[[#This Row],[Return on Equity]]&lt;0.09)</f>
        <v>0</v>
      </c>
    </row>
    <row r="1489" spans="1:9" x14ac:dyDescent="0.2">
      <c r="A1489" s="155"/>
      <c r="C1489" s="148"/>
      <c r="D1489" s="160">
        <v>42027</v>
      </c>
      <c r="E1489" s="161">
        <v>9.5000000000000001E-2</v>
      </c>
      <c r="F1489" s="161">
        <v>3.138705E-2</v>
      </c>
      <c r="G1489" s="133">
        <f t="shared" si="22"/>
        <v>6.3612950000000001E-2</v>
      </c>
      <c r="I1489" s="156">
        <f>--(Risk_Prem2[[#This Row],[Return on Equity]]&lt;0.09)</f>
        <v>0</v>
      </c>
    </row>
    <row r="1490" spans="1:9" x14ac:dyDescent="0.2">
      <c r="A1490" s="155"/>
      <c r="C1490" s="148"/>
      <c r="D1490" s="160">
        <v>42059</v>
      </c>
      <c r="E1490" s="161">
        <v>9.8299999999999998E-2</v>
      </c>
      <c r="F1490" s="161">
        <v>3.0378630000000007E-2</v>
      </c>
      <c r="G1490" s="133">
        <f t="shared" si="22"/>
        <v>6.7921369999999995E-2</v>
      </c>
      <c r="I1490" s="156">
        <f>--(Risk_Prem2[[#This Row],[Return on Equity]]&lt;0.09)</f>
        <v>0</v>
      </c>
    </row>
    <row r="1491" spans="1:9" x14ac:dyDescent="0.2">
      <c r="A1491" s="155"/>
      <c r="C1491" s="148"/>
      <c r="D1491" s="160">
        <v>42081</v>
      </c>
      <c r="E1491" s="161">
        <v>9.7500000000000003E-2</v>
      </c>
      <c r="F1491" s="161">
        <v>2.9799104999999996E-2</v>
      </c>
      <c r="G1491" s="133">
        <f t="shared" si="22"/>
        <v>6.7700895000000011E-2</v>
      </c>
      <c r="I1491" s="156">
        <f>--(Risk_Prem2[[#This Row],[Return on Equity]]&lt;0.09)</f>
        <v>0</v>
      </c>
    </row>
    <row r="1492" spans="1:9" x14ac:dyDescent="0.2">
      <c r="A1492" s="155"/>
      <c r="C1492" s="148"/>
      <c r="D1492" s="160">
        <v>42088</v>
      </c>
      <c r="E1492" s="161">
        <v>9.5000000000000001E-2</v>
      </c>
      <c r="F1492" s="161">
        <v>2.9572034999999993E-2</v>
      </c>
      <c r="G1492" s="133">
        <f t="shared" si="22"/>
        <v>6.5427965000000005E-2</v>
      </c>
      <c r="I1492" s="156">
        <f>--(Risk_Prem2[[#This Row],[Return on Equity]]&lt;0.09)</f>
        <v>0</v>
      </c>
    </row>
    <row r="1493" spans="1:9" x14ac:dyDescent="0.2">
      <c r="A1493" s="155"/>
      <c r="C1493" s="148"/>
      <c r="D1493" s="160">
        <v>42089</v>
      </c>
      <c r="E1493" s="161">
        <v>9.7200000000000009E-2</v>
      </c>
      <c r="F1493" s="161">
        <v>2.9527724999999994E-2</v>
      </c>
      <c r="G1493" s="133">
        <f t="shared" si="22"/>
        <v>6.7672275000000018E-2</v>
      </c>
      <c r="I1493" s="156">
        <f>--(Risk_Prem2[[#This Row],[Return on Equity]]&lt;0.09)</f>
        <v>0</v>
      </c>
    </row>
    <row r="1494" spans="1:9" x14ac:dyDescent="0.2">
      <c r="A1494" s="155"/>
      <c r="C1494" s="148"/>
      <c r="D1494" s="160">
        <v>42117</v>
      </c>
      <c r="E1494" s="161">
        <v>0.10199999999999999</v>
      </c>
      <c r="F1494" s="161">
        <v>2.8693315000000007E-2</v>
      </c>
      <c r="G1494" s="133">
        <f t="shared" si="22"/>
        <v>7.3306684999999983E-2</v>
      </c>
      <c r="I1494" s="156">
        <f>--(Risk_Prem2[[#This Row],[Return on Equity]]&lt;0.09)</f>
        <v>0</v>
      </c>
    </row>
    <row r="1495" spans="1:9" x14ac:dyDescent="0.2">
      <c r="C1495" s="148"/>
      <c r="D1495" s="160">
        <v>42123</v>
      </c>
      <c r="E1495" s="161">
        <v>9.5299999999999996E-2</v>
      </c>
      <c r="F1495" s="161">
        <v>2.8574290000000006E-2</v>
      </c>
      <c r="G1495" s="133">
        <f t="shared" si="22"/>
        <v>6.6725709999999994E-2</v>
      </c>
      <c r="I1495" s="156">
        <f>--(Risk_Prem2[[#This Row],[Return on Equity]]&lt;0.09)</f>
        <v>0</v>
      </c>
    </row>
    <row r="1496" spans="1:9" x14ac:dyDescent="0.2">
      <c r="C1496" s="128"/>
      <c r="D1496" s="160">
        <v>42125</v>
      </c>
      <c r="E1496" s="161">
        <v>9.6000000000000002E-2</v>
      </c>
      <c r="F1496" s="161">
        <v>2.852598000000001E-2</v>
      </c>
      <c r="G1496" s="133">
        <f t="shared" si="22"/>
        <v>6.7474019999999996E-2</v>
      </c>
      <c r="I1496" s="156">
        <f>--(Risk_Prem2[[#This Row],[Return on Equity]]&lt;0.09)</f>
        <v>0</v>
      </c>
    </row>
    <row r="1497" spans="1:9" x14ac:dyDescent="0.2">
      <c r="C1497" s="128"/>
      <c r="D1497" s="160">
        <v>42150</v>
      </c>
      <c r="E1497" s="161">
        <v>9.7500000000000003E-2</v>
      </c>
      <c r="F1497" s="161">
        <v>2.8302755000000013E-2</v>
      </c>
      <c r="G1497" s="133">
        <f t="shared" si="22"/>
        <v>6.9197244999999991E-2</v>
      </c>
      <c r="I1497" s="156">
        <f>--(Risk_Prem2[[#This Row],[Return on Equity]]&lt;0.09)</f>
        <v>0</v>
      </c>
    </row>
    <row r="1498" spans="1:9" x14ac:dyDescent="0.2">
      <c r="C1498" s="128"/>
      <c r="D1498" s="160">
        <v>42172</v>
      </c>
      <c r="E1498" s="161">
        <v>0.09</v>
      </c>
      <c r="F1498" s="161">
        <v>2.8206625000000006E-2</v>
      </c>
      <c r="G1498" s="133">
        <f t="shared" si="22"/>
        <v>6.1793374999999991E-2</v>
      </c>
      <c r="I1498" s="156">
        <f>--(Risk_Prem2[[#This Row],[Return on Equity]]&lt;0.09)</f>
        <v>0</v>
      </c>
    </row>
    <row r="1499" spans="1:9" x14ac:dyDescent="0.2">
      <c r="C1499" s="128"/>
      <c r="D1499" s="160">
        <v>42172</v>
      </c>
      <c r="E1499" s="161">
        <v>0.09</v>
      </c>
      <c r="F1499" s="161">
        <v>2.8206625000000006E-2</v>
      </c>
      <c r="G1499" s="133">
        <f t="shared" si="22"/>
        <v>6.1793374999999991E-2</v>
      </c>
      <c r="I1499" s="156">
        <f>--(Risk_Prem2[[#This Row],[Return on Equity]]&lt;0.09)</f>
        <v>0</v>
      </c>
    </row>
    <row r="1500" spans="1:9" x14ac:dyDescent="0.2">
      <c r="D1500" s="160">
        <v>42249</v>
      </c>
      <c r="E1500" s="161">
        <v>9.5000000000000001E-2</v>
      </c>
      <c r="F1500" s="161">
        <v>2.7911319999999993E-2</v>
      </c>
      <c r="G1500" s="133">
        <f t="shared" si="22"/>
        <v>6.7088680000000012E-2</v>
      </c>
      <c r="I1500" s="156">
        <f>--(Risk_Prem2[[#This Row],[Return on Equity]]&lt;0.09)</f>
        <v>0</v>
      </c>
    </row>
    <row r="1501" spans="1:9" x14ac:dyDescent="0.2">
      <c r="D1501" s="160">
        <v>42257</v>
      </c>
      <c r="E1501" s="161">
        <v>9.3000000000000013E-2</v>
      </c>
      <c r="F1501" s="161">
        <v>2.7904534999999991E-2</v>
      </c>
      <c r="G1501" s="133">
        <f t="shared" si="22"/>
        <v>6.5095465000000019E-2</v>
      </c>
      <c r="I1501" s="156">
        <f>--(Risk_Prem2[[#This Row],[Return on Equity]]&lt;0.09)</f>
        <v>0</v>
      </c>
    </row>
    <row r="1502" spans="1:9" x14ac:dyDescent="0.2">
      <c r="D1502" s="160">
        <v>42292</v>
      </c>
      <c r="E1502" s="161">
        <v>0.09</v>
      </c>
      <c r="F1502" s="161">
        <v>2.811312999999999E-2</v>
      </c>
      <c r="G1502" s="133">
        <f t="shared" si="22"/>
        <v>6.188687000000001E-2</v>
      </c>
      <c r="I1502" s="156">
        <f>--(Risk_Prem2[[#This Row],[Return on Equity]]&lt;0.09)</f>
        <v>0</v>
      </c>
    </row>
    <row r="1503" spans="1:9" x14ac:dyDescent="0.2">
      <c r="D1503" s="160">
        <v>42327</v>
      </c>
      <c r="E1503" s="161">
        <v>0.1</v>
      </c>
      <c r="F1503" s="161">
        <v>2.8797094999999998E-2</v>
      </c>
      <c r="G1503" s="133">
        <f t="shared" si="22"/>
        <v>7.1202905000000011E-2</v>
      </c>
      <c r="I1503" s="156">
        <f>--(Risk_Prem2[[#This Row],[Return on Equity]]&lt;0.09)</f>
        <v>0</v>
      </c>
    </row>
    <row r="1504" spans="1:9" x14ac:dyDescent="0.2">
      <c r="D1504" s="160">
        <v>42327</v>
      </c>
      <c r="E1504" s="161">
        <v>0.10300000000000001</v>
      </c>
      <c r="F1504" s="161">
        <v>2.8797094999999998E-2</v>
      </c>
      <c r="G1504" s="133">
        <f t="shared" si="22"/>
        <v>7.4202905000000013E-2</v>
      </c>
      <c r="I1504" s="156">
        <f>--(Risk_Prem2[[#This Row],[Return on Equity]]&lt;0.09)</f>
        <v>0</v>
      </c>
    </row>
    <row r="1505" spans="4:9" x14ac:dyDescent="0.2">
      <c r="D1505" s="160">
        <v>42341</v>
      </c>
      <c r="E1505" s="161">
        <v>0.1</v>
      </c>
      <c r="F1505" s="161">
        <v>2.8957474999999996E-2</v>
      </c>
      <c r="G1505" s="133">
        <f t="shared" si="22"/>
        <v>7.1042525000000009E-2</v>
      </c>
      <c r="I1505" s="156">
        <f>--(Risk_Prem2[[#This Row],[Return on Equity]]&lt;0.09)</f>
        <v>0</v>
      </c>
    </row>
    <row r="1506" spans="4:9" x14ac:dyDescent="0.2">
      <c r="D1506" s="160">
        <v>42347</v>
      </c>
      <c r="E1506" s="161">
        <v>9.1400000000000009E-2</v>
      </c>
      <c r="F1506" s="161">
        <v>2.9017155000000003E-2</v>
      </c>
      <c r="G1506" s="133">
        <f t="shared" si="22"/>
        <v>6.2382845000000006E-2</v>
      </c>
      <c r="I1506" s="156">
        <f>--(Risk_Prem2[[#This Row],[Return on Equity]]&lt;0.09)</f>
        <v>0</v>
      </c>
    </row>
    <row r="1507" spans="4:9" x14ac:dyDescent="0.2">
      <c r="D1507" s="160">
        <v>42347</v>
      </c>
      <c r="E1507" s="161">
        <v>9.1400000000000009E-2</v>
      </c>
      <c r="F1507" s="161">
        <v>2.9017155000000003E-2</v>
      </c>
      <c r="G1507" s="133">
        <f t="shared" si="22"/>
        <v>6.2382845000000006E-2</v>
      </c>
      <c r="I1507" s="156">
        <f>--(Risk_Prem2[[#This Row],[Return on Equity]]&lt;0.09)</f>
        <v>0</v>
      </c>
    </row>
    <row r="1508" spans="4:9" x14ac:dyDescent="0.2">
      <c r="D1508" s="160">
        <v>42349</v>
      </c>
      <c r="E1508" s="161">
        <v>0.10300000000000001</v>
      </c>
      <c r="F1508" s="161">
        <v>2.9030605000000004E-2</v>
      </c>
      <c r="G1508" s="133">
        <f t="shared" si="22"/>
        <v>7.3969395000000007E-2</v>
      </c>
      <c r="I1508" s="156">
        <f>--(Risk_Prem2[[#This Row],[Return on Equity]]&lt;0.09)</f>
        <v>0</v>
      </c>
    </row>
    <row r="1509" spans="4:9" x14ac:dyDescent="0.2">
      <c r="D1509" s="160">
        <v>42353</v>
      </c>
      <c r="E1509" s="161">
        <v>9.6000000000000002E-2</v>
      </c>
      <c r="F1509" s="161">
        <v>2.9051415000000004E-2</v>
      </c>
      <c r="G1509" s="133">
        <f t="shared" si="22"/>
        <v>6.6948585000000005E-2</v>
      </c>
      <c r="I1509" s="156">
        <f>--(Risk_Prem2[[#This Row],[Return on Equity]]&lt;0.09)</f>
        <v>0</v>
      </c>
    </row>
    <row r="1510" spans="4:9" x14ac:dyDescent="0.2">
      <c r="D1510" s="160">
        <v>42355</v>
      </c>
      <c r="E1510" s="161">
        <v>9.6999999999999989E-2</v>
      </c>
      <c r="F1510" s="161">
        <v>2.9078745000000003E-2</v>
      </c>
      <c r="G1510" s="133">
        <f t="shared" si="22"/>
        <v>6.7921254999999986E-2</v>
      </c>
      <c r="I1510" s="156">
        <f>--(Risk_Prem2[[#This Row],[Return on Equity]]&lt;0.09)</f>
        <v>0</v>
      </c>
    </row>
    <row r="1511" spans="4:9" x14ac:dyDescent="0.2">
      <c r="D1511" s="160">
        <v>42356</v>
      </c>
      <c r="E1511" s="161">
        <v>9.5000000000000001E-2</v>
      </c>
      <c r="F1511" s="161">
        <v>2.9089910000000004E-2</v>
      </c>
      <c r="G1511" s="133">
        <f t="shared" si="22"/>
        <v>6.5910090000000005E-2</v>
      </c>
      <c r="I1511" s="156">
        <f>--(Risk_Prem2[[#This Row],[Return on Equity]]&lt;0.09)</f>
        <v>0</v>
      </c>
    </row>
    <row r="1512" spans="4:9" x14ac:dyDescent="0.2">
      <c r="D1512" s="160">
        <v>42368</v>
      </c>
      <c r="E1512" s="161">
        <v>9.5000000000000001E-2</v>
      </c>
      <c r="F1512" s="161">
        <v>2.9265320000000008E-2</v>
      </c>
      <c r="G1512" s="133">
        <f t="shared" si="22"/>
        <v>6.573467999999999E-2</v>
      </c>
      <c r="I1512" s="156">
        <f>--(Risk_Prem2[[#This Row],[Return on Equity]]&lt;0.09)</f>
        <v>0</v>
      </c>
    </row>
    <row r="1513" spans="4:9" x14ac:dyDescent="0.2">
      <c r="D1513" s="160">
        <v>42375</v>
      </c>
      <c r="E1513" s="161">
        <v>9.5000000000000001E-2</v>
      </c>
      <c r="F1513" s="161">
        <v>2.9379435000000016E-2</v>
      </c>
      <c r="G1513" s="133">
        <f t="shared" si="22"/>
        <v>6.5620564999999992E-2</v>
      </c>
      <c r="I1513" s="156">
        <f>--(Risk_Prem2[[#This Row],[Return on Equity]]&lt;0.09)</f>
        <v>0</v>
      </c>
    </row>
    <row r="1514" spans="4:9" x14ac:dyDescent="0.2">
      <c r="D1514" s="160">
        <v>42423</v>
      </c>
      <c r="E1514" s="161">
        <v>9.7500000000000003E-2</v>
      </c>
      <c r="F1514" s="161">
        <v>2.9361715000000014E-2</v>
      </c>
      <c r="G1514" s="133">
        <f t="shared" si="22"/>
        <v>6.8138284999999993E-2</v>
      </c>
      <c r="I1514" s="156">
        <f>--(Risk_Prem2[[#This Row],[Return on Equity]]&lt;0.09)</f>
        <v>0</v>
      </c>
    </row>
    <row r="1515" spans="4:9" x14ac:dyDescent="0.2">
      <c r="D1515" s="160">
        <v>42445</v>
      </c>
      <c r="E1515" s="161">
        <v>9.849999999999999E-2</v>
      </c>
      <c r="F1515" s="161">
        <v>2.9090290000000008E-2</v>
      </c>
      <c r="G1515" s="133">
        <f t="shared" si="22"/>
        <v>6.9409709999999986E-2</v>
      </c>
      <c r="I1515" s="156">
        <f>--(Risk_Prem2[[#This Row],[Return on Equity]]&lt;0.09)</f>
        <v>0</v>
      </c>
    </row>
    <row r="1516" spans="4:9" x14ac:dyDescent="0.2">
      <c r="D1516" s="160">
        <v>42489</v>
      </c>
      <c r="E1516" s="161">
        <v>9.8000000000000004E-2</v>
      </c>
      <c r="F1516" s="161">
        <v>2.8329485000000019E-2</v>
      </c>
      <c r="G1516" s="133">
        <f t="shared" si="22"/>
        <v>6.9670514999999988E-2</v>
      </c>
      <c r="I1516" s="156">
        <f>--(Risk_Prem2[[#This Row],[Return on Equity]]&lt;0.09)</f>
        <v>0</v>
      </c>
    </row>
    <row r="1517" spans="4:9" x14ac:dyDescent="0.2">
      <c r="D1517" s="160">
        <v>42524</v>
      </c>
      <c r="E1517" s="161">
        <v>9.7500000000000003E-2</v>
      </c>
      <c r="F1517" s="161">
        <v>2.8024370000000007E-2</v>
      </c>
      <c r="G1517" s="133">
        <f t="shared" si="22"/>
        <v>6.9475629999999997E-2</v>
      </c>
      <c r="I1517" s="156">
        <f>--(Risk_Prem2[[#This Row],[Return on Equity]]&lt;0.09)</f>
        <v>0</v>
      </c>
    </row>
    <row r="1518" spans="4:9" x14ac:dyDescent="0.2">
      <c r="D1518" s="160">
        <v>42529</v>
      </c>
      <c r="E1518" s="161">
        <v>9.4800000000000009E-2</v>
      </c>
      <c r="F1518" s="161">
        <v>2.7963185000000005E-2</v>
      </c>
      <c r="G1518" s="133">
        <f t="shared" ref="G1518:G1581" si="23">E1518-F1518</f>
        <v>6.6836815000000008E-2</v>
      </c>
      <c r="I1518" s="156">
        <f>--(Risk_Prem2[[#This Row],[Return on Equity]]&lt;0.09)</f>
        <v>0</v>
      </c>
    </row>
    <row r="1519" spans="4:9" x14ac:dyDescent="0.2">
      <c r="D1519" s="160">
        <v>42536</v>
      </c>
      <c r="E1519" s="161">
        <v>0.09</v>
      </c>
      <c r="F1519" s="161">
        <v>2.7841974999999998E-2</v>
      </c>
      <c r="G1519" s="133">
        <f t="shared" si="23"/>
        <v>6.2158024999999999E-2</v>
      </c>
      <c r="I1519" s="156">
        <f>--(Risk_Prem2[[#This Row],[Return on Equity]]&lt;0.09)</f>
        <v>0</v>
      </c>
    </row>
    <row r="1520" spans="4:9" x14ac:dyDescent="0.2">
      <c r="D1520" s="160">
        <v>42536</v>
      </c>
      <c r="E1520" s="161">
        <v>0.09</v>
      </c>
      <c r="F1520" s="161">
        <v>2.7841974999999998E-2</v>
      </c>
      <c r="G1520" s="133">
        <f t="shared" si="23"/>
        <v>6.2158024999999999E-2</v>
      </c>
      <c r="I1520" s="156">
        <f>--(Risk_Prem2[[#This Row],[Return on Equity]]&lt;0.09)</f>
        <v>0</v>
      </c>
    </row>
    <row r="1521" spans="4:9" x14ac:dyDescent="0.2">
      <c r="D1521" s="160">
        <v>42569</v>
      </c>
      <c r="E1521" s="161">
        <v>9.98E-2</v>
      </c>
      <c r="F1521" s="161">
        <v>2.7106674999999986E-2</v>
      </c>
      <c r="G1521" s="133">
        <f t="shared" si="23"/>
        <v>7.2693325000000017E-2</v>
      </c>
      <c r="I1521" s="156">
        <f>--(Risk_Prem2[[#This Row],[Return on Equity]]&lt;0.09)</f>
        <v>0</v>
      </c>
    </row>
    <row r="1522" spans="4:9" x14ac:dyDescent="0.2">
      <c r="D1522" s="160">
        <v>42591</v>
      </c>
      <c r="E1522" s="161">
        <v>9.849999999999999E-2</v>
      </c>
      <c r="F1522" s="161">
        <v>2.6608554999999992E-2</v>
      </c>
      <c r="G1522" s="133">
        <f t="shared" si="23"/>
        <v>7.1891444999999998E-2</v>
      </c>
      <c r="I1522" s="156">
        <f>--(Risk_Prem2[[#This Row],[Return on Equity]]&lt;0.09)</f>
        <v>0</v>
      </c>
    </row>
    <row r="1523" spans="4:9" x14ac:dyDescent="0.2">
      <c r="D1523" s="160">
        <v>42600</v>
      </c>
      <c r="E1523" s="161">
        <v>9.5000000000000001E-2</v>
      </c>
      <c r="F1523" s="161">
        <v>2.6324899999999995E-2</v>
      </c>
      <c r="G1523" s="133">
        <f t="shared" si="23"/>
        <v>6.8675100000000003E-2</v>
      </c>
      <c r="I1523" s="156">
        <f>--(Risk_Prem2[[#This Row],[Return on Equity]]&lt;0.09)</f>
        <v>0</v>
      </c>
    </row>
    <row r="1524" spans="4:9" x14ac:dyDescent="0.2">
      <c r="D1524" s="160">
        <v>42606</v>
      </c>
      <c r="E1524" s="161">
        <v>9.7500000000000003E-2</v>
      </c>
      <c r="F1524" s="161">
        <v>2.6164409999999996E-2</v>
      </c>
      <c r="G1524" s="133">
        <f t="shared" si="23"/>
        <v>7.1335590000000004E-2</v>
      </c>
      <c r="I1524" s="156">
        <f>--(Risk_Prem2[[#This Row],[Return on Equity]]&lt;0.09)</f>
        <v>0</v>
      </c>
    </row>
    <row r="1525" spans="4:9" x14ac:dyDescent="0.2">
      <c r="D1525" s="160">
        <v>42614</v>
      </c>
      <c r="E1525" s="161">
        <v>9.5000000000000001E-2</v>
      </c>
      <c r="F1525" s="161">
        <v>2.5936499999999994E-2</v>
      </c>
      <c r="G1525" s="133">
        <f t="shared" si="23"/>
        <v>6.90635E-2</v>
      </c>
      <c r="I1525" s="156">
        <f>--(Risk_Prem2[[#This Row],[Return on Equity]]&lt;0.09)</f>
        <v>0</v>
      </c>
    </row>
    <row r="1526" spans="4:9" x14ac:dyDescent="0.2">
      <c r="D1526" s="160">
        <v>42621</v>
      </c>
      <c r="E1526" s="161">
        <v>0.1</v>
      </c>
      <c r="F1526" s="161">
        <v>2.576077999999999E-2</v>
      </c>
      <c r="G1526" s="133">
        <f t="shared" si="23"/>
        <v>7.4239220000000022E-2</v>
      </c>
      <c r="I1526" s="156">
        <f>--(Risk_Prem2[[#This Row],[Return on Equity]]&lt;0.09)</f>
        <v>0</v>
      </c>
    </row>
    <row r="1527" spans="4:9" x14ac:dyDescent="0.2">
      <c r="D1527" s="160">
        <v>42641</v>
      </c>
      <c r="E1527" s="161">
        <v>9.5799999999999996E-2</v>
      </c>
      <c r="F1527" s="161">
        <v>2.5363589999999981E-2</v>
      </c>
      <c r="G1527" s="133">
        <f t="shared" si="23"/>
        <v>7.0436410000000019E-2</v>
      </c>
      <c r="I1527" s="156">
        <f>--(Risk_Prem2[[#This Row],[Return on Equity]]&lt;0.09)</f>
        <v>0</v>
      </c>
    </row>
    <row r="1528" spans="4:9" x14ac:dyDescent="0.2">
      <c r="D1528" s="160">
        <v>42643</v>
      </c>
      <c r="E1528" s="161">
        <v>9.9000000000000005E-2</v>
      </c>
      <c r="F1528" s="161">
        <v>2.5297164999999983E-2</v>
      </c>
      <c r="G1528" s="133">
        <f t="shared" si="23"/>
        <v>7.3702835000000022E-2</v>
      </c>
      <c r="I1528" s="156">
        <f>--(Risk_Prem2[[#This Row],[Return on Equity]]&lt;0.09)</f>
        <v>0</v>
      </c>
    </row>
    <row r="1529" spans="4:9" x14ac:dyDescent="0.2">
      <c r="D1529" s="160">
        <v>42683</v>
      </c>
      <c r="E1529" s="161">
        <v>9.8000000000000004E-2</v>
      </c>
      <c r="F1529" s="161">
        <v>2.4823794999999999E-2</v>
      </c>
      <c r="G1529" s="133">
        <f t="shared" si="23"/>
        <v>7.3176205000000008E-2</v>
      </c>
      <c r="I1529" s="156">
        <f>--(Risk_Prem2[[#This Row],[Return on Equity]]&lt;0.09)</f>
        <v>0</v>
      </c>
    </row>
    <row r="1530" spans="4:9" x14ac:dyDescent="0.2">
      <c r="D1530" s="160">
        <v>42684</v>
      </c>
      <c r="E1530" s="161">
        <v>9.5000000000000001E-2</v>
      </c>
      <c r="F1530" s="161">
        <v>2.4837754999999996E-2</v>
      </c>
      <c r="G1530" s="133">
        <f t="shared" si="23"/>
        <v>7.0162245000000012E-2</v>
      </c>
      <c r="I1530" s="156">
        <f>--(Risk_Prem2[[#This Row],[Return on Equity]]&lt;0.09)</f>
        <v>0</v>
      </c>
    </row>
    <row r="1531" spans="4:9" x14ac:dyDescent="0.2">
      <c r="D1531" s="160">
        <v>42689</v>
      </c>
      <c r="E1531" s="161">
        <v>9.5500000000000002E-2</v>
      </c>
      <c r="F1531" s="161">
        <v>2.4893164999999998E-2</v>
      </c>
      <c r="G1531" s="133">
        <f t="shared" si="23"/>
        <v>7.0606835000000007E-2</v>
      </c>
      <c r="I1531" s="156">
        <f>--(Risk_Prem2[[#This Row],[Return on Equity]]&lt;0.09)</f>
        <v>0</v>
      </c>
    </row>
    <row r="1532" spans="4:9" x14ac:dyDescent="0.2">
      <c r="D1532" s="160">
        <v>42692</v>
      </c>
      <c r="E1532" s="161">
        <v>0.1</v>
      </c>
      <c r="F1532" s="161">
        <v>2.4961889999999997E-2</v>
      </c>
      <c r="G1532" s="133">
        <f t="shared" si="23"/>
        <v>7.5038110000000005E-2</v>
      </c>
      <c r="I1532" s="156">
        <f>--(Risk_Prem2[[#This Row],[Return on Equity]]&lt;0.09)</f>
        <v>0</v>
      </c>
    </row>
    <row r="1533" spans="4:9" x14ac:dyDescent="0.2">
      <c r="D1533" s="160">
        <v>42703</v>
      </c>
      <c r="E1533" s="161">
        <v>0.10550000000000001</v>
      </c>
      <c r="F1533" s="161">
        <v>2.5093499999999994E-2</v>
      </c>
      <c r="G1533" s="133">
        <f t="shared" si="23"/>
        <v>8.040650000000002E-2</v>
      </c>
      <c r="I1533" s="156">
        <f>--(Risk_Prem2[[#This Row],[Return on Equity]]&lt;0.09)</f>
        <v>0</v>
      </c>
    </row>
    <row r="1534" spans="4:9" x14ac:dyDescent="0.2">
      <c r="D1534" s="160">
        <v>42705</v>
      </c>
      <c r="E1534" s="161">
        <v>0.1</v>
      </c>
      <c r="F1534" s="161">
        <v>2.5140624999999993E-2</v>
      </c>
      <c r="G1534" s="133">
        <f t="shared" si="23"/>
        <v>7.4859375000000006E-2</v>
      </c>
      <c r="I1534" s="156">
        <f>--(Risk_Prem2[[#This Row],[Return on Equity]]&lt;0.09)</f>
        <v>0</v>
      </c>
    </row>
    <row r="1535" spans="4:9" x14ac:dyDescent="0.2">
      <c r="D1535" s="160">
        <v>42710</v>
      </c>
      <c r="E1535" s="161">
        <v>8.6400000000000005E-2</v>
      </c>
      <c r="F1535" s="161">
        <v>2.5203354999999997E-2</v>
      </c>
      <c r="G1535" s="133">
        <f t="shared" si="23"/>
        <v>6.1196645000000008E-2</v>
      </c>
      <c r="I1535" s="156">
        <f>--(Risk_Prem2[[#This Row],[Return on Equity]]&lt;0.09)</f>
        <v>1</v>
      </c>
    </row>
    <row r="1536" spans="4:9" x14ac:dyDescent="0.2">
      <c r="D1536" s="160">
        <v>42710</v>
      </c>
      <c r="E1536" s="161">
        <v>8.6400000000000005E-2</v>
      </c>
      <c r="F1536" s="161">
        <v>2.5203354999999997E-2</v>
      </c>
      <c r="G1536" s="133">
        <f t="shared" si="23"/>
        <v>6.1196645000000008E-2</v>
      </c>
      <c r="I1536" s="156">
        <f>--(Risk_Prem2[[#This Row],[Return on Equity]]&lt;0.09)</f>
        <v>1</v>
      </c>
    </row>
    <row r="1537" spans="4:9" x14ac:dyDescent="0.2">
      <c r="D1537" s="160">
        <v>42711</v>
      </c>
      <c r="E1537" s="161">
        <v>0.10099999999999999</v>
      </c>
      <c r="F1537" s="161">
        <v>2.5220249999999996E-2</v>
      </c>
      <c r="G1537" s="133">
        <f t="shared" si="23"/>
        <v>7.5779749999999993E-2</v>
      </c>
      <c r="I1537" s="156">
        <f>--(Risk_Prem2[[#This Row],[Return on Equity]]&lt;0.09)</f>
        <v>0</v>
      </c>
    </row>
    <row r="1538" spans="4:9" x14ac:dyDescent="0.2">
      <c r="D1538" s="160">
        <v>42716</v>
      </c>
      <c r="E1538" s="161">
        <v>9.6000000000000002E-2</v>
      </c>
      <c r="F1538" s="161">
        <v>2.528793E-2</v>
      </c>
      <c r="G1538" s="133">
        <f t="shared" si="23"/>
        <v>7.0712070000000002E-2</v>
      </c>
      <c r="I1538" s="156">
        <f>--(Risk_Prem2[[#This Row],[Return on Equity]]&lt;0.09)</f>
        <v>0</v>
      </c>
    </row>
    <row r="1539" spans="4:9" x14ac:dyDescent="0.2">
      <c r="D1539" s="160">
        <v>42718</v>
      </c>
      <c r="E1539" s="161">
        <v>9.0999999999999998E-2</v>
      </c>
      <c r="F1539" s="161">
        <v>2.5338645E-2</v>
      </c>
      <c r="G1539" s="133">
        <f t="shared" si="23"/>
        <v>6.5661355000000005E-2</v>
      </c>
      <c r="I1539" s="156">
        <f>--(Risk_Prem2[[#This Row],[Return on Equity]]&lt;0.09)</f>
        <v>0</v>
      </c>
    </row>
    <row r="1540" spans="4:9" x14ac:dyDescent="0.2">
      <c r="D1540" s="160">
        <v>42723</v>
      </c>
      <c r="E1540" s="161">
        <v>0.09</v>
      </c>
      <c r="F1540" s="161">
        <v>2.5402494999999997E-2</v>
      </c>
      <c r="G1540" s="133">
        <f t="shared" si="23"/>
        <v>6.4597505E-2</v>
      </c>
      <c r="I1540" s="156">
        <f>--(Risk_Prem2[[#This Row],[Return on Equity]]&lt;0.09)</f>
        <v>0</v>
      </c>
    </row>
    <row r="1541" spans="4:9" x14ac:dyDescent="0.2">
      <c r="D1541" s="160">
        <v>42723</v>
      </c>
      <c r="E1541" s="161">
        <v>9.3699999999999992E-2</v>
      </c>
      <c r="F1541" s="161">
        <v>2.5402494999999997E-2</v>
      </c>
      <c r="G1541" s="133">
        <f t="shared" si="23"/>
        <v>6.8297504999999994E-2</v>
      </c>
      <c r="I1541" s="156">
        <f>--(Risk_Prem2[[#This Row],[Return on Equity]]&lt;0.09)</f>
        <v>0</v>
      </c>
    </row>
    <row r="1542" spans="4:9" x14ac:dyDescent="0.2">
      <c r="D1542" s="160">
        <v>42726</v>
      </c>
      <c r="E1542" s="161">
        <v>9.6000000000000002E-2</v>
      </c>
      <c r="F1542" s="161">
        <v>2.5464880000000002E-2</v>
      </c>
      <c r="G1542" s="133">
        <f t="shared" si="23"/>
        <v>7.0535120000000007E-2</v>
      </c>
      <c r="I1542" s="156">
        <f>--(Risk_Prem2[[#This Row],[Return on Equity]]&lt;0.09)</f>
        <v>0</v>
      </c>
    </row>
    <row r="1543" spans="4:9" x14ac:dyDescent="0.2">
      <c r="D1543" s="160">
        <v>42726</v>
      </c>
      <c r="E1543" s="161">
        <v>9.9000000000000005E-2</v>
      </c>
      <c r="F1543" s="161">
        <v>2.5464880000000002E-2</v>
      </c>
      <c r="G1543" s="133">
        <f t="shared" si="23"/>
        <v>7.3535120000000009E-2</v>
      </c>
      <c r="I1543" s="156">
        <f>--(Risk_Prem2[[#This Row],[Return on Equity]]&lt;0.09)</f>
        <v>0</v>
      </c>
    </row>
    <row r="1544" spans="4:9" x14ac:dyDescent="0.2">
      <c r="D1544" s="160">
        <v>42732</v>
      </c>
      <c r="E1544" s="161">
        <v>9.5000000000000001E-2</v>
      </c>
      <c r="F1544" s="161">
        <v>2.5548925000000007E-2</v>
      </c>
      <c r="G1544" s="133">
        <f t="shared" si="23"/>
        <v>6.9451075000000001E-2</v>
      </c>
      <c r="I1544" s="156">
        <f>--(Risk_Prem2[[#This Row],[Return on Equity]]&lt;0.09)</f>
        <v>0</v>
      </c>
    </row>
    <row r="1545" spans="4:9" x14ac:dyDescent="0.2">
      <c r="D1545" s="160">
        <v>42753</v>
      </c>
      <c r="E1545" s="161">
        <v>9.4499999999999987E-2</v>
      </c>
      <c r="F1545" s="161">
        <v>2.5849335000000015E-2</v>
      </c>
      <c r="G1545" s="133">
        <f t="shared" si="23"/>
        <v>6.8650664999999972E-2</v>
      </c>
      <c r="I1545" s="156">
        <f>--(Risk_Prem2[[#This Row],[Return on Equity]]&lt;0.09)</f>
        <v>0</v>
      </c>
    </row>
    <row r="1546" spans="4:9" x14ac:dyDescent="0.2">
      <c r="D1546" s="160">
        <v>42759</v>
      </c>
      <c r="E1546" s="161">
        <v>0.09</v>
      </c>
      <c r="F1546" s="161">
        <v>2.5939180000000017E-2</v>
      </c>
      <c r="G1546" s="133">
        <f t="shared" si="23"/>
        <v>6.4060819999999977E-2</v>
      </c>
      <c r="I1546" s="156">
        <f>--(Risk_Prem2[[#This Row],[Return on Equity]]&lt;0.09)</f>
        <v>0</v>
      </c>
    </row>
    <row r="1547" spans="4:9" x14ac:dyDescent="0.2">
      <c r="D1547" s="160">
        <v>42766</v>
      </c>
      <c r="E1547" s="161">
        <v>0.10099999999999999</v>
      </c>
      <c r="F1547" s="161">
        <v>2.6031590000000011E-2</v>
      </c>
      <c r="G1547" s="133">
        <f t="shared" si="23"/>
        <v>7.4968409999999985E-2</v>
      </c>
      <c r="I1547" s="156">
        <f>--(Risk_Prem2[[#This Row],[Return on Equity]]&lt;0.09)</f>
        <v>0</v>
      </c>
    </row>
    <row r="1548" spans="4:9" x14ac:dyDescent="0.2">
      <c r="D1548" s="160">
        <v>42781</v>
      </c>
      <c r="E1548" s="161">
        <v>9.6000000000000002E-2</v>
      </c>
      <c r="F1548" s="161">
        <v>2.6248585000000012E-2</v>
      </c>
      <c r="G1548" s="133">
        <f t="shared" si="23"/>
        <v>6.9751414999999983E-2</v>
      </c>
      <c r="I1548" s="156">
        <f>--(Risk_Prem2[[#This Row],[Return on Equity]]&lt;0.09)</f>
        <v>0</v>
      </c>
    </row>
    <row r="1549" spans="4:9" x14ac:dyDescent="0.2">
      <c r="D1549" s="160">
        <v>42788</v>
      </c>
      <c r="E1549" s="161">
        <v>9.6000000000000002E-2</v>
      </c>
      <c r="F1549" s="161">
        <v>2.6356929999999997E-2</v>
      </c>
      <c r="G1549" s="133">
        <f t="shared" si="23"/>
        <v>6.9643070000000001E-2</v>
      </c>
      <c r="I1549" s="156">
        <f>--(Risk_Prem2[[#This Row],[Return on Equity]]&lt;0.09)</f>
        <v>0</v>
      </c>
    </row>
    <row r="1550" spans="4:9" x14ac:dyDescent="0.2">
      <c r="D1550" s="160">
        <v>42790</v>
      </c>
      <c r="E1550" s="161">
        <v>9.7500000000000003E-2</v>
      </c>
      <c r="F1550" s="161">
        <v>2.6391599999999994E-2</v>
      </c>
      <c r="G1550" s="133">
        <f t="shared" si="23"/>
        <v>7.1108400000000016E-2</v>
      </c>
      <c r="I1550" s="156">
        <f>--(Risk_Prem2[[#This Row],[Return on Equity]]&lt;0.09)</f>
        <v>0</v>
      </c>
    </row>
    <row r="1551" spans="4:9" x14ac:dyDescent="0.2">
      <c r="D1551" s="160">
        <v>42794</v>
      </c>
      <c r="E1551" s="161">
        <v>0.10099999999999999</v>
      </c>
      <c r="F1551" s="161">
        <v>2.6427164999999992E-2</v>
      </c>
      <c r="G1551" s="133">
        <f t="shared" si="23"/>
        <v>7.4572835000000004E-2</v>
      </c>
      <c r="I1551" s="156">
        <f>--(Risk_Prem2[[#This Row],[Return on Equity]]&lt;0.09)</f>
        <v>0</v>
      </c>
    </row>
    <row r="1552" spans="4:9" x14ac:dyDescent="0.2">
      <c r="D1552" s="160">
        <v>42796</v>
      </c>
      <c r="E1552" s="161">
        <v>9.4100000000000003E-2</v>
      </c>
      <c r="F1552" s="161">
        <v>2.6468634999999997E-2</v>
      </c>
      <c r="G1552" s="133">
        <f t="shared" si="23"/>
        <v>6.7631364999999999E-2</v>
      </c>
      <c r="I1552" s="156">
        <f>--(Risk_Prem2[[#This Row],[Return on Equity]]&lt;0.09)</f>
        <v>0</v>
      </c>
    </row>
    <row r="1553" spans="4:9" x14ac:dyDescent="0.2">
      <c r="D1553" s="160">
        <v>42814</v>
      </c>
      <c r="E1553" s="161">
        <v>9.5000000000000001E-2</v>
      </c>
      <c r="F1553" s="161">
        <v>2.6819209999999996E-2</v>
      </c>
      <c r="G1553" s="133">
        <f t="shared" si="23"/>
        <v>6.8180790000000005E-2</v>
      </c>
      <c r="I1553" s="156">
        <f>--(Risk_Prem2[[#This Row],[Return on Equity]]&lt;0.09)</f>
        <v>0</v>
      </c>
    </row>
    <row r="1554" spans="4:9" x14ac:dyDescent="0.2">
      <c r="D1554" s="160">
        <v>42829</v>
      </c>
      <c r="E1554" s="161">
        <v>0.10249999999999999</v>
      </c>
      <c r="F1554" s="161">
        <v>2.7140674999999989E-2</v>
      </c>
      <c r="G1554" s="133">
        <f t="shared" si="23"/>
        <v>7.5359325000000005E-2</v>
      </c>
      <c r="I1554" s="156">
        <f>--(Risk_Prem2[[#This Row],[Return on Equity]]&lt;0.09)</f>
        <v>0</v>
      </c>
    </row>
    <row r="1555" spans="4:9" x14ac:dyDescent="0.2">
      <c r="D1555" s="160">
        <v>42837</v>
      </c>
      <c r="E1555" s="161">
        <v>9.4E-2</v>
      </c>
      <c r="F1555" s="161">
        <v>2.7362629999999992E-2</v>
      </c>
      <c r="G1555" s="133">
        <f t="shared" si="23"/>
        <v>6.6637370000000001E-2</v>
      </c>
      <c r="I1555" s="156">
        <f>--(Risk_Prem2[[#This Row],[Return on Equity]]&lt;0.09)</f>
        <v>0</v>
      </c>
    </row>
    <row r="1556" spans="4:9" x14ac:dyDescent="0.2">
      <c r="D1556" s="160">
        <v>42845</v>
      </c>
      <c r="E1556" s="161">
        <v>9.5000000000000001E-2</v>
      </c>
      <c r="F1556" s="161">
        <v>2.7575824999999981E-2</v>
      </c>
      <c r="G1556" s="133">
        <f t="shared" si="23"/>
        <v>6.7424175000000017E-2</v>
      </c>
      <c r="I1556" s="156">
        <f>--(Risk_Prem2[[#This Row],[Return on Equity]]&lt;0.09)</f>
        <v>0</v>
      </c>
    </row>
    <row r="1557" spans="4:9" x14ac:dyDescent="0.2">
      <c r="D1557" s="160">
        <v>42858</v>
      </c>
      <c r="E1557" s="161">
        <v>9.5000000000000001E-2</v>
      </c>
      <c r="F1557" s="161">
        <v>2.7883474999999994E-2</v>
      </c>
      <c r="G1557" s="133">
        <f t="shared" si="23"/>
        <v>6.711652500000001E-2</v>
      </c>
      <c r="I1557" s="156">
        <f>--(Risk_Prem2[[#This Row],[Return on Equity]]&lt;0.09)</f>
        <v>0</v>
      </c>
    </row>
    <row r="1558" spans="4:9" x14ac:dyDescent="0.2">
      <c r="D1558" s="160">
        <v>42866</v>
      </c>
      <c r="E1558" s="161">
        <v>9.1999999999999998E-2</v>
      </c>
      <c r="F1558" s="161">
        <v>2.8111265000000003E-2</v>
      </c>
      <c r="G1558" s="133">
        <f t="shared" si="23"/>
        <v>6.3888735000000002E-2</v>
      </c>
      <c r="I1558" s="156">
        <f>--(Risk_Prem2[[#This Row],[Return on Equity]]&lt;0.09)</f>
        <v>0</v>
      </c>
    </row>
    <row r="1559" spans="4:9" x14ac:dyDescent="0.2">
      <c r="D1559" s="160">
        <v>42873</v>
      </c>
      <c r="E1559" s="161">
        <v>9.5000000000000001E-2</v>
      </c>
      <c r="F1559" s="161">
        <v>2.8282245000000011E-2</v>
      </c>
      <c r="G1559" s="133">
        <f t="shared" si="23"/>
        <v>6.671775499999999E-2</v>
      </c>
      <c r="I1559" s="156">
        <f>--(Risk_Prem2[[#This Row],[Return on Equity]]&lt;0.09)</f>
        <v>0</v>
      </c>
    </row>
    <row r="1560" spans="4:9" x14ac:dyDescent="0.2">
      <c r="D1560" s="160">
        <v>42878</v>
      </c>
      <c r="E1560" s="161">
        <v>9.6999999999999989E-2</v>
      </c>
      <c r="F1560" s="161">
        <v>2.8379370000000004E-2</v>
      </c>
      <c r="G1560" s="133">
        <f t="shared" si="23"/>
        <v>6.8620629999999988E-2</v>
      </c>
      <c r="I1560" s="156">
        <f>--(Risk_Prem2[[#This Row],[Return on Equity]]&lt;0.09)</f>
        <v>0</v>
      </c>
    </row>
    <row r="1561" spans="4:9" x14ac:dyDescent="0.2">
      <c r="D1561" s="160">
        <v>42902</v>
      </c>
      <c r="E1561" s="161">
        <v>9.6500000000000002E-2</v>
      </c>
      <c r="F1561" s="161">
        <v>2.8911910000000009E-2</v>
      </c>
      <c r="G1561" s="133">
        <f t="shared" si="23"/>
        <v>6.758808999999999E-2</v>
      </c>
      <c r="I1561" s="156">
        <f>--(Risk_Prem2[[#This Row],[Return on Equity]]&lt;0.09)</f>
        <v>0</v>
      </c>
    </row>
    <row r="1562" spans="4:9" x14ac:dyDescent="0.2">
      <c r="D1562" s="160">
        <v>42908</v>
      </c>
      <c r="E1562" s="161">
        <v>9.6999999999999989E-2</v>
      </c>
      <c r="F1562" s="161">
        <v>2.8971930000000014E-2</v>
      </c>
      <c r="G1562" s="133">
        <f t="shared" si="23"/>
        <v>6.8028069999999968E-2</v>
      </c>
      <c r="I1562" s="156">
        <f>--(Risk_Prem2[[#This Row],[Return on Equity]]&lt;0.09)</f>
        <v>0</v>
      </c>
    </row>
    <row r="1563" spans="4:9" x14ac:dyDescent="0.2">
      <c r="D1563" s="160">
        <v>42908</v>
      </c>
      <c r="E1563" s="161">
        <v>9.6999999999999989E-2</v>
      </c>
      <c r="F1563" s="161">
        <v>2.8971930000000014E-2</v>
      </c>
      <c r="G1563" s="133">
        <f t="shared" si="23"/>
        <v>6.8028069999999968E-2</v>
      </c>
      <c r="I1563" s="156">
        <f>--(Risk_Prem2[[#This Row],[Return on Equity]]&lt;0.09)</f>
        <v>0</v>
      </c>
    </row>
    <row r="1564" spans="4:9" x14ac:dyDescent="0.2">
      <c r="D1564" s="160">
        <v>42940</v>
      </c>
      <c r="E1564" s="161">
        <v>9.5000000000000001E-2</v>
      </c>
      <c r="F1564" s="161">
        <v>2.9456445000000019E-2</v>
      </c>
      <c r="G1564" s="133">
        <f t="shared" si="23"/>
        <v>6.5543554999999976E-2</v>
      </c>
      <c r="I1564" s="156">
        <f>--(Risk_Prem2[[#This Row],[Return on Equity]]&lt;0.09)</f>
        <v>0</v>
      </c>
    </row>
    <row r="1565" spans="4:9" x14ac:dyDescent="0.2">
      <c r="D1565" s="160">
        <v>42962</v>
      </c>
      <c r="E1565" s="161">
        <v>0.1</v>
      </c>
      <c r="F1565" s="161">
        <v>2.9691330000000005E-2</v>
      </c>
      <c r="G1565" s="133">
        <f t="shared" si="23"/>
        <v>7.0308670000000004E-2</v>
      </c>
      <c r="I1565" s="156">
        <f>--(Risk_Prem2[[#This Row],[Return on Equity]]&lt;0.09)</f>
        <v>0</v>
      </c>
    </row>
    <row r="1566" spans="4:9" x14ac:dyDescent="0.2">
      <c r="D1566" s="160">
        <v>43000</v>
      </c>
      <c r="E1566" s="161">
        <v>9.6000000000000002E-2</v>
      </c>
      <c r="F1566" s="161">
        <v>2.9301384999999996E-2</v>
      </c>
      <c r="G1566" s="133">
        <f t="shared" si="23"/>
        <v>6.6698615000000003E-2</v>
      </c>
      <c r="I1566" s="156">
        <f>--(Risk_Prem2[[#This Row],[Return on Equity]]&lt;0.09)</f>
        <v>0</v>
      </c>
    </row>
    <row r="1567" spans="4:9" x14ac:dyDescent="0.2">
      <c r="D1567" s="160">
        <v>43006</v>
      </c>
      <c r="E1567" s="161">
        <v>9.8000000000000004E-2</v>
      </c>
      <c r="F1567" s="161">
        <v>2.9240089999999993E-2</v>
      </c>
      <c r="G1567" s="133">
        <f t="shared" si="23"/>
        <v>6.8759910000000007E-2</v>
      </c>
      <c r="I1567" s="156">
        <f>--(Risk_Prem2[[#This Row],[Return on Equity]]&lt;0.09)</f>
        <v>0</v>
      </c>
    </row>
    <row r="1568" spans="4:9" x14ac:dyDescent="0.2">
      <c r="D1568" s="160">
        <v>43028</v>
      </c>
      <c r="E1568" s="161">
        <v>9.5000000000000001E-2</v>
      </c>
      <c r="F1568" s="161">
        <v>2.9102729999999986E-2</v>
      </c>
      <c r="G1568" s="133">
        <f t="shared" si="23"/>
        <v>6.5897270000000008E-2</v>
      </c>
      <c r="I1568" s="156">
        <f>--(Risk_Prem2[[#This Row],[Return on Equity]]&lt;0.09)</f>
        <v>0</v>
      </c>
    </row>
    <row r="1569" spans="4:9" x14ac:dyDescent="0.2">
      <c r="D1569" s="160">
        <v>43034</v>
      </c>
      <c r="E1569" s="161">
        <v>0.10199999999999999</v>
      </c>
      <c r="F1569" s="161">
        <v>2.9090164999999994E-2</v>
      </c>
      <c r="G1569" s="133">
        <f t="shared" si="23"/>
        <v>7.2909835000000006E-2</v>
      </c>
      <c r="I1569" s="156">
        <f>--(Risk_Prem2[[#This Row],[Return on Equity]]&lt;0.09)</f>
        <v>0</v>
      </c>
    </row>
    <row r="1570" spans="4:9" x14ac:dyDescent="0.2">
      <c r="D1570" s="160">
        <v>43034</v>
      </c>
      <c r="E1570" s="161">
        <v>0.10249999999999999</v>
      </c>
      <c r="F1570" s="161">
        <v>2.9090164999999994E-2</v>
      </c>
      <c r="G1570" s="133">
        <f t="shared" si="23"/>
        <v>7.3409835000000007E-2</v>
      </c>
      <c r="I1570" s="156">
        <f>--(Risk_Prem2[[#This Row],[Return on Equity]]&lt;0.09)</f>
        <v>0</v>
      </c>
    </row>
    <row r="1571" spans="4:9" x14ac:dyDescent="0.2">
      <c r="D1571" s="160">
        <v>43034</v>
      </c>
      <c r="E1571" s="161">
        <v>0.10300000000000001</v>
      </c>
      <c r="F1571" s="161">
        <v>2.9090164999999994E-2</v>
      </c>
      <c r="G1571" s="133">
        <f t="shared" si="23"/>
        <v>7.3909835000000007E-2</v>
      </c>
      <c r="I1571" s="156">
        <f>--(Risk_Prem2[[#This Row],[Return on Equity]]&lt;0.09)</f>
        <v>0</v>
      </c>
    </row>
    <row r="1572" spans="4:9" x14ac:dyDescent="0.2">
      <c r="D1572" s="160">
        <v>43045</v>
      </c>
      <c r="E1572" s="161">
        <v>0.10249999999999999</v>
      </c>
      <c r="F1572" s="161">
        <v>2.9018409999999991E-2</v>
      </c>
      <c r="G1572" s="133">
        <f t="shared" si="23"/>
        <v>7.3481589999999999E-2</v>
      </c>
      <c r="I1572" s="156">
        <f>--(Risk_Prem2[[#This Row],[Return on Equity]]&lt;0.09)</f>
        <v>0</v>
      </c>
    </row>
    <row r="1573" spans="4:9" x14ac:dyDescent="0.2">
      <c r="D1573" s="160">
        <v>43054</v>
      </c>
      <c r="E1573" s="161">
        <v>0.1195</v>
      </c>
      <c r="F1573" s="161">
        <v>2.8938514999999988E-2</v>
      </c>
      <c r="G1573" s="133">
        <f t="shared" si="23"/>
        <v>9.0561485000000011E-2</v>
      </c>
      <c r="I1573" s="156">
        <f>--(Risk_Prem2[[#This Row],[Return on Equity]]&lt;0.09)</f>
        <v>0</v>
      </c>
    </row>
    <row r="1574" spans="4:9" x14ac:dyDescent="0.2">
      <c r="D1574" s="160">
        <v>43069</v>
      </c>
      <c r="E1574" s="161">
        <v>0.1</v>
      </c>
      <c r="F1574" s="161">
        <v>2.8798649999999995E-2</v>
      </c>
      <c r="G1574" s="133">
        <f t="shared" si="23"/>
        <v>7.120135000000001E-2</v>
      </c>
      <c r="I1574" s="156">
        <f>--(Risk_Prem2[[#This Row],[Return on Equity]]&lt;0.09)</f>
        <v>0</v>
      </c>
    </row>
    <row r="1575" spans="4:9" x14ac:dyDescent="0.2">
      <c r="D1575" s="160">
        <v>43069</v>
      </c>
      <c r="E1575" s="161">
        <v>0.1</v>
      </c>
      <c r="F1575" s="161">
        <v>2.8798649999999995E-2</v>
      </c>
      <c r="G1575" s="133">
        <f t="shared" si="23"/>
        <v>7.120135000000001E-2</v>
      </c>
      <c r="I1575" s="156">
        <f>--(Risk_Prem2[[#This Row],[Return on Equity]]&lt;0.09)</f>
        <v>0</v>
      </c>
    </row>
    <row r="1576" spans="4:9" x14ac:dyDescent="0.2">
      <c r="D1576" s="160">
        <v>43074</v>
      </c>
      <c r="E1576" s="161">
        <v>9.5000000000000001E-2</v>
      </c>
      <c r="F1576" s="161">
        <v>2.8765014999999994E-2</v>
      </c>
      <c r="G1576" s="133">
        <f t="shared" si="23"/>
        <v>6.623498500000001E-2</v>
      </c>
      <c r="I1576" s="156">
        <f>--(Risk_Prem2[[#This Row],[Return on Equity]]&lt;0.09)</f>
        <v>0</v>
      </c>
    </row>
    <row r="1577" spans="4:9" x14ac:dyDescent="0.2">
      <c r="D1577" s="160">
        <v>43075</v>
      </c>
      <c r="E1577" s="161">
        <v>8.4000000000000005E-2</v>
      </c>
      <c r="F1577" s="161">
        <v>2.8748474999999996E-2</v>
      </c>
      <c r="G1577" s="133">
        <f t="shared" si="23"/>
        <v>5.525152500000001E-2</v>
      </c>
      <c r="I1577" s="156">
        <f>--(Risk_Prem2[[#This Row],[Return on Equity]]&lt;0.09)</f>
        <v>1</v>
      </c>
    </row>
    <row r="1578" spans="4:9" x14ac:dyDescent="0.2">
      <c r="D1578" s="160">
        <v>43075</v>
      </c>
      <c r="E1578" s="161">
        <v>8.4000000000000005E-2</v>
      </c>
      <c r="F1578" s="161">
        <v>2.8748474999999996E-2</v>
      </c>
      <c r="G1578" s="133">
        <f t="shared" si="23"/>
        <v>5.525152500000001E-2</v>
      </c>
      <c r="I1578" s="156">
        <f>--(Risk_Prem2[[#This Row],[Return on Equity]]&lt;0.09)</f>
        <v>1</v>
      </c>
    </row>
    <row r="1579" spans="4:9" x14ac:dyDescent="0.2">
      <c r="D1579" s="160">
        <v>43076</v>
      </c>
      <c r="E1579" s="161">
        <v>9.8000000000000004E-2</v>
      </c>
      <c r="F1579" s="161">
        <v>2.8732865E-2</v>
      </c>
      <c r="G1579" s="133">
        <f t="shared" si="23"/>
        <v>6.9267135000000007E-2</v>
      </c>
      <c r="I1579" s="156">
        <f>--(Risk_Prem2[[#This Row],[Return on Equity]]&lt;0.09)</f>
        <v>0</v>
      </c>
    </row>
    <row r="1580" spans="4:9" x14ac:dyDescent="0.2">
      <c r="D1580" s="160">
        <v>43083</v>
      </c>
      <c r="E1580" s="161">
        <v>9.6000000000000002E-2</v>
      </c>
      <c r="F1580" s="161">
        <v>2.8638839999999992E-2</v>
      </c>
      <c r="G1580" s="133">
        <f t="shared" si="23"/>
        <v>6.7361160000000003E-2</v>
      </c>
      <c r="I1580" s="156">
        <f>--(Risk_Prem2[[#This Row],[Return on Equity]]&lt;0.09)</f>
        <v>0</v>
      </c>
    </row>
    <row r="1581" spans="4:9" x14ac:dyDescent="0.2">
      <c r="D1581" s="160">
        <v>43083</v>
      </c>
      <c r="E1581" s="161">
        <v>9.6500000000000002E-2</v>
      </c>
      <c r="F1581" s="161">
        <v>2.8638839999999992E-2</v>
      </c>
      <c r="G1581" s="133">
        <f t="shared" si="23"/>
        <v>6.7861160000000004E-2</v>
      </c>
      <c r="I1581" s="156">
        <f>--(Risk_Prem2[[#This Row],[Return on Equity]]&lt;0.09)</f>
        <v>0</v>
      </c>
    </row>
    <row r="1582" spans="4:9" x14ac:dyDescent="0.2">
      <c r="D1582" s="160">
        <v>43087</v>
      </c>
      <c r="E1582" s="161">
        <v>9.5000000000000001E-2</v>
      </c>
      <c r="F1582" s="161">
        <v>2.8591394999999995E-2</v>
      </c>
      <c r="G1582" s="133">
        <f t="shared" ref="G1582:G1629" si="24">E1582-F1582</f>
        <v>6.6408605000000009E-2</v>
      </c>
      <c r="I1582" s="156">
        <f>--(Risk_Prem2[[#This Row],[Return on Equity]]&lt;0.09)</f>
        <v>0</v>
      </c>
    </row>
    <row r="1583" spans="4:9" x14ac:dyDescent="0.2">
      <c r="D1583" s="160">
        <v>43089</v>
      </c>
      <c r="E1583" s="161">
        <v>9.5799999999999996E-2</v>
      </c>
      <c r="F1583" s="161">
        <v>2.8562129999999995E-2</v>
      </c>
      <c r="G1583" s="133">
        <f t="shared" si="24"/>
        <v>6.7237870000000005E-2</v>
      </c>
      <c r="I1583" s="156">
        <f>--(Risk_Prem2[[#This Row],[Return on Equity]]&lt;0.09)</f>
        <v>0</v>
      </c>
    </row>
    <row r="1584" spans="4:9" x14ac:dyDescent="0.2">
      <c r="D1584" s="160">
        <v>43090</v>
      </c>
      <c r="E1584" s="161">
        <v>9.0999999999999998E-2</v>
      </c>
      <c r="F1584" s="161">
        <v>2.854669499999999E-2</v>
      </c>
      <c r="G1584" s="133">
        <f t="shared" si="24"/>
        <v>6.2453305000000008E-2</v>
      </c>
      <c r="I1584" s="156">
        <f>--(Risk_Prem2[[#This Row],[Return on Equity]]&lt;0.09)</f>
        <v>0</v>
      </c>
    </row>
    <row r="1585" spans="4:9" x14ac:dyDescent="0.2">
      <c r="D1585" s="160">
        <v>43097</v>
      </c>
      <c r="E1585" s="161">
        <v>9.5000000000000001E-2</v>
      </c>
      <c r="F1585" s="161">
        <v>2.8482739999999986E-2</v>
      </c>
      <c r="G1585" s="133">
        <f t="shared" si="24"/>
        <v>6.6517260000000022E-2</v>
      </c>
      <c r="I1585" s="156">
        <f>--(Risk_Prem2[[#This Row],[Return on Equity]]&lt;0.09)</f>
        <v>0</v>
      </c>
    </row>
    <row r="1586" spans="4:9" x14ac:dyDescent="0.2">
      <c r="D1586" s="160">
        <v>43098</v>
      </c>
      <c r="E1586" s="161">
        <v>9.5100000000000004E-2</v>
      </c>
      <c r="F1586" s="161">
        <v>2.8469064999999984E-2</v>
      </c>
      <c r="G1586" s="133">
        <f t="shared" si="24"/>
        <v>6.6630935000000016E-2</v>
      </c>
      <c r="I1586" s="156">
        <f>--(Risk_Prem2[[#This Row],[Return on Equity]]&lt;0.09)</f>
        <v>0</v>
      </c>
    </row>
    <row r="1587" spans="4:9" x14ac:dyDescent="0.2">
      <c r="D1587" s="160">
        <v>43118</v>
      </c>
      <c r="E1587" s="161">
        <v>9.6999999999999989E-2</v>
      </c>
      <c r="F1587" s="161">
        <v>2.837019499999999E-2</v>
      </c>
      <c r="G1587" s="133">
        <f t="shared" si="24"/>
        <v>6.8629805000000002E-2</v>
      </c>
      <c r="I1587" s="156">
        <f>--(Risk_Prem2[[#This Row],[Return on Equity]]&lt;0.09)</f>
        <v>0</v>
      </c>
    </row>
    <row r="1588" spans="4:9" x14ac:dyDescent="0.2">
      <c r="D1588" s="160">
        <v>43131</v>
      </c>
      <c r="E1588" s="161">
        <v>9.3000000000000013E-2</v>
      </c>
      <c r="F1588" s="161">
        <v>2.8377099999999992E-2</v>
      </c>
      <c r="G1588" s="133">
        <f t="shared" si="24"/>
        <v>6.4622900000000025E-2</v>
      </c>
      <c r="I1588" s="156">
        <f>--(Risk_Prem2[[#This Row],[Return on Equity]]&lt;0.09)</f>
        <v>0</v>
      </c>
    </row>
    <row r="1589" spans="4:9" x14ac:dyDescent="0.2">
      <c r="D1589" s="160">
        <v>43133</v>
      </c>
      <c r="E1589" s="161">
        <v>9.98E-2</v>
      </c>
      <c r="F1589" s="161">
        <v>2.8386894999999992E-2</v>
      </c>
      <c r="G1589" s="133">
        <f t="shared" si="24"/>
        <v>7.1413105000000004E-2</v>
      </c>
      <c r="I1589" s="156">
        <f>--(Risk_Prem2[[#This Row],[Return on Equity]]&lt;0.09)</f>
        <v>0</v>
      </c>
    </row>
    <row r="1590" spans="4:9" x14ac:dyDescent="0.2">
      <c r="D1590" s="160">
        <v>43154</v>
      </c>
      <c r="E1590" s="161">
        <v>9.9000000000000005E-2</v>
      </c>
      <c r="F1590" s="161">
        <v>2.8502739999999985E-2</v>
      </c>
      <c r="G1590" s="133">
        <f t="shared" si="24"/>
        <v>7.049726000000002E-2</v>
      </c>
      <c r="I1590" s="156">
        <f>--(Risk_Prem2[[#This Row],[Return on Equity]]&lt;0.09)</f>
        <v>0</v>
      </c>
    </row>
    <row r="1591" spans="4:9" x14ac:dyDescent="0.2">
      <c r="D1591" s="160">
        <v>43171</v>
      </c>
      <c r="E1591" s="161">
        <v>9.2499999999999999E-2</v>
      </c>
      <c r="F1591" s="161">
        <v>2.8640164999999992E-2</v>
      </c>
      <c r="G1591" s="133">
        <f t="shared" si="24"/>
        <v>6.3859835000000004E-2</v>
      </c>
      <c r="I1591" s="156">
        <f>--(Risk_Prem2[[#This Row],[Return on Equity]]&lt;0.09)</f>
        <v>0</v>
      </c>
    </row>
    <row r="1592" spans="4:9" x14ac:dyDescent="0.2">
      <c r="D1592" s="160">
        <v>43174</v>
      </c>
      <c r="E1592" s="161">
        <v>0.09</v>
      </c>
      <c r="F1592" s="161">
        <v>2.8675874999999997E-2</v>
      </c>
      <c r="G1592" s="133">
        <f t="shared" si="24"/>
        <v>6.1324125E-2</v>
      </c>
      <c r="I1592" s="156">
        <f>--(Risk_Prem2[[#This Row],[Return on Equity]]&lt;0.09)</f>
        <v>0</v>
      </c>
    </row>
    <row r="1593" spans="4:9" x14ac:dyDescent="0.2">
      <c r="D1593" s="160">
        <v>43188</v>
      </c>
      <c r="E1593" s="161">
        <v>0.1</v>
      </c>
      <c r="F1593" s="161">
        <v>2.8813670000000013E-2</v>
      </c>
      <c r="G1593" s="133">
        <f t="shared" si="24"/>
        <v>7.1186329999999992E-2</v>
      </c>
      <c r="I1593" s="156">
        <f>--(Risk_Prem2[[#This Row],[Return on Equity]]&lt;0.09)</f>
        <v>0</v>
      </c>
    </row>
    <row r="1594" spans="4:9" x14ac:dyDescent="0.2">
      <c r="D1594" s="160">
        <v>43202</v>
      </c>
      <c r="E1594" s="161">
        <v>9.9000000000000005E-2</v>
      </c>
      <c r="F1594" s="161">
        <v>2.8917130000000024E-2</v>
      </c>
      <c r="G1594" s="133">
        <f t="shared" si="24"/>
        <v>7.0082869999999978E-2</v>
      </c>
      <c r="I1594" s="156">
        <f>--(Risk_Prem2[[#This Row],[Return on Equity]]&lt;0.09)</f>
        <v>0</v>
      </c>
    </row>
    <row r="1595" spans="4:9" x14ac:dyDescent="0.2">
      <c r="D1595" s="160">
        <v>43203</v>
      </c>
      <c r="E1595" s="161">
        <v>9.7299999999999998E-2</v>
      </c>
      <c r="F1595" s="161">
        <v>2.8922035000000023E-2</v>
      </c>
      <c r="G1595" s="133">
        <f t="shared" si="24"/>
        <v>6.8377964999999971E-2</v>
      </c>
      <c r="I1595" s="156">
        <f>--(Risk_Prem2[[#This Row],[Return on Equity]]&lt;0.09)</f>
        <v>0</v>
      </c>
    </row>
    <row r="1596" spans="4:9" x14ac:dyDescent="0.2">
      <c r="D1596" s="160">
        <v>43208</v>
      </c>
      <c r="E1596" s="161">
        <v>9.2499999999999999E-2</v>
      </c>
      <c r="F1596" s="161">
        <v>2.894057500000002E-2</v>
      </c>
      <c r="G1596" s="133">
        <f t="shared" si="24"/>
        <v>6.3559424999999975E-2</v>
      </c>
      <c r="I1596" s="156">
        <f>--(Risk_Prem2[[#This Row],[Return on Equity]]&lt;0.09)</f>
        <v>0</v>
      </c>
    </row>
    <row r="1597" spans="4:9" x14ac:dyDescent="0.2">
      <c r="D1597" s="160">
        <v>43208</v>
      </c>
      <c r="E1597" s="161">
        <v>0.1</v>
      </c>
      <c r="F1597" s="161">
        <v>2.894057500000002E-2</v>
      </c>
      <c r="G1597" s="133">
        <f t="shared" si="24"/>
        <v>7.1059424999999982E-2</v>
      </c>
      <c r="I1597" s="156">
        <f>--(Risk_Prem2[[#This Row],[Return on Equity]]&lt;0.09)</f>
        <v>0</v>
      </c>
    </row>
    <row r="1598" spans="4:9" x14ac:dyDescent="0.2">
      <c r="D1598" s="160">
        <v>43216</v>
      </c>
      <c r="E1598" s="161">
        <v>9.5000000000000001E-2</v>
      </c>
      <c r="F1598" s="161">
        <v>2.9024460000000026E-2</v>
      </c>
      <c r="G1598" s="133">
        <f t="shared" si="24"/>
        <v>6.5975539999999971E-2</v>
      </c>
      <c r="I1598" s="156">
        <f>--(Risk_Prem2[[#This Row],[Return on Equity]]&lt;0.09)</f>
        <v>0</v>
      </c>
    </row>
    <row r="1599" spans="4:9" x14ac:dyDescent="0.2">
      <c r="D1599" s="160">
        <v>43250</v>
      </c>
      <c r="E1599" s="161">
        <v>9.9499999999999991E-2</v>
      </c>
      <c r="F1599" s="161">
        <v>2.9393205000000013E-2</v>
      </c>
      <c r="G1599" s="133">
        <f t="shared" si="24"/>
        <v>7.0106794999999972E-2</v>
      </c>
      <c r="I1599" s="156">
        <f>--(Risk_Prem2[[#This Row],[Return on Equity]]&lt;0.09)</f>
        <v>0</v>
      </c>
    </row>
    <row r="1600" spans="4:9" x14ac:dyDescent="0.2">
      <c r="D1600" s="160">
        <v>43251</v>
      </c>
      <c r="E1600" s="161">
        <v>9.5000000000000001E-2</v>
      </c>
      <c r="F1600" s="161">
        <v>2.940601000000001E-2</v>
      </c>
      <c r="G1600" s="133">
        <f t="shared" si="24"/>
        <v>6.5593989999999991E-2</v>
      </c>
      <c r="I1600" s="156">
        <f>--(Risk_Prem2[[#This Row],[Return on Equity]]&lt;0.09)</f>
        <v>0</v>
      </c>
    </row>
    <row r="1601" spans="4:9" x14ac:dyDescent="0.2">
      <c r="D1601" s="160">
        <v>43265</v>
      </c>
      <c r="E1601" s="161">
        <v>8.8000000000000009E-2</v>
      </c>
      <c r="F1601" s="161">
        <v>2.9581400000000008E-2</v>
      </c>
      <c r="G1601" s="133">
        <f t="shared" si="24"/>
        <v>5.8418600000000001E-2</v>
      </c>
      <c r="I1601" s="156">
        <f>--(Risk_Prem2[[#This Row],[Return on Equity]]&lt;0.09)</f>
        <v>1</v>
      </c>
    </row>
    <row r="1602" spans="4:9" x14ac:dyDescent="0.2">
      <c r="D1602" s="160">
        <v>43273</v>
      </c>
      <c r="E1602" s="161">
        <v>9.5000000000000001E-2</v>
      </c>
      <c r="F1602" s="161">
        <v>2.9670490000000004E-2</v>
      </c>
      <c r="G1602" s="133">
        <f t="shared" si="24"/>
        <v>6.5329509999999993E-2</v>
      </c>
      <c r="I1602" s="156">
        <f>--(Risk_Prem2[[#This Row],[Return on Equity]]&lt;0.09)</f>
        <v>0</v>
      </c>
    </row>
    <row r="1603" spans="4:9" x14ac:dyDescent="0.2">
      <c r="D1603" s="160">
        <v>43273</v>
      </c>
      <c r="E1603" s="161">
        <v>9.9000000000000005E-2</v>
      </c>
      <c r="F1603" s="161">
        <v>2.9670490000000004E-2</v>
      </c>
      <c r="G1603" s="133">
        <f t="shared" si="24"/>
        <v>6.9329509999999997E-2</v>
      </c>
      <c r="I1603" s="156">
        <f>--(Risk_Prem2[[#This Row],[Return on Equity]]&lt;0.09)</f>
        <v>0</v>
      </c>
    </row>
    <row r="1604" spans="4:9" x14ac:dyDescent="0.2">
      <c r="D1604" s="160">
        <v>43279</v>
      </c>
      <c r="E1604" s="161">
        <v>9.35E-2</v>
      </c>
      <c r="F1604" s="161">
        <v>2.9708190000000002E-2</v>
      </c>
      <c r="G1604" s="133">
        <f t="shared" si="24"/>
        <v>6.3791810000000004E-2</v>
      </c>
      <c r="I1604" s="156">
        <f>--(Risk_Prem2[[#This Row],[Return on Equity]]&lt;0.09)</f>
        <v>0</v>
      </c>
    </row>
    <row r="1605" spans="4:9" x14ac:dyDescent="0.2">
      <c r="D1605" s="160">
        <v>43280</v>
      </c>
      <c r="E1605" s="161">
        <v>9.5000000000000001E-2</v>
      </c>
      <c r="F1605" s="161">
        <v>2.9718634999999997E-2</v>
      </c>
      <c r="G1605" s="133">
        <f t="shared" si="24"/>
        <v>6.5281365000000008E-2</v>
      </c>
      <c r="I1605" s="156">
        <f>--(Risk_Prem2[[#This Row],[Return on Equity]]&lt;0.09)</f>
        <v>0</v>
      </c>
    </row>
    <row r="1606" spans="4:9" x14ac:dyDescent="0.2">
      <c r="D1606" s="160">
        <v>43320</v>
      </c>
      <c r="E1606" s="161">
        <v>9.5299999999999996E-2</v>
      </c>
      <c r="F1606" s="161">
        <v>2.9939245000000007E-2</v>
      </c>
      <c r="G1606" s="133">
        <f t="shared" si="24"/>
        <v>6.5360754999999993E-2</v>
      </c>
      <c r="I1606" s="156">
        <f>--(Risk_Prem2[[#This Row],[Return on Equity]]&lt;0.09)</f>
        <v>0</v>
      </c>
    </row>
    <row r="1607" spans="4:9" x14ac:dyDescent="0.2">
      <c r="D1607" s="160">
        <v>43333</v>
      </c>
      <c r="E1607" s="161">
        <v>9.6999999999999989E-2</v>
      </c>
      <c r="F1607" s="161">
        <v>3.0032905000000009E-2</v>
      </c>
      <c r="G1607" s="133">
        <f t="shared" si="24"/>
        <v>6.6967094999999977E-2</v>
      </c>
      <c r="I1607" s="156">
        <f>--(Risk_Prem2[[#This Row],[Return on Equity]]&lt;0.09)</f>
        <v>0</v>
      </c>
    </row>
    <row r="1608" spans="4:9" x14ac:dyDescent="0.2">
      <c r="D1608" s="160">
        <v>43336</v>
      </c>
      <c r="E1608" s="161">
        <v>9.2799999999999994E-2</v>
      </c>
      <c r="F1608" s="161">
        <v>3.0060605000000015E-2</v>
      </c>
      <c r="G1608" s="133">
        <f t="shared" si="24"/>
        <v>6.2739394999999976E-2</v>
      </c>
      <c r="I1608" s="156">
        <f>--(Risk_Prem2[[#This Row],[Return on Equity]]&lt;0.09)</f>
        <v>0</v>
      </c>
    </row>
    <row r="1609" spans="4:9" x14ac:dyDescent="0.2">
      <c r="D1609" s="160">
        <v>43348</v>
      </c>
      <c r="E1609" s="161">
        <v>9.5600000000000004E-2</v>
      </c>
      <c r="F1609" s="161">
        <v>3.0165250000000022E-2</v>
      </c>
      <c r="G1609" s="133">
        <f t="shared" si="24"/>
        <v>6.5434749999999986E-2</v>
      </c>
      <c r="I1609" s="156">
        <f>--(Risk_Prem2[[#This Row],[Return on Equity]]&lt;0.09)</f>
        <v>0</v>
      </c>
    </row>
    <row r="1610" spans="4:9" x14ac:dyDescent="0.2">
      <c r="D1610" s="160">
        <v>43357</v>
      </c>
      <c r="E1610" s="161">
        <v>0.1</v>
      </c>
      <c r="F1610" s="161">
        <v>3.0282875000000015E-2</v>
      </c>
      <c r="G1610" s="133">
        <f t="shared" si="24"/>
        <v>6.9717124999999991E-2</v>
      </c>
      <c r="I1610" s="156">
        <f>--(Risk_Prem2[[#This Row],[Return on Equity]]&lt;0.09)</f>
        <v>0</v>
      </c>
    </row>
    <row r="1611" spans="4:9" x14ac:dyDescent="0.2">
      <c r="D1611" s="160">
        <v>43363</v>
      </c>
      <c r="E1611" s="161">
        <v>9.8000000000000004E-2</v>
      </c>
      <c r="F1611" s="161">
        <v>3.0370355000000022E-2</v>
      </c>
      <c r="G1611" s="133">
        <f t="shared" si="24"/>
        <v>6.7629644999999988E-2</v>
      </c>
      <c r="I1611" s="156">
        <f>--(Risk_Prem2[[#This Row],[Return on Equity]]&lt;0.09)</f>
        <v>0</v>
      </c>
    </row>
    <row r="1612" spans="4:9" x14ac:dyDescent="0.2">
      <c r="D1612" s="160">
        <v>43369</v>
      </c>
      <c r="E1612" s="161">
        <v>9.7699999999999995E-2</v>
      </c>
      <c r="F1612" s="161">
        <v>3.0455770000000028E-2</v>
      </c>
      <c r="G1612" s="133">
        <f t="shared" si="24"/>
        <v>6.724422999999996E-2</v>
      </c>
      <c r="I1612" s="156">
        <f>--(Risk_Prem2[[#This Row],[Return on Equity]]&lt;0.09)</f>
        <v>0</v>
      </c>
    </row>
    <row r="1613" spans="4:9" x14ac:dyDescent="0.2">
      <c r="D1613" s="160">
        <v>43369</v>
      </c>
      <c r="E1613" s="161">
        <v>0.1</v>
      </c>
      <c r="F1613" s="161">
        <v>3.0455770000000028E-2</v>
      </c>
      <c r="G1613" s="133">
        <f t="shared" si="24"/>
        <v>6.9544229999999985E-2</v>
      </c>
      <c r="I1613" s="156">
        <f>--(Risk_Prem2[[#This Row],[Return on Equity]]&lt;0.09)</f>
        <v>0</v>
      </c>
    </row>
    <row r="1614" spans="4:9" x14ac:dyDescent="0.2">
      <c r="D1614" s="160">
        <v>43370</v>
      </c>
      <c r="E1614" s="18">
        <v>9.3000000000000013E-2</v>
      </c>
      <c r="F1614" s="18">
        <v>3.047283000000002E-2</v>
      </c>
      <c r="G1614" s="133">
        <f t="shared" si="24"/>
        <v>6.2527169999999993E-2</v>
      </c>
      <c r="I1614" s="156">
        <f>--(Risk_Prem2[[#This Row],[Return on Equity]]&lt;0.09)</f>
        <v>0</v>
      </c>
    </row>
    <row r="1615" spans="4:9" x14ac:dyDescent="0.2">
      <c r="D1615" s="160">
        <v>43377</v>
      </c>
      <c r="E1615" s="18">
        <v>9.849999999999999E-2</v>
      </c>
      <c r="F1615" s="18">
        <v>3.059041500000002E-2</v>
      </c>
      <c r="G1615" s="133">
        <f t="shared" si="24"/>
        <v>6.7909584999999967E-2</v>
      </c>
      <c r="I1615" s="156">
        <f>--(Risk_Prem2[[#This Row],[Return on Equity]]&lt;0.09)</f>
        <v>0</v>
      </c>
    </row>
    <row r="1616" spans="4:9" x14ac:dyDescent="0.2">
      <c r="D1616" s="160">
        <v>43402</v>
      </c>
      <c r="E1616" s="18">
        <v>9.6000000000000002E-2</v>
      </c>
      <c r="F1616" s="18">
        <v>3.102814500000001E-2</v>
      </c>
      <c r="G1616" s="133">
        <f t="shared" si="24"/>
        <v>6.4971854999999995E-2</v>
      </c>
      <c r="I1616" s="156">
        <f>--(Risk_Prem2[[#This Row],[Return on Equity]]&lt;0.09)</f>
        <v>0</v>
      </c>
    </row>
    <row r="1617" spans="4:10" x14ac:dyDescent="0.2">
      <c r="D1617" s="160">
        <v>43404</v>
      </c>
      <c r="E1617" s="18">
        <v>9.9900000000000003E-2</v>
      </c>
      <c r="F1617" s="18">
        <v>3.107473500000001E-2</v>
      </c>
      <c r="G1617" s="133">
        <f t="shared" si="24"/>
        <v>6.8825264999999997E-2</v>
      </c>
      <c r="I1617" s="156">
        <f>--(Risk_Prem2[[#This Row],[Return on Equity]]&lt;0.09)</f>
        <v>0</v>
      </c>
    </row>
    <row r="1618" spans="4:10" x14ac:dyDescent="0.2">
      <c r="D1618" s="160">
        <v>43405</v>
      </c>
      <c r="E1618" s="18">
        <v>8.6899999999999991E-2</v>
      </c>
      <c r="F1618" s="18">
        <v>3.1099490000000011E-2</v>
      </c>
      <c r="G1618" s="133">
        <f t="shared" si="24"/>
        <v>5.5800509999999984E-2</v>
      </c>
      <c r="I1618" s="156">
        <f>--(Risk_Prem2[[#This Row],[Return on Equity]]&lt;0.09)</f>
        <v>1</v>
      </c>
    </row>
    <row r="1619" spans="4:10" x14ac:dyDescent="0.2">
      <c r="D1619" s="160">
        <v>43438</v>
      </c>
      <c r="E1619" s="18">
        <v>8.6899999999999991E-2</v>
      </c>
      <c r="F1619" s="18">
        <v>3.1385585000000001E-2</v>
      </c>
      <c r="G1619" s="133">
        <f t="shared" si="24"/>
        <v>5.5514414999999991E-2</v>
      </c>
      <c r="I1619" s="156">
        <f>--(Risk_Prem2[[#This Row],[Return on Equity]]&lt;0.09)</f>
        <v>1</v>
      </c>
    </row>
    <row r="1620" spans="4:10" x14ac:dyDescent="0.2">
      <c r="D1620" s="160">
        <v>43447</v>
      </c>
      <c r="E1620" s="18">
        <v>9.3000000000000013E-2</v>
      </c>
      <c r="F1620" s="18">
        <v>3.1391820000000001E-2</v>
      </c>
      <c r="G1620" s="133">
        <f t="shared" si="24"/>
        <v>6.1608180000000012E-2</v>
      </c>
      <c r="I1620" s="156">
        <f>--(Risk_Prem2[[#This Row],[Return on Equity]]&lt;0.09)</f>
        <v>0</v>
      </c>
    </row>
    <row r="1621" spans="4:10" x14ac:dyDescent="0.2">
      <c r="D1621" s="160">
        <v>43448</v>
      </c>
      <c r="E1621" s="18">
        <v>9.5000000000000001E-2</v>
      </c>
      <c r="F1621" s="18">
        <v>3.1391085000000006E-2</v>
      </c>
      <c r="G1621" s="133">
        <f t="shared" si="24"/>
        <v>6.3608914999999988E-2</v>
      </c>
      <c r="I1621" s="156">
        <f>--(Risk_Prem2[[#This Row],[Return on Equity]]&lt;0.09)</f>
        <v>0</v>
      </c>
    </row>
    <row r="1622" spans="4:10" x14ac:dyDescent="0.2">
      <c r="D1622" s="160">
        <v>43453</v>
      </c>
      <c r="E1622" s="18">
        <v>9.8400000000000001E-2</v>
      </c>
      <c r="F1622" s="18">
        <v>3.1384940000000007E-2</v>
      </c>
      <c r="G1622" s="133">
        <f t="shared" si="24"/>
        <v>6.7015059999999987E-2</v>
      </c>
      <c r="I1622" s="156">
        <f>--(Risk_Prem2[[#This Row],[Return on Equity]]&lt;0.09)</f>
        <v>0</v>
      </c>
    </row>
    <row r="1623" spans="4:10" x14ac:dyDescent="0.2">
      <c r="D1623" s="160">
        <v>43454</v>
      </c>
      <c r="E1623" s="18">
        <v>9.6500000000000002E-2</v>
      </c>
      <c r="F1623" s="18">
        <v>3.1384440000000013E-2</v>
      </c>
      <c r="G1623" s="133">
        <f t="shared" si="24"/>
        <v>6.5115559999999989E-2</v>
      </c>
      <c r="I1623" s="156">
        <f>--(Risk_Prem2[[#This Row],[Return on Equity]]&lt;0.09)</f>
        <v>0</v>
      </c>
    </row>
    <row r="1624" spans="4:10" x14ac:dyDescent="0.2">
      <c r="D1624" s="160">
        <v>43455</v>
      </c>
      <c r="E1624" s="18">
        <v>9.3000000000000013E-2</v>
      </c>
      <c r="F1624" s="18">
        <v>3.1382130000000008E-2</v>
      </c>
      <c r="G1624" s="133">
        <f t="shared" si="24"/>
        <v>6.1617870000000005E-2</v>
      </c>
      <c r="I1624" s="156">
        <f>--(Risk_Prem2[[#This Row],[Return on Equity]]&lt;0.09)</f>
        <v>0</v>
      </c>
    </row>
    <row r="1625" spans="4:10" x14ac:dyDescent="0.2">
      <c r="D1625" s="160">
        <v>43474</v>
      </c>
      <c r="E1625" s="18">
        <v>0.1</v>
      </c>
      <c r="F1625" s="18">
        <v>3.1354200000000006E-2</v>
      </c>
      <c r="G1625" s="133">
        <f t="shared" si="24"/>
        <v>6.8645800000000007E-2</v>
      </c>
      <c r="I1625" s="156">
        <f>--(Risk_Prem2[[#This Row],[Return on Equity]]&lt;0.09)</f>
        <v>0</v>
      </c>
    </row>
    <row r="1626" spans="4:10" x14ac:dyDescent="0.2">
      <c r="D1626" s="160">
        <v>43523</v>
      </c>
      <c r="E1626" s="18">
        <v>9.7500000000000003E-2</v>
      </c>
      <c r="F1626" s="18">
        <v>3.1205290000000007E-2</v>
      </c>
      <c r="G1626" s="133">
        <f t="shared" si="24"/>
        <v>6.6294709999999993E-2</v>
      </c>
      <c r="I1626" s="156">
        <f>--(Risk_Prem2[[#This Row],[Return on Equity]]&lt;0.09)</f>
        <v>0</v>
      </c>
    </row>
    <row r="1627" spans="4:10" x14ac:dyDescent="0.2">
      <c r="D1627" s="160">
        <v>43537</v>
      </c>
      <c r="E1627" s="18">
        <v>9.6000000000000002E-2</v>
      </c>
      <c r="F1627" s="18">
        <v>3.119723000000001E-2</v>
      </c>
      <c r="G1627" s="133">
        <f t="shared" si="24"/>
        <v>6.4802769999999996E-2</v>
      </c>
      <c r="I1627" s="156">
        <f>--(Risk_Prem2[[#This Row],[Return on Equity]]&lt;0.09)</f>
        <v>0</v>
      </c>
    </row>
    <row r="1628" spans="4:10" x14ac:dyDescent="0.2">
      <c r="D1628" s="160">
        <v>43538</v>
      </c>
      <c r="E1628" s="18">
        <v>0.09</v>
      </c>
      <c r="F1628" s="18">
        <v>3.1196105000000012E-2</v>
      </c>
      <c r="G1628" s="133">
        <f t="shared" si="24"/>
        <v>5.8803894999999981E-2</v>
      </c>
      <c r="I1628" s="156">
        <f>--(Risk_Prem2[[#This Row],[Return on Equity]]&lt;0.09)</f>
        <v>0</v>
      </c>
    </row>
    <row r="1629" spans="4:10" x14ac:dyDescent="0.2">
      <c r="D1629" s="160">
        <v>43538</v>
      </c>
      <c r="E1629" s="161">
        <v>9.4E-2</v>
      </c>
      <c r="F1629" s="161">
        <v>3.1196105000000012E-2</v>
      </c>
      <c r="G1629" s="133">
        <f t="shared" si="24"/>
        <v>6.2803894999999985E-2</v>
      </c>
      <c r="I1629" s="156">
        <f>--(Risk_Prem2[[#This Row],[Return on Equity]]&lt;0.09)</f>
        <v>0</v>
      </c>
    </row>
    <row r="1630" spans="4:10" x14ac:dyDescent="0.2">
      <c r="D1630" s="160"/>
      <c r="E1630" s="18"/>
      <c r="F1630" s="18"/>
      <c r="G1630" s="133"/>
      <c r="I1630" s="156"/>
    </row>
    <row r="1631" spans="4:10" x14ac:dyDescent="0.2">
      <c r="D1631" s="160"/>
      <c r="E1631" s="18"/>
      <c r="F1631" s="18"/>
      <c r="G1631" s="133"/>
      <c r="I1631" s="156"/>
    </row>
    <row r="1632" spans="4:10" x14ac:dyDescent="0.2">
      <c r="F1632" s="128" t="s">
        <v>1141</v>
      </c>
      <c r="G1632" s="128">
        <f>COUNT(Risk_Prem2[Return on Equity])</f>
        <v>1584</v>
      </c>
      <c r="I1632" s="128">
        <f>SUM(I46:I1629)</f>
        <v>10</v>
      </c>
      <c r="J1632" s="162"/>
    </row>
    <row r="1633" spans="6:7" x14ac:dyDescent="0.2">
      <c r="F1633" s="128" t="s">
        <v>1142</v>
      </c>
      <c r="G1633" s="162">
        <f>AVERAGE(Risk_Prem2[Risk Premium])</f>
        <v>4.6655705997474754E-2</v>
      </c>
    </row>
  </sheetData>
  <printOptions horizontalCentered="1"/>
  <pageMargins left="0.7" right="0.7" top="0.75" bottom="0.75" header="0.3" footer="0.3"/>
  <pageSetup scale="88" fitToHeight="0" orientation="portrait" useFirstPageNumber="1" r:id="rId1"/>
  <headerFooter scaleWithDoc="0">
    <oddHeader>&amp;R&amp;"Arial,Regular"&amp;10EXHIBIT RBH-5
Page &amp;P of &amp;N</oddHeader>
  </headerFooter>
  <rowBreaks count="1" manualBreakCount="1">
    <brk id="42" max="7" man="1"/>
  </rowBreaks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L36"/>
  <sheetViews>
    <sheetView tabSelected="1" view="pageLayout" topLeftCell="H1" zoomScale="85" zoomScaleNormal="100" zoomScaleSheetLayoutView="85" zoomScalePageLayoutView="85" workbookViewId="0">
      <selection activeCell="P3" sqref="P3"/>
    </sheetView>
  </sheetViews>
  <sheetFormatPr defaultColWidth="9.5703125" defaultRowHeight="12.75" x14ac:dyDescent="0.2"/>
  <cols>
    <col min="1" max="1" width="38" style="173" customWidth="1"/>
    <col min="2" max="2" width="8.140625" style="173" customWidth="1"/>
    <col min="3" max="3" width="11.7109375" style="173" customWidth="1"/>
    <col min="4" max="4" width="9.140625" style="173" customWidth="1"/>
    <col min="5" max="5" width="9.5703125" style="173"/>
    <col min="6" max="6" width="11.28515625" style="173" customWidth="1"/>
    <col min="7" max="7" width="12.85546875" style="173" customWidth="1"/>
    <col min="8" max="8" width="10.7109375" style="173" customWidth="1"/>
    <col min="9" max="9" width="6.140625" style="173" bestFit="1" customWidth="1"/>
    <col min="10" max="10" width="8.7109375" style="173" customWidth="1"/>
    <col min="11" max="16384" width="9.5703125" style="173"/>
  </cols>
  <sheetData>
    <row r="1" spans="1:12" x14ac:dyDescent="0.2">
      <c r="A1" s="379" t="s">
        <v>1232</v>
      </c>
      <c r="B1" s="379"/>
      <c r="C1" s="379"/>
      <c r="D1" s="379"/>
      <c r="E1" s="379"/>
      <c r="F1" s="379"/>
      <c r="G1" s="379"/>
      <c r="H1" s="379"/>
    </row>
    <row r="2" spans="1:12" x14ac:dyDescent="0.2">
      <c r="A2" s="172"/>
      <c r="B2" s="172"/>
      <c r="C2" s="172"/>
      <c r="D2" s="172"/>
      <c r="E2" s="172"/>
      <c r="F2" s="172"/>
      <c r="G2" s="172"/>
      <c r="H2" s="172"/>
    </row>
    <row r="3" spans="1:12" x14ac:dyDescent="0.2">
      <c r="A3" s="172"/>
      <c r="B3" s="172"/>
      <c r="C3" s="172" t="s">
        <v>2</v>
      </c>
      <c r="D3" s="172" t="s">
        <v>3</v>
      </c>
      <c r="E3" s="172" t="s">
        <v>4</v>
      </c>
      <c r="F3" s="172" t="s">
        <v>5</v>
      </c>
      <c r="G3" s="172" t="s">
        <v>6</v>
      </c>
      <c r="H3" s="172" t="s">
        <v>7</v>
      </c>
    </row>
    <row r="4" spans="1:12" x14ac:dyDescent="0.2">
      <c r="A4" s="172"/>
      <c r="B4" s="172"/>
      <c r="C4" s="172" t="s">
        <v>1233</v>
      </c>
      <c r="D4" s="172"/>
      <c r="E4" s="172"/>
      <c r="F4" s="172"/>
      <c r="G4" s="172"/>
      <c r="H4" s="172"/>
    </row>
    <row r="5" spans="1:12" x14ac:dyDescent="0.2">
      <c r="C5" s="172" t="s">
        <v>1234</v>
      </c>
      <c r="D5" s="380" t="s">
        <v>1235</v>
      </c>
      <c r="E5" s="380"/>
      <c r="F5" s="380"/>
      <c r="G5" s="172" t="s">
        <v>1236</v>
      </c>
      <c r="H5" s="172" t="s">
        <v>1237</v>
      </c>
      <c r="J5" s="172"/>
    </row>
    <row r="6" spans="1:12" ht="25.5" x14ac:dyDescent="0.2">
      <c r="A6" s="175" t="s">
        <v>13</v>
      </c>
      <c r="B6" s="175" t="s">
        <v>14</v>
      </c>
      <c r="C6" s="176" t="s">
        <v>1238</v>
      </c>
      <c r="D6" s="176">
        <v>2019</v>
      </c>
      <c r="E6" s="176" t="s">
        <v>1238</v>
      </c>
      <c r="F6" s="174" t="s">
        <v>1239</v>
      </c>
      <c r="G6" s="176" t="s">
        <v>1240</v>
      </c>
      <c r="H6" s="176" t="s">
        <v>1234</v>
      </c>
      <c r="J6" s="177"/>
    </row>
    <row r="7" spans="1:12" x14ac:dyDescent="0.2">
      <c r="A7" s="178"/>
      <c r="B7" s="178"/>
      <c r="D7" s="172"/>
      <c r="E7" s="172"/>
      <c r="F7" s="172"/>
      <c r="G7" s="172"/>
      <c r="H7" s="172"/>
    </row>
    <row r="8" spans="1:12" x14ac:dyDescent="0.2">
      <c r="A8" s="173" t="s">
        <v>26</v>
      </c>
      <c r="B8" s="172" t="s">
        <v>27</v>
      </c>
      <c r="C8" s="317">
        <v>0.09</v>
      </c>
      <c r="D8" s="318">
        <v>51.5</v>
      </c>
      <c r="E8" s="318">
        <v>51.5</v>
      </c>
      <c r="F8" s="181">
        <f>(E8/D8)^(1/5)-1</f>
        <v>0</v>
      </c>
      <c r="G8" s="182">
        <f t="shared" ref="G8" si="0">2*(1+F8)/(2+F8)</f>
        <v>1</v>
      </c>
      <c r="H8" s="181">
        <f t="shared" ref="H8" si="1">C8*G8</f>
        <v>0.09</v>
      </c>
      <c r="J8" s="183"/>
      <c r="L8" s="181"/>
    </row>
    <row r="9" spans="1:12" x14ac:dyDescent="0.2">
      <c r="A9" s="173" t="s">
        <v>29</v>
      </c>
      <c r="B9" s="172" t="s">
        <v>30</v>
      </c>
      <c r="C9" s="317">
        <v>0.1</v>
      </c>
      <c r="D9" s="318">
        <v>240</v>
      </c>
      <c r="E9" s="318">
        <v>250</v>
      </c>
      <c r="F9" s="181">
        <f>(E9/D9)^(1/5)-1</f>
        <v>8.197818497166498E-3</v>
      </c>
      <c r="G9" s="182">
        <f t="shared" ref="G9:G30" si="2">2*(1+F9)/(2+F9)</f>
        <v>1.0040821767764398</v>
      </c>
      <c r="H9" s="181">
        <f t="shared" ref="H9:H30" si="3">C9*G9</f>
        <v>0.10040821767764399</v>
      </c>
      <c r="J9" s="183"/>
      <c r="L9" s="181"/>
    </row>
    <row r="10" spans="1:12" x14ac:dyDescent="0.2">
      <c r="A10" s="173" t="s">
        <v>31</v>
      </c>
      <c r="B10" s="172" t="s">
        <v>32</v>
      </c>
      <c r="C10" s="317">
        <v>0.105</v>
      </c>
      <c r="D10" s="318">
        <v>246.5</v>
      </c>
      <c r="E10" s="318">
        <v>253</v>
      </c>
      <c r="F10" s="181">
        <f>(E10/D10)^(1/5)-1</f>
        <v>5.2190711988480132E-3</v>
      </c>
      <c r="G10" s="182">
        <f t="shared" si="2"/>
        <v>1.0026027436472205</v>
      </c>
      <c r="H10" s="181">
        <f t="shared" si="3"/>
        <v>0.10527328808295815</v>
      </c>
      <c r="J10" s="183"/>
      <c r="L10" s="181"/>
    </row>
    <row r="11" spans="1:12" x14ac:dyDescent="0.2">
      <c r="A11" s="173" t="s">
        <v>34</v>
      </c>
      <c r="B11" s="172" t="s">
        <v>35</v>
      </c>
      <c r="C11" s="317">
        <v>6.5000000000000002E-2</v>
      </c>
      <c r="D11" s="318">
        <v>309</v>
      </c>
      <c r="E11" s="318">
        <v>309</v>
      </c>
      <c r="F11" s="181">
        <f>(E11/D11)^(1/5)-1</f>
        <v>0</v>
      </c>
      <c r="G11" s="182">
        <f t="shared" si="2"/>
        <v>1</v>
      </c>
      <c r="H11" s="181">
        <f t="shared" si="3"/>
        <v>6.5000000000000002E-2</v>
      </c>
      <c r="J11" s="183"/>
      <c r="L11" s="181"/>
    </row>
    <row r="12" spans="1:12" x14ac:dyDescent="0.2">
      <c r="A12" s="173" t="s">
        <v>36</v>
      </c>
      <c r="B12" s="172" t="s">
        <v>37</v>
      </c>
      <c r="C12" s="317">
        <v>0.1</v>
      </c>
      <c r="D12" s="318">
        <v>60.5</v>
      </c>
      <c r="E12" s="318">
        <v>61</v>
      </c>
      <c r="F12" s="181">
        <f t="shared" ref="F12:F30" si="4">(E12/D12)^(1/4)-1</f>
        <v>2.0597431466875538E-3</v>
      </c>
      <c r="G12" s="182">
        <f t="shared" si="2"/>
        <v>1.0010288120290809</v>
      </c>
      <c r="H12" s="181">
        <f t="shared" si="3"/>
        <v>0.1001028812029081</v>
      </c>
      <c r="J12" s="183"/>
      <c r="L12" s="181"/>
    </row>
    <row r="13" spans="1:12" x14ac:dyDescent="0.2">
      <c r="A13" s="173" t="s">
        <v>38</v>
      </c>
      <c r="B13" s="172" t="s">
        <v>39</v>
      </c>
      <c r="C13" s="317">
        <v>0.14000000000000001</v>
      </c>
      <c r="D13" s="318">
        <v>285</v>
      </c>
      <c r="E13" s="318">
        <v>297</v>
      </c>
      <c r="F13" s="181">
        <f>(E13/D13)^(1/5)-1</f>
        <v>8.2827050706102412E-3</v>
      </c>
      <c r="G13" s="182">
        <f t="shared" si="2"/>
        <v>1.0041242724690591</v>
      </c>
      <c r="H13" s="181">
        <f t="shared" si="3"/>
        <v>0.14057739814566828</v>
      </c>
      <c r="J13" s="183"/>
      <c r="L13" s="181"/>
    </row>
    <row r="14" spans="1:12" x14ac:dyDescent="0.2">
      <c r="A14" s="184" t="s">
        <v>40</v>
      </c>
      <c r="B14" s="185" t="s">
        <v>41</v>
      </c>
      <c r="C14" s="317">
        <v>8.5000000000000006E-2</v>
      </c>
      <c r="D14" s="318">
        <v>328</v>
      </c>
      <c r="E14" s="318">
        <v>332</v>
      </c>
      <c r="F14" s="181">
        <f>(E14/D14)^(1/5)-1</f>
        <v>2.4272130301450368E-3</v>
      </c>
      <c r="G14" s="182">
        <f t="shared" si="2"/>
        <v>1.0012121354595815</v>
      </c>
      <c r="H14" s="181">
        <f t="shared" si="3"/>
        <v>8.5103031514064439E-2</v>
      </c>
      <c r="J14" s="183"/>
      <c r="L14" s="181"/>
    </row>
    <row r="15" spans="1:12" x14ac:dyDescent="0.2">
      <c r="A15" s="173" t="s">
        <v>42</v>
      </c>
      <c r="B15" s="172" t="s">
        <v>43</v>
      </c>
      <c r="C15" s="317">
        <v>0.105</v>
      </c>
      <c r="D15" s="318">
        <v>192</v>
      </c>
      <c r="E15" s="318">
        <v>200</v>
      </c>
      <c r="F15" s="181">
        <f>(E15/D15)^(1/5)-1</f>
        <v>8.197818497166498E-3</v>
      </c>
      <c r="G15" s="182">
        <f t="shared" si="2"/>
        <v>1.0040821767764398</v>
      </c>
      <c r="H15" s="181">
        <f t="shared" si="3"/>
        <v>0.10542862856152618</v>
      </c>
      <c r="J15" s="183"/>
      <c r="L15" s="181"/>
    </row>
    <row r="16" spans="1:12" x14ac:dyDescent="0.2">
      <c r="A16" s="173" t="s">
        <v>44</v>
      </c>
      <c r="B16" s="172" t="s">
        <v>45</v>
      </c>
      <c r="C16" s="317">
        <v>8.5000000000000006E-2</v>
      </c>
      <c r="D16" s="318">
        <v>731.5</v>
      </c>
      <c r="E16" s="318">
        <v>750</v>
      </c>
      <c r="F16" s="181">
        <f>(E16/D16)^(1/5)-1</f>
        <v>5.0076940109629042E-3</v>
      </c>
      <c r="G16" s="182">
        <f t="shared" si="2"/>
        <v>1.0024975934136917</v>
      </c>
      <c r="H16" s="181">
        <f t="shared" si="3"/>
        <v>8.5212295440163802E-2</v>
      </c>
      <c r="J16" s="183"/>
      <c r="L16" s="181"/>
    </row>
    <row r="17" spans="1:12" x14ac:dyDescent="0.2">
      <c r="A17" s="173" t="s">
        <v>46</v>
      </c>
      <c r="B17" s="172" t="s">
        <v>47</v>
      </c>
      <c r="C17" s="317">
        <v>8.5000000000000006E-2</v>
      </c>
      <c r="D17" s="318">
        <v>40.700000000000003</v>
      </c>
      <c r="E17" s="318">
        <v>41</v>
      </c>
      <c r="F17" s="181">
        <f t="shared" si="4"/>
        <v>1.837680032080069E-3</v>
      </c>
      <c r="G17" s="182">
        <f t="shared" si="2"/>
        <v>1.0009179965240991</v>
      </c>
      <c r="H17" s="181">
        <f t="shared" si="3"/>
        <v>8.5078029704548433E-2</v>
      </c>
      <c r="J17" s="183"/>
      <c r="L17" s="181"/>
    </row>
    <row r="18" spans="1:12" x14ac:dyDescent="0.2">
      <c r="A18" s="173" t="s">
        <v>1242</v>
      </c>
      <c r="B18" s="172" t="s">
        <v>49</v>
      </c>
      <c r="C18" s="317">
        <v>8.5000000000000006E-2</v>
      </c>
      <c r="D18" s="318">
        <v>225</v>
      </c>
      <c r="E18" s="318">
        <v>212</v>
      </c>
      <c r="F18" s="181">
        <f>(E18/D18)^(1/5)-1</f>
        <v>-1.1832267104538663E-2</v>
      </c>
      <c r="G18" s="182">
        <f t="shared" si="2"/>
        <v>0.99404865751074889</v>
      </c>
      <c r="H18" s="181">
        <f t="shared" si="3"/>
        <v>8.449413588841366E-2</v>
      </c>
      <c r="J18" s="183"/>
      <c r="L18" s="181"/>
    </row>
    <row r="19" spans="1:12" x14ac:dyDescent="0.2">
      <c r="A19" s="184" t="s">
        <v>51</v>
      </c>
      <c r="B19" s="185" t="s">
        <v>52</v>
      </c>
      <c r="C19" s="317">
        <v>9.5000000000000001E-2</v>
      </c>
      <c r="D19" s="318">
        <v>316.89</v>
      </c>
      <c r="E19" s="318">
        <v>316.89</v>
      </c>
      <c r="F19" s="181">
        <f>(E19/D19)^(1/5)-1</f>
        <v>0</v>
      </c>
      <c r="G19" s="182">
        <f t="shared" si="2"/>
        <v>1</v>
      </c>
      <c r="H19" s="181">
        <f t="shared" si="3"/>
        <v>9.5000000000000001E-2</v>
      </c>
      <c r="J19" s="183"/>
      <c r="L19" s="181"/>
    </row>
    <row r="20" spans="1:12" x14ac:dyDescent="0.2">
      <c r="A20" s="173" t="s">
        <v>53</v>
      </c>
      <c r="B20" s="172" t="s">
        <v>54</v>
      </c>
      <c r="C20" s="317">
        <v>9.5000000000000001E-2</v>
      </c>
      <c r="D20" s="318">
        <v>110</v>
      </c>
      <c r="E20" s="318">
        <v>113</v>
      </c>
      <c r="F20" s="181">
        <f t="shared" si="4"/>
        <v>6.7495393924037472E-3</v>
      </c>
      <c r="G20" s="182">
        <f t="shared" si="2"/>
        <v>1.0033634189319147</v>
      </c>
      <c r="H20" s="181">
        <f t="shared" si="3"/>
        <v>9.5319524798531896E-2</v>
      </c>
      <c r="I20" s="183"/>
      <c r="J20" s="183"/>
      <c r="L20" s="181"/>
    </row>
    <row r="21" spans="1:12" x14ac:dyDescent="0.2">
      <c r="A21" s="173" t="s">
        <v>55</v>
      </c>
      <c r="B21" s="172" t="s">
        <v>56</v>
      </c>
      <c r="C21" s="317">
        <v>0.13500000000000001</v>
      </c>
      <c r="D21" s="318">
        <v>535</v>
      </c>
      <c r="E21" s="318">
        <v>535</v>
      </c>
      <c r="F21" s="181">
        <f>(E21/D21)^(1/5)-1</f>
        <v>0</v>
      </c>
      <c r="G21" s="182">
        <f t="shared" si="2"/>
        <v>1</v>
      </c>
      <c r="H21" s="181">
        <f t="shared" si="3"/>
        <v>0.13500000000000001</v>
      </c>
      <c r="I21" s="183"/>
      <c r="J21" s="183"/>
      <c r="L21" s="181"/>
    </row>
    <row r="22" spans="1:12" x14ac:dyDescent="0.2">
      <c r="A22" s="173" t="s">
        <v>57</v>
      </c>
      <c r="B22" s="172" t="s">
        <v>58</v>
      </c>
      <c r="C22" s="317">
        <v>0.09</v>
      </c>
      <c r="D22" s="318">
        <v>50.5</v>
      </c>
      <c r="E22" s="318">
        <v>51</v>
      </c>
      <c r="F22" s="181">
        <f t="shared" si="4"/>
        <v>2.466109969794017E-3</v>
      </c>
      <c r="G22" s="182">
        <f t="shared" si="2"/>
        <v>1.0012315364327593</v>
      </c>
      <c r="H22" s="181">
        <f t="shared" si="3"/>
        <v>9.0110838278948335E-2</v>
      </c>
      <c r="I22" s="183"/>
      <c r="J22" s="183"/>
      <c r="L22" s="181"/>
    </row>
    <row r="23" spans="1:12" x14ac:dyDescent="0.2">
      <c r="A23" s="173" t="s">
        <v>59</v>
      </c>
      <c r="B23" s="172" t="s">
        <v>60</v>
      </c>
      <c r="C23" s="317">
        <v>0.115</v>
      </c>
      <c r="D23" s="318">
        <v>199.7</v>
      </c>
      <c r="E23" s="318">
        <v>199.7</v>
      </c>
      <c r="F23" s="181">
        <f>(E23/D23)^(1/5)-1</f>
        <v>0</v>
      </c>
      <c r="G23" s="182">
        <f t="shared" si="2"/>
        <v>1</v>
      </c>
      <c r="H23" s="181">
        <f t="shared" si="3"/>
        <v>0.115</v>
      </c>
      <c r="I23" s="183"/>
      <c r="J23" s="183"/>
      <c r="L23" s="181"/>
    </row>
    <row r="24" spans="1:12" x14ac:dyDescent="0.2">
      <c r="A24" s="173" t="s">
        <v>61</v>
      </c>
      <c r="B24" s="172" t="s">
        <v>62</v>
      </c>
      <c r="C24" s="317">
        <v>0.105</v>
      </c>
      <c r="D24" s="318">
        <v>39.75</v>
      </c>
      <c r="E24" s="318">
        <v>41.75</v>
      </c>
      <c r="F24" s="181">
        <f>(E24/D24)^(1/5)-1</f>
        <v>9.8662759513146181E-3</v>
      </c>
      <c r="G24" s="182">
        <f t="shared" si="2"/>
        <v>1.0049089215881513</v>
      </c>
      <c r="H24" s="181">
        <f t="shared" si="3"/>
        <v>0.10551543676675589</v>
      </c>
      <c r="I24" s="183"/>
      <c r="J24" s="183"/>
      <c r="L24" s="181"/>
    </row>
    <row r="25" spans="1:12" x14ac:dyDescent="0.2">
      <c r="A25" s="173" t="s">
        <v>63</v>
      </c>
      <c r="B25" s="172" t="s">
        <v>64</v>
      </c>
      <c r="C25" s="317">
        <v>0.105</v>
      </c>
      <c r="D25" s="318">
        <v>112.75</v>
      </c>
      <c r="E25" s="318">
        <v>114.25</v>
      </c>
      <c r="F25" s="181">
        <f t="shared" si="4"/>
        <v>3.3094771146762181E-3</v>
      </c>
      <c r="G25" s="182">
        <f t="shared" si="2"/>
        <v>1.0016520049210982</v>
      </c>
      <c r="H25" s="181">
        <f t="shared" si="3"/>
        <v>0.10517346051671531</v>
      </c>
      <c r="I25" s="183"/>
      <c r="J25" s="183"/>
      <c r="L25" s="181"/>
    </row>
    <row r="26" spans="1:12" x14ac:dyDescent="0.2">
      <c r="A26" s="173" t="s">
        <v>65</v>
      </c>
      <c r="B26" s="172" t="s">
        <v>66</v>
      </c>
      <c r="C26" s="317">
        <v>9.5000000000000001E-2</v>
      </c>
      <c r="D26" s="318">
        <v>79.650000000000006</v>
      </c>
      <c r="E26" s="318">
        <v>83</v>
      </c>
      <c r="F26" s="181">
        <f t="shared" si="4"/>
        <v>1.0352866753745582E-2</v>
      </c>
      <c r="G26" s="182">
        <f t="shared" si="2"/>
        <v>1.0051497759049948</v>
      </c>
      <c r="H26" s="181">
        <f t="shared" si="3"/>
        <v>9.5489228710974511E-2</v>
      </c>
      <c r="I26" s="183"/>
      <c r="J26" s="183"/>
      <c r="L26" s="181"/>
    </row>
    <row r="27" spans="1:12" x14ac:dyDescent="0.2">
      <c r="A27" s="173" t="s">
        <v>67</v>
      </c>
      <c r="B27" s="172" t="s">
        <v>68</v>
      </c>
      <c r="C27" s="317">
        <v>0.09</v>
      </c>
      <c r="D27" s="318">
        <v>89.4</v>
      </c>
      <c r="E27" s="318">
        <v>90</v>
      </c>
      <c r="F27" s="181">
        <f t="shared" si="4"/>
        <v>1.6736460224839877E-3</v>
      </c>
      <c r="G27" s="182">
        <f t="shared" si="2"/>
        <v>1.0008361233240044</v>
      </c>
      <c r="H27" s="181">
        <f t="shared" si="3"/>
        <v>9.0075251099160397E-2</v>
      </c>
      <c r="I27" s="183"/>
      <c r="J27" s="183"/>
      <c r="L27" s="181"/>
    </row>
    <row r="28" spans="1:12" x14ac:dyDescent="0.2">
      <c r="A28" s="173" t="s">
        <v>69</v>
      </c>
      <c r="B28" s="172" t="s">
        <v>70</v>
      </c>
      <c r="C28" s="317">
        <v>0.13</v>
      </c>
      <c r="D28" s="318">
        <v>1050</v>
      </c>
      <c r="E28" s="318">
        <v>1090</v>
      </c>
      <c r="F28" s="181">
        <f>(E28/D28)^(1/5)-1</f>
        <v>7.5055327776321068E-3</v>
      </c>
      <c r="G28" s="182">
        <f t="shared" si="2"/>
        <v>1.0037387357868188</v>
      </c>
      <c r="H28" s="181">
        <f t="shared" si="3"/>
        <v>0.13048603565228645</v>
      </c>
      <c r="I28" s="183"/>
      <c r="J28" s="183"/>
      <c r="L28" s="181"/>
    </row>
    <row r="29" spans="1:12" x14ac:dyDescent="0.2">
      <c r="A29" s="173" t="s">
        <v>1243</v>
      </c>
      <c r="B29" s="172" t="s">
        <v>72</v>
      </c>
      <c r="C29" s="317">
        <v>0.125</v>
      </c>
      <c r="D29" s="318">
        <v>315.5</v>
      </c>
      <c r="E29" s="318">
        <v>315.5</v>
      </c>
      <c r="F29" s="181">
        <f>(E29/D29)^(1/5)-1</f>
        <v>0</v>
      </c>
      <c r="G29" s="182">
        <f t="shared" si="2"/>
        <v>1</v>
      </c>
      <c r="H29" s="181">
        <f t="shared" si="3"/>
        <v>0.125</v>
      </c>
      <c r="I29" s="183"/>
      <c r="J29" s="183"/>
      <c r="L29" s="181"/>
    </row>
    <row r="30" spans="1:12" x14ac:dyDescent="0.2">
      <c r="A30" s="173" t="s">
        <v>73</v>
      </c>
      <c r="B30" s="172" t="s">
        <v>74</v>
      </c>
      <c r="C30" s="317">
        <v>0.105</v>
      </c>
      <c r="D30" s="318">
        <v>518</v>
      </c>
      <c r="E30" s="318">
        <v>533</v>
      </c>
      <c r="F30" s="181">
        <f t="shared" si="4"/>
        <v>7.1620713032050087E-3</v>
      </c>
      <c r="G30" s="182">
        <f t="shared" si="2"/>
        <v>1.0035682575939444</v>
      </c>
      <c r="H30" s="181">
        <f t="shared" si="3"/>
        <v>0.10537466704736416</v>
      </c>
      <c r="I30" s="183"/>
      <c r="J30" s="183"/>
      <c r="L30" s="181"/>
    </row>
    <row r="31" spans="1:12" x14ac:dyDescent="0.2">
      <c r="B31" s="172"/>
      <c r="C31" s="179"/>
      <c r="D31" s="180"/>
      <c r="E31" s="180"/>
      <c r="F31" s="181"/>
      <c r="G31" s="182"/>
      <c r="H31" s="181"/>
      <c r="I31" s="183"/>
      <c r="J31" s="183"/>
      <c r="L31" s="181"/>
    </row>
    <row r="32" spans="1:12" x14ac:dyDescent="0.2">
      <c r="A32" s="186"/>
      <c r="B32" s="187"/>
      <c r="C32" s="188"/>
      <c r="D32" s="189"/>
      <c r="E32" s="189"/>
      <c r="F32" s="190"/>
      <c r="G32" s="186" t="s">
        <v>1244</v>
      </c>
      <c r="H32" s="191">
        <f>MEDIAN(H8:H30)</f>
        <v>0.1001028812029081</v>
      </c>
      <c r="I32" s="183"/>
      <c r="J32" s="183"/>
    </row>
    <row r="33" spans="1:8" x14ac:dyDescent="0.2">
      <c r="G33" s="173" t="s">
        <v>1222</v>
      </c>
      <c r="H33" s="192">
        <f>AVERAGE(H8:H30)</f>
        <v>0.1014879282212449</v>
      </c>
    </row>
    <row r="34" spans="1:8" x14ac:dyDescent="0.2">
      <c r="A34" s="193" t="s">
        <v>77</v>
      </c>
      <c r="C34" s="194"/>
      <c r="H34" s="195"/>
    </row>
    <row r="35" spans="1:8" x14ac:dyDescent="0.2">
      <c r="A35" s="173" t="s">
        <v>1245</v>
      </c>
      <c r="B35" s="173" t="s">
        <v>1246</v>
      </c>
      <c r="F35" s="173" t="s">
        <v>1247</v>
      </c>
    </row>
    <row r="36" spans="1:8" x14ac:dyDescent="0.2">
      <c r="A36" s="173" t="s">
        <v>1100</v>
      </c>
      <c r="B36" s="173" t="s">
        <v>1248</v>
      </c>
      <c r="F36" s="173" t="s">
        <v>1249</v>
      </c>
      <c r="H36" s="181"/>
    </row>
  </sheetData>
  <mergeCells count="2">
    <mergeCell ref="A1:H1"/>
    <mergeCell ref="D5:F5"/>
  </mergeCells>
  <pageMargins left="0.7" right="0.7" top="0.75" bottom="0.75" header="0.3" footer="0.3"/>
  <pageSetup scale="82" orientation="portrait" useFirstPageNumber="1" r:id="rId1"/>
  <headerFooter scaleWithDoc="0">
    <oddHeader>&amp;R&amp;"Arial,Regular"&amp;10EXHIBIT RBH-6
Page &amp;P of 1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Q108"/>
  <sheetViews>
    <sheetView tabSelected="1" view="pageLayout" zoomScale="70" zoomScaleNormal="80" zoomScaleSheetLayoutView="85" zoomScalePageLayoutView="70" workbookViewId="0">
      <selection activeCell="P3" sqref="P3"/>
    </sheetView>
  </sheetViews>
  <sheetFormatPr defaultColWidth="9.140625" defaultRowHeight="12.75" x14ac:dyDescent="0.2"/>
  <cols>
    <col min="1" max="1" width="9.140625" style="210"/>
    <col min="2" max="2" width="33.7109375" style="210" customWidth="1"/>
    <col min="3" max="3" width="11.5703125" style="210" customWidth="1"/>
    <col min="4" max="4" width="16.140625" style="210" customWidth="1"/>
    <col min="5" max="5" width="11.5703125" style="210" customWidth="1"/>
    <col min="6" max="6" width="12.7109375" style="210" customWidth="1"/>
    <col min="7" max="7" width="17.28515625" style="210" customWidth="1"/>
    <col min="8" max="8" width="16.140625" style="210" customWidth="1"/>
    <col min="9" max="9" width="16.7109375" style="210" customWidth="1"/>
    <col min="10" max="10" width="16.140625" style="210" bestFit="1" customWidth="1"/>
    <col min="11" max="11" width="18.28515625" style="210" customWidth="1"/>
    <col min="12" max="14" width="12.140625" style="210" customWidth="1"/>
    <col min="15" max="15" width="5.28515625" style="210" customWidth="1"/>
    <col min="16" max="16" width="9.140625" style="210"/>
    <col min="17" max="17" width="13.28515625" style="210" customWidth="1"/>
    <col min="18" max="16384" width="9.140625" style="210"/>
  </cols>
  <sheetData>
    <row r="2" spans="2:15" x14ac:dyDescent="0.2">
      <c r="B2" s="209" t="s">
        <v>1250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</row>
    <row r="3" spans="2:15" x14ac:dyDescent="0.2">
      <c r="B3" s="211"/>
    </row>
    <row r="4" spans="2:15" x14ac:dyDescent="0.2">
      <c r="B4" s="210" t="s">
        <v>1251</v>
      </c>
      <c r="G4" s="210" t="s">
        <v>1315</v>
      </c>
    </row>
    <row r="5" spans="2:15" ht="13.5" thickBot="1" x14ac:dyDescent="0.25">
      <c r="B5" s="212"/>
      <c r="C5" s="212"/>
      <c r="D5" s="213" t="s">
        <v>2</v>
      </c>
      <c r="E5" s="213" t="s">
        <v>3</v>
      </c>
      <c r="F5" s="213" t="s">
        <v>4</v>
      </c>
      <c r="G5" s="213" t="s">
        <v>5</v>
      </c>
      <c r="H5" s="213" t="s">
        <v>6</v>
      </c>
      <c r="I5" s="213" t="s">
        <v>7</v>
      </c>
      <c r="J5" s="213" t="s">
        <v>8</v>
      </c>
      <c r="K5" s="213" t="s">
        <v>9</v>
      </c>
      <c r="L5" s="213" t="s">
        <v>10</v>
      </c>
    </row>
    <row r="6" spans="2:15" ht="38.25" x14ac:dyDescent="0.2">
      <c r="B6" s="214" t="s">
        <v>13</v>
      </c>
      <c r="C6" s="214" t="s">
        <v>1252</v>
      </c>
      <c r="D6" s="215" t="s">
        <v>1253</v>
      </c>
      <c r="E6" s="215" t="s">
        <v>1254</v>
      </c>
      <c r="F6" s="215" t="s">
        <v>1255</v>
      </c>
      <c r="G6" s="215" t="s">
        <v>1256</v>
      </c>
      <c r="H6" s="215" t="s">
        <v>1257</v>
      </c>
      <c r="I6" s="215" t="s">
        <v>1258</v>
      </c>
      <c r="J6" s="215" t="s">
        <v>1259</v>
      </c>
      <c r="K6" s="215" t="s">
        <v>1260</v>
      </c>
      <c r="L6" s="215" t="s">
        <v>1261</v>
      </c>
    </row>
    <row r="8" spans="2:15" x14ac:dyDescent="0.2">
      <c r="B8" s="196" t="s">
        <v>1241</v>
      </c>
      <c r="C8" s="197">
        <v>39904</v>
      </c>
      <c r="D8" s="198">
        <v>69000000</v>
      </c>
      <c r="E8" s="199">
        <v>24.5</v>
      </c>
      <c r="F8" s="200">
        <v>0.73499999999999999</v>
      </c>
      <c r="G8" s="201">
        <v>400000</v>
      </c>
      <c r="H8" s="204">
        <f>K8/D8</f>
        <v>23.759202898550726</v>
      </c>
      <c r="I8" s="206">
        <f>G8+(F8*D8)</f>
        <v>51115000</v>
      </c>
      <c r="J8" s="206">
        <f>D8*E8</f>
        <v>1690500000</v>
      </c>
      <c r="K8" s="206">
        <f>J8-I8</f>
        <v>1639385000</v>
      </c>
      <c r="L8" s="207">
        <f>I8/J8</f>
        <v>3.0236616385684707E-2</v>
      </c>
    </row>
    <row r="9" spans="2:15" x14ac:dyDescent="0.2">
      <c r="B9" s="196" t="s">
        <v>1241</v>
      </c>
      <c r="C9" s="197">
        <v>37679</v>
      </c>
      <c r="D9" s="198">
        <v>57500000</v>
      </c>
      <c r="E9" s="199">
        <v>20.95</v>
      </c>
      <c r="F9" s="200">
        <v>0.62849999999999995</v>
      </c>
      <c r="G9" s="201">
        <v>550000</v>
      </c>
      <c r="H9" s="204">
        <f>K9/D9</f>
        <v>20.311934782608695</v>
      </c>
      <c r="I9" s="206">
        <f>G9+(F9*D9)</f>
        <v>36688750</v>
      </c>
      <c r="J9" s="206">
        <f>D9*E9</f>
        <v>1204625000</v>
      </c>
      <c r="K9" s="206">
        <f>J9-I9</f>
        <v>1167936250</v>
      </c>
      <c r="L9" s="207">
        <f>I9/J9</f>
        <v>3.0456573622496628E-2</v>
      </c>
      <c r="M9" s="208"/>
      <c r="N9" s="217"/>
      <c r="O9" s="217"/>
    </row>
    <row r="10" spans="2:15" x14ac:dyDescent="0.2">
      <c r="B10" s="216"/>
      <c r="C10" s="202"/>
      <c r="D10" s="203"/>
      <c r="E10" s="204"/>
      <c r="F10" s="205"/>
      <c r="G10" s="206"/>
      <c r="H10" s="204"/>
      <c r="I10" s="206"/>
      <c r="J10" s="206"/>
      <c r="K10" s="206" t="s">
        <v>1222</v>
      </c>
      <c r="L10" s="218">
        <f>AVERAGE(L9:L9)</f>
        <v>3.0456573622496628E-2</v>
      </c>
      <c r="M10" s="208"/>
      <c r="N10" s="217"/>
      <c r="O10" s="217"/>
    </row>
    <row r="11" spans="2:15" x14ac:dyDescent="0.2">
      <c r="N11" s="217"/>
      <c r="O11" s="217"/>
    </row>
    <row r="12" spans="2:15" x14ac:dyDescent="0.2">
      <c r="B12" s="216" t="s">
        <v>26</v>
      </c>
      <c r="C12" s="202">
        <v>41697</v>
      </c>
      <c r="D12" s="203">
        <v>3220000</v>
      </c>
      <c r="E12" s="204">
        <v>49.75</v>
      </c>
      <c r="F12" s="205">
        <v>1.74125</v>
      </c>
      <c r="G12" s="206">
        <v>450000</v>
      </c>
      <c r="H12" s="204">
        <f t="shared" ref="H12:H53" si="0">K12/D12</f>
        <v>47.868998447204966</v>
      </c>
      <c r="I12" s="206">
        <f t="shared" ref="I12:I53" si="1">G12+(F12*D12)</f>
        <v>6056825</v>
      </c>
      <c r="J12" s="206">
        <f t="shared" ref="J12:J53" si="2">D12*E12</f>
        <v>160195000</v>
      </c>
      <c r="K12" s="206">
        <f t="shared" ref="K12:K53" si="3">J12-I12</f>
        <v>154138175</v>
      </c>
      <c r="L12" s="207">
        <f t="shared" ref="L12:L53" si="4">I12/J12</f>
        <v>3.7809076438091074E-2</v>
      </c>
      <c r="M12" s="208"/>
      <c r="N12" s="217"/>
      <c r="O12" s="217"/>
    </row>
    <row r="13" spans="2:15" x14ac:dyDescent="0.2">
      <c r="B13" s="216" t="s">
        <v>26</v>
      </c>
      <c r="C13" s="202">
        <v>37036</v>
      </c>
      <c r="D13" s="203">
        <v>7475000</v>
      </c>
      <c r="E13" s="204">
        <v>23.68</v>
      </c>
      <c r="F13" s="205">
        <v>0.94720000000000004</v>
      </c>
      <c r="G13" s="206">
        <v>350000</v>
      </c>
      <c r="H13" s="204">
        <f t="shared" si="0"/>
        <v>22.685977257525085</v>
      </c>
      <c r="I13" s="206">
        <f t="shared" si="1"/>
        <v>7430320</v>
      </c>
      <c r="J13" s="206">
        <f t="shared" si="2"/>
        <v>177008000</v>
      </c>
      <c r="K13" s="206">
        <f t="shared" si="3"/>
        <v>169577680</v>
      </c>
      <c r="L13" s="207">
        <f t="shared" si="4"/>
        <v>4.1977311759920456E-2</v>
      </c>
      <c r="M13" s="208"/>
      <c r="N13" s="217"/>
      <c r="O13" s="217"/>
    </row>
    <row r="14" spans="2:15" x14ac:dyDescent="0.2">
      <c r="B14" s="216" t="s">
        <v>29</v>
      </c>
      <c r="C14" s="202">
        <v>37803</v>
      </c>
      <c r="D14" s="203">
        <v>17250000</v>
      </c>
      <c r="E14" s="204">
        <v>19.25</v>
      </c>
      <c r="F14" s="205">
        <v>0.77</v>
      </c>
      <c r="G14" s="206">
        <v>370000</v>
      </c>
      <c r="H14" s="204">
        <f t="shared" si="0"/>
        <v>18.458550724637682</v>
      </c>
      <c r="I14" s="206">
        <f t="shared" si="1"/>
        <v>13652500</v>
      </c>
      <c r="J14" s="206">
        <f t="shared" si="2"/>
        <v>332062500</v>
      </c>
      <c r="K14" s="206">
        <f t="shared" si="3"/>
        <v>318410000</v>
      </c>
      <c r="L14" s="207">
        <f t="shared" si="4"/>
        <v>4.1114248070769813E-2</v>
      </c>
      <c r="M14" s="208"/>
      <c r="N14" s="217"/>
      <c r="O14" s="217"/>
    </row>
    <row r="15" spans="2:15" x14ac:dyDescent="0.2">
      <c r="B15" s="216" t="s">
        <v>29</v>
      </c>
      <c r="C15" s="202">
        <v>37203</v>
      </c>
      <c r="D15" s="203">
        <v>9775000</v>
      </c>
      <c r="E15" s="204">
        <v>28</v>
      </c>
      <c r="F15" s="205">
        <v>1.05</v>
      </c>
      <c r="G15" s="206">
        <v>425000</v>
      </c>
      <c r="H15" s="204">
        <f t="shared" si="0"/>
        <v>26.906521739130437</v>
      </c>
      <c r="I15" s="206">
        <f t="shared" si="1"/>
        <v>10688750</v>
      </c>
      <c r="J15" s="206">
        <f t="shared" si="2"/>
        <v>273700000</v>
      </c>
      <c r="K15" s="206">
        <f t="shared" si="3"/>
        <v>263011250</v>
      </c>
      <c r="L15" s="207">
        <f t="shared" si="4"/>
        <v>3.9052795031055902E-2</v>
      </c>
      <c r="M15" s="208"/>
      <c r="N15" s="217"/>
      <c r="O15" s="217"/>
    </row>
    <row r="16" spans="2:15" x14ac:dyDescent="0.2">
      <c r="B16" s="216" t="s">
        <v>1316</v>
      </c>
      <c r="C16" s="202">
        <v>40065</v>
      </c>
      <c r="D16" s="203">
        <v>21850000</v>
      </c>
      <c r="E16" s="204">
        <v>25.25</v>
      </c>
      <c r="F16" s="205">
        <v>0.75749999999999995</v>
      </c>
      <c r="G16" s="206">
        <v>450000</v>
      </c>
      <c r="H16" s="204">
        <f t="shared" si="0"/>
        <v>24.471905034324944</v>
      </c>
      <c r="I16" s="206">
        <f t="shared" si="1"/>
        <v>17001375</v>
      </c>
      <c r="J16" s="206">
        <f t="shared" si="2"/>
        <v>551712500</v>
      </c>
      <c r="K16" s="206">
        <f t="shared" si="3"/>
        <v>534711125</v>
      </c>
      <c r="L16" s="207">
        <f t="shared" si="4"/>
        <v>3.081564220495276E-2</v>
      </c>
      <c r="M16" s="208"/>
      <c r="N16" s="217"/>
      <c r="O16" s="217"/>
    </row>
    <row r="17" spans="2:15" x14ac:dyDescent="0.2">
      <c r="B17" s="216" t="s">
        <v>1316</v>
      </c>
      <c r="C17" s="202">
        <v>38168</v>
      </c>
      <c r="D17" s="203">
        <v>10925000</v>
      </c>
      <c r="E17" s="204">
        <v>42</v>
      </c>
      <c r="F17" s="205">
        <v>1.26</v>
      </c>
      <c r="G17" s="206">
        <v>400000</v>
      </c>
      <c r="H17" s="204">
        <f t="shared" si="0"/>
        <v>40.703386727688788</v>
      </c>
      <c r="I17" s="206">
        <f t="shared" si="1"/>
        <v>14165500</v>
      </c>
      <c r="J17" s="206">
        <f t="shared" si="2"/>
        <v>458850000</v>
      </c>
      <c r="K17" s="206">
        <f t="shared" si="3"/>
        <v>444684500</v>
      </c>
      <c r="L17" s="207">
        <f t="shared" si="4"/>
        <v>3.08717445788384E-2</v>
      </c>
      <c r="M17" s="208"/>
      <c r="N17" s="217"/>
      <c r="O17" s="217"/>
    </row>
    <row r="18" spans="2:15" x14ac:dyDescent="0.2">
      <c r="B18" s="210" t="s">
        <v>34</v>
      </c>
      <c r="C18" s="219">
        <v>41543</v>
      </c>
      <c r="D18" s="220">
        <v>5750000</v>
      </c>
      <c r="E18" s="221">
        <v>37.25</v>
      </c>
      <c r="F18" s="222">
        <v>1.30375</v>
      </c>
      <c r="G18" s="223">
        <v>250000</v>
      </c>
      <c r="H18" s="204">
        <f t="shared" si="0"/>
        <v>35.902771739130436</v>
      </c>
      <c r="I18" s="206">
        <f t="shared" si="1"/>
        <v>7746562.5</v>
      </c>
      <c r="J18" s="206">
        <f t="shared" si="2"/>
        <v>214187500</v>
      </c>
      <c r="K18" s="206">
        <f t="shared" si="3"/>
        <v>206440937.5</v>
      </c>
      <c r="L18" s="207">
        <f t="shared" si="4"/>
        <v>3.616720163408229E-2</v>
      </c>
      <c r="M18" s="208"/>
      <c r="N18" s="217"/>
      <c r="O18" s="217"/>
    </row>
    <row r="19" spans="2:15" x14ac:dyDescent="0.2">
      <c r="B19" s="210" t="s">
        <v>34</v>
      </c>
      <c r="C19" s="219">
        <v>40437</v>
      </c>
      <c r="D19" s="220">
        <v>20355000</v>
      </c>
      <c r="E19" s="221">
        <v>25.75</v>
      </c>
      <c r="F19" s="222">
        <v>1.0943750000000001</v>
      </c>
      <c r="G19" s="223">
        <v>325000</v>
      </c>
      <c r="H19" s="204">
        <f t="shared" si="0"/>
        <v>24.639658407025301</v>
      </c>
      <c r="I19" s="206">
        <f t="shared" si="1"/>
        <v>22601003.125000004</v>
      </c>
      <c r="J19" s="206">
        <f t="shared" si="2"/>
        <v>524141250</v>
      </c>
      <c r="K19" s="206">
        <f t="shared" si="3"/>
        <v>501540246.875</v>
      </c>
      <c r="L19" s="207">
        <f t="shared" si="4"/>
        <v>4.3120061863095117E-2</v>
      </c>
      <c r="M19" s="208"/>
      <c r="N19" s="217"/>
      <c r="O19" s="217"/>
    </row>
    <row r="20" spans="2:15" x14ac:dyDescent="0.2">
      <c r="B20" s="216" t="s">
        <v>36</v>
      </c>
      <c r="C20" s="202">
        <v>42327</v>
      </c>
      <c r="D20" s="203">
        <v>5980000</v>
      </c>
      <c r="E20" s="204">
        <v>40.25</v>
      </c>
      <c r="F20" s="205">
        <v>1.4087499999999999</v>
      </c>
      <c r="G20" s="206">
        <v>1200000</v>
      </c>
      <c r="H20" s="204">
        <f t="shared" si="0"/>
        <v>38.640581103678933</v>
      </c>
      <c r="I20" s="206">
        <f t="shared" si="1"/>
        <v>9624325</v>
      </c>
      <c r="J20" s="206">
        <f t="shared" si="2"/>
        <v>240695000</v>
      </c>
      <c r="K20" s="206">
        <f t="shared" si="3"/>
        <v>231070675</v>
      </c>
      <c r="L20" s="207">
        <f t="shared" si="4"/>
        <v>3.9985562641517272E-2</v>
      </c>
      <c r="M20" s="208"/>
      <c r="N20" s="217"/>
      <c r="O20" s="217"/>
    </row>
    <row r="21" spans="2:15" x14ac:dyDescent="0.2">
      <c r="B21" s="216" t="s">
        <v>36</v>
      </c>
      <c r="C21" s="202">
        <v>40494</v>
      </c>
      <c r="D21" s="203">
        <v>4600000</v>
      </c>
      <c r="E21" s="204">
        <v>29.75</v>
      </c>
      <c r="F21" s="205">
        <v>1.04125</v>
      </c>
      <c r="G21" s="206">
        <v>276650</v>
      </c>
      <c r="H21" s="204">
        <f t="shared" si="0"/>
        <v>28.648608695652175</v>
      </c>
      <c r="I21" s="206">
        <f t="shared" si="1"/>
        <v>5066400</v>
      </c>
      <c r="J21" s="206">
        <f t="shared" si="2"/>
        <v>136850000</v>
      </c>
      <c r="K21" s="206">
        <f t="shared" si="3"/>
        <v>131783600</v>
      </c>
      <c r="L21" s="207">
        <f t="shared" si="4"/>
        <v>3.7021556448666421E-2</v>
      </c>
      <c r="M21" s="208"/>
      <c r="O21" s="217"/>
    </row>
    <row r="22" spans="2:15" x14ac:dyDescent="0.2">
      <c r="B22" s="216" t="s">
        <v>38</v>
      </c>
      <c r="C22" s="202">
        <v>38441</v>
      </c>
      <c r="D22" s="203">
        <v>23000000</v>
      </c>
      <c r="E22" s="204">
        <v>12.25</v>
      </c>
      <c r="F22" s="205">
        <v>0.42880000000000001</v>
      </c>
      <c r="G22" s="206">
        <v>325000</v>
      </c>
      <c r="H22" s="204">
        <f t="shared" si="0"/>
        <v>11.807069565217391</v>
      </c>
      <c r="I22" s="206">
        <f t="shared" si="1"/>
        <v>10187400</v>
      </c>
      <c r="J22" s="206">
        <f t="shared" si="2"/>
        <v>281750000</v>
      </c>
      <c r="K22" s="206">
        <f t="shared" si="3"/>
        <v>271562600</v>
      </c>
      <c r="L22" s="207">
        <f t="shared" si="4"/>
        <v>3.6157586512866019E-2</v>
      </c>
      <c r="M22" s="208"/>
      <c r="O22" s="217"/>
    </row>
    <row r="23" spans="2:15" x14ac:dyDescent="0.2">
      <c r="B23" s="216" t="s">
        <v>38</v>
      </c>
      <c r="C23" s="202">
        <v>38267</v>
      </c>
      <c r="D23" s="203">
        <v>32775000</v>
      </c>
      <c r="E23" s="204">
        <v>9.1</v>
      </c>
      <c r="F23" s="205">
        <v>0.31850000000000001</v>
      </c>
      <c r="G23" s="206">
        <v>325000</v>
      </c>
      <c r="H23" s="204">
        <f t="shared" si="0"/>
        <v>8.7715839054157136</v>
      </c>
      <c r="I23" s="206">
        <f t="shared" si="1"/>
        <v>10763837.5</v>
      </c>
      <c r="J23" s="206">
        <f t="shared" si="2"/>
        <v>298252500</v>
      </c>
      <c r="K23" s="206">
        <f t="shared" si="3"/>
        <v>287488662.5</v>
      </c>
      <c r="L23" s="207">
        <f t="shared" si="4"/>
        <v>3.6089680723547998E-2</v>
      </c>
      <c r="M23" s="208"/>
      <c r="O23" s="217"/>
    </row>
    <row r="24" spans="2:15" x14ac:dyDescent="0.2">
      <c r="B24" s="216" t="s">
        <v>1317</v>
      </c>
      <c r="C24" s="202">
        <v>42955</v>
      </c>
      <c r="D24" s="203">
        <v>4100000</v>
      </c>
      <c r="E24" s="204">
        <v>83.770099999999999</v>
      </c>
      <c r="F24" s="205">
        <f>84.06-83.7701</f>
        <v>0.28990000000000293</v>
      </c>
      <c r="G24" s="206">
        <v>350000</v>
      </c>
      <c r="H24" s="204">
        <f t="shared" si="0"/>
        <v>83.394834146341466</v>
      </c>
      <c r="I24" s="206">
        <f t="shared" si="1"/>
        <v>1538590.0000000121</v>
      </c>
      <c r="J24" s="206">
        <f t="shared" si="2"/>
        <v>343457410</v>
      </c>
      <c r="K24" s="206">
        <f t="shared" si="3"/>
        <v>341918820</v>
      </c>
      <c r="L24" s="207">
        <f t="shared" si="4"/>
        <v>4.4797111816571727E-3</v>
      </c>
      <c r="M24" s="208"/>
      <c r="O24" s="217"/>
    </row>
    <row r="25" spans="2:15" x14ac:dyDescent="0.2">
      <c r="B25" s="216" t="s">
        <v>1317</v>
      </c>
      <c r="C25" s="202">
        <v>42501</v>
      </c>
      <c r="D25" s="203">
        <v>10120000</v>
      </c>
      <c r="E25" s="204">
        <v>71.5</v>
      </c>
      <c r="F25" s="205">
        <v>2.145</v>
      </c>
      <c r="G25" s="206">
        <v>550000</v>
      </c>
      <c r="H25" s="204">
        <f t="shared" si="0"/>
        <v>69.300652173913051</v>
      </c>
      <c r="I25" s="206">
        <f t="shared" si="1"/>
        <v>22257400</v>
      </c>
      <c r="J25" s="206">
        <f t="shared" si="2"/>
        <v>723580000</v>
      </c>
      <c r="K25" s="206">
        <f t="shared" si="3"/>
        <v>701322600</v>
      </c>
      <c r="L25" s="207">
        <f t="shared" si="4"/>
        <v>3.0760109455761631E-2</v>
      </c>
      <c r="M25" s="208"/>
      <c r="O25" s="217"/>
    </row>
    <row r="26" spans="2:15" x14ac:dyDescent="0.2">
      <c r="B26" s="216" t="s">
        <v>42</v>
      </c>
      <c r="C26" s="202">
        <v>37426</v>
      </c>
      <c r="D26" s="203">
        <v>6325000</v>
      </c>
      <c r="E26" s="204">
        <v>43.25</v>
      </c>
      <c r="F26" s="205">
        <v>1.4056</v>
      </c>
      <c r="G26" s="206">
        <v>250000</v>
      </c>
      <c r="H26" s="204">
        <f t="shared" si="0"/>
        <v>41.804874308300398</v>
      </c>
      <c r="I26" s="206">
        <f t="shared" si="1"/>
        <v>9140420</v>
      </c>
      <c r="J26" s="206">
        <f t="shared" si="2"/>
        <v>273556250</v>
      </c>
      <c r="K26" s="206">
        <f t="shared" si="3"/>
        <v>264415830</v>
      </c>
      <c r="L26" s="207">
        <f t="shared" si="4"/>
        <v>3.3413310790742307E-2</v>
      </c>
      <c r="M26" s="208"/>
      <c r="O26" s="217"/>
    </row>
    <row r="27" spans="2:15" x14ac:dyDescent="0.2">
      <c r="B27" s="216" t="s">
        <v>44</v>
      </c>
      <c r="C27" s="202">
        <v>43165</v>
      </c>
      <c r="D27" s="203">
        <v>21275000</v>
      </c>
      <c r="E27" s="204">
        <v>74.072000000000003</v>
      </c>
      <c r="F27" s="205">
        <v>0</v>
      </c>
      <c r="G27" s="206">
        <v>450000</v>
      </c>
      <c r="H27" s="204">
        <f t="shared" si="0"/>
        <v>74.050848413631016</v>
      </c>
      <c r="I27" s="206">
        <f t="shared" si="1"/>
        <v>450000</v>
      </c>
      <c r="J27" s="206">
        <f t="shared" si="2"/>
        <v>1575881800</v>
      </c>
      <c r="K27" s="206">
        <f t="shared" si="3"/>
        <v>1575431800</v>
      </c>
      <c r="L27" s="207">
        <f t="shared" si="4"/>
        <v>2.8555441150472074E-4</v>
      </c>
      <c r="M27" s="208"/>
      <c r="O27" s="217"/>
    </row>
    <row r="28" spans="2:15" x14ac:dyDescent="0.2">
      <c r="B28" s="216" t="s">
        <v>44</v>
      </c>
      <c r="C28" s="202">
        <v>42430</v>
      </c>
      <c r="D28" s="203">
        <v>10637500</v>
      </c>
      <c r="E28" s="204">
        <v>72</v>
      </c>
      <c r="F28" s="205">
        <v>2.16</v>
      </c>
      <c r="G28" s="206">
        <v>400000</v>
      </c>
      <c r="H28" s="204">
        <f t="shared" si="0"/>
        <v>69.802397179788485</v>
      </c>
      <c r="I28" s="206">
        <f t="shared" si="1"/>
        <v>23377000</v>
      </c>
      <c r="J28" s="206">
        <f t="shared" si="2"/>
        <v>765900000</v>
      </c>
      <c r="K28" s="206">
        <f t="shared" si="3"/>
        <v>742523000</v>
      </c>
      <c r="L28" s="207">
        <f t="shared" si="4"/>
        <v>3.0522261391826608E-2</v>
      </c>
      <c r="M28" s="208"/>
      <c r="O28" s="217"/>
    </row>
    <row r="29" spans="2:15" x14ac:dyDescent="0.2">
      <c r="B29" s="224" t="s">
        <v>1242</v>
      </c>
      <c r="C29" s="225">
        <v>42640</v>
      </c>
      <c r="D29" s="226">
        <f>52600000+7890000</f>
        <v>60490000</v>
      </c>
      <c r="E29" s="227">
        <v>26.45</v>
      </c>
      <c r="F29" s="228">
        <v>0.79349999999999998</v>
      </c>
      <c r="G29" s="229">
        <v>500000</v>
      </c>
      <c r="H29" s="204">
        <f>K29/D29</f>
        <v>25.648234170937346</v>
      </c>
      <c r="I29" s="206">
        <f>G29+(F29*D29)</f>
        <v>48498815</v>
      </c>
      <c r="J29" s="206">
        <f>D29*E29</f>
        <v>1599960500</v>
      </c>
      <c r="K29" s="206">
        <f>J29-I29</f>
        <v>1551461685</v>
      </c>
      <c r="L29" s="207">
        <f>I29/J29</f>
        <v>3.0312507715034215E-2</v>
      </c>
      <c r="M29" s="208"/>
      <c r="O29" s="217"/>
    </row>
    <row r="30" spans="2:15" x14ac:dyDescent="0.2">
      <c r="B30" s="224" t="s">
        <v>1242</v>
      </c>
      <c r="C30" s="225">
        <v>41540</v>
      </c>
      <c r="D30" s="226">
        <v>8916000</v>
      </c>
      <c r="E30" s="227">
        <v>31.15</v>
      </c>
      <c r="F30" s="228">
        <v>1.0900000000000001</v>
      </c>
      <c r="G30" s="229">
        <v>250000</v>
      </c>
      <c r="H30" s="204">
        <f>K30/D30</f>
        <v>30.031960520412742</v>
      </c>
      <c r="I30" s="206">
        <f>G30+(F30*D30)</f>
        <v>9968440</v>
      </c>
      <c r="J30" s="206">
        <f>D30*E30</f>
        <v>277733400</v>
      </c>
      <c r="K30" s="206">
        <f>J30-I30</f>
        <v>267764960</v>
      </c>
      <c r="L30" s="207">
        <f>I30/J30</f>
        <v>3.5892118124791615E-2</v>
      </c>
      <c r="M30" s="208"/>
      <c r="O30" s="217"/>
    </row>
    <row r="31" spans="2:15" x14ac:dyDescent="0.2">
      <c r="B31" s="216" t="s">
        <v>51</v>
      </c>
      <c r="C31" s="202">
        <v>39888</v>
      </c>
      <c r="D31" s="203">
        <v>18975000</v>
      </c>
      <c r="E31" s="204">
        <v>20.2</v>
      </c>
      <c r="F31" s="205">
        <v>0.65649999999999997</v>
      </c>
      <c r="G31" s="206">
        <v>335000</v>
      </c>
      <c r="H31" s="204">
        <f t="shared" si="0"/>
        <v>19.525845191040844</v>
      </c>
      <c r="I31" s="206">
        <f t="shared" si="1"/>
        <v>12792087.5</v>
      </c>
      <c r="J31" s="206">
        <f t="shared" si="2"/>
        <v>383295000</v>
      </c>
      <c r="K31" s="206">
        <f t="shared" si="3"/>
        <v>370502912.5</v>
      </c>
      <c r="L31" s="207">
        <f t="shared" si="4"/>
        <v>3.3374000443522615E-2</v>
      </c>
      <c r="M31" s="208"/>
      <c r="O31" s="217"/>
    </row>
    <row r="32" spans="2:15" x14ac:dyDescent="0.2">
      <c r="B32" s="216" t="s">
        <v>51</v>
      </c>
      <c r="C32" s="202">
        <v>38692</v>
      </c>
      <c r="D32" s="203">
        <v>23000000</v>
      </c>
      <c r="E32" s="204">
        <v>19.09</v>
      </c>
      <c r="F32" s="205">
        <v>0.62</v>
      </c>
      <c r="G32" s="206">
        <v>340000</v>
      </c>
      <c r="H32" s="204">
        <f t="shared" si="0"/>
        <v>18.455217391304348</v>
      </c>
      <c r="I32" s="206">
        <f t="shared" si="1"/>
        <v>14600000</v>
      </c>
      <c r="J32" s="206">
        <f t="shared" si="2"/>
        <v>439070000</v>
      </c>
      <c r="K32" s="206">
        <f t="shared" si="3"/>
        <v>424470000</v>
      </c>
      <c r="L32" s="207">
        <f t="shared" si="4"/>
        <v>3.3252101031726149E-2</v>
      </c>
      <c r="M32" s="208"/>
      <c r="O32" s="217"/>
    </row>
    <row r="33" spans="2:16" x14ac:dyDescent="0.2">
      <c r="B33" s="216" t="s">
        <v>53</v>
      </c>
      <c r="C33" s="202">
        <v>41351</v>
      </c>
      <c r="D33" s="203">
        <v>7000000</v>
      </c>
      <c r="E33" s="204">
        <v>26.75</v>
      </c>
      <c r="F33" s="205">
        <v>1.00312</v>
      </c>
      <c r="G33" s="206">
        <v>450000</v>
      </c>
      <c r="H33" s="204">
        <f t="shared" si="0"/>
        <v>25.682594285714284</v>
      </c>
      <c r="I33" s="206">
        <f t="shared" si="1"/>
        <v>7471840</v>
      </c>
      <c r="J33" s="206">
        <f t="shared" si="2"/>
        <v>187250000</v>
      </c>
      <c r="K33" s="206">
        <f t="shared" si="3"/>
        <v>179778160</v>
      </c>
      <c r="L33" s="207">
        <f t="shared" si="4"/>
        <v>3.99030173564753E-2</v>
      </c>
      <c r="M33" s="208"/>
      <c r="O33" s="217"/>
    </row>
    <row r="34" spans="2:16" x14ac:dyDescent="0.2">
      <c r="B34" s="216" t="s">
        <v>53</v>
      </c>
      <c r="C34" s="202">
        <v>39784</v>
      </c>
      <c r="D34" s="203">
        <v>5750000</v>
      </c>
      <c r="E34" s="204">
        <v>23</v>
      </c>
      <c r="F34" s="205">
        <v>0.86250000000000004</v>
      </c>
      <c r="G34" s="206">
        <v>300000</v>
      </c>
      <c r="H34" s="204">
        <f t="shared" si="0"/>
        <v>22.08532608695652</v>
      </c>
      <c r="I34" s="206">
        <f t="shared" si="1"/>
        <v>5259375</v>
      </c>
      <c r="J34" s="206">
        <f t="shared" si="2"/>
        <v>132250000</v>
      </c>
      <c r="K34" s="206">
        <f t="shared" si="3"/>
        <v>126990625</v>
      </c>
      <c r="L34" s="207">
        <f t="shared" si="4"/>
        <v>3.9768431001890356E-2</v>
      </c>
      <c r="M34" s="208"/>
      <c r="O34" s="217"/>
    </row>
    <row r="35" spans="2:16" x14ac:dyDescent="0.2">
      <c r="B35" s="216" t="s">
        <v>55</v>
      </c>
      <c r="C35" s="202">
        <v>42675</v>
      </c>
      <c r="D35" s="203">
        <v>13800000</v>
      </c>
      <c r="E35" s="204">
        <v>124</v>
      </c>
      <c r="F35" s="205">
        <v>0</v>
      </c>
      <c r="G35" s="206">
        <v>750000</v>
      </c>
      <c r="H35" s="204">
        <f t="shared" si="0"/>
        <v>123.94565217391305</v>
      </c>
      <c r="I35" s="206">
        <f t="shared" si="1"/>
        <v>750000</v>
      </c>
      <c r="J35" s="206">
        <f t="shared" si="2"/>
        <v>1711200000</v>
      </c>
      <c r="K35" s="206">
        <f t="shared" si="3"/>
        <v>1710450000</v>
      </c>
      <c r="L35" s="207">
        <f t="shared" si="4"/>
        <v>4.3828892005610097E-4</v>
      </c>
      <c r="M35" s="208"/>
      <c r="N35" s="217"/>
      <c r="O35" s="217"/>
    </row>
    <row r="36" spans="2:16" x14ac:dyDescent="0.2">
      <c r="B36" s="216" t="s">
        <v>55</v>
      </c>
      <c r="C36" s="202">
        <v>41596</v>
      </c>
      <c r="D36" s="203">
        <v>11100000</v>
      </c>
      <c r="E36" s="204">
        <v>88.03</v>
      </c>
      <c r="F36" s="205">
        <v>0</v>
      </c>
      <c r="G36" s="206">
        <v>750000</v>
      </c>
      <c r="H36" s="204">
        <f t="shared" si="0"/>
        <v>87.962432432432436</v>
      </c>
      <c r="I36" s="206">
        <f t="shared" si="1"/>
        <v>750000</v>
      </c>
      <c r="J36" s="206">
        <f t="shared" si="2"/>
        <v>977133000</v>
      </c>
      <c r="K36" s="206">
        <f t="shared" si="3"/>
        <v>976383000</v>
      </c>
      <c r="L36" s="207">
        <f t="shared" si="4"/>
        <v>7.6755160249423571E-4</v>
      </c>
      <c r="M36" s="208"/>
      <c r="N36" s="217"/>
      <c r="O36" s="217"/>
    </row>
    <row r="37" spans="2:16" x14ac:dyDescent="0.2">
      <c r="B37" s="216" t="s">
        <v>57</v>
      </c>
      <c r="C37" s="202">
        <v>42276</v>
      </c>
      <c r="D37" s="203">
        <v>1100000</v>
      </c>
      <c r="E37" s="204">
        <v>51.81</v>
      </c>
      <c r="F37" s="205">
        <v>1.3299999999999983</v>
      </c>
      <c r="G37" s="206">
        <v>1000000</v>
      </c>
      <c r="H37" s="204">
        <f t="shared" si="0"/>
        <v>49.57090909090909</v>
      </c>
      <c r="I37" s="206">
        <f t="shared" si="1"/>
        <v>2462999.9999999981</v>
      </c>
      <c r="J37" s="206">
        <f t="shared" si="2"/>
        <v>56991000</v>
      </c>
      <c r="K37" s="206">
        <f t="shared" si="3"/>
        <v>54528000</v>
      </c>
      <c r="L37" s="207">
        <f t="shared" si="4"/>
        <v>4.3217350107911744E-2</v>
      </c>
      <c r="M37" s="208"/>
      <c r="N37" s="217"/>
      <c r="O37" s="217"/>
    </row>
    <row r="38" spans="2:16" x14ac:dyDescent="0.2">
      <c r="B38" s="216" t="s">
        <v>57</v>
      </c>
      <c r="C38" s="202">
        <v>41948</v>
      </c>
      <c r="D38" s="203">
        <v>7766990</v>
      </c>
      <c r="E38" s="204">
        <v>51.5</v>
      </c>
      <c r="F38" s="205">
        <v>1.8025</v>
      </c>
      <c r="G38" s="206">
        <v>1000000</v>
      </c>
      <c r="H38" s="204">
        <f t="shared" si="0"/>
        <v>49.568749995171871</v>
      </c>
      <c r="I38" s="206">
        <f t="shared" si="1"/>
        <v>14999999.475</v>
      </c>
      <c r="J38" s="206">
        <f t="shared" si="2"/>
        <v>399999985</v>
      </c>
      <c r="K38" s="206">
        <f t="shared" si="3"/>
        <v>384999985.52499998</v>
      </c>
      <c r="L38" s="207">
        <f t="shared" si="4"/>
        <v>3.7500000093749999E-2</v>
      </c>
      <c r="M38" s="208"/>
      <c r="N38" s="217"/>
      <c r="O38" s="217"/>
    </row>
    <row r="39" spans="2:16" x14ac:dyDescent="0.2">
      <c r="B39" s="216" t="s">
        <v>59</v>
      </c>
      <c r="C39" s="202">
        <v>37854</v>
      </c>
      <c r="D39" s="203">
        <v>5324074</v>
      </c>
      <c r="E39" s="204">
        <v>21.6</v>
      </c>
      <c r="F39" s="205">
        <v>0.79</v>
      </c>
      <c r="G39" s="206">
        <v>325000</v>
      </c>
      <c r="H39" s="204">
        <f t="shared" si="0"/>
        <v>20.748956520889831</v>
      </c>
      <c r="I39" s="206">
        <f t="shared" si="1"/>
        <v>4531018.46</v>
      </c>
      <c r="J39" s="206">
        <f t="shared" si="2"/>
        <v>114999998.40000001</v>
      </c>
      <c r="K39" s="206">
        <f t="shared" si="3"/>
        <v>110468979.94000001</v>
      </c>
      <c r="L39" s="207">
        <f t="shared" si="4"/>
        <v>3.9400161069915285E-2</v>
      </c>
      <c r="M39" s="208"/>
      <c r="N39" s="217"/>
      <c r="O39" s="217"/>
    </row>
    <row r="40" spans="2:16" x14ac:dyDescent="0.2">
      <c r="B40" s="216" t="s">
        <v>61</v>
      </c>
      <c r="C40" s="202">
        <v>39709</v>
      </c>
      <c r="D40" s="203">
        <v>5175000</v>
      </c>
      <c r="E40" s="204">
        <v>30</v>
      </c>
      <c r="F40" s="205">
        <v>1.0874999999999999</v>
      </c>
      <c r="G40" s="206">
        <v>400000</v>
      </c>
      <c r="H40" s="204">
        <f t="shared" si="0"/>
        <v>28.835205314009663</v>
      </c>
      <c r="I40" s="206">
        <f t="shared" si="1"/>
        <v>6027812.5</v>
      </c>
      <c r="J40" s="206">
        <f t="shared" si="2"/>
        <v>155250000</v>
      </c>
      <c r="K40" s="206">
        <f t="shared" si="3"/>
        <v>149222187.5</v>
      </c>
      <c r="L40" s="207">
        <f t="shared" si="4"/>
        <v>3.8826489533011273E-2</v>
      </c>
      <c r="M40" s="208"/>
      <c r="N40" s="217"/>
      <c r="O40" s="217"/>
      <c r="P40" s="217"/>
    </row>
    <row r="41" spans="2:16" x14ac:dyDescent="0.2">
      <c r="B41" s="216" t="s">
        <v>61</v>
      </c>
      <c r="C41" s="202">
        <v>38328</v>
      </c>
      <c r="D41" s="203">
        <v>3335000</v>
      </c>
      <c r="E41" s="204">
        <v>25.45</v>
      </c>
      <c r="F41" s="205">
        <v>0.95</v>
      </c>
      <c r="G41" s="206">
        <v>300000</v>
      </c>
      <c r="H41" s="204">
        <f t="shared" si="0"/>
        <v>24.410044977511244</v>
      </c>
      <c r="I41" s="206">
        <f t="shared" si="1"/>
        <v>3468250</v>
      </c>
      <c r="J41" s="206">
        <f t="shared" si="2"/>
        <v>84875750</v>
      </c>
      <c r="K41" s="206">
        <f t="shared" si="3"/>
        <v>81407500</v>
      </c>
      <c r="L41" s="207">
        <f t="shared" si="4"/>
        <v>4.0862672789342067E-2</v>
      </c>
      <c r="M41" s="208"/>
      <c r="N41" s="217"/>
      <c r="O41" s="217"/>
      <c r="P41" s="217"/>
    </row>
    <row r="42" spans="2:16" x14ac:dyDescent="0.2">
      <c r="B42" s="216" t="s">
        <v>63</v>
      </c>
      <c r="C42" s="202">
        <v>40276</v>
      </c>
      <c r="D42" s="203">
        <v>6900000</v>
      </c>
      <c r="E42" s="204">
        <v>38</v>
      </c>
      <c r="F42" s="205">
        <v>1.33</v>
      </c>
      <c r="G42" s="206">
        <v>190000</v>
      </c>
      <c r="H42" s="204">
        <f t="shared" si="0"/>
        <v>36.642463768115945</v>
      </c>
      <c r="I42" s="206">
        <f t="shared" si="1"/>
        <v>9367000</v>
      </c>
      <c r="J42" s="206">
        <f t="shared" si="2"/>
        <v>262200000</v>
      </c>
      <c r="K42" s="206">
        <f t="shared" si="3"/>
        <v>252833000</v>
      </c>
      <c r="L42" s="207">
        <f t="shared" si="4"/>
        <v>3.5724637681159417E-2</v>
      </c>
      <c r="M42" s="208"/>
      <c r="N42" s="217"/>
      <c r="O42" s="217"/>
      <c r="P42" s="217"/>
    </row>
    <row r="43" spans="2:16" x14ac:dyDescent="0.2">
      <c r="B43" s="216" t="s">
        <v>63</v>
      </c>
      <c r="C43" s="202">
        <v>38469</v>
      </c>
      <c r="D43" s="203">
        <v>6095000</v>
      </c>
      <c r="E43" s="204">
        <v>42</v>
      </c>
      <c r="F43" s="205">
        <v>1.365</v>
      </c>
      <c r="G43" s="206">
        <v>250000</v>
      </c>
      <c r="H43" s="204">
        <f t="shared" si="0"/>
        <v>40.593982772764562</v>
      </c>
      <c r="I43" s="206">
        <f t="shared" si="1"/>
        <v>8569675</v>
      </c>
      <c r="J43" s="206">
        <f t="shared" si="2"/>
        <v>255990000</v>
      </c>
      <c r="K43" s="206">
        <f t="shared" si="3"/>
        <v>247420325</v>
      </c>
      <c r="L43" s="207">
        <f t="shared" si="4"/>
        <v>3.3476600648462827E-2</v>
      </c>
      <c r="M43" s="208"/>
      <c r="N43" s="217"/>
      <c r="O43" s="217"/>
      <c r="P43" s="217"/>
    </row>
    <row r="44" spans="2:16" x14ac:dyDescent="0.2">
      <c r="B44" s="216" t="s">
        <v>65</v>
      </c>
      <c r="C44" s="202">
        <v>39057</v>
      </c>
      <c r="D44" s="203">
        <v>5750000</v>
      </c>
      <c r="E44" s="204">
        <v>30.79</v>
      </c>
      <c r="F44" s="205">
        <v>1.0780000000000001</v>
      </c>
      <c r="G44" s="206">
        <v>250000</v>
      </c>
      <c r="H44" s="204">
        <f t="shared" si="0"/>
        <v>29.668521739130433</v>
      </c>
      <c r="I44" s="206">
        <f t="shared" si="1"/>
        <v>6448500</v>
      </c>
      <c r="J44" s="206">
        <f t="shared" si="2"/>
        <v>177042500</v>
      </c>
      <c r="K44" s="206">
        <f t="shared" si="3"/>
        <v>170594000</v>
      </c>
      <c r="L44" s="207">
        <f t="shared" si="4"/>
        <v>3.6423457644350933E-2</v>
      </c>
      <c r="M44" s="208"/>
      <c r="N44" s="217"/>
      <c r="O44" s="217"/>
      <c r="P44" s="217"/>
    </row>
    <row r="45" spans="2:16" x14ac:dyDescent="0.2">
      <c r="B45" s="216" t="s">
        <v>65</v>
      </c>
      <c r="C45" s="202">
        <v>38434</v>
      </c>
      <c r="D45" s="203">
        <v>3910000</v>
      </c>
      <c r="E45" s="204">
        <v>26.76</v>
      </c>
      <c r="F45" s="205">
        <v>0.86970000000000003</v>
      </c>
      <c r="G45" s="206">
        <v>200000</v>
      </c>
      <c r="H45" s="204">
        <f t="shared" si="0"/>
        <v>25.839149104859334</v>
      </c>
      <c r="I45" s="206">
        <f t="shared" si="1"/>
        <v>3600527</v>
      </c>
      <c r="J45" s="206">
        <f t="shared" si="2"/>
        <v>104631600</v>
      </c>
      <c r="K45" s="206">
        <f t="shared" si="3"/>
        <v>101031073</v>
      </c>
      <c r="L45" s="207">
        <f t="shared" si="4"/>
        <v>3.4411468428275971E-2</v>
      </c>
      <c r="N45" s="217"/>
      <c r="O45" s="217"/>
      <c r="P45" s="217"/>
    </row>
    <row r="46" spans="2:16" x14ac:dyDescent="0.2">
      <c r="B46" s="216" t="s">
        <v>67</v>
      </c>
      <c r="C46" s="202">
        <v>41436</v>
      </c>
      <c r="D46" s="203">
        <v>12765000</v>
      </c>
      <c r="E46" s="204">
        <v>29.5</v>
      </c>
      <c r="F46" s="205">
        <v>0.95874999999999999</v>
      </c>
      <c r="G46" s="206">
        <v>600000</v>
      </c>
      <c r="H46" s="204">
        <f t="shared" si="0"/>
        <v>28.494246474735604</v>
      </c>
      <c r="I46" s="206">
        <f t="shared" si="1"/>
        <v>12838443.75</v>
      </c>
      <c r="J46" s="206">
        <f t="shared" si="2"/>
        <v>376567500</v>
      </c>
      <c r="K46" s="206">
        <f t="shared" si="3"/>
        <v>363729056.25</v>
      </c>
      <c r="L46" s="207">
        <f t="shared" si="4"/>
        <v>3.4093339839471014E-2</v>
      </c>
      <c r="N46" s="217"/>
      <c r="O46" s="217"/>
      <c r="P46" s="217"/>
    </row>
    <row r="47" spans="2:16" x14ac:dyDescent="0.2">
      <c r="B47" s="216" t="s">
        <v>67</v>
      </c>
      <c r="C47" s="202">
        <v>39877</v>
      </c>
      <c r="D47" s="203">
        <v>12477500</v>
      </c>
      <c r="E47" s="204">
        <v>14.1</v>
      </c>
      <c r="F47" s="205">
        <v>0.49349999999999999</v>
      </c>
      <c r="G47" s="206">
        <v>375000</v>
      </c>
      <c r="H47" s="204">
        <f t="shared" si="0"/>
        <v>13.576445902624725</v>
      </c>
      <c r="I47" s="206">
        <f t="shared" si="1"/>
        <v>6532646.25</v>
      </c>
      <c r="J47" s="206">
        <f t="shared" si="2"/>
        <v>175932750</v>
      </c>
      <c r="K47" s="206">
        <f t="shared" si="3"/>
        <v>169400103.75</v>
      </c>
      <c r="L47" s="207">
        <f t="shared" si="4"/>
        <v>3.7131496267750037E-2</v>
      </c>
      <c r="N47" s="217"/>
      <c r="O47" s="217"/>
      <c r="P47" s="217"/>
    </row>
    <row r="48" spans="2:16" x14ac:dyDescent="0.2">
      <c r="B48" s="216" t="s">
        <v>69</v>
      </c>
      <c r="C48" s="202">
        <v>42598</v>
      </c>
      <c r="D48" s="203">
        <v>32500000</v>
      </c>
      <c r="E48" s="204">
        <v>49.3</v>
      </c>
      <c r="F48" s="205">
        <v>1.6600000000000037</v>
      </c>
      <c r="G48" s="206">
        <v>557000</v>
      </c>
      <c r="H48" s="204">
        <f t="shared" si="0"/>
        <v>47.622861538461535</v>
      </c>
      <c r="I48" s="206">
        <f t="shared" si="1"/>
        <v>54507000.000000119</v>
      </c>
      <c r="J48" s="206">
        <f t="shared" si="2"/>
        <v>1602250000</v>
      </c>
      <c r="K48" s="206">
        <f t="shared" si="3"/>
        <v>1547743000</v>
      </c>
      <c r="L48" s="207">
        <f t="shared" si="4"/>
        <v>3.4019035731003351E-2</v>
      </c>
      <c r="N48" s="217"/>
      <c r="O48" s="217"/>
      <c r="P48" s="217"/>
    </row>
    <row r="49" spans="2:17" x14ac:dyDescent="0.2">
      <c r="B49" s="216" t="s">
        <v>69</v>
      </c>
      <c r="C49" s="202">
        <v>42495</v>
      </c>
      <c r="D49" s="203">
        <v>18300000</v>
      </c>
      <c r="E49" s="204">
        <v>48.6</v>
      </c>
      <c r="F49" s="205">
        <v>2.019999999999996</v>
      </c>
      <c r="G49" s="206">
        <v>395000</v>
      </c>
      <c r="H49" s="204">
        <f t="shared" si="0"/>
        <v>46.558415300546457</v>
      </c>
      <c r="I49" s="206">
        <f t="shared" si="1"/>
        <v>37360999.999999925</v>
      </c>
      <c r="J49" s="206">
        <f t="shared" si="2"/>
        <v>889380000</v>
      </c>
      <c r="K49" s="206">
        <f t="shared" si="3"/>
        <v>852019000.00000012</v>
      </c>
      <c r="L49" s="207">
        <f t="shared" si="4"/>
        <v>4.200791562661621E-2</v>
      </c>
      <c r="N49" s="217"/>
      <c r="O49" s="217"/>
      <c r="P49" s="217"/>
    </row>
    <row r="50" spans="2:17" x14ac:dyDescent="0.2">
      <c r="B50" s="216" t="s">
        <v>71</v>
      </c>
      <c r="C50" s="202">
        <v>38672</v>
      </c>
      <c r="D50" s="203">
        <v>5290000</v>
      </c>
      <c r="E50" s="204">
        <v>53.7</v>
      </c>
      <c r="F50" s="205">
        <v>1.7450000000000001</v>
      </c>
      <c r="G50" s="206">
        <v>0</v>
      </c>
      <c r="H50" s="204">
        <f t="shared" si="0"/>
        <v>51.954999999999998</v>
      </c>
      <c r="I50" s="206">
        <f t="shared" si="1"/>
        <v>9231050</v>
      </c>
      <c r="J50" s="206">
        <f t="shared" si="2"/>
        <v>284073000</v>
      </c>
      <c r="K50" s="206">
        <f t="shared" si="3"/>
        <v>274841950</v>
      </c>
      <c r="L50" s="207">
        <f t="shared" si="4"/>
        <v>3.2495344506517691E-2</v>
      </c>
      <c r="N50" s="217"/>
      <c r="O50" s="217"/>
      <c r="P50" s="217"/>
    </row>
    <row r="51" spans="2:17" x14ac:dyDescent="0.2">
      <c r="B51" s="216" t="s">
        <v>71</v>
      </c>
      <c r="C51" s="202">
        <v>37945</v>
      </c>
      <c r="D51" s="203">
        <v>4025000</v>
      </c>
      <c r="E51" s="204">
        <v>43</v>
      </c>
      <c r="F51" s="205">
        <v>1.5049999999999999</v>
      </c>
      <c r="G51" s="206">
        <v>0</v>
      </c>
      <c r="H51" s="204">
        <f t="shared" si="0"/>
        <v>41.494999999999997</v>
      </c>
      <c r="I51" s="206">
        <f t="shared" si="1"/>
        <v>6057625</v>
      </c>
      <c r="J51" s="206">
        <f t="shared" si="2"/>
        <v>173075000</v>
      </c>
      <c r="K51" s="206">
        <f t="shared" si="3"/>
        <v>167017375</v>
      </c>
      <c r="L51" s="207">
        <f t="shared" si="4"/>
        <v>3.5000000000000003E-2</v>
      </c>
      <c r="N51" s="230"/>
      <c r="O51" s="217"/>
      <c r="P51" s="217"/>
    </row>
    <row r="52" spans="2:17" x14ac:dyDescent="0.2">
      <c r="B52" s="216" t="s">
        <v>73</v>
      </c>
      <c r="C52" s="202">
        <v>40393</v>
      </c>
      <c r="D52" s="203">
        <v>21850000</v>
      </c>
      <c r="E52" s="204">
        <v>21.5</v>
      </c>
      <c r="F52" s="205">
        <v>0.64500000000000002</v>
      </c>
      <c r="G52" s="206">
        <v>600000</v>
      </c>
      <c r="H52" s="204">
        <f t="shared" si="0"/>
        <v>20.82754004576659</v>
      </c>
      <c r="I52" s="206">
        <f t="shared" si="1"/>
        <v>14693250</v>
      </c>
      <c r="J52" s="206">
        <f t="shared" si="2"/>
        <v>469775000</v>
      </c>
      <c r="K52" s="206">
        <f t="shared" si="3"/>
        <v>455081750</v>
      </c>
      <c r="L52" s="207">
        <f t="shared" si="4"/>
        <v>3.1277207173646959E-2</v>
      </c>
      <c r="M52" s="208"/>
      <c r="N52" s="217"/>
      <c r="O52" s="217"/>
    </row>
    <row r="53" spans="2:17" x14ac:dyDescent="0.2">
      <c r="B53" s="216" t="s">
        <v>73</v>
      </c>
      <c r="C53" s="202">
        <v>39700</v>
      </c>
      <c r="D53" s="203">
        <v>17250000</v>
      </c>
      <c r="E53" s="204">
        <v>20.25</v>
      </c>
      <c r="F53" s="205">
        <v>0.15</v>
      </c>
      <c r="G53" s="206">
        <v>600000</v>
      </c>
      <c r="H53" s="204">
        <f t="shared" si="0"/>
        <v>20.065217391304348</v>
      </c>
      <c r="I53" s="206">
        <f t="shared" si="1"/>
        <v>3187500</v>
      </c>
      <c r="J53" s="206">
        <f t="shared" si="2"/>
        <v>349312500</v>
      </c>
      <c r="K53" s="206">
        <f t="shared" si="3"/>
        <v>346125000</v>
      </c>
      <c r="L53" s="207">
        <f t="shared" si="4"/>
        <v>9.1250670960815895E-3</v>
      </c>
      <c r="M53" s="208"/>
      <c r="N53" s="217"/>
      <c r="O53" s="217"/>
    </row>
    <row r="54" spans="2:17" x14ac:dyDescent="0.2">
      <c r="D54" s="220"/>
      <c r="E54" s="221"/>
      <c r="F54" s="222"/>
      <c r="G54" s="223"/>
      <c r="H54" s="221"/>
      <c r="I54" s="223"/>
      <c r="J54" s="223"/>
      <c r="K54" s="223"/>
      <c r="L54" s="207"/>
      <c r="N54" s="217"/>
      <c r="O54" s="217"/>
    </row>
    <row r="55" spans="2:17" ht="13.5" thickBot="1" x14ac:dyDescent="0.25">
      <c r="B55" s="231" t="s">
        <v>1106</v>
      </c>
      <c r="C55" s="231"/>
      <c r="D55" s="232"/>
      <c r="E55" s="233"/>
      <c r="F55" s="234"/>
      <c r="G55" s="235"/>
      <c r="H55" s="233"/>
      <c r="I55" s="235">
        <f>AVERAGE(I8:I53)</f>
        <v>13261973.02409091</v>
      </c>
      <c r="J55" s="235">
        <f>AVERAGE(J8:J53)</f>
        <v>496980527.12272733</v>
      </c>
      <c r="K55" s="235"/>
      <c r="L55" s="236"/>
      <c r="N55" s="217"/>
      <c r="O55" s="217"/>
    </row>
    <row r="56" spans="2:17" x14ac:dyDescent="0.2">
      <c r="D56" s="220"/>
      <c r="E56" s="221"/>
      <c r="F56" s="222"/>
      <c r="G56" s="223"/>
      <c r="H56" s="221"/>
      <c r="I56" s="223"/>
      <c r="J56" s="223"/>
      <c r="K56" s="223" t="s">
        <v>1262</v>
      </c>
      <c r="L56" s="207">
        <f>I55/J55</f>
        <v>2.6685095894745027E-2</v>
      </c>
      <c r="M56" s="237" t="s">
        <v>11</v>
      </c>
      <c r="N56" s="217"/>
      <c r="O56" s="217"/>
    </row>
    <row r="57" spans="2:17" x14ac:dyDescent="0.2">
      <c r="D57" s="220"/>
      <c r="E57" s="221"/>
      <c r="F57" s="222"/>
      <c r="G57" s="223"/>
      <c r="H57" s="221"/>
      <c r="I57" s="223"/>
      <c r="J57" s="223"/>
      <c r="K57" s="223"/>
      <c r="L57" s="207"/>
      <c r="M57" s="237"/>
    </row>
    <row r="58" spans="2:17" x14ac:dyDescent="0.2">
      <c r="D58" s="220"/>
      <c r="E58" s="221"/>
      <c r="F58" s="222"/>
      <c r="G58" s="223"/>
      <c r="H58" s="221"/>
      <c r="I58" s="223"/>
      <c r="J58" s="223"/>
      <c r="K58" s="223"/>
      <c r="L58" s="207"/>
    </row>
    <row r="59" spans="2:17" x14ac:dyDescent="0.2">
      <c r="B59" s="210" t="s">
        <v>1263</v>
      </c>
      <c r="D59" s="220"/>
      <c r="E59" s="221"/>
      <c r="F59" s="222"/>
      <c r="G59" s="223"/>
      <c r="H59" s="221"/>
      <c r="I59" s="223"/>
      <c r="J59" s="223"/>
      <c r="K59" s="223"/>
    </row>
    <row r="60" spans="2:17" x14ac:dyDescent="0.2">
      <c r="B60" s="212"/>
      <c r="C60" s="212"/>
      <c r="D60" s="213" t="s">
        <v>12</v>
      </c>
      <c r="E60" s="213" t="s">
        <v>1264</v>
      </c>
      <c r="F60" s="213" t="s">
        <v>1265</v>
      </c>
      <c r="G60" s="213" t="s">
        <v>1266</v>
      </c>
      <c r="H60" s="213" t="s">
        <v>1267</v>
      </c>
      <c r="I60" s="213" t="s">
        <v>1268</v>
      </c>
      <c r="J60" s="213" t="s">
        <v>1269</v>
      </c>
      <c r="K60" s="213" t="s">
        <v>1270</v>
      </c>
      <c r="L60" s="213" t="s">
        <v>1271</v>
      </c>
      <c r="M60" s="238" t="s">
        <v>1272</v>
      </c>
      <c r="N60" s="238" t="s">
        <v>1273</v>
      </c>
    </row>
    <row r="61" spans="2:17" x14ac:dyDescent="0.2">
      <c r="B61" s="239"/>
      <c r="C61" s="239"/>
      <c r="D61" s="240"/>
      <c r="E61" s="240" t="s">
        <v>1222</v>
      </c>
      <c r="F61" s="240"/>
      <c r="G61" s="241" t="s">
        <v>18</v>
      </c>
      <c r="H61" s="241"/>
      <c r="I61" s="240" t="s">
        <v>1274</v>
      </c>
      <c r="J61" s="240" t="s">
        <v>1275</v>
      </c>
      <c r="K61" s="240" t="s">
        <v>1105</v>
      </c>
      <c r="L61" s="240" t="s">
        <v>1222</v>
      </c>
      <c r="M61" s="242"/>
      <c r="N61" s="242" t="s">
        <v>1276</v>
      </c>
    </row>
    <row r="62" spans="2:17" x14ac:dyDescent="0.2">
      <c r="B62" s="239"/>
      <c r="C62" s="239"/>
      <c r="D62" s="240" t="s">
        <v>1277</v>
      </c>
      <c r="E62" s="240" t="s">
        <v>1278</v>
      </c>
      <c r="F62" s="240" t="s">
        <v>1279</v>
      </c>
      <c r="G62" s="240"/>
      <c r="H62" s="240" t="s">
        <v>1280</v>
      </c>
      <c r="I62" s="240" t="s">
        <v>1281</v>
      </c>
      <c r="J62" s="240" t="s">
        <v>1281</v>
      </c>
      <c r="K62" s="240" t="s">
        <v>1281</v>
      </c>
      <c r="L62" s="240" t="s">
        <v>1281</v>
      </c>
      <c r="M62" s="240"/>
      <c r="N62" s="240" t="s">
        <v>1237</v>
      </c>
    </row>
    <row r="63" spans="2:17" x14ac:dyDescent="0.2">
      <c r="B63" s="243" t="s">
        <v>13</v>
      </c>
      <c r="C63" s="243" t="s">
        <v>14</v>
      </c>
      <c r="D63" s="244" t="s">
        <v>1279</v>
      </c>
      <c r="E63" s="244" t="s">
        <v>1282</v>
      </c>
      <c r="F63" s="244" t="s">
        <v>1283</v>
      </c>
      <c r="G63" s="244" t="s">
        <v>1284</v>
      </c>
      <c r="H63" s="244" t="s">
        <v>1285</v>
      </c>
      <c r="I63" s="244" t="s">
        <v>1286</v>
      </c>
      <c r="J63" s="244" t="s">
        <v>1286</v>
      </c>
      <c r="K63" s="244" t="s">
        <v>1286</v>
      </c>
      <c r="L63" s="244" t="s">
        <v>1286</v>
      </c>
      <c r="M63" s="244" t="s">
        <v>1287</v>
      </c>
      <c r="N63" s="244" t="s">
        <v>1287</v>
      </c>
    </row>
    <row r="64" spans="2:17" x14ac:dyDescent="0.2">
      <c r="B64" s="245"/>
      <c r="C64" s="245"/>
      <c r="D64" s="245"/>
      <c r="E64" s="245"/>
      <c r="F64" s="245"/>
      <c r="G64" s="246"/>
      <c r="H64" s="245"/>
      <c r="I64" s="245"/>
      <c r="J64" s="245"/>
      <c r="K64" s="245"/>
      <c r="L64" s="245"/>
      <c r="M64" s="245"/>
      <c r="N64" s="245"/>
      <c r="P64" s="217"/>
      <c r="Q64" s="217"/>
    </row>
    <row r="65" spans="2:17" x14ac:dyDescent="0.2">
      <c r="B65" s="210" t="str">
        <f>'RBH-1 Constant Growth DCF'!B8</f>
        <v>ALLETE, Inc.</v>
      </c>
      <c r="C65" s="238" t="str">
        <f>'RBH-1 Constant Growth DCF'!C8</f>
        <v>ALE</v>
      </c>
      <c r="D65" s="247">
        <f>'RBH-1 Constant Growth DCF'!E8</f>
        <v>2.35</v>
      </c>
      <c r="E65" s="247">
        <f>'RBH-1 Constant Growth DCF'!F8</f>
        <v>80.266666666666666</v>
      </c>
      <c r="F65" s="246">
        <f>D65/E65</f>
        <v>2.9277408637873755E-2</v>
      </c>
      <c r="G65" s="246">
        <f>F65*(1+0.5*L65)</f>
        <v>3.0082537375415285E-2</v>
      </c>
      <c r="H65" s="246">
        <f t="shared" ref="H65:H87" si="5">G65/(1-$L$56)</f>
        <v>3.0907301684719848E-2</v>
      </c>
      <c r="I65" s="343" t="str">
        <f>'RBH-1 Constant Growth DCF'!I8</f>
        <v>NA</v>
      </c>
      <c r="J65" s="343">
        <f>'RBH-1 Constant Growth DCF'!J8</f>
        <v>0.06</v>
      </c>
      <c r="K65" s="343">
        <f>'RBH-1 Constant Growth DCF'!K8</f>
        <v>0.05</v>
      </c>
      <c r="L65" s="246">
        <f t="shared" ref="L65:L87" si="6">AVERAGE(I65:K65)</f>
        <v>5.5E-2</v>
      </c>
      <c r="M65" s="246">
        <f>G65+L65</f>
        <v>8.5082537375415282E-2</v>
      </c>
      <c r="N65" s="246">
        <f>H65+L65</f>
        <v>8.5907301684719856E-2</v>
      </c>
      <c r="P65" s="217"/>
      <c r="Q65" s="217"/>
    </row>
    <row r="66" spans="2:17" x14ac:dyDescent="0.2">
      <c r="B66" s="210" t="str">
        <f>'RBH-1 Constant Growth DCF'!B9</f>
        <v>Alliant Energy Corporation</v>
      </c>
      <c r="C66" s="238" t="str">
        <f>'RBH-1 Constant Growth DCF'!C9</f>
        <v>LNT</v>
      </c>
      <c r="D66" s="247">
        <f>'RBH-1 Constant Growth DCF'!E9</f>
        <v>1.42</v>
      </c>
      <c r="E66" s="247">
        <f>'RBH-1 Constant Growth DCF'!F9</f>
        <v>45.564666666666668</v>
      </c>
      <c r="F66" s="246">
        <f t="shared" ref="F66:F87" si="7">D66/E66</f>
        <v>3.1164498807555559E-2</v>
      </c>
      <c r="G66" s="246">
        <f t="shared" ref="G66:G87" si="8">F66*(1+0.5*L66)</f>
        <v>3.2190330226637601E-2</v>
      </c>
      <c r="H66" s="246">
        <f t="shared" si="5"/>
        <v>3.3072883288712607E-2</v>
      </c>
      <c r="I66" s="343">
        <f>'RBH-1 Constant Growth DCF'!I9</f>
        <v>0.06</v>
      </c>
      <c r="J66" s="343">
        <f>'RBH-1 Constant Growth DCF'!J9</f>
        <v>7.2499999999999995E-2</v>
      </c>
      <c r="K66" s="343">
        <f>'RBH-1 Constant Growth DCF'!K9</f>
        <v>6.5000000000000002E-2</v>
      </c>
      <c r="L66" s="246">
        <f t="shared" si="6"/>
        <v>6.5833333333333341E-2</v>
      </c>
      <c r="M66" s="246">
        <f t="shared" ref="M66:M87" si="9">G66+L66</f>
        <v>9.8023663559970942E-2</v>
      </c>
      <c r="N66" s="246">
        <f t="shared" ref="N66:N87" si="10">H66+L66</f>
        <v>9.8906216622045948E-2</v>
      </c>
      <c r="P66" s="217"/>
      <c r="Q66" s="217"/>
    </row>
    <row r="67" spans="2:17" x14ac:dyDescent="0.2">
      <c r="B67" s="210" t="str">
        <f>'RBH-1 Constant Growth DCF'!B10</f>
        <v>Ameren Corporation</v>
      </c>
      <c r="C67" s="238" t="str">
        <f>'RBH-1 Constant Growth DCF'!C10</f>
        <v>AEE</v>
      </c>
      <c r="D67" s="247">
        <f>'RBH-1 Constant Growth DCF'!E10</f>
        <v>1.9</v>
      </c>
      <c r="E67" s="247">
        <f>'RBH-1 Constant Growth DCF'!F10</f>
        <v>70.764333333333326</v>
      </c>
      <c r="F67" s="246">
        <f t="shared" si="7"/>
        <v>2.6849684162925769E-2</v>
      </c>
      <c r="G67" s="246">
        <f t="shared" si="8"/>
        <v>2.778942310862817E-2</v>
      </c>
      <c r="H67" s="246">
        <f t="shared" si="5"/>
        <v>2.8551317761001841E-2</v>
      </c>
      <c r="I67" s="343">
        <f>'RBH-1 Constant Growth DCF'!I10</f>
        <v>6.8000000000000005E-2</v>
      </c>
      <c r="J67" s="343">
        <f>'RBH-1 Constant Growth DCF'!J10</f>
        <v>7.6999999999999999E-2</v>
      </c>
      <c r="K67" s="343">
        <f>'RBH-1 Constant Growth DCF'!K10</f>
        <v>6.5000000000000002E-2</v>
      </c>
      <c r="L67" s="246">
        <f t="shared" si="6"/>
        <v>7.0000000000000007E-2</v>
      </c>
      <c r="M67" s="246">
        <f t="shared" si="9"/>
        <v>9.7789423108628176E-2</v>
      </c>
      <c r="N67" s="246">
        <f t="shared" si="10"/>
        <v>9.8551317761001844E-2</v>
      </c>
      <c r="P67" s="217"/>
      <c r="Q67" s="217"/>
    </row>
    <row r="68" spans="2:17" x14ac:dyDescent="0.2">
      <c r="B68" s="210" t="str">
        <f>'RBH-1 Constant Growth DCF'!B11</f>
        <v>Avangrid, Inc.</v>
      </c>
      <c r="C68" s="238" t="str">
        <f>'RBH-1 Constant Growth DCF'!C11</f>
        <v>AGR</v>
      </c>
      <c r="D68" s="247">
        <f>'RBH-1 Constant Growth DCF'!E11</f>
        <v>1.76</v>
      </c>
      <c r="E68" s="247">
        <f>'RBH-1 Constant Growth DCF'!F11</f>
        <v>49.390999999999991</v>
      </c>
      <c r="F68" s="246">
        <f t="shared" si="7"/>
        <v>3.5634022392743624E-2</v>
      </c>
      <c r="G68" s="246">
        <f t="shared" si="8"/>
        <v>3.7350394471327444E-2</v>
      </c>
      <c r="H68" s="246">
        <f t="shared" si="5"/>
        <v>3.8374419536565882E-2</v>
      </c>
      <c r="I68" s="343">
        <f>'RBH-1 Constant Growth DCF'!I11</f>
        <v>7.6999999999999999E-2</v>
      </c>
      <c r="J68" s="343">
        <f>'RBH-1 Constant Growth DCF'!J11</f>
        <v>9.1999999999999998E-2</v>
      </c>
      <c r="K68" s="343">
        <f>'RBH-1 Constant Growth DCF'!K11</f>
        <v>0.12</v>
      </c>
      <c r="L68" s="246">
        <f t="shared" si="6"/>
        <v>9.6333333333333326E-2</v>
      </c>
      <c r="M68" s="246">
        <f t="shared" si="9"/>
        <v>0.13368372780466076</v>
      </c>
      <c r="N68" s="246">
        <f t="shared" si="10"/>
        <v>0.13470775286989922</v>
      </c>
      <c r="P68" s="217"/>
      <c r="Q68" s="217"/>
    </row>
    <row r="69" spans="2:17" x14ac:dyDescent="0.2">
      <c r="B69" s="210" t="str">
        <f>'RBH-1 Constant Growth DCF'!B12</f>
        <v>Black Hills Corporation</v>
      </c>
      <c r="C69" s="238" t="str">
        <f>'RBH-1 Constant Growth DCF'!C12</f>
        <v>BKH</v>
      </c>
      <c r="D69" s="247">
        <f>'RBH-1 Constant Growth DCF'!E12</f>
        <v>2.02</v>
      </c>
      <c r="E69" s="247">
        <f>'RBH-1 Constant Growth DCF'!F12</f>
        <v>70.591333333333338</v>
      </c>
      <c r="F69" s="246">
        <f t="shared" si="7"/>
        <v>2.8615410768082956E-2</v>
      </c>
      <c r="G69" s="246">
        <f t="shared" si="8"/>
        <v>2.9322688337567408E-2</v>
      </c>
      <c r="H69" s="246">
        <f t="shared" si="5"/>
        <v>3.0126620083479612E-2</v>
      </c>
      <c r="I69" s="343">
        <f>'RBH-1 Constant Growth DCF'!I12</f>
        <v>4.7E-2</v>
      </c>
      <c r="J69" s="343">
        <f>'RBH-1 Constant Growth DCF'!J12</f>
        <v>3.6299999999999999E-2</v>
      </c>
      <c r="K69" s="343">
        <f>'RBH-1 Constant Growth DCF'!K12</f>
        <v>6.5000000000000002E-2</v>
      </c>
      <c r="L69" s="246">
        <f t="shared" si="6"/>
        <v>4.9433333333333329E-2</v>
      </c>
      <c r="M69" s="246">
        <f t="shared" si="9"/>
        <v>7.8756021670900733E-2</v>
      </c>
      <c r="N69" s="246">
        <f t="shared" si="10"/>
        <v>7.9559953416812934E-2</v>
      </c>
      <c r="P69" s="217"/>
      <c r="Q69" s="217"/>
    </row>
    <row r="70" spans="2:17" x14ac:dyDescent="0.2">
      <c r="B70" s="210" t="str">
        <f>'RBH-1 Constant Growth DCF'!B13</f>
        <v>CMS Energy Corporation</v>
      </c>
      <c r="C70" s="238" t="str">
        <f>'RBH-1 Constant Growth DCF'!C13</f>
        <v>CMS</v>
      </c>
      <c r="D70" s="247">
        <f>'RBH-1 Constant Growth DCF'!E13</f>
        <v>1.53</v>
      </c>
      <c r="E70" s="247">
        <f>'RBH-1 Constant Growth DCF'!F13</f>
        <v>53.586333333333322</v>
      </c>
      <c r="F70" s="246">
        <f t="shared" si="7"/>
        <v>2.8552056183479627E-2</v>
      </c>
      <c r="G70" s="246">
        <f t="shared" si="8"/>
        <v>2.9498556845961976E-2</v>
      </c>
      <c r="H70" s="246">
        <f t="shared" si="5"/>
        <v>3.0307310328386773E-2</v>
      </c>
      <c r="I70" s="343">
        <f>'RBH-1 Constant Growth DCF'!I13</f>
        <v>0.06</v>
      </c>
      <c r="J70" s="343">
        <f>'RBH-1 Constant Growth DCF'!J13</f>
        <v>6.8900000000000003E-2</v>
      </c>
      <c r="K70" s="343">
        <f>'RBH-1 Constant Growth DCF'!K13</f>
        <v>7.0000000000000007E-2</v>
      </c>
      <c r="L70" s="246">
        <f t="shared" si="6"/>
        <v>6.6300000000000012E-2</v>
      </c>
      <c r="M70" s="246">
        <f t="shared" si="9"/>
        <v>9.5798556845961988E-2</v>
      </c>
      <c r="N70" s="246">
        <f t="shared" si="10"/>
        <v>9.6607310328386792E-2</v>
      </c>
      <c r="P70" s="217"/>
      <c r="Q70" s="217"/>
    </row>
    <row r="71" spans="2:17" x14ac:dyDescent="0.2">
      <c r="B71" s="210" t="str">
        <f>'RBH-1 Constant Growth DCF'!B14</f>
        <v>Consolidated Edison, Inc.</v>
      </c>
      <c r="C71" s="238" t="str">
        <f>'RBH-1 Constant Growth DCF'!C14</f>
        <v>ED</v>
      </c>
      <c r="D71" s="247">
        <f>'RBH-1 Constant Growth DCF'!E14</f>
        <v>2.96</v>
      </c>
      <c r="E71" s="247">
        <f>'RBH-1 Constant Growth DCF'!F14</f>
        <v>80.953666666666692</v>
      </c>
      <c r="F71" s="246">
        <f t="shared" si="7"/>
        <v>3.6564125158012183E-2</v>
      </c>
      <c r="G71" s="246">
        <f t="shared" si="8"/>
        <v>3.7051037424699708E-2</v>
      </c>
      <c r="H71" s="246">
        <f t="shared" si="5"/>
        <v>3.8066855103549284E-2</v>
      </c>
      <c r="I71" s="343">
        <f>'RBH-1 Constant Growth DCF'!I14</f>
        <v>0.02</v>
      </c>
      <c r="J71" s="343">
        <f>'RBH-1 Constant Growth DCF'!J14</f>
        <v>2.9899999999999999E-2</v>
      </c>
      <c r="K71" s="343">
        <f>'RBH-1 Constant Growth DCF'!K14</f>
        <v>0.03</v>
      </c>
      <c r="L71" s="246">
        <f t="shared" si="6"/>
        <v>2.6633333333333332E-2</v>
      </c>
      <c r="M71" s="246">
        <f t="shared" si="9"/>
        <v>6.3684370758033043E-2</v>
      </c>
      <c r="N71" s="246">
        <f t="shared" si="10"/>
        <v>6.4700188436882619E-2</v>
      </c>
      <c r="P71" s="217"/>
      <c r="Q71" s="217"/>
    </row>
    <row r="72" spans="2:17" x14ac:dyDescent="0.2">
      <c r="B72" s="210" t="str">
        <f>'RBH-1 Constant Growth DCF'!B15</f>
        <v>DTE Energy Company</v>
      </c>
      <c r="C72" s="238" t="str">
        <f>'RBH-1 Constant Growth DCF'!C15</f>
        <v>DTE</v>
      </c>
      <c r="D72" s="247">
        <f>'RBH-1 Constant Growth DCF'!E15</f>
        <v>3.78</v>
      </c>
      <c r="E72" s="247">
        <f>'RBH-1 Constant Growth DCF'!F15</f>
        <v>121.32633333333334</v>
      </c>
      <c r="F72" s="246">
        <f t="shared" si="7"/>
        <v>3.1155643594822775E-2</v>
      </c>
      <c r="G72" s="246">
        <f t="shared" si="8"/>
        <v>3.1942842856318633E-2</v>
      </c>
      <c r="H72" s="246">
        <f t="shared" si="5"/>
        <v>3.2818610628060733E-2</v>
      </c>
      <c r="I72" s="343">
        <f>'RBH-1 Constant Growth DCF'!I15</f>
        <v>0.06</v>
      </c>
      <c r="J72" s="343">
        <f>'RBH-1 Constant Growth DCF'!J15</f>
        <v>4.1599999999999998E-2</v>
      </c>
      <c r="K72" s="343">
        <f>'RBH-1 Constant Growth DCF'!K15</f>
        <v>0.05</v>
      </c>
      <c r="L72" s="246">
        <f t="shared" si="6"/>
        <v>5.053333333333334E-2</v>
      </c>
      <c r="M72" s="246">
        <f t="shared" si="9"/>
        <v>8.2476176189651973E-2</v>
      </c>
      <c r="N72" s="246">
        <f t="shared" si="10"/>
        <v>8.3351943961394073E-2</v>
      </c>
      <c r="P72" s="217"/>
      <c r="Q72" s="217"/>
    </row>
    <row r="73" spans="2:17" x14ac:dyDescent="0.2">
      <c r="B73" s="210" t="str">
        <f>'RBH-1 Constant Growth DCF'!B16</f>
        <v>Duke Energy Corporation</v>
      </c>
      <c r="C73" s="238" t="str">
        <f>'RBH-1 Constant Growth DCF'!C16</f>
        <v>DUK</v>
      </c>
      <c r="D73" s="247">
        <f>'RBH-1 Constant Growth DCF'!E16</f>
        <v>3.71</v>
      </c>
      <c r="E73" s="247">
        <f>'RBH-1 Constant Growth DCF'!F16</f>
        <v>89.399333333333331</v>
      </c>
      <c r="F73" s="246">
        <f t="shared" si="7"/>
        <v>4.1499190896278126E-2</v>
      </c>
      <c r="G73" s="246">
        <f t="shared" si="8"/>
        <v>4.2536670668685078E-2</v>
      </c>
      <c r="H73" s="246">
        <f t="shared" si="5"/>
        <v>4.3702886382684152E-2</v>
      </c>
      <c r="I73" s="343">
        <f>'RBH-1 Constant Growth DCF'!I16</f>
        <v>0.05</v>
      </c>
      <c r="J73" s="343">
        <f>'RBH-1 Constant Growth DCF'!J16</f>
        <v>4.4999999999999998E-2</v>
      </c>
      <c r="K73" s="343">
        <f>'RBH-1 Constant Growth DCF'!K16</f>
        <v>5.5E-2</v>
      </c>
      <c r="L73" s="246">
        <f t="shared" si="6"/>
        <v>4.9999999999999996E-2</v>
      </c>
      <c r="M73" s="246">
        <f t="shared" si="9"/>
        <v>9.2536670668685067E-2</v>
      </c>
      <c r="N73" s="246">
        <f t="shared" si="10"/>
        <v>9.3702886382684147E-2</v>
      </c>
      <c r="P73" s="217"/>
      <c r="Q73" s="217"/>
    </row>
    <row r="74" spans="2:17" x14ac:dyDescent="0.2">
      <c r="B74" s="210" t="str">
        <f>'RBH-1 Constant Growth DCF'!B17</f>
        <v>El Paso Electric Company</v>
      </c>
      <c r="C74" s="238" t="str">
        <f>'RBH-1 Constant Growth DCF'!C17</f>
        <v>EE</v>
      </c>
      <c r="D74" s="247">
        <f>'RBH-1 Constant Growth DCF'!E17</f>
        <v>1.44</v>
      </c>
      <c r="E74" s="247">
        <f>'RBH-1 Constant Growth DCF'!F17</f>
        <v>55.155333333333346</v>
      </c>
      <c r="F74" s="246">
        <f t="shared" si="7"/>
        <v>2.6108082627246679E-2</v>
      </c>
      <c r="G74" s="246">
        <f t="shared" si="8"/>
        <v>2.6578028114537119E-2</v>
      </c>
      <c r="H74" s="246">
        <f t="shared" si="5"/>
        <v>2.7306710297393073E-2</v>
      </c>
      <c r="I74" s="343">
        <f>'RBH-1 Constant Growth DCF'!I17</f>
        <v>2.7000000000000003E-2</v>
      </c>
      <c r="J74" s="343">
        <f>'RBH-1 Constant Growth DCF'!J17</f>
        <v>5.0999999999999997E-2</v>
      </c>
      <c r="K74" s="343">
        <f>'RBH-1 Constant Growth DCF'!K17</f>
        <v>0.03</v>
      </c>
      <c r="L74" s="246">
        <f t="shared" si="6"/>
        <v>3.5999999999999997E-2</v>
      </c>
      <c r="M74" s="246">
        <f t="shared" si="9"/>
        <v>6.257802811453711E-2</v>
      </c>
      <c r="N74" s="246">
        <f t="shared" si="10"/>
        <v>6.3306710297393071E-2</v>
      </c>
      <c r="P74" s="217"/>
      <c r="Q74" s="217"/>
    </row>
    <row r="75" spans="2:17" x14ac:dyDescent="0.2">
      <c r="B75" s="210" t="str">
        <f>'RBH-1 Constant Growth DCF'!B18</f>
        <v>Evergy, Inc</v>
      </c>
      <c r="C75" s="238" t="str">
        <f>'RBH-1 Constant Growth DCF'!C18</f>
        <v>EVRG</v>
      </c>
      <c r="D75" s="247">
        <f>'RBH-1 Constant Growth DCF'!E18</f>
        <v>1.9</v>
      </c>
      <c r="E75" s="247">
        <f>'RBH-1 Constant Growth DCF'!F18</f>
        <v>57.00266666666667</v>
      </c>
      <c r="F75" s="246">
        <f t="shared" si="7"/>
        <v>3.3331773952095807E-2</v>
      </c>
      <c r="G75" s="246">
        <f t="shared" si="8"/>
        <v>3.4410890133794912E-2</v>
      </c>
      <c r="H75" s="246">
        <f t="shared" si="5"/>
        <v>3.5354323650707904E-2</v>
      </c>
      <c r="I75" s="343">
        <f>'RBH-1 Constant Growth DCF'!I18</f>
        <v>6.7000000000000004E-2</v>
      </c>
      <c r="J75" s="343">
        <f>'RBH-1 Constant Growth DCF'!J18</f>
        <v>6.25E-2</v>
      </c>
      <c r="K75" s="343" t="str">
        <f>'RBH-1 Constant Growth DCF'!K18</f>
        <v>NMF</v>
      </c>
      <c r="L75" s="246">
        <f t="shared" si="6"/>
        <v>6.4750000000000002E-2</v>
      </c>
      <c r="M75" s="246">
        <f t="shared" si="9"/>
        <v>9.9160890133794921E-2</v>
      </c>
      <c r="N75" s="246">
        <f t="shared" si="10"/>
        <v>0.1001043236507079</v>
      </c>
      <c r="P75" s="217"/>
      <c r="Q75" s="217"/>
    </row>
    <row r="76" spans="2:17" x14ac:dyDescent="0.2">
      <c r="B76" s="210" t="str">
        <f>'RBH-1 Constant Growth DCF'!B19</f>
        <v>Eversource Energy</v>
      </c>
      <c r="C76" s="238" t="str">
        <f>'RBH-1 Constant Growth DCF'!C19</f>
        <v>ES</v>
      </c>
      <c r="D76" s="247">
        <f>'RBH-1 Constant Growth DCF'!E19</f>
        <v>2.14</v>
      </c>
      <c r="E76" s="247">
        <f>'RBH-1 Constant Growth DCF'!F19</f>
        <v>69.894333333333336</v>
      </c>
      <c r="F76" s="246">
        <f t="shared" si="7"/>
        <v>3.061764663802025E-2</v>
      </c>
      <c r="G76" s="246">
        <f t="shared" si="8"/>
        <v>3.1489228978982556E-2</v>
      </c>
      <c r="H76" s="246">
        <f t="shared" si="5"/>
        <v>3.23525601489991E-2</v>
      </c>
      <c r="I76" s="343">
        <f>'RBH-1 Constant Growth DCF'!I19</f>
        <v>5.7000000000000002E-2</v>
      </c>
      <c r="J76" s="343">
        <f>'RBH-1 Constant Growth DCF'!J19</f>
        <v>5.8799999999999998E-2</v>
      </c>
      <c r="K76" s="343">
        <f>'RBH-1 Constant Growth DCF'!K19</f>
        <v>5.5E-2</v>
      </c>
      <c r="L76" s="246">
        <f t="shared" si="6"/>
        <v>5.6933333333333336E-2</v>
      </c>
      <c r="M76" s="246">
        <f t="shared" si="9"/>
        <v>8.8422562312315892E-2</v>
      </c>
      <c r="N76" s="246">
        <f t="shared" si="10"/>
        <v>8.9285893482332429E-2</v>
      </c>
      <c r="P76" s="217"/>
      <c r="Q76" s="217"/>
    </row>
    <row r="77" spans="2:17" x14ac:dyDescent="0.2">
      <c r="B77" s="210" t="str">
        <f>'RBH-1 Constant Growth DCF'!B20</f>
        <v>Hawaiian Electric Industries, Inc.</v>
      </c>
      <c r="C77" s="238" t="str">
        <f>'RBH-1 Constant Growth DCF'!C20</f>
        <v>HE</v>
      </c>
      <c r="D77" s="247">
        <f>'RBH-1 Constant Growth DCF'!E20</f>
        <v>1.28</v>
      </c>
      <c r="E77" s="247">
        <f>'RBH-1 Constant Growth DCF'!F20</f>
        <v>38.426666666666662</v>
      </c>
      <c r="F77" s="246">
        <f t="shared" si="7"/>
        <v>3.3310201249132552E-2</v>
      </c>
      <c r="G77" s="246">
        <f t="shared" si="8"/>
        <v>3.4281748785565579E-2</v>
      </c>
      <c r="H77" s="246">
        <f t="shared" si="5"/>
        <v>3.5221641671130031E-2</v>
      </c>
      <c r="I77" s="343">
        <f>'RBH-1 Constant Growth DCF'!I20</f>
        <v>6.2E-2</v>
      </c>
      <c r="J77" s="343">
        <f>'RBH-1 Constant Growth DCF'!J20</f>
        <v>7.8E-2</v>
      </c>
      <c r="K77" s="343">
        <f>'RBH-1 Constant Growth DCF'!K20</f>
        <v>3.5000000000000003E-2</v>
      </c>
      <c r="L77" s="246">
        <f t="shared" si="6"/>
        <v>5.8333333333333341E-2</v>
      </c>
      <c r="M77" s="246">
        <f t="shared" si="9"/>
        <v>9.261508211889892E-2</v>
      </c>
      <c r="N77" s="246">
        <f t="shared" si="10"/>
        <v>9.3554975004463373E-2</v>
      </c>
      <c r="P77" s="217"/>
      <c r="Q77" s="217"/>
    </row>
    <row r="78" spans="2:17" x14ac:dyDescent="0.2">
      <c r="B78" s="210" t="str">
        <f>'RBH-1 Constant Growth DCF'!B21</f>
        <v>NextEra Energy, Inc.</v>
      </c>
      <c r="C78" s="238" t="str">
        <f>'RBH-1 Constant Growth DCF'!C21</f>
        <v>NEE</v>
      </c>
      <c r="D78" s="247">
        <f>'RBH-1 Constant Growth DCF'!E21</f>
        <v>5</v>
      </c>
      <c r="E78" s="247">
        <f>'RBH-1 Constant Growth DCF'!F21</f>
        <v>185.68566666666672</v>
      </c>
      <c r="F78" s="246">
        <f t="shared" si="7"/>
        <v>2.6927226477721302E-2</v>
      </c>
      <c r="G78" s="246">
        <f t="shared" si="8"/>
        <v>2.8011496130557548E-2</v>
      </c>
      <c r="H78" s="246">
        <f t="shared" si="5"/>
        <v>2.8779479295354921E-2</v>
      </c>
      <c r="I78" s="343">
        <f>'RBH-1 Constant Growth DCF'!I21</f>
        <v>7.6999999999999999E-2</v>
      </c>
      <c r="J78" s="343">
        <f>'RBH-1 Constant Growth DCF'!J21</f>
        <v>7.46E-2</v>
      </c>
      <c r="K78" s="343">
        <f>'RBH-1 Constant Growth DCF'!K21</f>
        <v>0.09</v>
      </c>
      <c r="L78" s="246">
        <f t="shared" si="6"/>
        <v>8.0533333333333332E-2</v>
      </c>
      <c r="M78" s="246">
        <f t="shared" si="9"/>
        <v>0.10854482946389088</v>
      </c>
      <c r="N78" s="246">
        <f t="shared" si="10"/>
        <v>0.10931281262868825</v>
      </c>
      <c r="P78" s="217"/>
      <c r="Q78" s="217"/>
    </row>
    <row r="79" spans="2:17" x14ac:dyDescent="0.2">
      <c r="B79" s="210" t="str">
        <f>'RBH-1 Constant Growth DCF'!B22</f>
        <v>NorthWestern Corporation</v>
      </c>
      <c r="C79" s="238" t="str">
        <f>'RBH-1 Constant Growth DCF'!C22</f>
        <v>NWE</v>
      </c>
      <c r="D79" s="247">
        <f>'RBH-1 Constant Growth DCF'!E22</f>
        <v>2.2999999999999998</v>
      </c>
      <c r="E79" s="247">
        <f>'RBH-1 Constant Growth DCF'!F22</f>
        <v>67.207333333333338</v>
      </c>
      <c r="F79" s="246">
        <f t="shared" si="7"/>
        <v>3.4222455882790562E-2</v>
      </c>
      <c r="G79" s="246">
        <f t="shared" si="8"/>
        <v>3.4698148019561351E-2</v>
      </c>
      <c r="H79" s="246">
        <f t="shared" si="5"/>
        <v>3.5649457203635986E-2</v>
      </c>
      <c r="I79" s="343">
        <f>'RBH-1 Constant Growth DCF'!I22</f>
        <v>3.1E-2</v>
      </c>
      <c r="J79" s="343">
        <f>'RBH-1 Constant Growth DCF'!J22</f>
        <v>2.7400000000000001E-2</v>
      </c>
      <c r="K79" s="343">
        <f>'RBH-1 Constant Growth DCF'!K22</f>
        <v>2.5000000000000001E-2</v>
      </c>
      <c r="L79" s="246">
        <f t="shared" si="6"/>
        <v>2.7800000000000002E-2</v>
      </c>
      <c r="M79" s="246">
        <f t="shared" si="9"/>
        <v>6.2498148019561356E-2</v>
      </c>
      <c r="N79" s="246">
        <f t="shared" si="10"/>
        <v>6.3449457203635984E-2</v>
      </c>
      <c r="P79" s="217"/>
      <c r="Q79" s="217"/>
    </row>
    <row r="80" spans="2:17" x14ac:dyDescent="0.2">
      <c r="B80" s="210" t="str">
        <f>'RBH-1 Constant Growth DCF'!B23</f>
        <v>OGE Energy Corp.</v>
      </c>
      <c r="C80" s="238" t="str">
        <f>'RBH-1 Constant Growth DCF'!C23</f>
        <v>OGE</v>
      </c>
      <c r="D80" s="247">
        <f>'RBH-1 Constant Growth DCF'!E23</f>
        <v>1.46</v>
      </c>
      <c r="E80" s="247">
        <f>'RBH-1 Constant Growth DCF'!F23</f>
        <v>41.971000000000004</v>
      </c>
      <c r="F80" s="246">
        <f t="shared" si="7"/>
        <v>3.4785923613923894E-2</v>
      </c>
      <c r="G80" s="246">
        <f t="shared" si="8"/>
        <v>3.576862595601725E-2</v>
      </c>
      <c r="H80" s="246">
        <f t="shared" si="5"/>
        <v>3.6749284127009736E-2</v>
      </c>
      <c r="I80" s="343">
        <f>'RBH-1 Constant Growth DCF'!I23</f>
        <v>4.8000000000000001E-2</v>
      </c>
      <c r="J80" s="343" t="str">
        <f>'RBH-1 Constant Growth DCF'!J23</f>
        <v>NA</v>
      </c>
      <c r="K80" s="343">
        <f>'RBH-1 Constant Growth DCF'!K23</f>
        <v>6.5000000000000002E-2</v>
      </c>
      <c r="L80" s="246">
        <f t="shared" si="6"/>
        <v>5.6500000000000002E-2</v>
      </c>
      <c r="M80" s="246">
        <f t="shared" si="9"/>
        <v>9.2268625956017258E-2</v>
      </c>
      <c r="N80" s="246">
        <f t="shared" si="10"/>
        <v>9.3249284127009738E-2</v>
      </c>
      <c r="P80" s="217"/>
      <c r="Q80" s="217"/>
    </row>
    <row r="81" spans="2:17" x14ac:dyDescent="0.2">
      <c r="B81" s="210" t="str">
        <f>'RBH-1 Constant Growth DCF'!B24</f>
        <v>Otter Tail Corporation</v>
      </c>
      <c r="C81" s="238" t="str">
        <f>'RBH-1 Constant Growth DCF'!C24</f>
        <v>OTTR</v>
      </c>
      <c r="D81" s="247">
        <f>'RBH-1 Constant Growth DCF'!E24</f>
        <v>1.4</v>
      </c>
      <c r="E81" s="247">
        <f>'RBH-1 Constant Growth DCF'!F24</f>
        <v>49.899000000000001</v>
      </c>
      <c r="F81" s="246">
        <f t="shared" si="7"/>
        <v>2.8056674482454556E-2</v>
      </c>
      <c r="G81" s="246">
        <f t="shared" si="8"/>
        <v>2.9038658089340464E-2</v>
      </c>
      <c r="H81" s="246">
        <f t="shared" si="5"/>
        <v>2.9834802659304806E-2</v>
      </c>
      <c r="I81" s="343" t="str">
        <f>'RBH-1 Constant Growth DCF'!I24</f>
        <v>NA</v>
      </c>
      <c r="J81" s="343">
        <f>'RBH-1 Constant Growth DCF'!J24</f>
        <v>0.09</v>
      </c>
      <c r="K81" s="343">
        <f>'RBH-1 Constant Growth DCF'!K24</f>
        <v>0.05</v>
      </c>
      <c r="L81" s="246">
        <f t="shared" si="6"/>
        <v>7.0000000000000007E-2</v>
      </c>
      <c r="M81" s="246">
        <f t="shared" si="9"/>
        <v>9.9038658089340467E-2</v>
      </c>
      <c r="N81" s="246">
        <f t="shared" si="10"/>
        <v>9.9834802659304805E-2</v>
      </c>
      <c r="P81" s="217"/>
      <c r="Q81" s="217"/>
    </row>
    <row r="82" spans="2:17" x14ac:dyDescent="0.2">
      <c r="B82" s="210" t="str">
        <f>'RBH-1 Constant Growth DCF'!B25</f>
        <v>Pinnacle West Capital Corporation</v>
      </c>
      <c r="C82" s="238" t="str">
        <f>'RBH-1 Constant Growth DCF'!C25</f>
        <v>PNW</v>
      </c>
      <c r="D82" s="247">
        <f>'RBH-1 Constant Growth DCF'!E25</f>
        <v>2.95</v>
      </c>
      <c r="E82" s="247">
        <f>'RBH-1 Constant Growth DCF'!F25</f>
        <v>91.666333333333355</v>
      </c>
      <c r="F82" s="246">
        <f t="shared" si="7"/>
        <v>3.2181935207037111E-2</v>
      </c>
      <c r="G82" s="246">
        <f t="shared" si="8"/>
        <v>3.3005792748337266E-2</v>
      </c>
      <c r="H82" s="246">
        <f t="shared" si="5"/>
        <v>3.3910703112759483E-2</v>
      </c>
      <c r="I82" s="343">
        <f>'RBH-1 Constant Growth DCF'!I25</f>
        <v>4.8000000000000001E-2</v>
      </c>
      <c r="J82" s="343">
        <f>'RBH-1 Constant Growth DCF'!J25</f>
        <v>4.5600000000000002E-2</v>
      </c>
      <c r="K82" s="343">
        <f>'RBH-1 Constant Growth DCF'!K25</f>
        <v>0.06</v>
      </c>
      <c r="L82" s="246">
        <f t="shared" si="6"/>
        <v>5.1200000000000002E-2</v>
      </c>
      <c r="M82" s="246">
        <f t="shared" si="9"/>
        <v>8.4205792748337269E-2</v>
      </c>
      <c r="N82" s="246">
        <f t="shared" si="10"/>
        <v>8.5110703112759478E-2</v>
      </c>
      <c r="P82" s="217"/>
      <c r="Q82" s="217"/>
    </row>
    <row r="83" spans="2:17" x14ac:dyDescent="0.2">
      <c r="B83" s="210" t="str">
        <f>'RBH-1 Constant Growth DCF'!B26</f>
        <v>PNM Resources, Inc.</v>
      </c>
      <c r="C83" s="238" t="str">
        <f>'RBH-1 Constant Growth DCF'!C26</f>
        <v>PNM</v>
      </c>
      <c r="D83" s="247">
        <f>'RBH-1 Constant Growth DCF'!E26</f>
        <v>1.1599999999999999</v>
      </c>
      <c r="E83" s="247">
        <f>'RBH-1 Constant Growth DCF'!F26</f>
        <v>44.137000000000022</v>
      </c>
      <c r="F83" s="246">
        <f t="shared" si="7"/>
        <v>2.6281804381811165E-2</v>
      </c>
      <c r="G83" s="246">
        <f t="shared" si="8"/>
        <v>2.6991413100120064E-2</v>
      </c>
      <c r="H83" s="246">
        <f t="shared" si="5"/>
        <v>2.7731428940700974E-2</v>
      </c>
      <c r="I83" s="343">
        <f>'RBH-1 Constant Growth DCF'!I26</f>
        <v>4.5999999999999999E-2</v>
      </c>
      <c r="J83" s="343">
        <f>'RBH-1 Constant Growth DCF'!J26</f>
        <v>4.1000000000000002E-2</v>
      </c>
      <c r="K83" s="343">
        <f>'RBH-1 Constant Growth DCF'!K26</f>
        <v>7.4999999999999997E-2</v>
      </c>
      <c r="L83" s="246">
        <f t="shared" si="6"/>
        <v>5.3999999999999992E-2</v>
      </c>
      <c r="M83" s="246">
        <f t="shared" si="9"/>
        <v>8.0991413100120063E-2</v>
      </c>
      <c r="N83" s="246">
        <f t="shared" si="10"/>
        <v>8.173142894070097E-2</v>
      </c>
      <c r="P83" s="217"/>
      <c r="Q83" s="217"/>
    </row>
    <row r="84" spans="2:17" x14ac:dyDescent="0.2">
      <c r="B84" s="210" t="str">
        <f>'RBH-1 Constant Growth DCF'!B27</f>
        <v>Portland General Electric Company</v>
      </c>
      <c r="C84" s="238" t="str">
        <f>'RBH-1 Constant Growth DCF'!C27</f>
        <v>POR</v>
      </c>
      <c r="D84" s="247">
        <f>'RBH-1 Constant Growth DCF'!E27</f>
        <v>1.45</v>
      </c>
      <c r="E84" s="247">
        <f>'RBH-1 Constant Growth DCF'!F27</f>
        <v>49.88666666666667</v>
      </c>
      <c r="F84" s="246">
        <f t="shared" si="7"/>
        <v>2.9065882667379389E-2</v>
      </c>
      <c r="G84" s="246">
        <f t="shared" si="8"/>
        <v>2.9690799144728049E-2</v>
      </c>
      <c r="H84" s="246">
        <f t="shared" si="5"/>
        <v>3.0504823279185359E-2</v>
      </c>
      <c r="I84" s="343">
        <f>'RBH-1 Constant Growth DCF'!I27</f>
        <v>0.04</v>
      </c>
      <c r="J84" s="343">
        <f>'RBH-1 Constant Growth DCF'!J27</f>
        <v>4.9000000000000002E-2</v>
      </c>
      <c r="K84" s="343">
        <f>'RBH-1 Constant Growth DCF'!K27</f>
        <v>0.04</v>
      </c>
      <c r="L84" s="246">
        <f t="shared" si="6"/>
        <v>4.3000000000000003E-2</v>
      </c>
      <c r="M84" s="246">
        <f t="shared" si="9"/>
        <v>7.2690799144728049E-2</v>
      </c>
      <c r="N84" s="246">
        <f t="shared" si="10"/>
        <v>7.3504823279185366E-2</v>
      </c>
      <c r="P84" s="217"/>
      <c r="Q84" s="217"/>
    </row>
    <row r="85" spans="2:17" x14ac:dyDescent="0.2">
      <c r="B85" s="210" t="str">
        <f>'RBH-1 Constant Growth DCF'!B28</f>
        <v>Southern Company</v>
      </c>
      <c r="C85" s="238" t="str">
        <f>'RBH-1 Constant Growth DCF'!C28</f>
        <v>SO</v>
      </c>
      <c r="D85" s="247">
        <f>'RBH-1 Constant Growth DCF'!E28</f>
        <v>2.4</v>
      </c>
      <c r="E85" s="247">
        <f>'RBH-1 Constant Growth DCF'!F28</f>
        <v>49.840333333333326</v>
      </c>
      <c r="F85" s="246">
        <f t="shared" si="7"/>
        <v>4.8153771042194746E-2</v>
      </c>
      <c r="G85" s="246">
        <f t="shared" si="8"/>
        <v>4.8969174898509236E-2</v>
      </c>
      <c r="H85" s="246">
        <f t="shared" si="5"/>
        <v>5.0311748738220981E-2</v>
      </c>
      <c r="I85" s="343">
        <f>'RBH-1 Constant Growth DCF'!I28</f>
        <v>4.4999999999999998E-2</v>
      </c>
      <c r="J85" s="343">
        <f>'RBH-1 Constant Growth DCF'!J28</f>
        <v>2.1600000000000001E-2</v>
      </c>
      <c r="K85" s="343">
        <f>'RBH-1 Constant Growth DCF'!K28</f>
        <v>3.5000000000000003E-2</v>
      </c>
      <c r="L85" s="246">
        <f t="shared" si="6"/>
        <v>3.3866666666666663E-2</v>
      </c>
      <c r="M85" s="246">
        <f t="shared" si="9"/>
        <v>8.2835841565175899E-2</v>
      </c>
      <c r="N85" s="246">
        <f t="shared" si="10"/>
        <v>8.4178415404887644E-2</v>
      </c>
      <c r="P85" s="217"/>
      <c r="Q85" s="217"/>
    </row>
    <row r="86" spans="2:17" x14ac:dyDescent="0.2">
      <c r="B86" s="210" t="str">
        <f>'RBH-1 Constant Growth DCF'!B29</f>
        <v>WEC Energy Group, Inc.</v>
      </c>
      <c r="C86" s="238" t="str">
        <f>'RBH-1 Constant Growth DCF'!C29</f>
        <v>WEC</v>
      </c>
      <c r="D86" s="247">
        <f>'RBH-1 Constant Growth DCF'!E29</f>
        <v>2.36</v>
      </c>
      <c r="E86" s="247">
        <f>'RBH-1 Constant Growth DCF'!F29</f>
        <v>75.560333333333347</v>
      </c>
      <c r="F86" s="246">
        <f t="shared" si="7"/>
        <v>3.1233319069529419E-2</v>
      </c>
      <c r="G86" s="246">
        <f t="shared" si="8"/>
        <v>3.201363149094983E-2</v>
      </c>
      <c r="H86" s="246">
        <f t="shared" si="5"/>
        <v>3.2891340054408386E-2</v>
      </c>
      <c r="I86" s="343">
        <f>'RBH-1 Constant Growth DCF'!I29</f>
        <v>4.3999999999999997E-2</v>
      </c>
      <c r="J86" s="343">
        <f>'RBH-1 Constant Growth DCF'!J29</f>
        <v>4.5900000000000003E-2</v>
      </c>
      <c r="K86" s="343">
        <f>'RBH-1 Constant Growth DCF'!K29</f>
        <v>0.06</v>
      </c>
      <c r="L86" s="246">
        <f t="shared" si="6"/>
        <v>4.9966666666666666E-2</v>
      </c>
      <c r="M86" s="246">
        <f t="shared" si="9"/>
        <v>8.1980298157616496E-2</v>
      </c>
      <c r="N86" s="246">
        <f t="shared" si="10"/>
        <v>8.2858006721075045E-2</v>
      </c>
      <c r="P86" s="217"/>
      <c r="Q86" s="217"/>
    </row>
    <row r="87" spans="2:17" x14ac:dyDescent="0.2">
      <c r="B87" s="210" t="str">
        <f>'RBH-1 Constant Growth DCF'!B30</f>
        <v>Xcel Energy Inc.</v>
      </c>
      <c r="C87" s="238" t="str">
        <f>'RBH-1 Constant Growth DCF'!C30</f>
        <v>XEL</v>
      </c>
      <c r="D87" s="247">
        <f>'RBH-1 Constant Growth DCF'!E30</f>
        <v>1.62</v>
      </c>
      <c r="E87" s="247">
        <f>'RBH-1 Constant Growth DCF'!F30</f>
        <v>54.412666666666688</v>
      </c>
      <c r="F87" s="246">
        <f t="shared" si="7"/>
        <v>2.9772479447187531E-2</v>
      </c>
      <c r="G87" s="246">
        <f t="shared" si="8"/>
        <v>3.0665653830603157E-2</v>
      </c>
      <c r="H87" s="246">
        <f t="shared" si="5"/>
        <v>3.1506405276710885E-2</v>
      </c>
      <c r="I87" s="344">
        <f>'RBH-1 Constant Growth DCF'!I30</f>
        <v>5.8999999999999997E-2</v>
      </c>
      <c r="J87" s="344">
        <f>'RBH-1 Constant Growth DCF'!J30</f>
        <v>6.6000000000000003E-2</v>
      </c>
      <c r="K87" s="344">
        <f>'RBH-1 Constant Growth DCF'!K30</f>
        <v>5.5E-2</v>
      </c>
      <c r="L87" s="246">
        <f t="shared" si="6"/>
        <v>0.06</v>
      </c>
      <c r="M87" s="246">
        <f t="shared" si="9"/>
        <v>9.0665653830603155E-2</v>
      </c>
      <c r="N87" s="246">
        <f t="shared" si="10"/>
        <v>9.1506405276710889E-2</v>
      </c>
      <c r="P87" s="217"/>
      <c r="Q87" s="217"/>
    </row>
    <row r="88" spans="2:17" x14ac:dyDescent="0.2">
      <c r="B88" s="248" t="s">
        <v>1288</v>
      </c>
      <c r="C88" s="248"/>
      <c r="D88" s="248"/>
      <c r="E88" s="248"/>
      <c r="F88" s="249"/>
      <c r="G88" s="249"/>
      <c r="H88" s="249"/>
      <c r="I88" s="249"/>
      <c r="J88" s="249"/>
      <c r="K88" s="249"/>
      <c r="L88" s="249"/>
      <c r="M88" s="249">
        <f>AVERAGE(M65:M87)</f>
        <v>8.8101207423341141E-2</v>
      </c>
      <c r="N88" s="249">
        <f>AVERAGE(N65:N87)</f>
        <v>8.8999257097942708E-2</v>
      </c>
      <c r="P88" s="217"/>
      <c r="Q88" s="217"/>
    </row>
    <row r="89" spans="2:17" x14ac:dyDescent="0.2">
      <c r="F89" s="246"/>
      <c r="G89" s="246"/>
      <c r="H89" s="246"/>
      <c r="I89" s="246"/>
      <c r="J89" s="246"/>
      <c r="N89" s="250"/>
      <c r="O89" s="250"/>
      <c r="P89" s="217"/>
      <c r="Q89" s="217"/>
    </row>
    <row r="90" spans="2:17" x14ac:dyDescent="0.2">
      <c r="F90" s="246"/>
      <c r="G90" s="246"/>
      <c r="H90" s="246"/>
      <c r="I90" s="246"/>
      <c r="J90" s="246"/>
      <c r="M90" s="251" t="s">
        <v>1289</v>
      </c>
      <c r="N90" s="250">
        <f>N88</f>
        <v>8.8999257097942708E-2</v>
      </c>
      <c r="P90" s="217"/>
      <c r="Q90" s="217"/>
    </row>
    <row r="91" spans="2:17" x14ac:dyDescent="0.2">
      <c r="F91" s="246"/>
      <c r="G91" s="246"/>
      <c r="H91" s="246"/>
      <c r="I91" s="246"/>
      <c r="J91" s="246"/>
      <c r="M91" s="251" t="s">
        <v>1290</v>
      </c>
      <c r="N91" s="252">
        <f>M88</f>
        <v>8.8101207423341141E-2</v>
      </c>
      <c r="P91" s="217"/>
      <c r="Q91" s="217"/>
    </row>
    <row r="92" spans="2:17" x14ac:dyDescent="0.2">
      <c r="F92" s="246"/>
      <c r="M92" s="251" t="s">
        <v>1291</v>
      </c>
      <c r="N92" s="253">
        <f>N90-N91</f>
        <v>8.9804967460156704E-4</v>
      </c>
      <c r="O92" s="210" t="s">
        <v>1292</v>
      </c>
      <c r="P92" s="217"/>
      <c r="Q92" s="217"/>
    </row>
    <row r="93" spans="2:17" x14ac:dyDescent="0.2">
      <c r="B93" s="254" t="s">
        <v>77</v>
      </c>
    </row>
    <row r="94" spans="2:17" x14ac:dyDescent="0.2">
      <c r="B94" s="381" t="s">
        <v>1293</v>
      </c>
      <c r="C94" s="381"/>
      <c r="D94" s="381"/>
      <c r="E94" s="381"/>
      <c r="F94" s="381"/>
      <c r="G94" s="382"/>
    </row>
    <row r="95" spans="2:17" x14ac:dyDescent="0.2">
      <c r="B95" s="381"/>
      <c r="C95" s="381"/>
      <c r="D95" s="381"/>
      <c r="E95" s="381"/>
      <c r="F95" s="381"/>
      <c r="G95" s="382"/>
    </row>
    <row r="96" spans="2:17" x14ac:dyDescent="0.2">
      <c r="B96" s="382"/>
      <c r="C96" s="382"/>
      <c r="D96" s="382"/>
      <c r="E96" s="382"/>
      <c r="F96" s="382"/>
      <c r="G96" s="382"/>
    </row>
    <row r="97" spans="2:7" x14ac:dyDescent="0.2">
      <c r="B97" s="255"/>
      <c r="C97" s="255"/>
      <c r="D97" s="255"/>
      <c r="E97" s="255"/>
      <c r="F97" s="255"/>
      <c r="G97" s="255"/>
    </row>
    <row r="98" spans="2:7" x14ac:dyDescent="0.2">
      <c r="B98" s="210" t="s">
        <v>1294</v>
      </c>
      <c r="E98" s="210" t="s">
        <v>1295</v>
      </c>
    </row>
    <row r="99" spans="2:7" x14ac:dyDescent="0.2">
      <c r="B99" s="210" t="s">
        <v>1296</v>
      </c>
      <c r="E99" s="210" t="s">
        <v>1297</v>
      </c>
    </row>
    <row r="100" spans="2:7" x14ac:dyDescent="0.2">
      <c r="B100" s="210" t="s">
        <v>1298</v>
      </c>
      <c r="E100" s="210" t="s">
        <v>1299</v>
      </c>
    </row>
    <row r="101" spans="2:7" x14ac:dyDescent="0.2">
      <c r="B101" s="210" t="s">
        <v>1300</v>
      </c>
      <c r="E101" s="256" t="str">
        <f>"[15] Equals [4] / (1 - "&amp;ROUND(L56,4)&amp;")"</f>
        <v>[15] Equals [4] / (1 - 0.0267)</v>
      </c>
    </row>
    <row r="102" spans="2:7" x14ac:dyDescent="0.2">
      <c r="B102" s="210" t="s">
        <v>1301</v>
      </c>
      <c r="E102" s="210" t="s">
        <v>1302</v>
      </c>
    </row>
    <row r="103" spans="2:7" x14ac:dyDescent="0.2">
      <c r="B103" s="210" t="s">
        <v>1303</v>
      </c>
      <c r="E103" s="210" t="s">
        <v>1304</v>
      </c>
    </row>
    <row r="104" spans="2:7" x14ac:dyDescent="0.2">
      <c r="B104" s="210" t="s">
        <v>1305</v>
      </c>
      <c r="E104" s="210" t="s">
        <v>1306</v>
      </c>
    </row>
    <row r="105" spans="2:7" x14ac:dyDescent="0.2">
      <c r="B105" s="210" t="s">
        <v>1307</v>
      </c>
      <c r="E105" s="210" t="s">
        <v>1308</v>
      </c>
    </row>
    <row r="106" spans="2:7" x14ac:dyDescent="0.2">
      <c r="B106" s="210" t="s">
        <v>1309</v>
      </c>
      <c r="E106" s="210" t="s">
        <v>1310</v>
      </c>
    </row>
    <row r="107" spans="2:7" x14ac:dyDescent="0.2">
      <c r="B107" s="210" t="s">
        <v>1311</v>
      </c>
      <c r="E107" s="210" t="s">
        <v>1312</v>
      </c>
    </row>
    <row r="108" spans="2:7" x14ac:dyDescent="0.2">
      <c r="B108" s="210" t="s">
        <v>1313</v>
      </c>
      <c r="E108" s="210" t="s">
        <v>1314</v>
      </c>
    </row>
  </sheetData>
  <mergeCells count="1">
    <mergeCell ref="B94:G96"/>
  </mergeCells>
  <printOptions horizontalCentered="1"/>
  <pageMargins left="0.7" right="0.7" top="0.75" bottom="0.75" header="0.3" footer="0.3"/>
  <pageSetup scale="55" fitToHeight="2" orientation="landscape" useFirstPageNumber="1" r:id="rId1"/>
  <headerFooter scaleWithDoc="0">
    <oddHeader>&amp;R&amp;"Arial,Regular"&amp;10EXHIBIT RBH-7
Page &amp;P of 2</oddHeader>
  </headerFooter>
  <rowBreaks count="1" manualBreakCount="1">
    <brk id="5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2:AA79"/>
  <sheetViews>
    <sheetView tabSelected="1" view="pageLayout" zoomScale="55" zoomScaleNormal="85" zoomScaleSheetLayoutView="90" zoomScalePageLayoutView="55" workbookViewId="0">
      <selection activeCell="P3" sqref="P3"/>
    </sheetView>
  </sheetViews>
  <sheetFormatPr defaultColWidth="8.85546875" defaultRowHeight="12.75" x14ac:dyDescent="0.2"/>
  <cols>
    <col min="1" max="1" width="41.42578125" style="216" customWidth="1"/>
    <col min="2" max="2" width="8.85546875" style="216"/>
    <col min="3" max="3" width="15.5703125" style="216" customWidth="1"/>
    <col min="4" max="4" width="10.85546875" style="216" customWidth="1"/>
    <col min="5" max="5" width="12.7109375" style="216" customWidth="1"/>
    <col min="6" max="6" width="11.5703125" style="216" customWidth="1"/>
    <col min="7" max="7" width="10.28515625" style="216" customWidth="1"/>
    <col min="8" max="8" width="12" style="216" customWidth="1"/>
    <col min="9" max="9" width="14.140625" style="216" customWidth="1"/>
    <col min="10" max="10" width="9.42578125" style="216" customWidth="1"/>
    <col min="11" max="12" width="11.85546875" style="216" customWidth="1"/>
    <col min="13" max="13" width="12.140625" style="216" customWidth="1"/>
    <col min="14" max="18" width="11.85546875" style="216" customWidth="1"/>
    <col min="19" max="19" width="12.28515625" style="216" customWidth="1"/>
    <col min="20" max="20" width="11.85546875" style="216" customWidth="1"/>
    <col min="21" max="16384" width="8.85546875" style="216"/>
  </cols>
  <sheetData>
    <row r="2" spans="1:27" x14ac:dyDescent="0.2">
      <c r="A2" s="216" t="s">
        <v>1143</v>
      </c>
      <c r="B2" s="257"/>
      <c r="C2" s="257"/>
      <c r="D2" s="257"/>
      <c r="E2" s="257"/>
      <c r="F2" s="257"/>
      <c r="G2" s="257"/>
      <c r="H2" s="257"/>
      <c r="I2" s="257"/>
      <c r="J2" s="257"/>
      <c r="L2" s="258"/>
      <c r="M2" s="258"/>
      <c r="N2" s="258"/>
      <c r="O2" s="258"/>
      <c r="P2" s="258"/>
      <c r="Q2" s="258"/>
      <c r="R2" s="258"/>
      <c r="S2" s="258"/>
      <c r="T2" s="258"/>
    </row>
    <row r="3" spans="1:27" x14ac:dyDescent="0.2">
      <c r="A3" s="259"/>
      <c r="B3" s="258"/>
      <c r="C3" s="258"/>
      <c r="D3" s="260"/>
      <c r="E3" s="258"/>
      <c r="F3" s="258"/>
      <c r="G3" s="258"/>
      <c r="H3" s="258"/>
      <c r="I3" s="258"/>
      <c r="J3" s="258"/>
    </row>
    <row r="4" spans="1:27" x14ac:dyDescent="0.2">
      <c r="D4" s="261" t="s">
        <v>1144</v>
      </c>
      <c r="E4" s="261"/>
      <c r="F4" s="262"/>
      <c r="G4" s="262"/>
      <c r="H4" s="262"/>
      <c r="I4" s="262"/>
      <c r="J4" s="263"/>
      <c r="K4" s="261" t="s">
        <v>1145</v>
      </c>
      <c r="L4" s="262"/>
      <c r="M4" s="262"/>
      <c r="N4" s="262"/>
      <c r="O4" s="262"/>
      <c r="P4" s="262"/>
      <c r="Q4" s="262"/>
      <c r="R4" s="262"/>
      <c r="S4" s="262"/>
      <c r="T4" s="263"/>
    </row>
    <row r="5" spans="1:27" ht="51" x14ac:dyDescent="0.2">
      <c r="A5" s="264" t="s">
        <v>13</v>
      </c>
      <c r="B5" s="265" t="s">
        <v>1146</v>
      </c>
      <c r="C5" s="266" t="s">
        <v>1147</v>
      </c>
      <c r="D5" s="267" t="s">
        <v>1148</v>
      </c>
      <c r="E5" s="265" t="s">
        <v>1149</v>
      </c>
      <c r="F5" s="265" t="s">
        <v>1318</v>
      </c>
      <c r="G5" s="265" t="s">
        <v>1150</v>
      </c>
      <c r="H5" s="265" t="s">
        <v>1151</v>
      </c>
      <c r="I5" s="265" t="s">
        <v>1152</v>
      </c>
      <c r="J5" s="266" t="s">
        <v>1153</v>
      </c>
      <c r="K5" s="267" t="s">
        <v>1154</v>
      </c>
      <c r="L5" s="265" t="s">
        <v>1319</v>
      </c>
      <c r="M5" s="265" t="s">
        <v>1320</v>
      </c>
      <c r="N5" s="265" t="s">
        <v>1321</v>
      </c>
      <c r="O5" s="265" t="s">
        <v>1322</v>
      </c>
      <c r="P5" s="265" t="s">
        <v>1155</v>
      </c>
      <c r="Q5" s="265" t="s">
        <v>1156</v>
      </c>
      <c r="R5" s="265" t="s">
        <v>1157</v>
      </c>
      <c r="S5" s="265" t="s">
        <v>1158</v>
      </c>
      <c r="T5" s="266" t="s">
        <v>1159</v>
      </c>
    </row>
    <row r="6" spans="1:27" x14ac:dyDescent="0.2">
      <c r="A6" s="346" t="s">
        <v>1168</v>
      </c>
      <c r="B6" s="347" t="s">
        <v>27</v>
      </c>
      <c r="C6" s="348" t="s">
        <v>1323</v>
      </c>
      <c r="D6" s="361" t="s">
        <v>1161</v>
      </c>
      <c r="E6" s="350"/>
      <c r="F6" s="349"/>
      <c r="G6" s="349" t="s">
        <v>1161</v>
      </c>
      <c r="H6" s="349" t="s">
        <v>1161</v>
      </c>
      <c r="I6" s="349" t="s">
        <v>1161</v>
      </c>
      <c r="J6" s="351" t="s">
        <v>1161</v>
      </c>
      <c r="K6" s="362"/>
      <c r="L6" s="363"/>
      <c r="M6" s="364"/>
      <c r="N6" s="365" t="s">
        <v>652</v>
      </c>
      <c r="O6" s="366" t="s">
        <v>1161</v>
      </c>
      <c r="P6" s="347"/>
      <c r="Q6" s="363"/>
      <c r="R6" s="363"/>
      <c r="S6" s="363"/>
      <c r="T6" s="348"/>
      <c r="U6" s="270"/>
      <c r="V6" s="319"/>
      <c r="W6" s="270"/>
      <c r="X6" s="270"/>
      <c r="Y6" s="270"/>
      <c r="Z6" s="270"/>
      <c r="AA6" s="270"/>
    </row>
    <row r="7" spans="1:27" x14ac:dyDescent="0.2">
      <c r="A7" s="268" t="s">
        <v>1169</v>
      </c>
      <c r="B7" s="352" t="s">
        <v>27</v>
      </c>
      <c r="C7" s="269" t="s">
        <v>1324</v>
      </c>
      <c r="D7" s="276" t="s">
        <v>1161</v>
      </c>
      <c r="E7" s="354"/>
      <c r="F7" s="353"/>
      <c r="G7" s="353"/>
      <c r="H7" s="353"/>
      <c r="I7" s="353"/>
      <c r="J7" s="271" t="s">
        <v>1161</v>
      </c>
      <c r="K7" s="272"/>
      <c r="L7" s="367"/>
      <c r="M7" s="368"/>
      <c r="N7" s="369" t="s">
        <v>652</v>
      </c>
      <c r="O7" s="368" t="s">
        <v>1161</v>
      </c>
      <c r="P7" s="352"/>
      <c r="Q7" s="367"/>
      <c r="R7" s="367"/>
      <c r="S7" s="367"/>
      <c r="T7" s="269"/>
      <c r="U7" s="270"/>
      <c r="V7" s="319"/>
      <c r="W7" s="270"/>
      <c r="X7" s="270"/>
      <c r="Y7" s="270"/>
      <c r="Z7" s="270"/>
      <c r="AA7" s="270"/>
    </row>
    <row r="8" spans="1:27" x14ac:dyDescent="0.2">
      <c r="A8" s="268" t="s">
        <v>1191</v>
      </c>
      <c r="B8" s="352" t="s">
        <v>30</v>
      </c>
      <c r="C8" s="269" t="s">
        <v>1325</v>
      </c>
      <c r="D8" s="276" t="s">
        <v>1161</v>
      </c>
      <c r="E8" s="354"/>
      <c r="F8" s="353"/>
      <c r="G8" s="353" t="s">
        <v>1161</v>
      </c>
      <c r="H8" s="353" t="s">
        <v>1161</v>
      </c>
      <c r="I8" s="353" t="s">
        <v>1161</v>
      </c>
      <c r="J8" s="271" t="s">
        <v>1161</v>
      </c>
      <c r="K8" s="268"/>
      <c r="L8" s="368" t="s">
        <v>1161</v>
      </c>
      <c r="M8" s="370"/>
      <c r="N8" s="369"/>
      <c r="O8" s="368"/>
      <c r="P8" s="367" t="s">
        <v>1161</v>
      </c>
      <c r="Q8" s="352"/>
      <c r="R8" s="352"/>
      <c r="S8" s="352"/>
      <c r="T8" s="269"/>
      <c r="U8" s="270"/>
      <c r="V8" s="319"/>
      <c r="W8" s="270"/>
      <c r="X8" s="270"/>
      <c r="Y8" s="270"/>
      <c r="Z8" s="270"/>
      <c r="AA8" s="270"/>
    </row>
    <row r="9" spans="1:27" x14ac:dyDescent="0.2">
      <c r="A9" s="268" t="s">
        <v>1192</v>
      </c>
      <c r="B9" s="352" t="s">
        <v>30</v>
      </c>
      <c r="C9" s="269" t="s">
        <v>1324</v>
      </c>
      <c r="D9" s="276" t="s">
        <v>1161</v>
      </c>
      <c r="E9" s="354"/>
      <c r="F9" s="353"/>
      <c r="G9" s="353"/>
      <c r="H9" s="353"/>
      <c r="I9" s="353"/>
      <c r="J9" s="271" t="s">
        <v>1161</v>
      </c>
      <c r="K9" s="268"/>
      <c r="L9" s="368" t="s">
        <v>1161</v>
      </c>
      <c r="M9" s="371"/>
      <c r="N9" s="369" t="s">
        <v>652</v>
      </c>
      <c r="O9" s="368" t="s">
        <v>1161</v>
      </c>
      <c r="P9" s="367" t="s">
        <v>1161</v>
      </c>
      <c r="Q9" s="367" t="s">
        <v>1161</v>
      </c>
      <c r="R9" s="352"/>
      <c r="S9" s="352"/>
      <c r="T9" s="269"/>
      <c r="U9" s="270"/>
      <c r="V9" s="319"/>
      <c r="W9" s="270"/>
      <c r="X9" s="270"/>
      <c r="Y9" s="270"/>
      <c r="Z9" s="270"/>
      <c r="AA9" s="270"/>
    </row>
    <row r="10" spans="1:27" x14ac:dyDescent="0.2">
      <c r="A10" s="268" t="s">
        <v>1160</v>
      </c>
      <c r="B10" s="352" t="s">
        <v>32</v>
      </c>
      <c r="C10" s="269" t="s">
        <v>1326</v>
      </c>
      <c r="D10" s="276" t="s">
        <v>1161</v>
      </c>
      <c r="E10" s="354"/>
      <c r="F10" s="353" t="s">
        <v>1161</v>
      </c>
      <c r="G10" s="353" t="s">
        <v>1161</v>
      </c>
      <c r="H10" s="353" t="s">
        <v>1161</v>
      </c>
      <c r="I10" s="353" t="s">
        <v>1161</v>
      </c>
      <c r="J10" s="271" t="s">
        <v>1161</v>
      </c>
      <c r="K10" s="272" t="s">
        <v>1161</v>
      </c>
      <c r="L10" s="368"/>
      <c r="M10" s="370"/>
      <c r="N10" s="369" t="s">
        <v>652</v>
      </c>
      <c r="O10" s="368"/>
      <c r="P10" s="367"/>
      <c r="Q10" s="367" t="s">
        <v>1161</v>
      </c>
      <c r="R10" s="367" t="s">
        <v>1161</v>
      </c>
      <c r="S10" s="367" t="s">
        <v>1161</v>
      </c>
      <c r="T10" s="269"/>
      <c r="U10" s="270"/>
      <c r="V10" s="319"/>
      <c r="W10" s="270"/>
      <c r="X10" s="270"/>
      <c r="Y10" s="270"/>
      <c r="Z10" s="270"/>
      <c r="AA10" s="270"/>
    </row>
    <row r="11" spans="1:27" x14ac:dyDescent="0.2">
      <c r="A11" s="268" t="s">
        <v>1162</v>
      </c>
      <c r="B11" s="352" t="s">
        <v>32</v>
      </c>
      <c r="C11" s="269" t="s">
        <v>1327</v>
      </c>
      <c r="D11" s="276" t="s">
        <v>1161</v>
      </c>
      <c r="E11" s="354" t="s">
        <v>1163</v>
      </c>
      <c r="F11" s="353"/>
      <c r="G11" s="353" t="s">
        <v>1161</v>
      </c>
      <c r="H11" s="353"/>
      <c r="I11" s="353" t="s">
        <v>1161</v>
      </c>
      <c r="J11" s="271" t="s">
        <v>1161</v>
      </c>
      <c r="K11" s="268"/>
      <c r="L11" s="370"/>
      <c r="M11" s="368"/>
      <c r="N11" s="369"/>
      <c r="O11" s="368"/>
      <c r="P11" s="367"/>
      <c r="Q11" s="352"/>
      <c r="R11" s="352"/>
      <c r="S11" s="367"/>
      <c r="T11" s="269"/>
      <c r="U11" s="270"/>
      <c r="V11" s="319"/>
      <c r="W11" s="270"/>
      <c r="X11" s="270"/>
      <c r="Y11" s="270"/>
      <c r="Z11" s="270"/>
      <c r="AA11" s="270"/>
    </row>
    <row r="12" spans="1:27" x14ac:dyDescent="0.2">
      <c r="A12" s="274" t="s">
        <v>1164</v>
      </c>
      <c r="B12" s="355" t="s">
        <v>35</v>
      </c>
      <c r="C12" s="275" t="s">
        <v>1335</v>
      </c>
      <c r="D12" s="276" t="s">
        <v>1161</v>
      </c>
      <c r="E12" s="354" t="s">
        <v>446</v>
      </c>
      <c r="F12" s="353"/>
      <c r="G12" s="353" t="s">
        <v>1161</v>
      </c>
      <c r="H12" s="353" t="s">
        <v>1161</v>
      </c>
      <c r="I12" s="353" t="s">
        <v>1161</v>
      </c>
      <c r="J12" s="271" t="s">
        <v>1161</v>
      </c>
      <c r="K12" s="272"/>
      <c r="L12" s="368" t="s">
        <v>1161</v>
      </c>
      <c r="M12" s="368"/>
      <c r="N12" s="369"/>
      <c r="O12" s="370"/>
      <c r="P12" s="367"/>
      <c r="Q12" s="367" t="s">
        <v>1161</v>
      </c>
      <c r="R12" s="367"/>
      <c r="S12" s="367"/>
      <c r="T12" s="273"/>
      <c r="U12" s="270"/>
      <c r="V12" s="319"/>
      <c r="W12" s="270"/>
      <c r="X12" s="270"/>
      <c r="Y12" s="270"/>
      <c r="Z12" s="270"/>
      <c r="AA12" s="270"/>
    </row>
    <row r="13" spans="1:27" x14ac:dyDescent="0.2">
      <c r="A13" s="274" t="s">
        <v>1165</v>
      </c>
      <c r="B13" s="355" t="s">
        <v>35</v>
      </c>
      <c r="C13" s="275" t="s">
        <v>1336</v>
      </c>
      <c r="D13" s="276" t="s">
        <v>1161</v>
      </c>
      <c r="E13" s="354" t="s">
        <v>446</v>
      </c>
      <c r="F13" s="353"/>
      <c r="G13" s="353"/>
      <c r="H13" s="353"/>
      <c r="I13" s="353"/>
      <c r="J13" s="271" t="s">
        <v>1161</v>
      </c>
      <c r="K13" s="272"/>
      <c r="L13" s="368"/>
      <c r="M13" s="368"/>
      <c r="N13" s="369"/>
      <c r="O13" s="370"/>
      <c r="P13" s="367"/>
      <c r="Q13" s="367" t="s">
        <v>1161</v>
      </c>
      <c r="R13" s="367"/>
      <c r="S13" s="367"/>
      <c r="T13" s="273"/>
      <c r="U13" s="270"/>
      <c r="V13" s="319"/>
      <c r="W13" s="270"/>
      <c r="X13" s="270"/>
      <c r="Y13" s="270"/>
      <c r="Z13" s="270"/>
      <c r="AA13" s="270"/>
    </row>
    <row r="14" spans="1:27" x14ac:dyDescent="0.2">
      <c r="A14" s="274" t="s">
        <v>1166</v>
      </c>
      <c r="B14" s="355" t="s">
        <v>35</v>
      </c>
      <c r="C14" s="275" t="s">
        <v>1337</v>
      </c>
      <c r="D14" s="276" t="s">
        <v>1161</v>
      </c>
      <c r="E14" s="354" t="s">
        <v>446</v>
      </c>
      <c r="F14" s="353"/>
      <c r="G14" s="353" t="s">
        <v>1161</v>
      </c>
      <c r="H14" s="353" t="s">
        <v>1161</v>
      </c>
      <c r="I14" s="353"/>
      <c r="J14" s="271" t="s">
        <v>1161</v>
      </c>
      <c r="K14" s="272"/>
      <c r="L14" s="368" t="s">
        <v>1161</v>
      </c>
      <c r="M14" s="368" t="s">
        <v>1161</v>
      </c>
      <c r="N14" s="369"/>
      <c r="O14" s="370"/>
      <c r="P14" s="367" t="s">
        <v>1161</v>
      </c>
      <c r="Q14" s="367" t="s">
        <v>1161</v>
      </c>
      <c r="R14" s="367"/>
      <c r="S14" s="367"/>
      <c r="T14" s="273"/>
      <c r="U14" s="270"/>
      <c r="V14" s="319"/>
      <c r="W14" s="270"/>
      <c r="X14" s="270"/>
      <c r="Y14" s="270"/>
      <c r="Z14" s="270"/>
      <c r="AA14" s="270"/>
    </row>
    <row r="15" spans="1:27" x14ac:dyDescent="0.2">
      <c r="A15" s="274" t="s">
        <v>1167</v>
      </c>
      <c r="B15" s="355" t="s">
        <v>35</v>
      </c>
      <c r="C15" s="275" t="s">
        <v>1337</v>
      </c>
      <c r="D15" s="276" t="s">
        <v>1161</v>
      </c>
      <c r="E15" s="354" t="s">
        <v>446</v>
      </c>
      <c r="F15" s="353"/>
      <c r="G15" s="353" t="s">
        <v>1161</v>
      </c>
      <c r="H15" s="353" t="s">
        <v>1161</v>
      </c>
      <c r="I15" s="353"/>
      <c r="J15" s="271" t="s">
        <v>1161</v>
      </c>
      <c r="K15" s="272"/>
      <c r="L15" s="368" t="s">
        <v>1161</v>
      </c>
      <c r="M15" s="368" t="s">
        <v>1161</v>
      </c>
      <c r="N15" s="369"/>
      <c r="O15" s="370"/>
      <c r="P15" s="367" t="s">
        <v>1161</v>
      </c>
      <c r="Q15" s="367" t="s">
        <v>1161</v>
      </c>
      <c r="R15" s="367"/>
      <c r="S15" s="367"/>
      <c r="T15" s="273"/>
      <c r="U15" s="270"/>
      <c r="V15" s="319"/>
      <c r="W15" s="270"/>
      <c r="X15" s="270"/>
      <c r="Y15" s="270"/>
      <c r="Z15" s="270"/>
      <c r="AA15" s="270"/>
    </row>
    <row r="16" spans="1:27" x14ac:dyDescent="0.2">
      <c r="A16" s="268" t="s">
        <v>1170</v>
      </c>
      <c r="B16" s="352" t="s">
        <v>37</v>
      </c>
      <c r="C16" s="269" t="s">
        <v>1338</v>
      </c>
      <c r="D16" s="276" t="s">
        <v>1161</v>
      </c>
      <c r="E16" s="354"/>
      <c r="F16" s="353" t="s">
        <v>1161</v>
      </c>
      <c r="G16" s="353" t="s">
        <v>1161</v>
      </c>
      <c r="H16" s="353" t="s">
        <v>1161</v>
      </c>
      <c r="I16" s="353"/>
      <c r="J16" s="271" t="s">
        <v>1161</v>
      </c>
      <c r="K16" s="272"/>
      <c r="L16" s="368"/>
      <c r="M16" s="368" t="s">
        <v>1161</v>
      </c>
      <c r="N16" s="369" t="s">
        <v>446</v>
      </c>
      <c r="O16" s="370"/>
      <c r="P16" s="367"/>
      <c r="Q16" s="367"/>
      <c r="R16" s="367"/>
      <c r="S16" s="367"/>
      <c r="T16" s="273"/>
      <c r="U16" s="270"/>
      <c r="V16" s="319"/>
      <c r="W16" s="270"/>
      <c r="X16" s="270"/>
      <c r="Y16" s="270"/>
      <c r="Z16" s="270"/>
      <c r="AA16" s="270"/>
    </row>
    <row r="17" spans="1:27" x14ac:dyDescent="0.2">
      <c r="A17" s="268" t="s">
        <v>1171</v>
      </c>
      <c r="B17" s="352" t="s">
        <v>37</v>
      </c>
      <c r="C17" s="269" t="s">
        <v>1339</v>
      </c>
      <c r="D17" s="276" t="s">
        <v>1161</v>
      </c>
      <c r="E17" s="354" t="s">
        <v>1163</v>
      </c>
      <c r="F17" s="353" t="s">
        <v>1161</v>
      </c>
      <c r="G17" s="353" t="s">
        <v>1161</v>
      </c>
      <c r="H17" s="353"/>
      <c r="I17" s="353" t="s">
        <v>1161</v>
      </c>
      <c r="J17" s="271" t="s">
        <v>1161</v>
      </c>
      <c r="K17" s="272"/>
      <c r="L17" s="368"/>
      <c r="M17" s="368" t="s">
        <v>1161</v>
      </c>
      <c r="N17" s="369"/>
      <c r="O17" s="370"/>
      <c r="P17" s="367"/>
      <c r="Q17" s="367"/>
      <c r="R17" s="367"/>
      <c r="S17" s="367"/>
      <c r="T17" s="273"/>
      <c r="U17" s="270"/>
      <c r="V17" s="319"/>
      <c r="W17" s="270"/>
      <c r="X17" s="270"/>
      <c r="Y17" s="270"/>
      <c r="Z17" s="270"/>
      <c r="AA17" s="270"/>
    </row>
    <row r="18" spans="1:27" x14ac:dyDescent="0.2">
      <c r="A18" s="268" t="s">
        <v>1171</v>
      </c>
      <c r="B18" s="352" t="s">
        <v>37</v>
      </c>
      <c r="C18" s="269" t="s">
        <v>1340</v>
      </c>
      <c r="D18" s="276" t="s">
        <v>1161</v>
      </c>
      <c r="E18" s="354"/>
      <c r="F18" s="353"/>
      <c r="G18" s="353"/>
      <c r="H18" s="353"/>
      <c r="I18" s="353"/>
      <c r="J18" s="271" t="s">
        <v>1161</v>
      </c>
      <c r="K18" s="272"/>
      <c r="L18" s="368"/>
      <c r="M18" s="368" t="s">
        <v>1161</v>
      </c>
      <c r="N18" s="369"/>
      <c r="O18" s="370"/>
      <c r="P18" s="367"/>
      <c r="Q18" s="367"/>
      <c r="R18" s="367"/>
      <c r="S18" s="367"/>
      <c r="T18" s="273"/>
      <c r="U18" s="270"/>
      <c r="V18" s="319"/>
      <c r="W18" s="270"/>
      <c r="X18" s="270"/>
      <c r="Y18" s="270"/>
      <c r="Z18" s="270"/>
      <c r="AA18" s="270"/>
    </row>
    <row r="19" spans="1:27" x14ac:dyDescent="0.2">
      <c r="A19" s="274" t="s">
        <v>1172</v>
      </c>
      <c r="B19" s="352" t="s">
        <v>37</v>
      </c>
      <c r="C19" s="269" t="s">
        <v>1340</v>
      </c>
      <c r="D19" s="276" t="s">
        <v>1161</v>
      </c>
      <c r="E19" s="354" t="s">
        <v>1163</v>
      </c>
      <c r="F19" s="353"/>
      <c r="G19" s="353" t="s">
        <v>1161</v>
      </c>
      <c r="H19" s="353"/>
      <c r="I19" s="353"/>
      <c r="J19" s="271" t="s">
        <v>1161</v>
      </c>
      <c r="K19" s="272"/>
      <c r="L19" s="368"/>
      <c r="M19" s="368"/>
      <c r="N19" s="369"/>
      <c r="O19" s="370"/>
      <c r="P19" s="367"/>
      <c r="Q19" s="367"/>
      <c r="R19" s="367"/>
      <c r="S19" s="367"/>
      <c r="T19" s="273"/>
      <c r="U19" s="270"/>
      <c r="V19" s="319"/>
      <c r="W19" s="270"/>
      <c r="X19" s="270"/>
      <c r="Y19" s="270"/>
      <c r="Z19" s="270"/>
      <c r="AA19" s="270"/>
    </row>
    <row r="20" spans="1:27" x14ac:dyDescent="0.2">
      <c r="A20" s="268" t="s">
        <v>1173</v>
      </c>
      <c r="B20" s="352" t="s">
        <v>39</v>
      </c>
      <c r="C20" s="269" t="s">
        <v>1331</v>
      </c>
      <c r="D20" s="276" t="s">
        <v>1161</v>
      </c>
      <c r="E20" s="354"/>
      <c r="F20" s="353"/>
      <c r="G20" s="353" t="s">
        <v>1161</v>
      </c>
      <c r="H20" s="353" t="s">
        <v>1161</v>
      </c>
      <c r="I20" s="353"/>
      <c r="J20" s="271" t="s">
        <v>1161</v>
      </c>
      <c r="K20" s="268"/>
      <c r="L20" s="370"/>
      <c r="M20" s="370"/>
      <c r="N20" s="369" t="s">
        <v>652</v>
      </c>
      <c r="O20" s="368" t="s">
        <v>1161</v>
      </c>
      <c r="P20" s="352"/>
      <c r="Q20" s="352"/>
      <c r="R20" s="352"/>
      <c r="S20" s="352"/>
      <c r="T20" s="269"/>
      <c r="U20" s="270"/>
      <c r="V20" s="319"/>
      <c r="W20" s="270"/>
      <c r="X20" s="270"/>
      <c r="Y20" s="270"/>
      <c r="Z20" s="270"/>
      <c r="AA20" s="270"/>
    </row>
    <row r="21" spans="1:27" x14ac:dyDescent="0.2">
      <c r="A21" s="356" t="s">
        <v>1181</v>
      </c>
      <c r="B21" s="355" t="s">
        <v>41</v>
      </c>
      <c r="C21" s="277" t="s">
        <v>1344</v>
      </c>
      <c r="D21" s="276" t="s">
        <v>1161</v>
      </c>
      <c r="E21" s="354"/>
      <c r="F21" s="353" t="s">
        <v>1161</v>
      </c>
      <c r="G21" s="353" t="s">
        <v>1161</v>
      </c>
      <c r="H21" s="353" t="s">
        <v>1161</v>
      </c>
      <c r="I21" s="353"/>
      <c r="J21" s="271" t="s">
        <v>1161</v>
      </c>
      <c r="K21" s="268"/>
      <c r="L21" s="370"/>
      <c r="M21" s="370"/>
      <c r="N21" s="369"/>
      <c r="O21" s="353"/>
      <c r="P21" s="372"/>
      <c r="Q21" s="372"/>
      <c r="R21" s="352"/>
      <c r="S21" s="352"/>
      <c r="T21" s="269"/>
      <c r="U21" s="270"/>
      <c r="V21" s="319"/>
      <c r="W21" s="270"/>
      <c r="X21" s="270"/>
      <c r="Y21" s="270"/>
      <c r="Z21" s="270"/>
      <c r="AA21" s="270"/>
    </row>
    <row r="22" spans="1:27" x14ac:dyDescent="0.2">
      <c r="A22" s="356" t="s">
        <v>1182</v>
      </c>
      <c r="B22" s="355" t="s">
        <v>41</v>
      </c>
      <c r="C22" s="277" t="s">
        <v>1337</v>
      </c>
      <c r="D22" s="276" t="s">
        <v>1161</v>
      </c>
      <c r="E22" s="354" t="s">
        <v>446</v>
      </c>
      <c r="F22" s="353" t="s">
        <v>1161</v>
      </c>
      <c r="G22" s="353" t="s">
        <v>1161</v>
      </c>
      <c r="H22" s="353" t="s">
        <v>1161</v>
      </c>
      <c r="I22" s="353" t="s">
        <v>1161</v>
      </c>
      <c r="J22" s="271" t="s">
        <v>1161</v>
      </c>
      <c r="K22" s="268"/>
      <c r="L22" s="368" t="s">
        <v>1161</v>
      </c>
      <c r="M22" s="370"/>
      <c r="N22" s="358"/>
      <c r="O22" s="368" t="s">
        <v>1161</v>
      </c>
      <c r="P22" s="368" t="s">
        <v>1161</v>
      </c>
      <c r="Q22" s="368" t="s">
        <v>1161</v>
      </c>
      <c r="R22" s="352"/>
      <c r="S22" s="352"/>
      <c r="T22" s="269"/>
      <c r="U22" s="270"/>
      <c r="V22" s="319"/>
      <c r="W22" s="270"/>
      <c r="X22" s="270"/>
      <c r="Y22" s="270"/>
      <c r="Z22" s="270"/>
      <c r="AA22" s="270"/>
    </row>
    <row r="23" spans="1:27" x14ac:dyDescent="0.2">
      <c r="A23" s="356" t="s">
        <v>1183</v>
      </c>
      <c r="B23" s="355" t="s">
        <v>41</v>
      </c>
      <c r="C23" s="277" t="s">
        <v>1337</v>
      </c>
      <c r="D23" s="276" t="s">
        <v>1161</v>
      </c>
      <c r="E23" s="354" t="s">
        <v>446</v>
      </c>
      <c r="F23" s="353" t="s">
        <v>1161</v>
      </c>
      <c r="G23" s="353" t="s">
        <v>1161</v>
      </c>
      <c r="H23" s="353" t="s">
        <v>1161</v>
      </c>
      <c r="I23" s="353"/>
      <c r="J23" s="271" t="s">
        <v>1161</v>
      </c>
      <c r="K23" s="268"/>
      <c r="L23" s="368" t="s">
        <v>1161</v>
      </c>
      <c r="M23" s="370"/>
      <c r="N23" s="358"/>
      <c r="O23" s="368" t="s">
        <v>1161</v>
      </c>
      <c r="P23" s="368" t="s">
        <v>1161</v>
      </c>
      <c r="Q23" s="368" t="s">
        <v>1161</v>
      </c>
      <c r="R23" s="352"/>
      <c r="S23" s="352"/>
      <c r="T23" s="269"/>
      <c r="U23" s="270"/>
      <c r="V23" s="319"/>
      <c r="W23" s="270"/>
      <c r="X23" s="270"/>
      <c r="Y23" s="270"/>
      <c r="Z23" s="270"/>
      <c r="AA23" s="270"/>
    </row>
    <row r="24" spans="1:27" x14ac:dyDescent="0.2">
      <c r="A24" s="268" t="s">
        <v>1174</v>
      </c>
      <c r="B24" s="352" t="s">
        <v>43</v>
      </c>
      <c r="C24" s="269" t="s">
        <v>1331</v>
      </c>
      <c r="D24" s="276" t="s">
        <v>1161</v>
      </c>
      <c r="E24" s="354"/>
      <c r="F24" s="353"/>
      <c r="G24" s="353" t="s">
        <v>1161</v>
      </c>
      <c r="H24" s="353" t="s">
        <v>1161</v>
      </c>
      <c r="I24" s="353" t="s">
        <v>1161</v>
      </c>
      <c r="J24" s="271" t="s">
        <v>1161</v>
      </c>
      <c r="K24" s="268"/>
      <c r="L24" s="370"/>
      <c r="M24" s="370"/>
      <c r="N24" s="369" t="s">
        <v>652</v>
      </c>
      <c r="O24" s="368" t="s">
        <v>1161</v>
      </c>
      <c r="P24" s="367"/>
      <c r="Q24" s="367"/>
      <c r="R24" s="352"/>
      <c r="S24" s="352"/>
      <c r="T24" s="269"/>
      <c r="U24" s="270"/>
      <c r="V24" s="319"/>
      <c r="W24" s="270"/>
      <c r="X24" s="270"/>
      <c r="Y24" s="270"/>
      <c r="Z24" s="270"/>
      <c r="AA24" s="270"/>
    </row>
    <row r="25" spans="1:27" x14ac:dyDescent="0.2">
      <c r="A25" s="274" t="s">
        <v>1175</v>
      </c>
      <c r="B25" s="355" t="s">
        <v>45</v>
      </c>
      <c r="C25" s="275" t="s">
        <v>1341</v>
      </c>
      <c r="D25" s="276" t="s">
        <v>1161</v>
      </c>
      <c r="E25" s="354"/>
      <c r="F25" s="353" t="s">
        <v>1161</v>
      </c>
      <c r="G25" s="353" t="s">
        <v>1161</v>
      </c>
      <c r="H25" s="353"/>
      <c r="I25" s="353" t="s">
        <v>1161</v>
      </c>
      <c r="J25" s="271" t="s">
        <v>1161</v>
      </c>
      <c r="K25" s="268"/>
      <c r="L25" s="368" t="s">
        <v>1161</v>
      </c>
      <c r="M25" s="368" t="s">
        <v>1161</v>
      </c>
      <c r="N25" s="369"/>
      <c r="O25" s="368" t="s">
        <v>1161</v>
      </c>
      <c r="P25" s="353" t="s">
        <v>1161</v>
      </c>
      <c r="Q25" s="353"/>
      <c r="R25" s="352"/>
      <c r="S25" s="352"/>
      <c r="T25" s="269"/>
      <c r="U25" s="270"/>
      <c r="V25" s="319"/>
      <c r="W25" s="270"/>
      <c r="X25" s="270"/>
      <c r="Y25" s="270"/>
      <c r="Z25" s="270"/>
      <c r="AA25" s="270"/>
    </row>
    <row r="26" spans="1:27" x14ac:dyDescent="0.2">
      <c r="A26" s="274" t="s">
        <v>1176</v>
      </c>
      <c r="B26" s="355" t="s">
        <v>45</v>
      </c>
      <c r="C26" s="275" t="s">
        <v>1329</v>
      </c>
      <c r="D26" s="276" t="s">
        <v>1161</v>
      </c>
      <c r="E26" s="354" t="s">
        <v>1163</v>
      </c>
      <c r="F26" s="353" t="s">
        <v>1161</v>
      </c>
      <c r="G26" s="353" t="s">
        <v>1161</v>
      </c>
      <c r="H26" s="353" t="s">
        <v>1161</v>
      </c>
      <c r="I26" s="353" t="s">
        <v>1161</v>
      </c>
      <c r="J26" s="271" t="s">
        <v>1161</v>
      </c>
      <c r="K26" s="268"/>
      <c r="L26" s="370"/>
      <c r="M26" s="370"/>
      <c r="N26" s="369" t="s">
        <v>446</v>
      </c>
      <c r="O26" s="353"/>
      <c r="P26" s="353" t="s">
        <v>1161</v>
      </c>
      <c r="Q26" s="353"/>
      <c r="R26" s="352"/>
      <c r="S26" s="352"/>
      <c r="T26" s="269"/>
      <c r="U26" s="270"/>
      <c r="V26" s="319"/>
      <c r="W26" s="270"/>
      <c r="X26" s="270"/>
      <c r="Y26" s="270"/>
      <c r="Z26" s="270"/>
      <c r="AA26" s="270"/>
    </row>
    <row r="27" spans="1:27" x14ac:dyDescent="0.2">
      <c r="A27" s="274" t="s">
        <v>1177</v>
      </c>
      <c r="B27" s="355" t="s">
        <v>45</v>
      </c>
      <c r="C27" s="275" t="s">
        <v>1330</v>
      </c>
      <c r="D27" s="276" t="s">
        <v>1161</v>
      </c>
      <c r="E27" s="354" t="s">
        <v>1163</v>
      </c>
      <c r="F27" s="353"/>
      <c r="G27" s="353" t="s">
        <v>1161</v>
      </c>
      <c r="H27" s="353"/>
      <c r="I27" s="353" t="s">
        <v>1161</v>
      </c>
      <c r="J27" s="271" t="s">
        <v>1161</v>
      </c>
      <c r="K27" s="268"/>
      <c r="L27" s="368"/>
      <c r="M27" s="370"/>
      <c r="N27" s="369" t="s">
        <v>446</v>
      </c>
      <c r="O27" s="368" t="s">
        <v>1161</v>
      </c>
      <c r="P27" s="368"/>
      <c r="Q27" s="368"/>
      <c r="R27" s="352"/>
      <c r="S27" s="352"/>
      <c r="T27" s="269"/>
      <c r="U27" s="270"/>
      <c r="V27" s="319"/>
      <c r="W27" s="270"/>
      <c r="X27" s="270"/>
      <c r="Y27" s="270"/>
      <c r="Z27" s="270"/>
      <c r="AA27" s="270"/>
    </row>
    <row r="28" spans="1:27" x14ac:dyDescent="0.2">
      <c r="A28" s="274" t="s">
        <v>1178</v>
      </c>
      <c r="B28" s="355" t="s">
        <v>45</v>
      </c>
      <c r="C28" s="275" t="s">
        <v>1342</v>
      </c>
      <c r="D28" s="276" t="s">
        <v>1161</v>
      </c>
      <c r="E28" s="354" t="s">
        <v>1163</v>
      </c>
      <c r="F28" s="353"/>
      <c r="G28" s="353" t="s">
        <v>1161</v>
      </c>
      <c r="H28" s="353" t="s">
        <v>1161</v>
      </c>
      <c r="I28" s="353" t="s">
        <v>1161</v>
      </c>
      <c r="J28" s="271" t="s">
        <v>1161</v>
      </c>
      <c r="K28" s="268"/>
      <c r="L28" s="370"/>
      <c r="M28" s="370"/>
      <c r="N28" s="369"/>
      <c r="O28" s="353"/>
      <c r="P28" s="353" t="s">
        <v>1161</v>
      </c>
      <c r="Q28" s="353"/>
      <c r="R28" s="352"/>
      <c r="S28" s="352"/>
      <c r="T28" s="269"/>
      <c r="U28" s="270"/>
      <c r="V28" s="319"/>
      <c r="W28" s="270"/>
      <c r="X28" s="270"/>
      <c r="Y28" s="270"/>
      <c r="Z28" s="270"/>
      <c r="AA28" s="270"/>
    </row>
    <row r="29" spans="1:27" x14ac:dyDescent="0.2">
      <c r="A29" s="274" t="s">
        <v>1179</v>
      </c>
      <c r="B29" s="355" t="s">
        <v>45</v>
      </c>
      <c r="C29" s="275" t="s">
        <v>1342</v>
      </c>
      <c r="D29" s="276" t="s">
        <v>1161</v>
      </c>
      <c r="E29" s="354" t="s">
        <v>1163</v>
      </c>
      <c r="F29" s="353" t="s">
        <v>1161</v>
      </c>
      <c r="G29" s="353" t="s">
        <v>1161</v>
      </c>
      <c r="H29" s="353" t="s">
        <v>1161</v>
      </c>
      <c r="I29" s="353" t="s">
        <v>1161</v>
      </c>
      <c r="J29" s="271" t="s">
        <v>1161</v>
      </c>
      <c r="K29" s="268"/>
      <c r="L29" s="370"/>
      <c r="M29" s="370"/>
      <c r="N29" s="369"/>
      <c r="O29" s="353"/>
      <c r="P29" s="368"/>
      <c r="Q29" s="368"/>
      <c r="R29" s="352"/>
      <c r="S29" s="352"/>
      <c r="T29" s="269"/>
      <c r="U29" s="270"/>
      <c r="V29" s="319"/>
      <c r="W29" s="270"/>
      <c r="X29" s="270"/>
      <c r="Y29" s="270"/>
      <c r="Z29" s="270"/>
      <c r="AA29" s="270"/>
    </row>
    <row r="30" spans="1:27" x14ac:dyDescent="0.2">
      <c r="A30" s="274" t="s">
        <v>1180</v>
      </c>
      <c r="B30" s="355" t="s">
        <v>45</v>
      </c>
      <c r="C30" s="275" t="s">
        <v>1332</v>
      </c>
      <c r="D30" s="276" t="s">
        <v>1161</v>
      </c>
      <c r="E30" s="354" t="s">
        <v>1163</v>
      </c>
      <c r="F30" s="353" t="s">
        <v>1161</v>
      </c>
      <c r="G30" s="353" t="s">
        <v>1161</v>
      </c>
      <c r="H30" s="353" t="s">
        <v>1161</v>
      </c>
      <c r="I30" s="353"/>
      <c r="J30" s="271" t="s">
        <v>1161</v>
      </c>
      <c r="K30" s="268"/>
      <c r="L30" s="370"/>
      <c r="M30" s="370"/>
      <c r="N30" s="369"/>
      <c r="O30" s="353"/>
      <c r="P30" s="368"/>
      <c r="Q30" s="353" t="s">
        <v>1161</v>
      </c>
      <c r="R30" s="352"/>
      <c r="S30" s="352"/>
      <c r="T30" s="269"/>
      <c r="U30" s="270"/>
      <c r="V30" s="319"/>
      <c r="W30" s="270"/>
      <c r="X30" s="270"/>
      <c r="Y30" s="270"/>
      <c r="Z30" s="270"/>
      <c r="AA30" s="270"/>
    </row>
    <row r="31" spans="1:27" x14ac:dyDescent="0.2">
      <c r="A31" s="274" t="s">
        <v>1178</v>
      </c>
      <c r="B31" s="355" t="s">
        <v>45</v>
      </c>
      <c r="C31" s="275" t="s">
        <v>1343</v>
      </c>
      <c r="D31" s="276" t="s">
        <v>1161</v>
      </c>
      <c r="E31" s="354" t="s">
        <v>1163</v>
      </c>
      <c r="F31" s="353"/>
      <c r="G31" s="353" t="s">
        <v>1161</v>
      </c>
      <c r="H31" s="353" t="s">
        <v>1161</v>
      </c>
      <c r="I31" s="353" t="s">
        <v>1161</v>
      </c>
      <c r="J31" s="271" t="s">
        <v>1161</v>
      </c>
      <c r="K31" s="268"/>
      <c r="L31" s="368" t="s">
        <v>1161</v>
      </c>
      <c r="M31" s="370"/>
      <c r="N31" s="369"/>
      <c r="O31" s="353"/>
      <c r="P31" s="353" t="s">
        <v>1161</v>
      </c>
      <c r="Q31" s="353"/>
      <c r="R31" s="352"/>
      <c r="S31" s="352"/>
      <c r="T31" s="269"/>
      <c r="U31" s="270"/>
      <c r="V31" s="319"/>
      <c r="W31" s="270"/>
      <c r="X31" s="270"/>
      <c r="Y31" s="270"/>
      <c r="Z31" s="270"/>
      <c r="AA31" s="270"/>
    </row>
    <row r="32" spans="1:27" x14ac:dyDescent="0.2">
      <c r="A32" s="274" t="s">
        <v>1179</v>
      </c>
      <c r="B32" s="355" t="s">
        <v>45</v>
      </c>
      <c r="C32" s="275" t="s">
        <v>1343</v>
      </c>
      <c r="D32" s="276" t="s">
        <v>1161</v>
      </c>
      <c r="E32" s="354" t="s">
        <v>1163</v>
      </c>
      <c r="F32" s="353"/>
      <c r="G32" s="353" t="s">
        <v>1161</v>
      </c>
      <c r="H32" s="353" t="s">
        <v>1161</v>
      </c>
      <c r="I32" s="353" t="s">
        <v>1161</v>
      </c>
      <c r="J32" s="271" t="s">
        <v>1161</v>
      </c>
      <c r="K32" s="268"/>
      <c r="L32" s="370"/>
      <c r="M32" s="370"/>
      <c r="N32" s="369"/>
      <c r="O32" s="353"/>
      <c r="P32" s="372"/>
      <c r="Q32" s="372"/>
      <c r="R32" s="352"/>
      <c r="S32" s="352"/>
      <c r="T32" s="269"/>
      <c r="U32" s="270"/>
      <c r="V32" s="319"/>
      <c r="W32" s="270"/>
      <c r="X32" s="270"/>
      <c r="Y32" s="270"/>
      <c r="Z32" s="270"/>
      <c r="AA32" s="270"/>
    </row>
    <row r="33" spans="1:27" x14ac:dyDescent="0.2">
      <c r="A33" s="268" t="s">
        <v>46</v>
      </c>
      <c r="B33" s="352" t="s">
        <v>47</v>
      </c>
      <c r="C33" s="269" t="s">
        <v>1345</v>
      </c>
      <c r="D33" s="276" t="s">
        <v>1161</v>
      </c>
      <c r="E33" s="354"/>
      <c r="F33" s="353"/>
      <c r="G33" s="353" t="s">
        <v>1161</v>
      </c>
      <c r="H33" s="353"/>
      <c r="I33" s="353"/>
      <c r="J33" s="271" t="s">
        <v>1161</v>
      </c>
      <c r="K33" s="268"/>
      <c r="L33" s="370"/>
      <c r="M33" s="370"/>
      <c r="N33" s="369"/>
      <c r="O33" s="368"/>
      <c r="P33" s="367"/>
      <c r="Q33" s="367"/>
      <c r="R33" s="352"/>
      <c r="S33" s="352"/>
      <c r="T33" s="269"/>
      <c r="U33" s="270"/>
      <c r="V33" s="319"/>
      <c r="W33" s="270"/>
      <c r="X33" s="270"/>
      <c r="Y33" s="270"/>
      <c r="Z33" s="270"/>
      <c r="AA33" s="270"/>
    </row>
    <row r="34" spans="1:27" x14ac:dyDescent="0.2">
      <c r="A34" s="268" t="s">
        <v>46</v>
      </c>
      <c r="B34" s="352" t="s">
        <v>47</v>
      </c>
      <c r="C34" s="269" t="s">
        <v>1334</v>
      </c>
      <c r="D34" s="276" t="s">
        <v>1161</v>
      </c>
      <c r="E34" s="354"/>
      <c r="F34" s="353"/>
      <c r="G34" s="353" t="s">
        <v>1161</v>
      </c>
      <c r="H34" s="353"/>
      <c r="I34" s="353"/>
      <c r="J34" s="271" t="s">
        <v>1161</v>
      </c>
      <c r="K34" s="268"/>
      <c r="L34" s="370"/>
      <c r="M34" s="367"/>
      <c r="N34" s="369"/>
      <c r="O34" s="368"/>
      <c r="P34" s="367"/>
      <c r="Q34" s="367"/>
      <c r="R34" s="352"/>
      <c r="S34" s="352"/>
      <c r="T34" s="269"/>
      <c r="U34" s="270"/>
      <c r="V34" s="319"/>
      <c r="W34" s="270"/>
      <c r="X34" s="270"/>
      <c r="Y34" s="270"/>
      <c r="Z34" s="270"/>
      <c r="AA34" s="270"/>
    </row>
    <row r="35" spans="1:27" x14ac:dyDescent="0.2">
      <c r="A35" s="356" t="s">
        <v>1225</v>
      </c>
      <c r="B35" s="357" t="s">
        <v>49</v>
      </c>
      <c r="C35" s="277" t="s">
        <v>1348</v>
      </c>
      <c r="D35" s="276" t="s">
        <v>1161</v>
      </c>
      <c r="E35" s="354"/>
      <c r="F35" s="358"/>
      <c r="G35" s="353" t="s">
        <v>1161</v>
      </c>
      <c r="H35" s="353"/>
      <c r="I35" s="353" t="s">
        <v>1161</v>
      </c>
      <c r="J35" s="271" t="s">
        <v>1161</v>
      </c>
      <c r="K35" s="268"/>
      <c r="L35" s="370"/>
      <c r="M35" s="367"/>
      <c r="N35" s="369"/>
      <c r="O35" s="368"/>
      <c r="P35" s="367"/>
      <c r="Q35" s="367"/>
      <c r="R35" s="352"/>
      <c r="S35" s="352"/>
      <c r="T35" s="269"/>
      <c r="U35" s="270"/>
      <c r="V35" s="319"/>
      <c r="W35" s="270"/>
      <c r="X35" s="270"/>
      <c r="Y35" s="270"/>
      <c r="Z35" s="270"/>
      <c r="AA35" s="270"/>
    </row>
    <row r="36" spans="1:27" x14ac:dyDescent="0.2">
      <c r="A36" s="356" t="s">
        <v>1225</v>
      </c>
      <c r="B36" s="357" t="s">
        <v>49</v>
      </c>
      <c r="C36" s="277" t="s">
        <v>1327</v>
      </c>
      <c r="D36" s="276" t="s">
        <v>1161</v>
      </c>
      <c r="E36" s="354" t="s">
        <v>1163</v>
      </c>
      <c r="F36" s="358"/>
      <c r="G36" s="353" t="s">
        <v>1161</v>
      </c>
      <c r="H36" s="353"/>
      <c r="I36" s="353" t="s">
        <v>1161</v>
      </c>
      <c r="J36" s="271" t="s">
        <v>1161</v>
      </c>
      <c r="K36" s="268"/>
      <c r="L36" s="370"/>
      <c r="M36" s="367"/>
      <c r="N36" s="369"/>
      <c r="O36" s="368"/>
      <c r="P36" s="367"/>
      <c r="Q36" s="367"/>
      <c r="R36" s="352"/>
      <c r="S36" s="352"/>
      <c r="T36" s="269"/>
      <c r="U36" s="270"/>
      <c r="V36" s="319"/>
      <c r="W36" s="270"/>
      <c r="X36" s="270"/>
      <c r="Y36" s="270"/>
      <c r="Z36" s="270"/>
      <c r="AA36" s="270"/>
    </row>
    <row r="37" spans="1:27" x14ac:dyDescent="0.2">
      <c r="A37" s="356" t="s">
        <v>1227</v>
      </c>
      <c r="B37" s="357" t="s">
        <v>49</v>
      </c>
      <c r="C37" s="357" t="s">
        <v>1327</v>
      </c>
      <c r="D37" s="276" t="s">
        <v>1161</v>
      </c>
      <c r="E37" s="354"/>
      <c r="F37" s="353"/>
      <c r="G37" s="353" t="s">
        <v>1161</v>
      </c>
      <c r="H37" s="353" t="s">
        <v>1161</v>
      </c>
      <c r="I37" s="353" t="s">
        <v>1161</v>
      </c>
      <c r="J37" s="271" t="s">
        <v>1161</v>
      </c>
      <c r="K37" s="268"/>
      <c r="L37" s="370"/>
      <c r="M37" s="367"/>
      <c r="N37" s="369"/>
      <c r="O37" s="368"/>
      <c r="P37" s="367"/>
      <c r="Q37" s="367"/>
      <c r="R37" s="352"/>
      <c r="S37" s="352"/>
      <c r="T37" s="278"/>
      <c r="U37" s="270"/>
      <c r="V37" s="319"/>
      <c r="W37" s="270"/>
      <c r="X37" s="270"/>
      <c r="Y37" s="270"/>
      <c r="Z37" s="270"/>
      <c r="AA37" s="270"/>
    </row>
    <row r="38" spans="1:27" x14ac:dyDescent="0.2">
      <c r="A38" s="356" t="s">
        <v>1228</v>
      </c>
      <c r="B38" s="357" t="s">
        <v>49</v>
      </c>
      <c r="C38" s="357" t="s">
        <v>1348</v>
      </c>
      <c r="D38" s="276" t="s">
        <v>1161</v>
      </c>
      <c r="E38" s="354" t="s">
        <v>1163</v>
      </c>
      <c r="F38" s="353"/>
      <c r="G38" s="353" t="s">
        <v>1161</v>
      </c>
      <c r="H38" s="353"/>
      <c r="I38" s="353" t="s">
        <v>1161</v>
      </c>
      <c r="J38" s="271" t="s">
        <v>1161</v>
      </c>
      <c r="K38" s="268"/>
      <c r="L38" s="370"/>
      <c r="M38" s="367"/>
      <c r="N38" s="369"/>
      <c r="O38" s="368"/>
      <c r="P38" s="367"/>
      <c r="Q38" s="367"/>
      <c r="R38" s="352"/>
      <c r="S38" s="352"/>
      <c r="T38" s="278" t="s">
        <v>1161</v>
      </c>
      <c r="U38" s="270"/>
      <c r="V38" s="319"/>
      <c r="W38" s="270"/>
      <c r="X38" s="270"/>
      <c r="Y38" s="270"/>
      <c r="Z38" s="270"/>
      <c r="AA38" s="270"/>
    </row>
    <row r="39" spans="1:27" x14ac:dyDescent="0.2">
      <c r="A39" s="356" t="s">
        <v>1184</v>
      </c>
      <c r="B39" s="357" t="s">
        <v>52</v>
      </c>
      <c r="C39" s="277" t="s">
        <v>1335</v>
      </c>
      <c r="D39" s="276" t="s">
        <v>1161</v>
      </c>
      <c r="E39" s="354" t="s">
        <v>446</v>
      </c>
      <c r="F39" s="353" t="s">
        <v>1161</v>
      </c>
      <c r="G39" s="353" t="s">
        <v>1161</v>
      </c>
      <c r="H39" s="353"/>
      <c r="I39" s="353" t="s">
        <v>1161</v>
      </c>
      <c r="J39" s="271" t="s">
        <v>1161</v>
      </c>
      <c r="K39" s="268"/>
      <c r="L39" s="368" t="s">
        <v>1161</v>
      </c>
      <c r="M39" s="367"/>
      <c r="N39" s="358"/>
      <c r="O39" s="368" t="s">
        <v>1161</v>
      </c>
      <c r="P39" s="368" t="s">
        <v>1161</v>
      </c>
      <c r="Q39" s="368" t="s">
        <v>1161</v>
      </c>
      <c r="R39" s="352"/>
      <c r="S39" s="352"/>
      <c r="T39" s="269"/>
      <c r="U39" s="270"/>
      <c r="V39" s="319"/>
      <c r="W39" s="270"/>
      <c r="X39" s="270"/>
      <c r="Y39" s="270"/>
      <c r="Z39" s="270"/>
      <c r="AA39" s="270"/>
    </row>
    <row r="40" spans="1:27" x14ac:dyDescent="0.2">
      <c r="A40" s="356" t="s">
        <v>1185</v>
      </c>
      <c r="B40" s="357" t="s">
        <v>52</v>
      </c>
      <c r="C40" s="277" t="s">
        <v>1346</v>
      </c>
      <c r="D40" s="276" t="s">
        <v>1161</v>
      </c>
      <c r="E40" s="354" t="s">
        <v>446</v>
      </c>
      <c r="F40" s="353" t="s">
        <v>1161</v>
      </c>
      <c r="G40" s="353" t="s">
        <v>1161</v>
      </c>
      <c r="H40" s="353" t="s">
        <v>1161</v>
      </c>
      <c r="I40" s="353"/>
      <c r="J40" s="271" t="s">
        <v>1161</v>
      </c>
      <c r="K40" s="268"/>
      <c r="L40" s="368" t="s">
        <v>1161</v>
      </c>
      <c r="M40" s="368" t="s">
        <v>1161</v>
      </c>
      <c r="N40" s="369"/>
      <c r="O40" s="368"/>
      <c r="P40" s="367"/>
      <c r="Q40" s="368" t="s">
        <v>1161</v>
      </c>
      <c r="R40" s="352"/>
      <c r="S40" s="368" t="s">
        <v>1161</v>
      </c>
      <c r="T40" s="269"/>
      <c r="U40" s="270"/>
      <c r="V40" s="319"/>
      <c r="W40" s="270"/>
      <c r="X40" s="270"/>
      <c r="Y40" s="270"/>
      <c r="Z40" s="270"/>
      <c r="AA40" s="270"/>
    </row>
    <row r="41" spans="1:27" x14ac:dyDescent="0.2">
      <c r="A41" s="356" t="s">
        <v>1186</v>
      </c>
      <c r="B41" s="357" t="s">
        <v>52</v>
      </c>
      <c r="C41" s="277" t="s">
        <v>1346</v>
      </c>
      <c r="D41" s="276" t="s">
        <v>1161</v>
      </c>
      <c r="E41" s="354" t="s">
        <v>446</v>
      </c>
      <c r="F41" s="353" t="s">
        <v>1161</v>
      </c>
      <c r="G41" s="353" t="s">
        <v>1161</v>
      </c>
      <c r="H41" s="353" t="s">
        <v>1161</v>
      </c>
      <c r="I41" s="353"/>
      <c r="J41" s="271" t="s">
        <v>1161</v>
      </c>
      <c r="K41" s="268"/>
      <c r="L41" s="368" t="s">
        <v>1161</v>
      </c>
      <c r="M41" s="368" t="s">
        <v>1161</v>
      </c>
      <c r="N41" s="369"/>
      <c r="O41" s="368"/>
      <c r="P41" s="367"/>
      <c r="Q41" s="368" t="s">
        <v>1161</v>
      </c>
      <c r="R41" s="352"/>
      <c r="S41" s="368" t="s">
        <v>1161</v>
      </c>
      <c r="T41" s="269"/>
      <c r="U41" s="270"/>
      <c r="V41" s="319"/>
      <c r="W41" s="270"/>
      <c r="X41" s="270"/>
      <c r="Y41" s="270"/>
      <c r="Z41" s="270"/>
      <c r="AA41" s="270"/>
    </row>
    <row r="42" spans="1:27" x14ac:dyDescent="0.2">
      <c r="A42" s="356" t="s">
        <v>1187</v>
      </c>
      <c r="B42" s="357" t="s">
        <v>52</v>
      </c>
      <c r="C42" s="277" t="s">
        <v>1347</v>
      </c>
      <c r="D42" s="276" t="s">
        <v>1161</v>
      </c>
      <c r="E42" s="354" t="s">
        <v>1163</v>
      </c>
      <c r="F42" s="353" t="s">
        <v>1161</v>
      </c>
      <c r="G42" s="353" t="s">
        <v>1161</v>
      </c>
      <c r="H42" s="353"/>
      <c r="I42" s="353"/>
      <c r="J42" s="271" t="s">
        <v>1161</v>
      </c>
      <c r="K42" s="268"/>
      <c r="L42" s="368" t="s">
        <v>1161</v>
      </c>
      <c r="M42" s="367"/>
      <c r="N42" s="369"/>
      <c r="O42" s="368"/>
      <c r="P42" s="368" t="s">
        <v>1161</v>
      </c>
      <c r="Q42" s="368" t="s">
        <v>1161</v>
      </c>
      <c r="R42" s="352"/>
      <c r="S42" s="352"/>
      <c r="T42" s="269"/>
      <c r="U42" s="270"/>
      <c r="V42" s="319"/>
      <c r="W42" s="270"/>
      <c r="X42" s="270"/>
      <c r="Y42" s="270"/>
      <c r="Z42" s="270"/>
      <c r="AA42" s="270"/>
    </row>
    <row r="43" spans="1:27" x14ac:dyDescent="0.2">
      <c r="A43" s="359" t="s">
        <v>1188</v>
      </c>
      <c r="B43" s="360" t="s">
        <v>54</v>
      </c>
      <c r="C43" s="332" t="s">
        <v>1366</v>
      </c>
      <c r="D43" s="333" t="s">
        <v>1161</v>
      </c>
      <c r="E43" s="334" t="s">
        <v>446</v>
      </c>
      <c r="F43" s="335" t="s">
        <v>1161</v>
      </c>
      <c r="G43" s="335" t="s">
        <v>1161</v>
      </c>
      <c r="H43" s="335" t="s">
        <v>1161</v>
      </c>
      <c r="I43" s="335" t="s">
        <v>1367</v>
      </c>
      <c r="J43" s="336" t="s">
        <v>1161</v>
      </c>
      <c r="K43" s="337"/>
      <c r="L43" s="368" t="s">
        <v>1161</v>
      </c>
      <c r="M43" s="368"/>
      <c r="N43" s="373"/>
      <c r="O43" s="368" t="s">
        <v>1161</v>
      </c>
      <c r="P43" s="335"/>
      <c r="Q43" s="335" t="s">
        <v>1161</v>
      </c>
      <c r="R43" s="374"/>
      <c r="S43" s="374"/>
      <c r="T43" s="338"/>
      <c r="U43" s="270"/>
      <c r="V43" s="319"/>
      <c r="W43" s="270"/>
      <c r="X43" s="270"/>
      <c r="Y43" s="270"/>
      <c r="Z43" s="270"/>
      <c r="AA43" s="270"/>
    </row>
    <row r="44" spans="1:27" x14ac:dyDescent="0.2">
      <c r="A44" s="359" t="s">
        <v>1189</v>
      </c>
      <c r="B44" s="360" t="s">
        <v>54</v>
      </c>
      <c r="C44" s="332" t="s">
        <v>1366</v>
      </c>
      <c r="D44" s="333" t="s">
        <v>1161</v>
      </c>
      <c r="E44" s="334" t="s">
        <v>446</v>
      </c>
      <c r="F44" s="335" t="s">
        <v>1161</v>
      </c>
      <c r="G44" s="335" t="s">
        <v>1161</v>
      </c>
      <c r="H44" s="335" t="s">
        <v>1161</v>
      </c>
      <c r="I44" s="335" t="s">
        <v>1367</v>
      </c>
      <c r="J44" s="336" t="s">
        <v>1161</v>
      </c>
      <c r="K44" s="337"/>
      <c r="L44" s="368" t="s">
        <v>1161</v>
      </c>
      <c r="M44" s="368"/>
      <c r="N44" s="373"/>
      <c r="O44" s="368" t="s">
        <v>1161</v>
      </c>
      <c r="P44" s="335"/>
      <c r="Q44" s="335" t="s">
        <v>1161</v>
      </c>
      <c r="R44" s="374"/>
      <c r="S44" s="374"/>
      <c r="T44" s="338"/>
      <c r="U44" s="270"/>
      <c r="V44" s="319"/>
      <c r="W44" s="270"/>
      <c r="X44" s="270"/>
      <c r="Y44" s="270"/>
      <c r="Z44" s="270"/>
      <c r="AA44" s="270"/>
    </row>
    <row r="45" spans="1:27" x14ac:dyDescent="0.2">
      <c r="A45" s="359" t="s">
        <v>1190</v>
      </c>
      <c r="B45" s="360" t="s">
        <v>54</v>
      </c>
      <c r="C45" s="332" t="s">
        <v>1366</v>
      </c>
      <c r="D45" s="333" t="s">
        <v>1161</v>
      </c>
      <c r="E45" s="334" t="s">
        <v>446</v>
      </c>
      <c r="F45" s="335" t="s">
        <v>1161</v>
      </c>
      <c r="G45" s="335" t="s">
        <v>1161</v>
      </c>
      <c r="H45" s="335" t="s">
        <v>1161</v>
      </c>
      <c r="I45" s="335" t="s">
        <v>1367</v>
      </c>
      <c r="J45" s="336" t="s">
        <v>1161</v>
      </c>
      <c r="K45" s="337"/>
      <c r="L45" s="368" t="s">
        <v>1161</v>
      </c>
      <c r="M45" s="368"/>
      <c r="N45" s="373"/>
      <c r="O45" s="368" t="s">
        <v>1161</v>
      </c>
      <c r="P45" s="339"/>
      <c r="Q45" s="335" t="s">
        <v>1161</v>
      </c>
      <c r="R45" s="374"/>
      <c r="S45" s="374"/>
      <c r="T45" s="338"/>
      <c r="U45" s="270"/>
      <c r="V45" s="319"/>
      <c r="W45" s="270"/>
      <c r="X45" s="270"/>
      <c r="Y45" s="270"/>
      <c r="Z45" s="270"/>
      <c r="AA45" s="270"/>
    </row>
    <row r="46" spans="1:27" x14ac:dyDescent="0.2">
      <c r="A46" s="274" t="s">
        <v>1193</v>
      </c>
      <c r="B46" s="355" t="s">
        <v>56</v>
      </c>
      <c r="C46" s="355" t="s">
        <v>1341</v>
      </c>
      <c r="D46" s="276" t="s">
        <v>1161</v>
      </c>
      <c r="E46" s="354"/>
      <c r="F46" s="353"/>
      <c r="G46" s="353" t="s">
        <v>1161</v>
      </c>
      <c r="H46" s="353"/>
      <c r="I46" s="353" t="s">
        <v>1161</v>
      </c>
      <c r="J46" s="271" t="s">
        <v>1161</v>
      </c>
      <c r="K46" s="268"/>
      <c r="L46" s="370"/>
      <c r="M46" s="367"/>
      <c r="N46" s="369"/>
      <c r="O46" s="368" t="s">
        <v>1161</v>
      </c>
      <c r="P46" s="353" t="s">
        <v>1161</v>
      </c>
      <c r="Q46" s="367"/>
      <c r="R46" s="352"/>
      <c r="S46" s="352"/>
      <c r="T46" s="269"/>
      <c r="U46" s="270"/>
      <c r="V46" s="319"/>
      <c r="W46" s="270"/>
      <c r="X46" s="270"/>
      <c r="Y46" s="270"/>
      <c r="Z46" s="270"/>
      <c r="AA46" s="270"/>
    </row>
    <row r="47" spans="1:27" x14ac:dyDescent="0.2">
      <c r="A47" s="268" t="s">
        <v>1199</v>
      </c>
      <c r="B47" s="352" t="s">
        <v>56</v>
      </c>
      <c r="C47" s="352" t="s">
        <v>1341</v>
      </c>
      <c r="D47" s="276" t="s">
        <v>1161</v>
      </c>
      <c r="E47" s="354"/>
      <c r="F47" s="353"/>
      <c r="G47" s="353" t="s">
        <v>1161</v>
      </c>
      <c r="H47" s="353"/>
      <c r="I47" s="353" t="s">
        <v>1161</v>
      </c>
      <c r="J47" s="271" t="s">
        <v>1161</v>
      </c>
      <c r="K47" s="279"/>
      <c r="L47" s="368" t="s">
        <v>1161</v>
      </c>
      <c r="M47" s="368" t="s">
        <v>1161</v>
      </c>
      <c r="N47" s="369" t="s">
        <v>446</v>
      </c>
      <c r="O47" s="368" t="s">
        <v>1161</v>
      </c>
      <c r="P47" s="353"/>
      <c r="Q47" s="375"/>
      <c r="R47" s="375"/>
      <c r="S47" s="375"/>
      <c r="T47" s="280"/>
      <c r="U47" s="270"/>
      <c r="V47" s="319"/>
      <c r="W47" s="270"/>
      <c r="X47" s="270"/>
      <c r="Y47" s="270"/>
      <c r="Z47" s="270"/>
      <c r="AA47" s="270"/>
    </row>
    <row r="48" spans="1:27" x14ac:dyDescent="0.2">
      <c r="A48" s="268" t="s">
        <v>1349</v>
      </c>
      <c r="B48" s="352" t="s">
        <v>58</v>
      </c>
      <c r="C48" s="352" t="s">
        <v>1350</v>
      </c>
      <c r="D48" s="276" t="s">
        <v>1161</v>
      </c>
      <c r="E48" s="354"/>
      <c r="F48" s="353"/>
      <c r="G48" s="353" t="s">
        <v>1161</v>
      </c>
      <c r="H48" s="353"/>
      <c r="I48" s="353"/>
      <c r="J48" s="271" t="s">
        <v>1161</v>
      </c>
      <c r="K48" s="268"/>
      <c r="L48" s="370"/>
      <c r="M48" s="368"/>
      <c r="N48" s="369"/>
      <c r="O48" s="368" t="s">
        <v>1161</v>
      </c>
      <c r="P48" s="352"/>
      <c r="Q48" s="352"/>
      <c r="R48" s="352"/>
      <c r="S48" s="352"/>
      <c r="T48" s="269"/>
      <c r="U48" s="270"/>
      <c r="V48" s="319"/>
      <c r="W48" s="270"/>
      <c r="X48" s="270"/>
      <c r="Y48" s="270"/>
      <c r="Z48" s="270"/>
      <c r="AA48" s="270"/>
    </row>
    <row r="49" spans="1:27" x14ac:dyDescent="0.2">
      <c r="A49" s="268" t="s">
        <v>1349</v>
      </c>
      <c r="B49" s="352" t="s">
        <v>58</v>
      </c>
      <c r="C49" s="352" t="s">
        <v>1339</v>
      </c>
      <c r="D49" s="276" t="s">
        <v>1161</v>
      </c>
      <c r="E49" s="354"/>
      <c r="F49" s="353"/>
      <c r="G49" s="353"/>
      <c r="H49" s="353"/>
      <c r="I49" s="353" t="s">
        <v>1161</v>
      </c>
      <c r="J49" s="271" t="s">
        <v>1161</v>
      </c>
      <c r="K49" s="268"/>
      <c r="L49" s="368" t="s">
        <v>1161</v>
      </c>
      <c r="M49" s="368" t="s">
        <v>1161</v>
      </c>
      <c r="N49" s="369" t="s">
        <v>652</v>
      </c>
      <c r="O49" s="368"/>
      <c r="P49" s="367"/>
      <c r="Q49" s="352"/>
      <c r="R49" s="352"/>
      <c r="S49" s="352"/>
      <c r="T49" s="269"/>
      <c r="U49" s="270"/>
      <c r="V49" s="319"/>
      <c r="W49" s="270"/>
      <c r="X49" s="270"/>
      <c r="Y49" s="270"/>
      <c r="Z49" s="270"/>
      <c r="AA49" s="270"/>
    </row>
    <row r="50" spans="1:27" x14ac:dyDescent="0.2">
      <c r="A50" s="268" t="s">
        <v>1194</v>
      </c>
      <c r="B50" s="352" t="s">
        <v>60</v>
      </c>
      <c r="C50" s="352" t="s">
        <v>1328</v>
      </c>
      <c r="D50" s="276" t="s">
        <v>1161</v>
      </c>
      <c r="E50" s="354" t="s">
        <v>1163</v>
      </c>
      <c r="F50" s="353" t="s">
        <v>1161</v>
      </c>
      <c r="G50" s="353" t="s">
        <v>1161</v>
      </c>
      <c r="H50" s="353"/>
      <c r="I50" s="353" t="s">
        <v>1161</v>
      </c>
      <c r="J50" s="271" t="s">
        <v>1161</v>
      </c>
      <c r="K50" s="276" t="s">
        <v>1161</v>
      </c>
      <c r="L50" s="368"/>
      <c r="M50" s="368"/>
      <c r="N50" s="369"/>
      <c r="O50" s="368"/>
      <c r="P50" s="352"/>
      <c r="Q50" s="352"/>
      <c r="R50" s="352"/>
      <c r="S50" s="352"/>
      <c r="T50" s="269"/>
      <c r="U50" s="270"/>
      <c r="V50" s="319"/>
      <c r="W50" s="270"/>
      <c r="X50" s="270"/>
      <c r="Y50" s="270"/>
      <c r="Z50" s="270"/>
      <c r="AA50" s="270"/>
    </row>
    <row r="51" spans="1:27" x14ac:dyDescent="0.2">
      <c r="A51" s="268" t="s">
        <v>1194</v>
      </c>
      <c r="B51" s="352" t="s">
        <v>60</v>
      </c>
      <c r="C51" s="352" t="s">
        <v>1333</v>
      </c>
      <c r="D51" s="276" t="s">
        <v>1161</v>
      </c>
      <c r="E51" s="354" t="s">
        <v>1163</v>
      </c>
      <c r="F51" s="353"/>
      <c r="G51" s="353" t="s">
        <v>1161</v>
      </c>
      <c r="H51" s="353"/>
      <c r="I51" s="353"/>
      <c r="J51" s="271" t="s">
        <v>1161</v>
      </c>
      <c r="K51" s="268"/>
      <c r="L51" s="368"/>
      <c r="M51" s="368" t="s">
        <v>1161</v>
      </c>
      <c r="N51" s="369" t="s">
        <v>446</v>
      </c>
      <c r="O51" s="368"/>
      <c r="P51" s="352"/>
      <c r="Q51" s="352"/>
      <c r="R51" s="352"/>
      <c r="S51" s="352"/>
      <c r="T51" s="269"/>
      <c r="U51" s="270"/>
      <c r="V51" s="319"/>
      <c r="W51" s="270"/>
      <c r="X51" s="270"/>
      <c r="Y51" s="270"/>
      <c r="Z51" s="270"/>
      <c r="AA51" s="270"/>
    </row>
    <row r="52" spans="1:27" x14ac:dyDescent="0.2">
      <c r="A52" s="268" t="s">
        <v>1195</v>
      </c>
      <c r="B52" s="352" t="s">
        <v>62</v>
      </c>
      <c r="C52" s="352" t="s">
        <v>1323</v>
      </c>
      <c r="D52" s="276" t="s">
        <v>1161</v>
      </c>
      <c r="E52" s="354"/>
      <c r="F52" s="353" t="s">
        <v>1161</v>
      </c>
      <c r="G52" s="353" t="s">
        <v>1161</v>
      </c>
      <c r="H52" s="353" t="s">
        <v>1161</v>
      </c>
      <c r="I52" s="353" t="s">
        <v>1161</v>
      </c>
      <c r="J52" s="271" t="s">
        <v>1161</v>
      </c>
      <c r="K52" s="268"/>
      <c r="L52" s="370"/>
      <c r="M52" s="370"/>
      <c r="N52" s="369" t="s">
        <v>652</v>
      </c>
      <c r="O52" s="368"/>
      <c r="P52" s="352"/>
      <c r="Q52" s="352"/>
      <c r="R52" s="352"/>
      <c r="S52" s="352"/>
      <c r="T52" s="269"/>
      <c r="U52" s="270"/>
      <c r="V52" s="319"/>
      <c r="W52" s="270"/>
      <c r="X52" s="270"/>
      <c r="Y52" s="270"/>
      <c r="Z52" s="270"/>
      <c r="AA52" s="270"/>
    </row>
    <row r="53" spans="1:27" x14ac:dyDescent="0.2">
      <c r="A53" s="268" t="s">
        <v>1195</v>
      </c>
      <c r="B53" s="352" t="s">
        <v>62</v>
      </c>
      <c r="C53" s="352" t="s">
        <v>1351</v>
      </c>
      <c r="D53" s="276" t="s">
        <v>1161</v>
      </c>
      <c r="E53" s="354"/>
      <c r="F53" s="353" t="s">
        <v>1161</v>
      </c>
      <c r="G53" s="353"/>
      <c r="H53" s="353" t="s">
        <v>1161</v>
      </c>
      <c r="I53" s="353" t="s">
        <v>1161</v>
      </c>
      <c r="J53" s="271" t="s">
        <v>1161</v>
      </c>
      <c r="K53" s="268"/>
      <c r="L53" s="368"/>
      <c r="M53" s="368"/>
      <c r="N53" s="369" t="s">
        <v>446</v>
      </c>
      <c r="O53" s="368" t="s">
        <v>1161</v>
      </c>
      <c r="P53" s="352"/>
      <c r="Q53" s="352"/>
      <c r="R53" s="352"/>
      <c r="S53" s="352"/>
      <c r="T53" s="269"/>
      <c r="U53" s="270"/>
      <c r="V53" s="319"/>
      <c r="W53" s="270"/>
      <c r="X53" s="270"/>
      <c r="Y53" s="270"/>
      <c r="Z53" s="270"/>
      <c r="AA53" s="270"/>
    </row>
    <row r="54" spans="1:27" x14ac:dyDescent="0.2">
      <c r="A54" s="268" t="s">
        <v>1195</v>
      </c>
      <c r="B54" s="352" t="s">
        <v>62</v>
      </c>
      <c r="C54" s="352" t="s">
        <v>1339</v>
      </c>
      <c r="D54" s="276" t="s">
        <v>1161</v>
      </c>
      <c r="E54" s="354"/>
      <c r="F54" s="353" t="s">
        <v>1161</v>
      </c>
      <c r="G54" s="353" t="s">
        <v>1161</v>
      </c>
      <c r="H54" s="353"/>
      <c r="I54" s="353" t="s">
        <v>1161</v>
      </c>
      <c r="J54" s="271" t="s">
        <v>1161</v>
      </c>
      <c r="K54" s="268"/>
      <c r="L54" s="368"/>
      <c r="M54" s="368"/>
      <c r="N54" s="369" t="s">
        <v>652</v>
      </c>
      <c r="O54" s="368"/>
      <c r="P54" s="352"/>
      <c r="Q54" s="352"/>
      <c r="R54" s="352"/>
      <c r="S54" s="352"/>
      <c r="T54" s="269"/>
      <c r="U54" s="270"/>
      <c r="V54" s="319"/>
      <c r="W54" s="270"/>
      <c r="X54" s="270"/>
      <c r="Y54" s="270"/>
      <c r="Z54" s="270"/>
      <c r="AA54" s="270"/>
    </row>
    <row r="55" spans="1:27" x14ac:dyDescent="0.2">
      <c r="A55" s="268" t="s">
        <v>1197</v>
      </c>
      <c r="B55" s="352" t="s">
        <v>64</v>
      </c>
      <c r="C55" s="352" t="s">
        <v>1352</v>
      </c>
      <c r="D55" s="276" t="s">
        <v>1161</v>
      </c>
      <c r="E55" s="354"/>
      <c r="F55" s="353"/>
      <c r="G55" s="353" t="s">
        <v>1161</v>
      </c>
      <c r="H55" s="353" t="s">
        <v>1161</v>
      </c>
      <c r="I55" s="353"/>
      <c r="J55" s="271" t="s">
        <v>1161</v>
      </c>
      <c r="K55" s="268"/>
      <c r="L55" s="368" t="s">
        <v>1161</v>
      </c>
      <c r="M55" s="368" t="s">
        <v>1161</v>
      </c>
      <c r="N55" s="369"/>
      <c r="O55" s="368"/>
      <c r="P55" s="367" t="s">
        <v>1161</v>
      </c>
      <c r="Q55" s="352"/>
      <c r="R55" s="352"/>
      <c r="S55" s="352"/>
      <c r="T55" s="269"/>
      <c r="U55" s="270"/>
      <c r="V55" s="319"/>
      <c r="W55" s="270"/>
      <c r="X55" s="270"/>
      <c r="Y55" s="270"/>
      <c r="Z55" s="270"/>
      <c r="AA55" s="270"/>
    </row>
    <row r="56" spans="1:27" x14ac:dyDescent="0.2">
      <c r="A56" s="268" t="s">
        <v>1196</v>
      </c>
      <c r="B56" s="352" t="s">
        <v>66</v>
      </c>
      <c r="C56" s="352" t="s">
        <v>1345</v>
      </c>
      <c r="D56" s="281" t="s">
        <v>28</v>
      </c>
      <c r="E56" s="354"/>
      <c r="F56" s="353" t="s">
        <v>1161</v>
      </c>
      <c r="G56" s="353" t="s">
        <v>1161</v>
      </c>
      <c r="H56" s="353"/>
      <c r="I56" s="353"/>
      <c r="J56" s="271" t="s">
        <v>1161</v>
      </c>
      <c r="K56" s="268"/>
      <c r="L56" s="370"/>
      <c r="M56" s="368"/>
      <c r="N56" s="369" t="s">
        <v>446</v>
      </c>
      <c r="O56" s="368" t="s">
        <v>1161</v>
      </c>
      <c r="P56" s="352"/>
      <c r="Q56" s="367" t="s">
        <v>1161</v>
      </c>
      <c r="R56" s="352"/>
      <c r="S56" s="352"/>
      <c r="T56" s="269"/>
      <c r="U56" s="270"/>
      <c r="V56" s="319"/>
      <c r="W56" s="270"/>
      <c r="X56" s="270"/>
      <c r="Y56" s="270"/>
      <c r="Z56" s="270"/>
      <c r="AA56" s="270"/>
    </row>
    <row r="57" spans="1:27" x14ac:dyDescent="0.2">
      <c r="A57" s="268" t="s">
        <v>1353</v>
      </c>
      <c r="B57" s="352" t="s">
        <v>66</v>
      </c>
      <c r="C57" s="352" t="s">
        <v>1334</v>
      </c>
      <c r="D57" s="276" t="s">
        <v>1161</v>
      </c>
      <c r="E57" s="354" t="s">
        <v>1163</v>
      </c>
      <c r="F57" s="353"/>
      <c r="G57" s="353" t="s">
        <v>1161</v>
      </c>
      <c r="H57" s="353" t="s">
        <v>1161</v>
      </c>
      <c r="I57" s="353" t="s">
        <v>1161</v>
      </c>
      <c r="J57" s="271" t="s">
        <v>1161</v>
      </c>
      <c r="K57" s="268"/>
      <c r="L57" s="368"/>
      <c r="M57" s="368"/>
      <c r="N57" s="369" t="s">
        <v>652</v>
      </c>
      <c r="O57" s="370"/>
      <c r="P57" s="352"/>
      <c r="Q57" s="352"/>
      <c r="R57" s="352"/>
      <c r="S57" s="352"/>
      <c r="T57" s="269"/>
      <c r="U57" s="270"/>
      <c r="V57" s="319"/>
      <c r="W57" s="270"/>
      <c r="X57" s="270"/>
      <c r="Y57" s="270"/>
      <c r="Z57" s="270"/>
      <c r="AA57" s="270"/>
    </row>
    <row r="58" spans="1:27" x14ac:dyDescent="0.2">
      <c r="A58" s="268" t="s">
        <v>67</v>
      </c>
      <c r="B58" s="352" t="s">
        <v>68</v>
      </c>
      <c r="C58" s="352" t="s">
        <v>1354</v>
      </c>
      <c r="D58" s="276" t="s">
        <v>1161</v>
      </c>
      <c r="E58" s="354" t="s">
        <v>1163</v>
      </c>
      <c r="F58" s="353"/>
      <c r="G58" s="353" t="s">
        <v>1161</v>
      </c>
      <c r="H58" s="353" t="s">
        <v>1161</v>
      </c>
      <c r="I58" s="353" t="s">
        <v>1161</v>
      </c>
      <c r="J58" s="271" t="s">
        <v>1161</v>
      </c>
      <c r="K58" s="268"/>
      <c r="L58" s="368"/>
      <c r="M58" s="368"/>
      <c r="N58" s="369"/>
      <c r="O58" s="368" t="s">
        <v>1161</v>
      </c>
      <c r="P58" s="352"/>
      <c r="Q58" s="352"/>
      <c r="R58" s="352"/>
      <c r="S58" s="352"/>
      <c r="T58" s="269"/>
      <c r="U58" s="270"/>
      <c r="V58" s="319"/>
      <c r="W58" s="270"/>
      <c r="X58" s="270"/>
      <c r="Y58" s="270"/>
      <c r="Z58" s="270"/>
      <c r="AA58" s="270"/>
    </row>
    <row r="59" spans="1:27" x14ac:dyDescent="0.2">
      <c r="A59" s="268" t="s">
        <v>1198</v>
      </c>
      <c r="B59" s="352" t="s">
        <v>70</v>
      </c>
      <c r="C59" s="352" t="s">
        <v>1355</v>
      </c>
      <c r="D59" s="276" t="s">
        <v>1161</v>
      </c>
      <c r="E59" s="354"/>
      <c r="F59" s="353" t="s">
        <v>1161</v>
      </c>
      <c r="G59" s="353"/>
      <c r="H59" s="353"/>
      <c r="I59" s="353" t="s">
        <v>1161</v>
      </c>
      <c r="J59" s="271" t="s">
        <v>1161</v>
      </c>
      <c r="K59" s="276" t="s">
        <v>1161</v>
      </c>
      <c r="L59" s="368"/>
      <c r="M59" s="368" t="s">
        <v>1161</v>
      </c>
      <c r="N59" s="369"/>
      <c r="O59" s="368"/>
      <c r="P59" s="353"/>
      <c r="Q59" s="375"/>
      <c r="R59" s="375"/>
      <c r="S59" s="375"/>
      <c r="T59" s="280"/>
      <c r="U59" s="270"/>
      <c r="V59" s="319"/>
      <c r="W59" s="270"/>
      <c r="X59" s="270"/>
      <c r="Y59" s="270"/>
      <c r="Z59" s="270"/>
      <c r="AA59" s="270"/>
    </row>
    <row r="60" spans="1:27" x14ac:dyDescent="0.2">
      <c r="A60" s="268" t="s">
        <v>1200</v>
      </c>
      <c r="B60" s="352" t="s">
        <v>70</v>
      </c>
      <c r="C60" s="352" t="s">
        <v>1356</v>
      </c>
      <c r="D60" s="276" t="s">
        <v>1161</v>
      </c>
      <c r="E60" s="354"/>
      <c r="F60" s="353" t="s">
        <v>1161</v>
      </c>
      <c r="G60" s="353" t="s">
        <v>1161</v>
      </c>
      <c r="H60" s="353"/>
      <c r="I60" s="353" t="s">
        <v>1161</v>
      </c>
      <c r="J60" s="271" t="s">
        <v>1161</v>
      </c>
      <c r="K60" s="279"/>
      <c r="L60" s="368" t="s">
        <v>1161</v>
      </c>
      <c r="M60" s="368"/>
      <c r="N60" s="376" t="s">
        <v>652</v>
      </c>
      <c r="O60" s="368" t="s">
        <v>1161</v>
      </c>
      <c r="P60" s="353" t="s">
        <v>1161</v>
      </c>
      <c r="Q60" s="353" t="s">
        <v>1161</v>
      </c>
      <c r="R60" s="375"/>
      <c r="S60" s="375"/>
      <c r="T60" s="280"/>
      <c r="U60" s="270"/>
      <c r="V60" s="319"/>
      <c r="W60" s="270"/>
      <c r="X60" s="270"/>
      <c r="Y60" s="270"/>
      <c r="Z60" s="270"/>
      <c r="AA60" s="270"/>
    </row>
    <row r="61" spans="1:27" x14ac:dyDescent="0.2">
      <c r="A61" s="268" t="s">
        <v>1201</v>
      </c>
      <c r="B61" s="352" t="s">
        <v>70</v>
      </c>
      <c r="C61" s="352" t="s">
        <v>1357</v>
      </c>
      <c r="D61" s="276" t="s">
        <v>1161</v>
      </c>
      <c r="E61" s="354" t="s">
        <v>1163</v>
      </c>
      <c r="F61" s="353" t="s">
        <v>1161</v>
      </c>
      <c r="G61" s="353" t="s">
        <v>1161</v>
      </c>
      <c r="H61" s="353" t="s">
        <v>1161</v>
      </c>
      <c r="I61" s="353" t="s">
        <v>1161</v>
      </c>
      <c r="J61" s="271" t="s">
        <v>1161</v>
      </c>
      <c r="K61" s="276" t="s">
        <v>1161</v>
      </c>
      <c r="L61" s="368"/>
      <c r="M61" s="368" t="s">
        <v>1161</v>
      </c>
      <c r="N61" s="369" t="s">
        <v>446</v>
      </c>
      <c r="O61" s="368" t="s">
        <v>1161</v>
      </c>
      <c r="P61" s="353"/>
      <c r="Q61" s="375"/>
      <c r="R61" s="353" t="s">
        <v>1161</v>
      </c>
      <c r="S61" s="353" t="s">
        <v>1161</v>
      </c>
      <c r="T61" s="280"/>
      <c r="U61" s="270"/>
      <c r="V61" s="319"/>
      <c r="W61" s="270"/>
      <c r="X61" s="270"/>
      <c r="Y61" s="270"/>
      <c r="Z61" s="270"/>
      <c r="AA61" s="270"/>
    </row>
    <row r="62" spans="1:27" x14ac:dyDescent="0.2">
      <c r="A62" s="268" t="s">
        <v>1358</v>
      </c>
      <c r="B62" s="352" t="s">
        <v>72</v>
      </c>
      <c r="C62" s="352" t="s">
        <v>1331</v>
      </c>
      <c r="D62" s="276" t="s">
        <v>1161</v>
      </c>
      <c r="E62" s="354"/>
      <c r="F62" s="353"/>
      <c r="G62" s="353" t="s">
        <v>1161</v>
      </c>
      <c r="H62" s="353" t="s">
        <v>1161</v>
      </c>
      <c r="I62" s="353"/>
      <c r="J62" s="271" t="s">
        <v>1161</v>
      </c>
      <c r="K62" s="268"/>
      <c r="L62" s="368"/>
      <c r="M62" s="368"/>
      <c r="N62" s="369"/>
      <c r="O62" s="367" t="s">
        <v>1161</v>
      </c>
      <c r="P62" s="367"/>
      <c r="Q62" s="352"/>
      <c r="R62" s="352"/>
      <c r="S62" s="352"/>
      <c r="T62" s="269"/>
      <c r="U62" s="270"/>
      <c r="V62" s="319"/>
      <c r="W62" s="270"/>
      <c r="X62" s="270"/>
      <c r="Y62" s="270"/>
      <c r="Z62" s="270"/>
      <c r="AA62" s="270"/>
    </row>
    <row r="63" spans="1:27" x14ac:dyDescent="0.2">
      <c r="A63" s="268" t="s">
        <v>1359</v>
      </c>
      <c r="B63" s="352" t="s">
        <v>72</v>
      </c>
      <c r="C63" s="352" t="s">
        <v>1324</v>
      </c>
      <c r="D63" s="276" t="s">
        <v>1161</v>
      </c>
      <c r="E63" s="354"/>
      <c r="F63" s="353"/>
      <c r="G63" s="353"/>
      <c r="H63" s="353"/>
      <c r="I63" s="353"/>
      <c r="J63" s="271" t="s">
        <v>1161</v>
      </c>
      <c r="K63" s="268"/>
      <c r="L63" s="368"/>
      <c r="M63" s="368"/>
      <c r="N63" s="369" t="s">
        <v>652</v>
      </c>
      <c r="O63" s="367" t="s">
        <v>1161</v>
      </c>
      <c r="P63" s="368" t="s">
        <v>1161</v>
      </c>
      <c r="Q63" s="368" t="s">
        <v>1161</v>
      </c>
      <c r="R63" s="352"/>
      <c r="S63" s="352"/>
      <c r="T63" s="269"/>
      <c r="U63" s="270"/>
      <c r="V63" s="319"/>
      <c r="W63" s="270"/>
      <c r="X63" s="270"/>
      <c r="Y63" s="270"/>
      <c r="Z63" s="270"/>
      <c r="AA63" s="270"/>
    </row>
    <row r="64" spans="1:27" x14ac:dyDescent="0.2">
      <c r="A64" s="268" t="s">
        <v>1360</v>
      </c>
      <c r="B64" s="352" t="s">
        <v>72</v>
      </c>
      <c r="C64" s="352" t="s">
        <v>1324</v>
      </c>
      <c r="D64" s="276" t="s">
        <v>1161</v>
      </c>
      <c r="E64" s="354"/>
      <c r="F64" s="353"/>
      <c r="G64" s="353"/>
      <c r="H64" s="353"/>
      <c r="I64" s="353"/>
      <c r="J64" s="271" t="s">
        <v>1161</v>
      </c>
      <c r="K64" s="268"/>
      <c r="L64" s="368"/>
      <c r="M64" s="368"/>
      <c r="N64" s="369" t="s">
        <v>652</v>
      </c>
      <c r="O64" s="367" t="s">
        <v>1161</v>
      </c>
      <c r="P64" s="367"/>
      <c r="Q64" s="352"/>
      <c r="R64" s="352"/>
      <c r="S64" s="352"/>
      <c r="T64" s="269"/>
      <c r="U64" s="270"/>
      <c r="V64" s="319"/>
      <c r="W64" s="270"/>
      <c r="X64" s="270"/>
      <c r="Y64" s="270"/>
      <c r="Z64" s="270"/>
      <c r="AA64" s="270"/>
    </row>
    <row r="65" spans="1:27" x14ac:dyDescent="0.2">
      <c r="A65" s="268" t="s">
        <v>1204</v>
      </c>
      <c r="B65" s="352" t="s">
        <v>74</v>
      </c>
      <c r="C65" s="352" t="s">
        <v>1338</v>
      </c>
      <c r="D65" s="276" t="s">
        <v>1161</v>
      </c>
      <c r="E65" s="354"/>
      <c r="F65" s="353" t="s">
        <v>1161</v>
      </c>
      <c r="G65" s="353" t="s">
        <v>1161</v>
      </c>
      <c r="H65" s="353" t="s">
        <v>1161</v>
      </c>
      <c r="I65" s="353" t="s">
        <v>1161</v>
      </c>
      <c r="J65" s="271" t="s">
        <v>1161</v>
      </c>
      <c r="K65" s="268"/>
      <c r="L65" s="368" t="s">
        <v>1161</v>
      </c>
      <c r="M65" s="368" t="s">
        <v>1161</v>
      </c>
      <c r="N65" s="369" t="s">
        <v>652</v>
      </c>
      <c r="O65" s="368"/>
      <c r="P65" s="367" t="s">
        <v>1161</v>
      </c>
      <c r="Q65" s="367" t="s">
        <v>1161</v>
      </c>
      <c r="R65" s="352"/>
      <c r="S65" s="352"/>
      <c r="T65" s="269"/>
      <c r="U65" s="270"/>
      <c r="V65" s="319"/>
      <c r="W65" s="270"/>
      <c r="X65" s="270"/>
      <c r="Y65" s="270"/>
      <c r="Z65" s="270"/>
      <c r="AA65" s="270"/>
    </row>
    <row r="66" spans="1:27" x14ac:dyDescent="0.2">
      <c r="A66" s="268" t="s">
        <v>1205</v>
      </c>
      <c r="B66" s="352" t="s">
        <v>74</v>
      </c>
      <c r="C66" s="352" t="s">
        <v>1331</v>
      </c>
      <c r="D66" s="276" t="s">
        <v>1161</v>
      </c>
      <c r="E66" s="354"/>
      <c r="F66" s="353"/>
      <c r="G66" s="353" t="s">
        <v>1161</v>
      </c>
      <c r="H66" s="353"/>
      <c r="I66" s="353"/>
      <c r="J66" s="271" t="s">
        <v>1161</v>
      </c>
      <c r="K66" s="268"/>
      <c r="L66" s="368"/>
      <c r="M66" s="368"/>
      <c r="N66" s="369"/>
      <c r="O66" s="368"/>
      <c r="P66" s="367"/>
      <c r="Q66" s="367"/>
      <c r="R66" s="352"/>
      <c r="S66" s="352"/>
      <c r="T66" s="269"/>
      <c r="U66" s="270"/>
      <c r="V66" s="319"/>
      <c r="W66" s="270"/>
      <c r="X66" s="270"/>
      <c r="Y66" s="270"/>
      <c r="Z66" s="270"/>
      <c r="AA66" s="270"/>
    </row>
    <row r="67" spans="1:27" x14ac:dyDescent="0.2">
      <c r="A67" s="268" t="s">
        <v>1206</v>
      </c>
      <c r="B67" s="352" t="s">
        <v>74</v>
      </c>
      <c r="C67" s="352" t="s">
        <v>1323</v>
      </c>
      <c r="D67" s="276" t="s">
        <v>1161</v>
      </c>
      <c r="E67" s="354" t="s">
        <v>446</v>
      </c>
      <c r="F67" s="353" t="s">
        <v>1161</v>
      </c>
      <c r="G67" s="353" t="s">
        <v>1161</v>
      </c>
      <c r="H67" s="353" t="s">
        <v>1161</v>
      </c>
      <c r="I67" s="353" t="s">
        <v>1161</v>
      </c>
      <c r="J67" s="271" t="s">
        <v>1161</v>
      </c>
      <c r="K67" s="272"/>
      <c r="L67" s="368" t="s">
        <v>1161</v>
      </c>
      <c r="M67" s="368"/>
      <c r="N67" s="369" t="s">
        <v>652</v>
      </c>
      <c r="O67" s="368" t="s">
        <v>1161</v>
      </c>
      <c r="P67" s="352"/>
      <c r="Q67" s="352"/>
      <c r="R67" s="367"/>
      <c r="S67" s="352"/>
      <c r="T67" s="269"/>
      <c r="U67" s="270"/>
      <c r="V67" s="319"/>
      <c r="W67" s="270"/>
      <c r="X67" s="270"/>
      <c r="Y67" s="270"/>
      <c r="Z67" s="270"/>
      <c r="AA67" s="270"/>
    </row>
    <row r="68" spans="1:27" x14ac:dyDescent="0.2">
      <c r="A68" s="268" t="s">
        <v>1207</v>
      </c>
      <c r="B68" s="352" t="s">
        <v>74</v>
      </c>
      <c r="C68" s="352" t="s">
        <v>1345</v>
      </c>
      <c r="D68" s="276" t="s">
        <v>1161</v>
      </c>
      <c r="E68" s="354"/>
      <c r="F68" s="353" t="s">
        <v>1161</v>
      </c>
      <c r="G68" s="353"/>
      <c r="H68" s="353" t="s">
        <v>1161</v>
      </c>
      <c r="I68" s="353"/>
      <c r="J68" s="271" t="s">
        <v>1161</v>
      </c>
      <c r="K68" s="268"/>
      <c r="L68" s="370"/>
      <c r="M68" s="368"/>
      <c r="N68" s="369" t="s">
        <v>446</v>
      </c>
      <c r="O68" s="368"/>
      <c r="P68" s="367" t="s">
        <v>1161</v>
      </c>
      <c r="Q68" s="352"/>
      <c r="R68" s="352"/>
      <c r="S68" s="352"/>
      <c r="T68" s="269"/>
      <c r="U68" s="270"/>
      <c r="V68" s="319"/>
      <c r="W68" s="270"/>
      <c r="X68" s="270"/>
      <c r="Y68" s="270"/>
      <c r="Z68" s="270"/>
      <c r="AA68" s="270"/>
    </row>
    <row r="69" spans="1:27" x14ac:dyDescent="0.2">
      <c r="A69" s="268" t="s">
        <v>1206</v>
      </c>
      <c r="B69" s="352" t="s">
        <v>74</v>
      </c>
      <c r="C69" s="352" t="s">
        <v>1351</v>
      </c>
      <c r="D69" s="276" t="s">
        <v>1161</v>
      </c>
      <c r="E69" s="354"/>
      <c r="F69" s="353"/>
      <c r="G69" s="353" t="s">
        <v>1161</v>
      </c>
      <c r="H69" s="353" t="s">
        <v>1161</v>
      </c>
      <c r="I69" s="353"/>
      <c r="J69" s="271" t="s">
        <v>1161</v>
      </c>
      <c r="K69" s="268"/>
      <c r="L69" s="368" t="s">
        <v>1161</v>
      </c>
      <c r="M69" s="352"/>
      <c r="N69" s="377" t="s">
        <v>446</v>
      </c>
      <c r="O69" s="368"/>
      <c r="P69" s="352"/>
      <c r="Q69" s="367" t="s">
        <v>1161</v>
      </c>
      <c r="R69" s="352"/>
      <c r="S69" s="352"/>
      <c r="T69" s="269"/>
      <c r="U69" s="270"/>
      <c r="V69" s="319"/>
      <c r="W69" s="270"/>
      <c r="X69" s="270"/>
      <c r="Y69" s="270"/>
      <c r="Z69" s="270"/>
      <c r="AA69" s="270"/>
    </row>
    <row r="70" spans="1:27" x14ac:dyDescent="0.2">
      <c r="A70" s="268" t="s">
        <v>1206</v>
      </c>
      <c r="B70" s="352" t="s">
        <v>74</v>
      </c>
      <c r="C70" s="352" t="s">
        <v>1339</v>
      </c>
      <c r="D70" s="276" t="s">
        <v>1161</v>
      </c>
      <c r="E70" s="354" t="s">
        <v>1163</v>
      </c>
      <c r="F70" s="353" t="s">
        <v>1161</v>
      </c>
      <c r="G70" s="353" t="s">
        <v>1161</v>
      </c>
      <c r="H70" s="353"/>
      <c r="I70" s="353" t="s">
        <v>1161</v>
      </c>
      <c r="J70" s="271" t="s">
        <v>1161</v>
      </c>
      <c r="K70" s="268"/>
      <c r="L70" s="368" t="s">
        <v>1161</v>
      </c>
      <c r="M70" s="352"/>
      <c r="N70" s="369" t="s">
        <v>652</v>
      </c>
      <c r="O70" s="368"/>
      <c r="P70" s="367" t="s">
        <v>1161</v>
      </c>
      <c r="Q70" s="352"/>
      <c r="R70" s="352"/>
      <c r="S70" s="352"/>
      <c r="T70" s="269"/>
      <c r="U70" s="270"/>
      <c r="V70" s="319"/>
      <c r="W70" s="270"/>
      <c r="X70" s="270"/>
      <c r="Y70" s="270"/>
      <c r="Z70" s="270"/>
      <c r="AA70" s="270"/>
    </row>
    <row r="71" spans="1:27" x14ac:dyDescent="0.2">
      <c r="A71" s="268" t="s">
        <v>1207</v>
      </c>
      <c r="B71" s="352" t="s">
        <v>74</v>
      </c>
      <c r="C71" s="352" t="s">
        <v>1334</v>
      </c>
      <c r="D71" s="276" t="s">
        <v>1161</v>
      </c>
      <c r="E71" s="354"/>
      <c r="F71" s="353" t="s">
        <v>1161</v>
      </c>
      <c r="G71" s="353" t="s">
        <v>1161</v>
      </c>
      <c r="H71" s="353"/>
      <c r="I71" s="353"/>
      <c r="J71" s="271" t="s">
        <v>1161</v>
      </c>
      <c r="K71" s="268"/>
      <c r="L71" s="352"/>
      <c r="M71" s="352"/>
      <c r="N71" s="369" t="s">
        <v>652</v>
      </c>
      <c r="O71" s="370"/>
      <c r="P71" s="367" t="s">
        <v>1161</v>
      </c>
      <c r="Q71" s="352"/>
      <c r="R71" s="352"/>
      <c r="S71" s="352"/>
      <c r="T71" s="269"/>
      <c r="U71" s="270"/>
      <c r="V71" s="319"/>
      <c r="W71" s="270"/>
      <c r="X71" s="270"/>
      <c r="Y71" s="270"/>
      <c r="Z71" s="270"/>
      <c r="AA71" s="270"/>
    </row>
    <row r="72" spans="1:27" x14ac:dyDescent="0.2">
      <c r="A72" s="283" t="s">
        <v>1205</v>
      </c>
      <c r="B72" s="284" t="s">
        <v>74</v>
      </c>
      <c r="C72" s="284" t="s">
        <v>1324</v>
      </c>
      <c r="D72" s="285" t="s">
        <v>1161</v>
      </c>
      <c r="E72" s="286"/>
      <c r="F72" s="287"/>
      <c r="G72" s="286"/>
      <c r="H72" s="286"/>
      <c r="I72" s="287"/>
      <c r="J72" s="288" t="s">
        <v>1161</v>
      </c>
      <c r="K72" s="283"/>
      <c r="L72" s="284"/>
      <c r="M72" s="284"/>
      <c r="N72" s="289" t="s">
        <v>652</v>
      </c>
      <c r="O72" s="290" t="s">
        <v>1161</v>
      </c>
      <c r="P72" s="284"/>
      <c r="Q72" s="291" t="s">
        <v>1161</v>
      </c>
      <c r="R72" s="284"/>
      <c r="S72" s="284"/>
      <c r="T72" s="292"/>
      <c r="U72" s="270"/>
      <c r="V72" s="319"/>
      <c r="W72" s="270"/>
      <c r="X72" s="270"/>
      <c r="Y72" s="270"/>
      <c r="Z72" s="270"/>
      <c r="AA72" s="270"/>
    </row>
    <row r="73" spans="1:27" ht="10.5" customHeight="1" x14ac:dyDescent="0.2">
      <c r="A73" s="257"/>
      <c r="B73" s="257"/>
      <c r="C73" s="257"/>
      <c r="D73" s="282">
        <f>COUNTA(D6:D72)-1</f>
        <v>66</v>
      </c>
      <c r="E73" s="282">
        <f t="shared" ref="E73:T73" si="0">COUNTA(E6:E72)</f>
        <v>32</v>
      </c>
      <c r="F73" s="282">
        <f t="shared" si="0"/>
        <v>30</v>
      </c>
      <c r="G73" s="282">
        <f t="shared" si="0"/>
        <v>56</v>
      </c>
      <c r="H73" s="282">
        <f t="shared" si="0"/>
        <v>35</v>
      </c>
      <c r="I73" s="282">
        <f t="shared" si="0"/>
        <v>38</v>
      </c>
      <c r="J73" s="282">
        <f t="shared" si="0"/>
        <v>67</v>
      </c>
      <c r="K73" s="282">
        <f t="shared" si="0"/>
        <v>4</v>
      </c>
      <c r="L73" s="282">
        <f t="shared" si="0"/>
        <v>24</v>
      </c>
      <c r="M73" s="282">
        <f>COUNTA(M6:M72)</f>
        <v>15</v>
      </c>
      <c r="N73" s="282">
        <f t="shared" si="0"/>
        <v>28</v>
      </c>
      <c r="O73" s="282">
        <f t="shared" si="0"/>
        <v>26</v>
      </c>
      <c r="P73" s="282">
        <f t="shared" si="0"/>
        <v>20</v>
      </c>
      <c r="Q73" s="282">
        <f t="shared" si="0"/>
        <v>22</v>
      </c>
      <c r="R73" s="282">
        <f t="shared" si="0"/>
        <v>2</v>
      </c>
      <c r="S73" s="282">
        <f t="shared" si="0"/>
        <v>4</v>
      </c>
      <c r="T73" s="282">
        <f t="shared" si="0"/>
        <v>1</v>
      </c>
      <c r="U73" s="282"/>
    </row>
    <row r="74" spans="1:27" x14ac:dyDescent="0.2">
      <c r="B74" s="257"/>
      <c r="C74" s="284" t="s">
        <v>77</v>
      </c>
      <c r="D74" s="293">
        <f>D73/66</f>
        <v>1</v>
      </c>
      <c r="E74" s="293">
        <f t="shared" ref="E74:T74" si="1">E73/67</f>
        <v>0.47761194029850745</v>
      </c>
      <c r="F74" s="293">
        <f t="shared" si="1"/>
        <v>0.44776119402985076</v>
      </c>
      <c r="G74" s="293">
        <f t="shared" si="1"/>
        <v>0.83582089552238803</v>
      </c>
      <c r="H74" s="293">
        <f t="shared" si="1"/>
        <v>0.52238805970149249</v>
      </c>
      <c r="I74" s="293">
        <f t="shared" si="1"/>
        <v>0.56716417910447758</v>
      </c>
      <c r="J74" s="293">
        <f t="shared" si="1"/>
        <v>1</v>
      </c>
      <c r="K74" s="293">
        <f t="shared" si="1"/>
        <v>5.9701492537313432E-2</v>
      </c>
      <c r="L74" s="293">
        <f t="shared" si="1"/>
        <v>0.35820895522388058</v>
      </c>
      <c r="M74" s="293">
        <f>M73/67</f>
        <v>0.22388059701492538</v>
      </c>
      <c r="N74" s="293">
        <f t="shared" si="1"/>
        <v>0.41791044776119401</v>
      </c>
      <c r="O74" s="293">
        <f t="shared" si="1"/>
        <v>0.38805970149253732</v>
      </c>
      <c r="P74" s="293">
        <f t="shared" si="1"/>
        <v>0.29850746268656714</v>
      </c>
      <c r="Q74" s="293">
        <f t="shared" si="1"/>
        <v>0.32835820895522388</v>
      </c>
      <c r="R74" s="293">
        <f t="shared" si="1"/>
        <v>2.9850746268656716E-2</v>
      </c>
      <c r="S74" s="293">
        <f>S73/67</f>
        <v>5.9701492537313432E-2</v>
      </c>
      <c r="T74" s="293">
        <f t="shared" si="1"/>
        <v>1.4925373134328358E-2</v>
      </c>
      <c r="U74" s="293"/>
    </row>
    <row r="75" spans="1:27" ht="53.25" customHeight="1" x14ac:dyDescent="0.2">
      <c r="A75" s="384" t="s">
        <v>1361</v>
      </c>
      <c r="B75" s="384"/>
      <c r="C75" s="384"/>
      <c r="D75" s="384"/>
      <c r="E75" s="341"/>
      <c r="F75" s="386" t="s">
        <v>1362</v>
      </c>
      <c r="G75" s="386"/>
      <c r="H75" s="386"/>
      <c r="I75" s="386"/>
      <c r="J75" s="386"/>
      <c r="L75" s="342"/>
      <c r="M75" s="342"/>
      <c r="N75" s="342"/>
      <c r="O75" s="342"/>
      <c r="P75" s="342"/>
      <c r="Q75" s="342"/>
      <c r="R75" s="342"/>
      <c r="S75" s="342"/>
      <c r="T75" s="342"/>
    </row>
    <row r="76" spans="1:27" ht="50.25" customHeight="1" x14ac:dyDescent="0.2">
      <c r="A76" s="385" t="s">
        <v>1208</v>
      </c>
      <c r="B76" s="385"/>
      <c r="C76" s="385"/>
      <c r="D76" s="385"/>
      <c r="E76" s="340"/>
      <c r="F76" s="385" t="s">
        <v>1363</v>
      </c>
      <c r="G76" s="385"/>
      <c r="H76" s="385"/>
      <c r="I76" s="385"/>
      <c r="J76" s="385"/>
      <c r="L76" s="340"/>
      <c r="M76" s="340"/>
      <c r="N76" s="340"/>
      <c r="O76" s="340"/>
      <c r="P76" s="340"/>
      <c r="Q76" s="340"/>
      <c r="R76" s="340"/>
      <c r="S76" s="340"/>
      <c r="T76" s="340"/>
    </row>
    <row r="77" spans="1:27" ht="64.5" customHeight="1" x14ac:dyDescent="0.2">
      <c r="A77" s="385" t="s">
        <v>1209</v>
      </c>
      <c r="B77" s="385"/>
      <c r="C77" s="385"/>
      <c r="D77" s="385"/>
      <c r="E77" s="340"/>
      <c r="F77" s="385" t="s">
        <v>1210</v>
      </c>
      <c r="G77" s="385"/>
      <c r="H77" s="385"/>
      <c r="I77" s="385"/>
      <c r="J77" s="385"/>
      <c r="L77" s="340"/>
      <c r="M77" s="340"/>
      <c r="N77" s="340"/>
      <c r="O77" s="340"/>
      <c r="P77" s="340"/>
      <c r="Q77" s="340"/>
      <c r="R77" s="340"/>
      <c r="S77" s="340"/>
      <c r="T77" s="340"/>
    </row>
    <row r="78" spans="1:27" ht="34.5" customHeight="1" x14ac:dyDescent="0.2">
      <c r="A78" s="385" t="s">
        <v>1211</v>
      </c>
      <c r="B78" s="385"/>
      <c r="C78" s="385"/>
      <c r="D78" s="385"/>
      <c r="E78" s="340"/>
      <c r="G78" s="345"/>
      <c r="H78" s="345"/>
      <c r="I78" s="345"/>
      <c r="J78" s="345"/>
      <c r="L78" s="340"/>
      <c r="M78" s="340"/>
      <c r="N78" s="340"/>
      <c r="O78" s="340"/>
      <c r="P78" s="340"/>
      <c r="Q78" s="340"/>
      <c r="R78" s="340"/>
      <c r="S78" s="340"/>
      <c r="T78" s="340"/>
    </row>
    <row r="79" spans="1:27" ht="48" customHeight="1" x14ac:dyDescent="0.2">
      <c r="A79" s="383" t="s">
        <v>1381</v>
      </c>
      <c r="B79" s="383"/>
      <c r="C79" s="383"/>
      <c r="D79" s="383"/>
      <c r="E79" s="383"/>
      <c r="F79" s="383"/>
      <c r="G79" s="383"/>
      <c r="H79" s="383"/>
      <c r="I79" s="383"/>
      <c r="J79" s="383"/>
    </row>
  </sheetData>
  <mergeCells count="8">
    <mergeCell ref="A79:J79"/>
    <mergeCell ref="A75:D75"/>
    <mergeCell ref="A76:D76"/>
    <mergeCell ref="A77:D77"/>
    <mergeCell ref="A78:D78"/>
    <mergeCell ref="F75:J75"/>
    <mergeCell ref="F77:J77"/>
    <mergeCell ref="F76:J76"/>
  </mergeCells>
  <printOptions horizontalCentered="1"/>
  <pageMargins left="0.7" right="0.7" top="0.75" bottom="0.75" header="0.3" footer="0.3"/>
  <pageSetup scale="53" fitToWidth="0" orientation="landscape" useFirstPageNumber="1" r:id="rId1"/>
  <headerFooter scaleWithDoc="0" alignWithMargins="0">
    <oddHeader>&amp;R&amp;"Arial,Regular"&amp;10EXHIBIT  RBH-8
Page &amp;P of 3</oddHeader>
  </headerFooter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2:L63"/>
  <sheetViews>
    <sheetView tabSelected="1" view="pageLayout" zoomScaleNormal="100" zoomScaleSheetLayoutView="85" workbookViewId="0">
      <selection activeCell="P3" sqref="P3"/>
    </sheetView>
  </sheetViews>
  <sheetFormatPr defaultRowHeight="12.75" x14ac:dyDescent="0.2"/>
  <cols>
    <col min="1" max="1" width="7.5703125" style="296" customWidth="1"/>
    <col min="2" max="2" width="51.85546875" style="296" customWidth="1"/>
    <col min="3" max="3" width="10.42578125" style="296" customWidth="1"/>
    <col min="4" max="4" width="16.140625" style="296" customWidth="1"/>
    <col min="5" max="5" width="7.5703125" style="296" customWidth="1"/>
    <col min="6" max="6" width="7.140625" style="296" customWidth="1"/>
    <col min="7" max="7" width="2.5703125" style="296" customWidth="1"/>
    <col min="8" max="254" width="9.140625" style="296"/>
    <col min="255" max="255" width="2.5703125" style="296" customWidth="1"/>
    <col min="256" max="256" width="7.140625" style="296" customWidth="1"/>
    <col min="257" max="257" width="7.5703125" style="296" customWidth="1"/>
    <col min="258" max="258" width="43.5703125" style="296" customWidth="1"/>
    <col min="259" max="259" width="10.42578125" style="296" customWidth="1"/>
    <col min="260" max="260" width="16.140625" style="296" customWidth="1"/>
    <col min="261" max="261" width="7.5703125" style="296" customWidth="1"/>
    <col min="262" max="262" width="7.140625" style="296" customWidth="1"/>
    <col min="263" max="263" width="2.5703125" style="296" customWidth="1"/>
    <col min="264" max="510" width="9.140625" style="296"/>
    <col min="511" max="511" width="2.5703125" style="296" customWidth="1"/>
    <col min="512" max="512" width="7.140625" style="296" customWidth="1"/>
    <col min="513" max="513" width="7.5703125" style="296" customWidth="1"/>
    <col min="514" max="514" width="43.5703125" style="296" customWidth="1"/>
    <col min="515" max="515" width="10.42578125" style="296" customWidth="1"/>
    <col min="516" max="516" width="16.140625" style="296" customWidth="1"/>
    <col min="517" max="517" width="7.5703125" style="296" customWidth="1"/>
    <col min="518" max="518" width="7.140625" style="296" customWidth="1"/>
    <col min="519" max="519" width="2.5703125" style="296" customWidth="1"/>
    <col min="520" max="766" width="9.140625" style="296"/>
    <col min="767" max="767" width="2.5703125" style="296" customWidth="1"/>
    <col min="768" max="768" width="7.140625" style="296" customWidth="1"/>
    <col min="769" max="769" width="7.5703125" style="296" customWidth="1"/>
    <col min="770" max="770" width="43.5703125" style="296" customWidth="1"/>
    <col min="771" max="771" width="10.42578125" style="296" customWidth="1"/>
    <col min="772" max="772" width="16.140625" style="296" customWidth="1"/>
    <col min="773" max="773" width="7.5703125" style="296" customWidth="1"/>
    <col min="774" max="774" width="7.140625" style="296" customWidth="1"/>
    <col min="775" max="775" width="2.5703125" style="296" customWidth="1"/>
    <col min="776" max="1022" width="9.140625" style="296"/>
    <col min="1023" max="1023" width="2.5703125" style="296" customWidth="1"/>
    <col min="1024" max="1024" width="7.140625" style="296" customWidth="1"/>
    <col min="1025" max="1025" width="7.5703125" style="296" customWidth="1"/>
    <col min="1026" max="1026" width="43.5703125" style="296" customWidth="1"/>
    <col min="1027" max="1027" width="10.42578125" style="296" customWidth="1"/>
    <col min="1028" max="1028" width="16.140625" style="296" customWidth="1"/>
    <col min="1029" max="1029" width="7.5703125" style="296" customWidth="1"/>
    <col min="1030" max="1030" width="7.140625" style="296" customWidth="1"/>
    <col min="1031" max="1031" width="2.5703125" style="296" customWidth="1"/>
    <col min="1032" max="1278" width="9.140625" style="296"/>
    <col min="1279" max="1279" width="2.5703125" style="296" customWidth="1"/>
    <col min="1280" max="1280" width="7.140625" style="296" customWidth="1"/>
    <col min="1281" max="1281" width="7.5703125" style="296" customWidth="1"/>
    <col min="1282" max="1282" width="43.5703125" style="296" customWidth="1"/>
    <col min="1283" max="1283" width="10.42578125" style="296" customWidth="1"/>
    <col min="1284" max="1284" width="16.140625" style="296" customWidth="1"/>
    <col min="1285" max="1285" width="7.5703125" style="296" customWidth="1"/>
    <col min="1286" max="1286" width="7.140625" style="296" customWidth="1"/>
    <col min="1287" max="1287" width="2.5703125" style="296" customWidth="1"/>
    <col min="1288" max="1534" width="9.140625" style="296"/>
    <col min="1535" max="1535" width="2.5703125" style="296" customWidth="1"/>
    <col min="1536" max="1536" width="7.140625" style="296" customWidth="1"/>
    <col min="1537" max="1537" width="7.5703125" style="296" customWidth="1"/>
    <col min="1538" max="1538" width="43.5703125" style="296" customWidth="1"/>
    <col min="1539" max="1539" width="10.42578125" style="296" customWidth="1"/>
    <col min="1540" max="1540" width="16.140625" style="296" customWidth="1"/>
    <col min="1541" max="1541" width="7.5703125" style="296" customWidth="1"/>
    <col min="1542" max="1542" width="7.140625" style="296" customWidth="1"/>
    <col min="1543" max="1543" width="2.5703125" style="296" customWidth="1"/>
    <col min="1544" max="1790" width="9.140625" style="296"/>
    <col min="1791" max="1791" width="2.5703125" style="296" customWidth="1"/>
    <col min="1792" max="1792" width="7.140625" style="296" customWidth="1"/>
    <col min="1793" max="1793" width="7.5703125" style="296" customWidth="1"/>
    <col min="1794" max="1794" width="43.5703125" style="296" customWidth="1"/>
    <col min="1795" max="1795" width="10.42578125" style="296" customWidth="1"/>
    <col min="1796" max="1796" width="16.140625" style="296" customWidth="1"/>
    <col min="1797" max="1797" width="7.5703125" style="296" customWidth="1"/>
    <col min="1798" max="1798" width="7.140625" style="296" customWidth="1"/>
    <col min="1799" max="1799" width="2.5703125" style="296" customWidth="1"/>
    <col min="1800" max="2046" width="9.140625" style="296"/>
    <col min="2047" max="2047" width="2.5703125" style="296" customWidth="1"/>
    <col min="2048" max="2048" width="7.140625" style="296" customWidth="1"/>
    <col min="2049" max="2049" width="7.5703125" style="296" customWidth="1"/>
    <col min="2050" max="2050" width="43.5703125" style="296" customWidth="1"/>
    <col min="2051" max="2051" width="10.42578125" style="296" customWidth="1"/>
    <col min="2052" max="2052" width="16.140625" style="296" customWidth="1"/>
    <col min="2053" max="2053" width="7.5703125" style="296" customWidth="1"/>
    <col min="2054" max="2054" width="7.140625" style="296" customWidth="1"/>
    <col min="2055" max="2055" width="2.5703125" style="296" customWidth="1"/>
    <col min="2056" max="2302" width="9.140625" style="296"/>
    <col min="2303" max="2303" width="2.5703125" style="296" customWidth="1"/>
    <col min="2304" max="2304" width="7.140625" style="296" customWidth="1"/>
    <col min="2305" max="2305" width="7.5703125" style="296" customWidth="1"/>
    <col min="2306" max="2306" width="43.5703125" style="296" customWidth="1"/>
    <col min="2307" max="2307" width="10.42578125" style="296" customWidth="1"/>
    <col min="2308" max="2308" width="16.140625" style="296" customWidth="1"/>
    <col min="2309" max="2309" width="7.5703125" style="296" customWidth="1"/>
    <col min="2310" max="2310" width="7.140625" style="296" customWidth="1"/>
    <col min="2311" max="2311" width="2.5703125" style="296" customWidth="1"/>
    <col min="2312" max="2558" width="9.140625" style="296"/>
    <col min="2559" max="2559" width="2.5703125" style="296" customWidth="1"/>
    <col min="2560" max="2560" width="7.140625" style="296" customWidth="1"/>
    <col min="2561" max="2561" width="7.5703125" style="296" customWidth="1"/>
    <col min="2562" max="2562" width="43.5703125" style="296" customWidth="1"/>
    <col min="2563" max="2563" width="10.42578125" style="296" customWidth="1"/>
    <col min="2564" max="2564" width="16.140625" style="296" customWidth="1"/>
    <col min="2565" max="2565" width="7.5703125" style="296" customWidth="1"/>
    <col min="2566" max="2566" width="7.140625" style="296" customWidth="1"/>
    <col min="2567" max="2567" width="2.5703125" style="296" customWidth="1"/>
    <col min="2568" max="2814" width="9.140625" style="296"/>
    <col min="2815" max="2815" width="2.5703125" style="296" customWidth="1"/>
    <col min="2816" max="2816" width="7.140625" style="296" customWidth="1"/>
    <col min="2817" max="2817" width="7.5703125" style="296" customWidth="1"/>
    <col min="2818" max="2818" width="43.5703125" style="296" customWidth="1"/>
    <col min="2819" max="2819" width="10.42578125" style="296" customWidth="1"/>
    <col min="2820" max="2820" width="16.140625" style="296" customWidth="1"/>
    <col min="2821" max="2821" width="7.5703125" style="296" customWidth="1"/>
    <col min="2822" max="2822" width="7.140625" style="296" customWidth="1"/>
    <col min="2823" max="2823" width="2.5703125" style="296" customWidth="1"/>
    <col min="2824" max="3070" width="9.140625" style="296"/>
    <col min="3071" max="3071" width="2.5703125" style="296" customWidth="1"/>
    <col min="3072" max="3072" width="7.140625" style="296" customWidth="1"/>
    <col min="3073" max="3073" width="7.5703125" style="296" customWidth="1"/>
    <col min="3074" max="3074" width="43.5703125" style="296" customWidth="1"/>
    <col min="3075" max="3075" width="10.42578125" style="296" customWidth="1"/>
    <col min="3076" max="3076" width="16.140625" style="296" customWidth="1"/>
    <col min="3077" max="3077" width="7.5703125" style="296" customWidth="1"/>
    <col min="3078" max="3078" width="7.140625" style="296" customWidth="1"/>
    <col min="3079" max="3079" width="2.5703125" style="296" customWidth="1"/>
    <col min="3080" max="3326" width="9.140625" style="296"/>
    <col min="3327" max="3327" width="2.5703125" style="296" customWidth="1"/>
    <col min="3328" max="3328" width="7.140625" style="296" customWidth="1"/>
    <col min="3329" max="3329" width="7.5703125" style="296" customWidth="1"/>
    <col min="3330" max="3330" width="43.5703125" style="296" customWidth="1"/>
    <col min="3331" max="3331" width="10.42578125" style="296" customWidth="1"/>
    <col min="3332" max="3332" width="16.140625" style="296" customWidth="1"/>
    <col min="3333" max="3333" width="7.5703125" style="296" customWidth="1"/>
    <col min="3334" max="3334" width="7.140625" style="296" customWidth="1"/>
    <col min="3335" max="3335" width="2.5703125" style="296" customWidth="1"/>
    <col min="3336" max="3582" width="9.140625" style="296"/>
    <col min="3583" max="3583" width="2.5703125" style="296" customWidth="1"/>
    <col min="3584" max="3584" width="7.140625" style="296" customWidth="1"/>
    <col min="3585" max="3585" width="7.5703125" style="296" customWidth="1"/>
    <col min="3586" max="3586" width="43.5703125" style="296" customWidth="1"/>
    <col min="3587" max="3587" width="10.42578125" style="296" customWidth="1"/>
    <col min="3588" max="3588" width="16.140625" style="296" customWidth="1"/>
    <col min="3589" max="3589" width="7.5703125" style="296" customWidth="1"/>
    <col min="3590" max="3590" width="7.140625" style="296" customWidth="1"/>
    <col min="3591" max="3591" width="2.5703125" style="296" customWidth="1"/>
    <col min="3592" max="3838" width="9.140625" style="296"/>
    <col min="3839" max="3839" width="2.5703125" style="296" customWidth="1"/>
    <col min="3840" max="3840" width="7.140625" style="296" customWidth="1"/>
    <col min="3841" max="3841" width="7.5703125" style="296" customWidth="1"/>
    <col min="3842" max="3842" width="43.5703125" style="296" customWidth="1"/>
    <col min="3843" max="3843" width="10.42578125" style="296" customWidth="1"/>
    <col min="3844" max="3844" width="16.140625" style="296" customWidth="1"/>
    <col min="3845" max="3845" width="7.5703125" style="296" customWidth="1"/>
    <col min="3846" max="3846" width="7.140625" style="296" customWidth="1"/>
    <col min="3847" max="3847" width="2.5703125" style="296" customWidth="1"/>
    <col min="3848" max="4094" width="9.140625" style="296"/>
    <col min="4095" max="4095" width="2.5703125" style="296" customWidth="1"/>
    <col min="4096" max="4096" width="7.140625" style="296" customWidth="1"/>
    <col min="4097" max="4097" width="7.5703125" style="296" customWidth="1"/>
    <col min="4098" max="4098" width="43.5703125" style="296" customWidth="1"/>
    <col min="4099" max="4099" width="10.42578125" style="296" customWidth="1"/>
    <col min="4100" max="4100" width="16.140625" style="296" customWidth="1"/>
    <col min="4101" max="4101" width="7.5703125" style="296" customWidth="1"/>
    <col min="4102" max="4102" width="7.140625" style="296" customWidth="1"/>
    <col min="4103" max="4103" width="2.5703125" style="296" customWidth="1"/>
    <col min="4104" max="4350" width="9.140625" style="296"/>
    <col min="4351" max="4351" width="2.5703125" style="296" customWidth="1"/>
    <col min="4352" max="4352" width="7.140625" style="296" customWidth="1"/>
    <col min="4353" max="4353" width="7.5703125" style="296" customWidth="1"/>
    <col min="4354" max="4354" width="43.5703125" style="296" customWidth="1"/>
    <col min="4355" max="4355" width="10.42578125" style="296" customWidth="1"/>
    <col min="4356" max="4356" width="16.140625" style="296" customWidth="1"/>
    <col min="4357" max="4357" width="7.5703125" style="296" customWidth="1"/>
    <col min="4358" max="4358" width="7.140625" style="296" customWidth="1"/>
    <col min="4359" max="4359" width="2.5703125" style="296" customWidth="1"/>
    <col min="4360" max="4606" width="9.140625" style="296"/>
    <col min="4607" max="4607" width="2.5703125" style="296" customWidth="1"/>
    <col min="4608" max="4608" width="7.140625" style="296" customWidth="1"/>
    <col min="4609" max="4609" width="7.5703125" style="296" customWidth="1"/>
    <col min="4610" max="4610" width="43.5703125" style="296" customWidth="1"/>
    <col min="4611" max="4611" width="10.42578125" style="296" customWidth="1"/>
    <col min="4612" max="4612" width="16.140625" style="296" customWidth="1"/>
    <col min="4613" max="4613" width="7.5703125" style="296" customWidth="1"/>
    <col min="4614" max="4614" width="7.140625" style="296" customWidth="1"/>
    <col min="4615" max="4615" width="2.5703125" style="296" customWidth="1"/>
    <col min="4616" max="4862" width="9.140625" style="296"/>
    <col min="4863" max="4863" width="2.5703125" style="296" customWidth="1"/>
    <col min="4864" max="4864" width="7.140625" style="296" customWidth="1"/>
    <col min="4865" max="4865" width="7.5703125" style="296" customWidth="1"/>
    <col min="4866" max="4866" width="43.5703125" style="296" customWidth="1"/>
    <col min="4867" max="4867" width="10.42578125" style="296" customWidth="1"/>
    <col min="4868" max="4868" width="16.140625" style="296" customWidth="1"/>
    <col min="4869" max="4869" width="7.5703125" style="296" customWidth="1"/>
    <col min="4870" max="4870" width="7.140625" style="296" customWidth="1"/>
    <col min="4871" max="4871" width="2.5703125" style="296" customWidth="1"/>
    <col min="4872" max="5118" width="9.140625" style="296"/>
    <col min="5119" max="5119" width="2.5703125" style="296" customWidth="1"/>
    <col min="5120" max="5120" width="7.140625" style="296" customWidth="1"/>
    <col min="5121" max="5121" width="7.5703125" style="296" customWidth="1"/>
    <col min="5122" max="5122" width="43.5703125" style="296" customWidth="1"/>
    <col min="5123" max="5123" width="10.42578125" style="296" customWidth="1"/>
    <col min="5124" max="5124" width="16.140625" style="296" customWidth="1"/>
    <col min="5125" max="5125" width="7.5703125" style="296" customWidth="1"/>
    <col min="5126" max="5126" width="7.140625" style="296" customWidth="1"/>
    <col min="5127" max="5127" width="2.5703125" style="296" customWidth="1"/>
    <col min="5128" max="5374" width="9.140625" style="296"/>
    <col min="5375" max="5375" width="2.5703125" style="296" customWidth="1"/>
    <col min="5376" max="5376" width="7.140625" style="296" customWidth="1"/>
    <col min="5377" max="5377" width="7.5703125" style="296" customWidth="1"/>
    <col min="5378" max="5378" width="43.5703125" style="296" customWidth="1"/>
    <col min="5379" max="5379" width="10.42578125" style="296" customWidth="1"/>
    <col min="5380" max="5380" width="16.140625" style="296" customWidth="1"/>
    <col min="5381" max="5381" width="7.5703125" style="296" customWidth="1"/>
    <col min="5382" max="5382" width="7.140625" style="296" customWidth="1"/>
    <col min="5383" max="5383" width="2.5703125" style="296" customWidth="1"/>
    <col min="5384" max="5630" width="9.140625" style="296"/>
    <col min="5631" max="5631" width="2.5703125" style="296" customWidth="1"/>
    <col min="5632" max="5632" width="7.140625" style="296" customWidth="1"/>
    <col min="5633" max="5633" width="7.5703125" style="296" customWidth="1"/>
    <col min="5634" max="5634" width="43.5703125" style="296" customWidth="1"/>
    <col min="5635" max="5635" width="10.42578125" style="296" customWidth="1"/>
    <col min="5636" max="5636" width="16.140625" style="296" customWidth="1"/>
    <col min="5637" max="5637" width="7.5703125" style="296" customWidth="1"/>
    <col min="5638" max="5638" width="7.140625" style="296" customWidth="1"/>
    <col min="5639" max="5639" width="2.5703125" style="296" customWidth="1"/>
    <col min="5640" max="5886" width="9.140625" style="296"/>
    <col min="5887" max="5887" width="2.5703125" style="296" customWidth="1"/>
    <col min="5888" max="5888" width="7.140625" style="296" customWidth="1"/>
    <col min="5889" max="5889" width="7.5703125" style="296" customWidth="1"/>
    <col min="5890" max="5890" width="43.5703125" style="296" customWidth="1"/>
    <col min="5891" max="5891" width="10.42578125" style="296" customWidth="1"/>
    <col min="5892" max="5892" width="16.140625" style="296" customWidth="1"/>
    <col min="5893" max="5893" width="7.5703125" style="296" customWidth="1"/>
    <col min="5894" max="5894" width="7.140625" style="296" customWidth="1"/>
    <col min="5895" max="5895" width="2.5703125" style="296" customWidth="1"/>
    <col min="5896" max="6142" width="9.140625" style="296"/>
    <col min="6143" max="6143" width="2.5703125" style="296" customWidth="1"/>
    <col min="6144" max="6144" width="7.140625" style="296" customWidth="1"/>
    <col min="6145" max="6145" width="7.5703125" style="296" customWidth="1"/>
    <col min="6146" max="6146" width="43.5703125" style="296" customWidth="1"/>
    <col min="6147" max="6147" width="10.42578125" style="296" customWidth="1"/>
    <col min="6148" max="6148" width="16.140625" style="296" customWidth="1"/>
    <col min="6149" max="6149" width="7.5703125" style="296" customWidth="1"/>
    <col min="6150" max="6150" width="7.140625" style="296" customWidth="1"/>
    <col min="6151" max="6151" width="2.5703125" style="296" customWidth="1"/>
    <col min="6152" max="6398" width="9.140625" style="296"/>
    <col min="6399" max="6399" width="2.5703125" style="296" customWidth="1"/>
    <col min="6400" max="6400" width="7.140625" style="296" customWidth="1"/>
    <col min="6401" max="6401" width="7.5703125" style="296" customWidth="1"/>
    <col min="6402" max="6402" width="43.5703125" style="296" customWidth="1"/>
    <col min="6403" max="6403" width="10.42578125" style="296" customWidth="1"/>
    <col min="6404" max="6404" width="16.140625" style="296" customWidth="1"/>
    <col min="6405" max="6405" width="7.5703125" style="296" customWidth="1"/>
    <col min="6406" max="6406" width="7.140625" style="296" customWidth="1"/>
    <col min="6407" max="6407" width="2.5703125" style="296" customWidth="1"/>
    <col min="6408" max="6654" width="9.140625" style="296"/>
    <col min="6655" max="6655" width="2.5703125" style="296" customWidth="1"/>
    <col min="6656" max="6656" width="7.140625" style="296" customWidth="1"/>
    <col min="6657" max="6657" width="7.5703125" style="296" customWidth="1"/>
    <col min="6658" max="6658" width="43.5703125" style="296" customWidth="1"/>
    <col min="6659" max="6659" width="10.42578125" style="296" customWidth="1"/>
    <col min="6660" max="6660" width="16.140625" style="296" customWidth="1"/>
    <col min="6661" max="6661" width="7.5703125" style="296" customWidth="1"/>
    <col min="6662" max="6662" width="7.140625" style="296" customWidth="1"/>
    <col min="6663" max="6663" width="2.5703125" style="296" customWidth="1"/>
    <col min="6664" max="6910" width="9.140625" style="296"/>
    <col min="6911" max="6911" width="2.5703125" style="296" customWidth="1"/>
    <col min="6912" max="6912" width="7.140625" style="296" customWidth="1"/>
    <col min="6913" max="6913" width="7.5703125" style="296" customWidth="1"/>
    <col min="6914" max="6914" width="43.5703125" style="296" customWidth="1"/>
    <col min="6915" max="6915" width="10.42578125" style="296" customWidth="1"/>
    <col min="6916" max="6916" width="16.140625" style="296" customWidth="1"/>
    <col min="6917" max="6917" width="7.5703125" style="296" customWidth="1"/>
    <col min="6918" max="6918" width="7.140625" style="296" customWidth="1"/>
    <col min="6919" max="6919" width="2.5703125" style="296" customWidth="1"/>
    <col min="6920" max="7166" width="9.140625" style="296"/>
    <col min="7167" max="7167" width="2.5703125" style="296" customWidth="1"/>
    <col min="7168" max="7168" width="7.140625" style="296" customWidth="1"/>
    <col min="7169" max="7169" width="7.5703125" style="296" customWidth="1"/>
    <col min="7170" max="7170" width="43.5703125" style="296" customWidth="1"/>
    <col min="7171" max="7171" width="10.42578125" style="296" customWidth="1"/>
    <col min="7172" max="7172" width="16.140625" style="296" customWidth="1"/>
    <col min="7173" max="7173" width="7.5703125" style="296" customWidth="1"/>
    <col min="7174" max="7174" width="7.140625" style="296" customWidth="1"/>
    <col min="7175" max="7175" width="2.5703125" style="296" customWidth="1"/>
    <col min="7176" max="7422" width="9.140625" style="296"/>
    <col min="7423" max="7423" width="2.5703125" style="296" customWidth="1"/>
    <col min="7424" max="7424" width="7.140625" style="296" customWidth="1"/>
    <col min="7425" max="7425" width="7.5703125" style="296" customWidth="1"/>
    <col min="7426" max="7426" width="43.5703125" style="296" customWidth="1"/>
    <col min="7427" max="7427" width="10.42578125" style="296" customWidth="1"/>
    <col min="7428" max="7428" width="16.140625" style="296" customWidth="1"/>
    <col min="7429" max="7429" width="7.5703125" style="296" customWidth="1"/>
    <col min="7430" max="7430" width="7.140625" style="296" customWidth="1"/>
    <col min="7431" max="7431" width="2.5703125" style="296" customWidth="1"/>
    <col min="7432" max="7678" width="9.140625" style="296"/>
    <col min="7679" max="7679" width="2.5703125" style="296" customWidth="1"/>
    <col min="7680" max="7680" width="7.140625" style="296" customWidth="1"/>
    <col min="7681" max="7681" width="7.5703125" style="296" customWidth="1"/>
    <col min="7682" max="7682" width="43.5703125" style="296" customWidth="1"/>
    <col min="7683" max="7683" width="10.42578125" style="296" customWidth="1"/>
    <col min="7684" max="7684" width="16.140625" style="296" customWidth="1"/>
    <col min="7685" max="7685" width="7.5703125" style="296" customWidth="1"/>
    <col min="7686" max="7686" width="7.140625" style="296" customWidth="1"/>
    <col min="7687" max="7687" width="2.5703125" style="296" customWidth="1"/>
    <col min="7688" max="7934" width="9.140625" style="296"/>
    <col min="7935" max="7935" width="2.5703125" style="296" customWidth="1"/>
    <col min="7936" max="7936" width="7.140625" style="296" customWidth="1"/>
    <col min="7937" max="7937" width="7.5703125" style="296" customWidth="1"/>
    <col min="7938" max="7938" width="43.5703125" style="296" customWidth="1"/>
    <col min="7939" max="7939" width="10.42578125" style="296" customWidth="1"/>
    <col min="7940" max="7940" width="16.140625" style="296" customWidth="1"/>
    <col min="7941" max="7941" width="7.5703125" style="296" customWidth="1"/>
    <col min="7942" max="7942" width="7.140625" style="296" customWidth="1"/>
    <col min="7943" max="7943" width="2.5703125" style="296" customWidth="1"/>
    <col min="7944" max="8190" width="9.140625" style="296"/>
    <col min="8191" max="8191" width="2.5703125" style="296" customWidth="1"/>
    <col min="8192" max="8192" width="7.140625" style="296" customWidth="1"/>
    <col min="8193" max="8193" width="7.5703125" style="296" customWidth="1"/>
    <col min="8194" max="8194" width="43.5703125" style="296" customWidth="1"/>
    <col min="8195" max="8195" width="10.42578125" style="296" customWidth="1"/>
    <col min="8196" max="8196" width="16.140625" style="296" customWidth="1"/>
    <col min="8197" max="8197" width="7.5703125" style="296" customWidth="1"/>
    <col min="8198" max="8198" width="7.140625" style="296" customWidth="1"/>
    <col min="8199" max="8199" width="2.5703125" style="296" customWidth="1"/>
    <col min="8200" max="8446" width="9.140625" style="296"/>
    <col min="8447" max="8447" width="2.5703125" style="296" customWidth="1"/>
    <col min="8448" max="8448" width="7.140625" style="296" customWidth="1"/>
    <col min="8449" max="8449" width="7.5703125" style="296" customWidth="1"/>
    <col min="8450" max="8450" width="43.5703125" style="296" customWidth="1"/>
    <col min="8451" max="8451" width="10.42578125" style="296" customWidth="1"/>
    <col min="8452" max="8452" width="16.140625" style="296" customWidth="1"/>
    <col min="8453" max="8453" width="7.5703125" style="296" customWidth="1"/>
    <col min="8454" max="8454" width="7.140625" style="296" customWidth="1"/>
    <col min="8455" max="8455" width="2.5703125" style="296" customWidth="1"/>
    <col min="8456" max="8702" width="9.140625" style="296"/>
    <col min="8703" max="8703" width="2.5703125" style="296" customWidth="1"/>
    <col min="8704" max="8704" width="7.140625" style="296" customWidth="1"/>
    <col min="8705" max="8705" width="7.5703125" style="296" customWidth="1"/>
    <col min="8706" max="8706" width="43.5703125" style="296" customWidth="1"/>
    <col min="8707" max="8707" width="10.42578125" style="296" customWidth="1"/>
    <col min="8708" max="8708" width="16.140625" style="296" customWidth="1"/>
    <col min="8709" max="8709" width="7.5703125" style="296" customWidth="1"/>
    <col min="8710" max="8710" width="7.140625" style="296" customWidth="1"/>
    <col min="8711" max="8711" width="2.5703125" style="296" customWidth="1"/>
    <col min="8712" max="8958" width="9.140625" style="296"/>
    <col min="8959" max="8959" width="2.5703125" style="296" customWidth="1"/>
    <col min="8960" max="8960" width="7.140625" style="296" customWidth="1"/>
    <col min="8961" max="8961" width="7.5703125" style="296" customWidth="1"/>
    <col min="8962" max="8962" width="43.5703125" style="296" customWidth="1"/>
    <col min="8963" max="8963" width="10.42578125" style="296" customWidth="1"/>
    <col min="8964" max="8964" width="16.140625" style="296" customWidth="1"/>
    <col min="8965" max="8965" width="7.5703125" style="296" customWidth="1"/>
    <col min="8966" max="8966" width="7.140625" style="296" customWidth="1"/>
    <col min="8967" max="8967" width="2.5703125" style="296" customWidth="1"/>
    <col min="8968" max="9214" width="9.140625" style="296"/>
    <col min="9215" max="9215" width="2.5703125" style="296" customWidth="1"/>
    <col min="9216" max="9216" width="7.140625" style="296" customWidth="1"/>
    <col min="9217" max="9217" width="7.5703125" style="296" customWidth="1"/>
    <col min="9218" max="9218" width="43.5703125" style="296" customWidth="1"/>
    <col min="9219" max="9219" width="10.42578125" style="296" customWidth="1"/>
    <col min="9220" max="9220" width="16.140625" style="296" customWidth="1"/>
    <col min="9221" max="9221" width="7.5703125" style="296" customWidth="1"/>
    <col min="9222" max="9222" width="7.140625" style="296" customWidth="1"/>
    <col min="9223" max="9223" width="2.5703125" style="296" customWidth="1"/>
    <col min="9224" max="9470" width="9.140625" style="296"/>
    <col min="9471" max="9471" width="2.5703125" style="296" customWidth="1"/>
    <col min="9472" max="9472" width="7.140625" style="296" customWidth="1"/>
    <col min="9473" max="9473" width="7.5703125" style="296" customWidth="1"/>
    <col min="9474" max="9474" width="43.5703125" style="296" customWidth="1"/>
    <col min="9475" max="9475" width="10.42578125" style="296" customWidth="1"/>
    <col min="9476" max="9476" width="16.140625" style="296" customWidth="1"/>
    <col min="9477" max="9477" width="7.5703125" style="296" customWidth="1"/>
    <col min="9478" max="9478" width="7.140625" style="296" customWidth="1"/>
    <col min="9479" max="9479" width="2.5703125" style="296" customWidth="1"/>
    <col min="9480" max="9726" width="9.140625" style="296"/>
    <col min="9727" max="9727" width="2.5703125" style="296" customWidth="1"/>
    <col min="9728" max="9728" width="7.140625" style="296" customWidth="1"/>
    <col min="9729" max="9729" width="7.5703125" style="296" customWidth="1"/>
    <col min="9730" max="9730" width="43.5703125" style="296" customWidth="1"/>
    <col min="9731" max="9731" width="10.42578125" style="296" customWidth="1"/>
    <col min="9732" max="9732" width="16.140625" style="296" customWidth="1"/>
    <col min="9733" max="9733" width="7.5703125" style="296" customWidth="1"/>
    <col min="9734" max="9734" width="7.140625" style="296" customWidth="1"/>
    <col min="9735" max="9735" width="2.5703125" style="296" customWidth="1"/>
    <col min="9736" max="9982" width="9.140625" style="296"/>
    <col min="9983" max="9983" width="2.5703125" style="296" customWidth="1"/>
    <col min="9984" max="9984" width="7.140625" style="296" customWidth="1"/>
    <col min="9985" max="9985" width="7.5703125" style="296" customWidth="1"/>
    <col min="9986" max="9986" width="43.5703125" style="296" customWidth="1"/>
    <col min="9987" max="9987" width="10.42578125" style="296" customWidth="1"/>
    <col min="9988" max="9988" width="16.140625" style="296" customWidth="1"/>
    <col min="9989" max="9989" width="7.5703125" style="296" customWidth="1"/>
    <col min="9990" max="9990" width="7.140625" style="296" customWidth="1"/>
    <col min="9991" max="9991" width="2.5703125" style="296" customWidth="1"/>
    <col min="9992" max="10238" width="9.140625" style="296"/>
    <col min="10239" max="10239" width="2.5703125" style="296" customWidth="1"/>
    <col min="10240" max="10240" width="7.140625" style="296" customWidth="1"/>
    <col min="10241" max="10241" width="7.5703125" style="296" customWidth="1"/>
    <col min="10242" max="10242" width="43.5703125" style="296" customWidth="1"/>
    <col min="10243" max="10243" width="10.42578125" style="296" customWidth="1"/>
    <col min="10244" max="10244" width="16.140625" style="296" customWidth="1"/>
    <col min="10245" max="10245" width="7.5703125" style="296" customWidth="1"/>
    <col min="10246" max="10246" width="7.140625" style="296" customWidth="1"/>
    <col min="10247" max="10247" width="2.5703125" style="296" customWidth="1"/>
    <col min="10248" max="10494" width="9.140625" style="296"/>
    <col min="10495" max="10495" width="2.5703125" style="296" customWidth="1"/>
    <col min="10496" max="10496" width="7.140625" style="296" customWidth="1"/>
    <col min="10497" max="10497" width="7.5703125" style="296" customWidth="1"/>
    <col min="10498" max="10498" width="43.5703125" style="296" customWidth="1"/>
    <col min="10499" max="10499" width="10.42578125" style="296" customWidth="1"/>
    <col min="10500" max="10500" width="16.140625" style="296" customWidth="1"/>
    <col min="10501" max="10501" width="7.5703125" style="296" customWidth="1"/>
    <col min="10502" max="10502" width="7.140625" style="296" customWidth="1"/>
    <col min="10503" max="10503" width="2.5703125" style="296" customWidth="1"/>
    <col min="10504" max="10750" width="9.140625" style="296"/>
    <col min="10751" max="10751" width="2.5703125" style="296" customWidth="1"/>
    <col min="10752" max="10752" width="7.140625" style="296" customWidth="1"/>
    <col min="10753" max="10753" width="7.5703125" style="296" customWidth="1"/>
    <col min="10754" max="10754" width="43.5703125" style="296" customWidth="1"/>
    <col min="10755" max="10755" width="10.42578125" style="296" customWidth="1"/>
    <col min="10756" max="10756" width="16.140625" style="296" customWidth="1"/>
    <col min="10757" max="10757" width="7.5703125" style="296" customWidth="1"/>
    <col min="10758" max="10758" width="7.140625" style="296" customWidth="1"/>
    <col min="10759" max="10759" width="2.5703125" style="296" customWidth="1"/>
    <col min="10760" max="11006" width="9.140625" style="296"/>
    <col min="11007" max="11007" width="2.5703125" style="296" customWidth="1"/>
    <col min="11008" max="11008" width="7.140625" style="296" customWidth="1"/>
    <col min="11009" max="11009" width="7.5703125" style="296" customWidth="1"/>
    <col min="11010" max="11010" width="43.5703125" style="296" customWidth="1"/>
    <col min="11011" max="11011" width="10.42578125" style="296" customWidth="1"/>
    <col min="11012" max="11012" width="16.140625" style="296" customWidth="1"/>
    <col min="11013" max="11013" width="7.5703125" style="296" customWidth="1"/>
    <col min="11014" max="11014" width="7.140625" style="296" customWidth="1"/>
    <col min="11015" max="11015" width="2.5703125" style="296" customWidth="1"/>
    <col min="11016" max="11262" width="9.140625" style="296"/>
    <col min="11263" max="11263" width="2.5703125" style="296" customWidth="1"/>
    <col min="11264" max="11264" width="7.140625" style="296" customWidth="1"/>
    <col min="11265" max="11265" width="7.5703125" style="296" customWidth="1"/>
    <col min="11266" max="11266" width="43.5703125" style="296" customWidth="1"/>
    <col min="11267" max="11267" width="10.42578125" style="296" customWidth="1"/>
    <col min="11268" max="11268" width="16.140625" style="296" customWidth="1"/>
    <col min="11269" max="11269" width="7.5703125" style="296" customWidth="1"/>
    <col min="11270" max="11270" width="7.140625" style="296" customWidth="1"/>
    <col min="11271" max="11271" width="2.5703125" style="296" customWidth="1"/>
    <col min="11272" max="11518" width="9.140625" style="296"/>
    <col min="11519" max="11519" width="2.5703125" style="296" customWidth="1"/>
    <col min="11520" max="11520" width="7.140625" style="296" customWidth="1"/>
    <col min="11521" max="11521" width="7.5703125" style="296" customWidth="1"/>
    <col min="11522" max="11522" width="43.5703125" style="296" customWidth="1"/>
    <col min="11523" max="11523" width="10.42578125" style="296" customWidth="1"/>
    <col min="11524" max="11524" width="16.140625" style="296" customWidth="1"/>
    <col min="11525" max="11525" width="7.5703125" style="296" customWidth="1"/>
    <col min="11526" max="11526" width="7.140625" style="296" customWidth="1"/>
    <col min="11527" max="11527" width="2.5703125" style="296" customWidth="1"/>
    <col min="11528" max="11774" width="9.140625" style="296"/>
    <col min="11775" max="11775" width="2.5703125" style="296" customWidth="1"/>
    <col min="11776" max="11776" width="7.140625" style="296" customWidth="1"/>
    <col min="11777" max="11777" width="7.5703125" style="296" customWidth="1"/>
    <col min="11778" max="11778" width="43.5703125" style="296" customWidth="1"/>
    <col min="11779" max="11779" width="10.42578125" style="296" customWidth="1"/>
    <col min="11780" max="11780" width="16.140625" style="296" customWidth="1"/>
    <col min="11781" max="11781" width="7.5703125" style="296" customWidth="1"/>
    <col min="11782" max="11782" width="7.140625" style="296" customWidth="1"/>
    <col min="11783" max="11783" width="2.5703125" style="296" customWidth="1"/>
    <col min="11784" max="12030" width="9.140625" style="296"/>
    <col min="12031" max="12031" width="2.5703125" style="296" customWidth="1"/>
    <col min="12032" max="12032" width="7.140625" style="296" customWidth="1"/>
    <col min="12033" max="12033" width="7.5703125" style="296" customWidth="1"/>
    <col min="12034" max="12034" width="43.5703125" style="296" customWidth="1"/>
    <col min="12035" max="12035" width="10.42578125" style="296" customWidth="1"/>
    <col min="12036" max="12036" width="16.140625" style="296" customWidth="1"/>
    <col min="12037" max="12037" width="7.5703125" style="296" customWidth="1"/>
    <col min="12038" max="12038" width="7.140625" style="296" customWidth="1"/>
    <col min="12039" max="12039" width="2.5703125" style="296" customWidth="1"/>
    <col min="12040" max="12286" width="9.140625" style="296"/>
    <col min="12287" max="12287" width="2.5703125" style="296" customWidth="1"/>
    <col min="12288" max="12288" width="7.140625" style="296" customWidth="1"/>
    <col min="12289" max="12289" width="7.5703125" style="296" customWidth="1"/>
    <col min="12290" max="12290" width="43.5703125" style="296" customWidth="1"/>
    <col min="12291" max="12291" width="10.42578125" style="296" customWidth="1"/>
    <col min="12292" max="12292" width="16.140625" style="296" customWidth="1"/>
    <col min="12293" max="12293" width="7.5703125" style="296" customWidth="1"/>
    <col min="12294" max="12294" width="7.140625" style="296" customWidth="1"/>
    <col min="12295" max="12295" width="2.5703125" style="296" customWidth="1"/>
    <col min="12296" max="12542" width="9.140625" style="296"/>
    <col min="12543" max="12543" width="2.5703125" style="296" customWidth="1"/>
    <col min="12544" max="12544" width="7.140625" style="296" customWidth="1"/>
    <col min="12545" max="12545" width="7.5703125" style="296" customWidth="1"/>
    <col min="12546" max="12546" width="43.5703125" style="296" customWidth="1"/>
    <col min="12547" max="12547" width="10.42578125" style="296" customWidth="1"/>
    <col min="12548" max="12548" width="16.140625" style="296" customWidth="1"/>
    <col min="12549" max="12549" width="7.5703125" style="296" customWidth="1"/>
    <col min="12550" max="12550" width="7.140625" style="296" customWidth="1"/>
    <col min="12551" max="12551" width="2.5703125" style="296" customWidth="1"/>
    <col min="12552" max="12798" width="9.140625" style="296"/>
    <col min="12799" max="12799" width="2.5703125" style="296" customWidth="1"/>
    <col min="12800" max="12800" width="7.140625" style="296" customWidth="1"/>
    <col min="12801" max="12801" width="7.5703125" style="296" customWidth="1"/>
    <col min="12802" max="12802" width="43.5703125" style="296" customWidth="1"/>
    <col min="12803" max="12803" width="10.42578125" style="296" customWidth="1"/>
    <col min="12804" max="12804" width="16.140625" style="296" customWidth="1"/>
    <col min="12805" max="12805" width="7.5703125" style="296" customWidth="1"/>
    <col min="12806" max="12806" width="7.140625" style="296" customWidth="1"/>
    <col min="12807" max="12807" width="2.5703125" style="296" customWidth="1"/>
    <col min="12808" max="13054" width="9.140625" style="296"/>
    <col min="13055" max="13055" width="2.5703125" style="296" customWidth="1"/>
    <col min="13056" max="13056" width="7.140625" style="296" customWidth="1"/>
    <col min="13057" max="13057" width="7.5703125" style="296" customWidth="1"/>
    <col min="13058" max="13058" width="43.5703125" style="296" customWidth="1"/>
    <col min="13059" max="13059" width="10.42578125" style="296" customWidth="1"/>
    <col min="13060" max="13060" width="16.140625" style="296" customWidth="1"/>
    <col min="13061" max="13061" width="7.5703125" style="296" customWidth="1"/>
    <col min="13062" max="13062" width="7.140625" style="296" customWidth="1"/>
    <col min="13063" max="13063" width="2.5703125" style="296" customWidth="1"/>
    <col min="13064" max="13310" width="9.140625" style="296"/>
    <col min="13311" max="13311" width="2.5703125" style="296" customWidth="1"/>
    <col min="13312" max="13312" width="7.140625" style="296" customWidth="1"/>
    <col min="13313" max="13313" width="7.5703125" style="296" customWidth="1"/>
    <col min="13314" max="13314" width="43.5703125" style="296" customWidth="1"/>
    <col min="13315" max="13315" width="10.42578125" style="296" customWidth="1"/>
    <col min="13316" max="13316" width="16.140625" style="296" customWidth="1"/>
    <col min="13317" max="13317" width="7.5703125" style="296" customWidth="1"/>
    <col min="13318" max="13318" width="7.140625" style="296" customWidth="1"/>
    <col min="13319" max="13319" width="2.5703125" style="296" customWidth="1"/>
    <col min="13320" max="13566" width="9.140625" style="296"/>
    <col min="13567" max="13567" width="2.5703125" style="296" customWidth="1"/>
    <col min="13568" max="13568" width="7.140625" style="296" customWidth="1"/>
    <col min="13569" max="13569" width="7.5703125" style="296" customWidth="1"/>
    <col min="13570" max="13570" width="43.5703125" style="296" customWidth="1"/>
    <col min="13571" max="13571" width="10.42578125" style="296" customWidth="1"/>
    <col min="13572" max="13572" width="16.140625" style="296" customWidth="1"/>
    <col min="13573" max="13573" width="7.5703125" style="296" customWidth="1"/>
    <col min="13574" max="13574" width="7.140625" style="296" customWidth="1"/>
    <col min="13575" max="13575" width="2.5703125" style="296" customWidth="1"/>
    <col min="13576" max="13822" width="9.140625" style="296"/>
    <col min="13823" max="13823" width="2.5703125" style="296" customWidth="1"/>
    <col min="13824" max="13824" width="7.140625" style="296" customWidth="1"/>
    <col min="13825" max="13825" width="7.5703125" style="296" customWidth="1"/>
    <col min="13826" max="13826" width="43.5703125" style="296" customWidth="1"/>
    <col min="13827" max="13827" width="10.42578125" style="296" customWidth="1"/>
    <col min="13828" max="13828" width="16.140625" style="296" customWidth="1"/>
    <col min="13829" max="13829" width="7.5703125" style="296" customWidth="1"/>
    <col min="13830" max="13830" width="7.140625" style="296" customWidth="1"/>
    <col min="13831" max="13831" width="2.5703125" style="296" customWidth="1"/>
    <col min="13832" max="14078" width="9.140625" style="296"/>
    <col min="14079" max="14079" width="2.5703125" style="296" customWidth="1"/>
    <col min="14080" max="14080" width="7.140625" style="296" customWidth="1"/>
    <col min="14081" max="14081" width="7.5703125" style="296" customWidth="1"/>
    <col min="14082" max="14082" width="43.5703125" style="296" customWidth="1"/>
    <col min="14083" max="14083" width="10.42578125" style="296" customWidth="1"/>
    <col min="14084" max="14084" width="16.140625" style="296" customWidth="1"/>
    <col min="14085" max="14085" width="7.5703125" style="296" customWidth="1"/>
    <col min="14086" max="14086" width="7.140625" style="296" customWidth="1"/>
    <col min="14087" max="14087" width="2.5703125" style="296" customWidth="1"/>
    <col min="14088" max="14334" width="9.140625" style="296"/>
    <col min="14335" max="14335" width="2.5703125" style="296" customWidth="1"/>
    <col min="14336" max="14336" width="7.140625" style="296" customWidth="1"/>
    <col min="14337" max="14337" width="7.5703125" style="296" customWidth="1"/>
    <col min="14338" max="14338" width="43.5703125" style="296" customWidth="1"/>
    <col min="14339" max="14339" width="10.42578125" style="296" customWidth="1"/>
    <col min="14340" max="14340" width="16.140625" style="296" customWidth="1"/>
    <col min="14341" max="14341" width="7.5703125" style="296" customWidth="1"/>
    <col min="14342" max="14342" width="7.140625" style="296" customWidth="1"/>
    <col min="14343" max="14343" width="2.5703125" style="296" customWidth="1"/>
    <col min="14344" max="14590" width="9.140625" style="296"/>
    <col min="14591" max="14591" width="2.5703125" style="296" customWidth="1"/>
    <col min="14592" max="14592" width="7.140625" style="296" customWidth="1"/>
    <col min="14593" max="14593" width="7.5703125" style="296" customWidth="1"/>
    <col min="14594" max="14594" width="43.5703125" style="296" customWidth="1"/>
    <col min="14595" max="14595" width="10.42578125" style="296" customWidth="1"/>
    <col min="14596" max="14596" width="16.140625" style="296" customWidth="1"/>
    <col min="14597" max="14597" width="7.5703125" style="296" customWidth="1"/>
    <col min="14598" max="14598" width="7.140625" style="296" customWidth="1"/>
    <col min="14599" max="14599" width="2.5703125" style="296" customWidth="1"/>
    <col min="14600" max="14846" width="9.140625" style="296"/>
    <col min="14847" max="14847" width="2.5703125" style="296" customWidth="1"/>
    <col min="14848" max="14848" width="7.140625" style="296" customWidth="1"/>
    <col min="14849" max="14849" width="7.5703125" style="296" customWidth="1"/>
    <col min="14850" max="14850" width="43.5703125" style="296" customWidth="1"/>
    <col min="14851" max="14851" width="10.42578125" style="296" customWidth="1"/>
    <col min="14852" max="14852" width="16.140625" style="296" customWidth="1"/>
    <col min="14853" max="14853" width="7.5703125" style="296" customWidth="1"/>
    <col min="14854" max="14854" width="7.140625" style="296" customWidth="1"/>
    <col min="14855" max="14855" width="2.5703125" style="296" customWidth="1"/>
    <col min="14856" max="15102" width="9.140625" style="296"/>
    <col min="15103" max="15103" width="2.5703125" style="296" customWidth="1"/>
    <col min="15104" max="15104" width="7.140625" style="296" customWidth="1"/>
    <col min="15105" max="15105" width="7.5703125" style="296" customWidth="1"/>
    <col min="15106" max="15106" width="43.5703125" style="296" customWidth="1"/>
    <col min="15107" max="15107" width="10.42578125" style="296" customWidth="1"/>
    <col min="15108" max="15108" width="16.140625" style="296" customWidth="1"/>
    <col min="15109" max="15109" width="7.5703125" style="296" customWidth="1"/>
    <col min="15110" max="15110" width="7.140625" style="296" customWidth="1"/>
    <col min="15111" max="15111" width="2.5703125" style="296" customWidth="1"/>
    <col min="15112" max="15358" width="9.140625" style="296"/>
    <col min="15359" max="15359" width="2.5703125" style="296" customWidth="1"/>
    <col min="15360" max="15360" width="7.140625" style="296" customWidth="1"/>
    <col min="15361" max="15361" width="7.5703125" style="296" customWidth="1"/>
    <col min="15362" max="15362" width="43.5703125" style="296" customWidth="1"/>
    <col min="15363" max="15363" width="10.42578125" style="296" customWidth="1"/>
    <col min="15364" max="15364" width="16.140625" style="296" customWidth="1"/>
    <col min="15365" max="15365" width="7.5703125" style="296" customWidth="1"/>
    <col min="15366" max="15366" width="7.140625" style="296" customWidth="1"/>
    <col min="15367" max="15367" width="2.5703125" style="296" customWidth="1"/>
    <col min="15368" max="15614" width="9.140625" style="296"/>
    <col min="15615" max="15615" width="2.5703125" style="296" customWidth="1"/>
    <col min="15616" max="15616" width="7.140625" style="296" customWidth="1"/>
    <col min="15617" max="15617" width="7.5703125" style="296" customWidth="1"/>
    <col min="15618" max="15618" width="43.5703125" style="296" customWidth="1"/>
    <col min="15619" max="15619" width="10.42578125" style="296" customWidth="1"/>
    <col min="15620" max="15620" width="16.140625" style="296" customWidth="1"/>
    <col min="15621" max="15621" width="7.5703125" style="296" customWidth="1"/>
    <col min="15622" max="15622" width="7.140625" style="296" customWidth="1"/>
    <col min="15623" max="15623" width="2.5703125" style="296" customWidth="1"/>
    <col min="15624" max="15870" width="9.140625" style="296"/>
    <col min="15871" max="15871" width="2.5703125" style="296" customWidth="1"/>
    <col min="15872" max="15872" width="7.140625" style="296" customWidth="1"/>
    <col min="15873" max="15873" width="7.5703125" style="296" customWidth="1"/>
    <col min="15874" max="15874" width="43.5703125" style="296" customWidth="1"/>
    <col min="15875" max="15875" width="10.42578125" style="296" customWidth="1"/>
    <col min="15876" max="15876" width="16.140625" style="296" customWidth="1"/>
    <col min="15877" max="15877" width="7.5703125" style="296" customWidth="1"/>
    <col min="15878" max="15878" width="7.140625" style="296" customWidth="1"/>
    <col min="15879" max="15879" width="2.5703125" style="296" customWidth="1"/>
    <col min="15880" max="16126" width="9.140625" style="296"/>
    <col min="16127" max="16127" width="2.5703125" style="296" customWidth="1"/>
    <col min="16128" max="16128" width="7.140625" style="296" customWidth="1"/>
    <col min="16129" max="16129" width="7.5703125" style="296" customWidth="1"/>
    <col min="16130" max="16130" width="43.5703125" style="296" customWidth="1"/>
    <col min="16131" max="16131" width="10.42578125" style="296" customWidth="1"/>
    <col min="16132" max="16132" width="16.140625" style="296" customWidth="1"/>
    <col min="16133" max="16133" width="7.5703125" style="296" customWidth="1"/>
    <col min="16134" max="16134" width="7.140625" style="296" customWidth="1"/>
    <col min="16135" max="16135" width="2.5703125" style="296" customWidth="1"/>
    <col min="16136" max="16383" width="9.140625" style="296"/>
    <col min="16384" max="16384" width="9.28515625" style="296" customWidth="1"/>
  </cols>
  <sheetData>
    <row r="2" spans="1:6" x14ac:dyDescent="0.2">
      <c r="A2" s="387" t="s">
        <v>1364</v>
      </c>
      <c r="B2" s="387"/>
      <c r="C2" s="387"/>
      <c r="D2" s="387"/>
      <c r="E2" s="387"/>
      <c r="F2" s="295"/>
    </row>
    <row r="3" spans="1:6" x14ac:dyDescent="0.2">
      <c r="A3" s="295"/>
      <c r="B3" s="295"/>
      <c r="C3" s="295"/>
      <c r="D3" s="295"/>
      <c r="E3" s="295"/>
      <c r="F3" s="295"/>
    </row>
    <row r="4" spans="1:6" x14ac:dyDescent="0.2">
      <c r="B4" s="294"/>
      <c r="C4" s="294"/>
      <c r="D4" s="294"/>
      <c r="E4" s="294"/>
      <c r="F4" s="294"/>
    </row>
    <row r="5" spans="1:6" x14ac:dyDescent="0.2">
      <c r="B5" s="294"/>
      <c r="C5" s="294"/>
      <c r="D5" s="294"/>
      <c r="E5" s="294"/>
      <c r="F5" s="294"/>
    </row>
    <row r="6" spans="1:6" x14ac:dyDescent="0.2">
      <c r="B6" s="294"/>
      <c r="C6" s="294"/>
      <c r="D6" s="294"/>
      <c r="E6" s="294"/>
      <c r="F6" s="294"/>
    </row>
    <row r="7" spans="1:6" x14ac:dyDescent="0.2">
      <c r="B7" s="294"/>
      <c r="C7" s="294"/>
      <c r="D7" s="294"/>
      <c r="E7" s="294"/>
      <c r="F7" s="294"/>
    </row>
    <row r="8" spans="1:6" x14ac:dyDescent="0.2">
      <c r="B8" s="294"/>
      <c r="C8" s="294"/>
      <c r="D8" s="294"/>
      <c r="E8" s="294"/>
      <c r="F8" s="294"/>
    </row>
    <row r="9" spans="1:6" x14ac:dyDescent="0.2">
      <c r="B9" s="294"/>
      <c r="C9" s="294"/>
      <c r="D9" s="294"/>
      <c r="E9" s="294"/>
      <c r="F9" s="294"/>
    </row>
    <row r="10" spans="1:6" x14ac:dyDescent="0.2">
      <c r="B10" s="294"/>
      <c r="C10" s="294"/>
      <c r="D10" s="294"/>
      <c r="E10" s="294"/>
      <c r="F10" s="294"/>
    </row>
    <row r="11" spans="1:6" x14ac:dyDescent="0.2">
      <c r="B11" s="294"/>
      <c r="C11" s="294"/>
      <c r="D11" s="294"/>
      <c r="E11" s="294"/>
      <c r="F11" s="294"/>
    </row>
    <row r="12" spans="1:6" x14ac:dyDescent="0.2">
      <c r="B12" s="294"/>
      <c r="C12" s="294"/>
      <c r="D12" s="294"/>
      <c r="E12" s="294"/>
      <c r="F12" s="294"/>
    </row>
    <row r="13" spans="1:6" x14ac:dyDescent="0.2">
      <c r="B13" s="294"/>
      <c r="C13" s="294"/>
      <c r="D13" s="294"/>
      <c r="E13" s="294"/>
      <c r="F13" s="294"/>
    </row>
    <row r="14" spans="1:6" x14ac:dyDescent="0.2">
      <c r="B14" s="294"/>
      <c r="C14" s="294"/>
      <c r="D14" s="294"/>
      <c r="E14" s="294"/>
      <c r="F14" s="294"/>
    </row>
    <row r="15" spans="1:6" x14ac:dyDescent="0.2">
      <c r="B15" s="294"/>
      <c r="C15" s="294"/>
      <c r="D15" s="294"/>
      <c r="E15" s="294"/>
      <c r="F15" s="294"/>
    </row>
    <row r="16" spans="1:6" x14ac:dyDescent="0.2">
      <c r="B16" s="294"/>
      <c r="C16" s="294"/>
      <c r="D16" s="294"/>
      <c r="E16" s="294"/>
      <c r="F16" s="294"/>
    </row>
    <row r="17" spans="2:12" x14ac:dyDescent="0.2">
      <c r="B17" s="294"/>
      <c r="C17" s="294"/>
      <c r="D17" s="294"/>
      <c r="E17" s="294"/>
      <c r="F17" s="294"/>
    </row>
    <row r="18" spans="2:12" x14ac:dyDescent="0.2">
      <c r="B18" s="294"/>
      <c r="C18" s="294"/>
      <c r="D18" s="294"/>
      <c r="E18" s="294"/>
      <c r="F18" s="294"/>
    </row>
    <row r="19" spans="2:12" x14ac:dyDescent="0.2">
      <c r="B19" s="294"/>
      <c r="C19" s="294"/>
      <c r="D19" s="294"/>
      <c r="E19" s="294"/>
      <c r="F19" s="294"/>
    </row>
    <row r="20" spans="2:12" x14ac:dyDescent="0.2">
      <c r="B20" s="294"/>
      <c r="C20" s="294"/>
      <c r="D20" s="294"/>
      <c r="E20" s="294"/>
      <c r="F20" s="294"/>
    </row>
    <row r="21" spans="2:12" x14ac:dyDescent="0.2">
      <c r="B21" s="294"/>
      <c r="C21" s="294"/>
      <c r="D21" s="294"/>
      <c r="E21" s="294"/>
      <c r="F21" s="294"/>
    </row>
    <row r="22" spans="2:12" x14ac:dyDescent="0.2">
      <c r="B22" s="294"/>
      <c r="C22" s="294"/>
      <c r="D22" s="294"/>
      <c r="E22" s="294"/>
      <c r="F22" s="294"/>
    </row>
    <row r="23" spans="2:12" x14ac:dyDescent="0.2">
      <c r="B23" s="294"/>
      <c r="C23" s="294"/>
      <c r="D23" s="294"/>
      <c r="E23" s="294"/>
      <c r="F23" s="294"/>
    </row>
    <row r="24" spans="2:12" x14ac:dyDescent="0.2">
      <c r="B24" s="294"/>
      <c r="C24" s="294"/>
      <c r="D24" s="294"/>
      <c r="E24" s="294"/>
      <c r="F24" s="294"/>
    </row>
    <row r="28" spans="2:12" ht="25.5" x14ac:dyDescent="0.2">
      <c r="B28" s="297" t="s">
        <v>13</v>
      </c>
      <c r="C28" s="297" t="s">
        <v>14</v>
      </c>
      <c r="D28" s="321" t="s">
        <v>1368</v>
      </c>
      <c r="E28" s="298"/>
      <c r="F28" s="298"/>
    </row>
    <row r="29" spans="2:12" x14ac:dyDescent="0.2">
      <c r="B29" s="299"/>
      <c r="C29" s="299"/>
      <c r="D29" s="330"/>
    </row>
    <row r="30" spans="2:12" x14ac:dyDescent="0.2">
      <c r="B30" s="296" t="s">
        <v>26</v>
      </c>
      <c r="C30" s="294" t="s">
        <v>27</v>
      </c>
      <c r="D30" s="331">
        <f>VLOOKUP($C30,$H$30:$I$53,2,FALSE)</f>
        <v>0.30403519106648907</v>
      </c>
      <c r="E30" s="300"/>
      <c r="F30" s="300"/>
      <c r="H30" s="301" t="s">
        <v>68</v>
      </c>
      <c r="I30" s="302">
        <v>0.19351493598862021</v>
      </c>
      <c r="J30" s="320"/>
      <c r="L30" s="303"/>
    </row>
    <row r="31" spans="2:12" x14ac:dyDescent="0.2">
      <c r="B31" s="296" t="s">
        <v>29</v>
      </c>
      <c r="C31" s="294" t="s">
        <v>30</v>
      </c>
      <c r="D31" s="331">
        <f t="shared" ref="D31:D52" si="0">VLOOKUP($C31,$H$30:$I$53,2,FALSE)</f>
        <v>0.379593965655593</v>
      </c>
      <c r="E31" s="300"/>
      <c r="F31" s="300"/>
      <c r="H31" s="301" t="s">
        <v>49</v>
      </c>
      <c r="I31" s="302">
        <v>0.20246411988180665</v>
      </c>
      <c r="J31" s="320"/>
      <c r="L31" s="303"/>
    </row>
    <row r="32" spans="2:12" x14ac:dyDescent="0.2">
      <c r="B32" s="296" t="s">
        <v>31</v>
      </c>
      <c r="C32" s="294" t="s">
        <v>32</v>
      </c>
      <c r="D32" s="331">
        <f t="shared" si="0"/>
        <v>0.35036716352476982</v>
      </c>
      <c r="E32" s="300"/>
      <c r="F32" s="300"/>
      <c r="H32" s="301" t="s">
        <v>60</v>
      </c>
      <c r="I32" s="302">
        <v>0.2090845461486846</v>
      </c>
      <c r="J32" s="320"/>
      <c r="L32" s="303"/>
    </row>
    <row r="33" spans="2:12" x14ac:dyDescent="0.2">
      <c r="B33" s="296" t="s">
        <v>34</v>
      </c>
      <c r="C33" s="294" t="s">
        <v>35</v>
      </c>
      <c r="D33" s="331">
        <f t="shared" si="0"/>
        <v>0.29717683557394003</v>
      </c>
      <c r="E33" s="300"/>
      <c r="F33" s="300"/>
      <c r="H33" s="301" t="s">
        <v>58</v>
      </c>
      <c r="I33" s="302">
        <v>0.21855543113101905</v>
      </c>
      <c r="J33" s="320"/>
      <c r="L33" s="303"/>
    </row>
    <row r="34" spans="2:12" x14ac:dyDescent="0.2">
      <c r="B34" s="296" t="s">
        <v>36</v>
      </c>
      <c r="C34" s="294" t="s">
        <v>37</v>
      </c>
      <c r="D34" s="331">
        <f t="shared" si="0"/>
        <v>0.31903209109730846</v>
      </c>
      <c r="E34" s="300"/>
      <c r="F34" s="300"/>
      <c r="H34" s="301" t="s">
        <v>70</v>
      </c>
      <c r="I34" s="302">
        <v>0.24893034825870647</v>
      </c>
      <c r="J34" s="320"/>
      <c r="L34" s="303"/>
    </row>
    <row r="35" spans="2:12" x14ac:dyDescent="0.2">
      <c r="B35" s="296" t="s">
        <v>38</v>
      </c>
      <c r="C35" s="294" t="s">
        <v>39</v>
      </c>
      <c r="D35" s="331">
        <f t="shared" si="0"/>
        <v>0.37663025488248919</v>
      </c>
      <c r="E35" s="300"/>
      <c r="F35" s="300"/>
      <c r="H35" s="301" t="s">
        <v>41</v>
      </c>
      <c r="I35" s="302">
        <v>0.25622754491017963</v>
      </c>
      <c r="J35" s="320"/>
      <c r="L35" s="303"/>
    </row>
    <row r="36" spans="2:12" x14ac:dyDescent="0.2">
      <c r="B36" s="296" t="s">
        <v>40</v>
      </c>
      <c r="C36" s="294" t="s">
        <v>41</v>
      </c>
      <c r="D36" s="331">
        <f t="shared" si="0"/>
        <v>0.25622754491017963</v>
      </c>
      <c r="E36" s="300"/>
      <c r="F36" s="300"/>
      <c r="H36" s="301" t="s">
        <v>64</v>
      </c>
      <c r="I36" s="304">
        <v>0.26509413854351688</v>
      </c>
      <c r="J36" s="320"/>
      <c r="L36" s="303"/>
    </row>
    <row r="37" spans="2:12" x14ac:dyDescent="0.2">
      <c r="B37" s="296" t="s">
        <v>42</v>
      </c>
      <c r="C37" s="294" t="s">
        <v>43</v>
      </c>
      <c r="D37" s="331">
        <f t="shared" si="0"/>
        <v>0.40180138568129331</v>
      </c>
      <c r="E37" s="300"/>
      <c r="F37" s="300"/>
      <c r="H37" s="301" t="s">
        <v>66</v>
      </c>
      <c r="I37" s="302">
        <v>0.27496934865900385</v>
      </c>
      <c r="J37" s="320"/>
      <c r="L37" s="303"/>
    </row>
    <row r="38" spans="2:12" x14ac:dyDescent="0.2">
      <c r="B38" s="296" t="s">
        <v>44</v>
      </c>
      <c r="C38" s="294" t="s">
        <v>45</v>
      </c>
      <c r="D38" s="331">
        <f t="shared" si="0"/>
        <v>0.3111712975451848</v>
      </c>
      <c r="E38" s="300"/>
      <c r="F38" s="300"/>
      <c r="H38" s="301" t="s">
        <v>47</v>
      </c>
      <c r="I38" s="302">
        <v>0.28399837398373984</v>
      </c>
      <c r="J38" s="320"/>
      <c r="L38" s="303"/>
    </row>
    <row r="39" spans="2:12" x14ac:dyDescent="0.2">
      <c r="B39" s="296" t="s">
        <v>46</v>
      </c>
      <c r="C39" s="294" t="s">
        <v>47</v>
      </c>
      <c r="D39" s="331">
        <f t="shared" si="0"/>
        <v>0.28399837398373984</v>
      </c>
      <c r="H39" s="301" t="s">
        <v>54</v>
      </c>
      <c r="I39" s="302">
        <v>0.28477206595538312</v>
      </c>
      <c r="J39" s="320"/>
      <c r="L39" s="303"/>
    </row>
    <row r="40" spans="2:12" x14ac:dyDescent="0.2">
      <c r="B40" s="296" t="s">
        <v>48</v>
      </c>
      <c r="C40" s="294" t="s">
        <v>49</v>
      </c>
      <c r="D40" s="331">
        <f t="shared" si="0"/>
        <v>0.20246411988180665</v>
      </c>
      <c r="H40" s="301" t="s">
        <v>35</v>
      </c>
      <c r="I40" s="302">
        <v>0.29717683557394003</v>
      </c>
      <c r="J40" s="320"/>
      <c r="L40" s="303"/>
    </row>
    <row r="41" spans="2:12" x14ac:dyDescent="0.2">
      <c r="B41" s="296" t="s">
        <v>51</v>
      </c>
      <c r="C41" s="294" t="s">
        <v>52</v>
      </c>
      <c r="D41" s="331">
        <f t="shared" si="0"/>
        <v>0.33350365048543684</v>
      </c>
      <c r="H41" s="301" t="s">
        <v>27</v>
      </c>
      <c r="I41" s="302">
        <v>0.30403519106648907</v>
      </c>
      <c r="J41" s="320"/>
      <c r="L41" s="303"/>
    </row>
    <row r="42" spans="2:12" x14ac:dyDescent="0.2">
      <c r="B42" s="296" t="s">
        <v>53</v>
      </c>
      <c r="C42" s="294" t="s">
        <v>54</v>
      </c>
      <c r="D42" s="331">
        <f t="shared" si="0"/>
        <v>0.28477206595538312</v>
      </c>
      <c r="H42" s="301" t="s">
        <v>45</v>
      </c>
      <c r="I42" s="302">
        <v>0.3111712975451848</v>
      </c>
      <c r="J42" s="320"/>
      <c r="L42" s="303"/>
    </row>
    <row r="43" spans="2:12" x14ac:dyDescent="0.2">
      <c r="B43" s="296" t="s">
        <v>55</v>
      </c>
      <c r="C43" s="294" t="s">
        <v>56</v>
      </c>
      <c r="D43" s="331">
        <f t="shared" si="0"/>
        <v>0.42710851081980267</v>
      </c>
      <c r="H43" s="301" t="s">
        <v>74</v>
      </c>
      <c r="I43" s="302">
        <v>0.31468660774982998</v>
      </c>
      <c r="J43" s="320"/>
      <c r="L43" s="303"/>
    </row>
    <row r="44" spans="2:12" x14ac:dyDescent="0.2">
      <c r="B44" s="296" t="s">
        <v>57</v>
      </c>
      <c r="C44" s="294" t="s">
        <v>58</v>
      </c>
      <c r="D44" s="331">
        <f t="shared" si="0"/>
        <v>0.21855543113101905</v>
      </c>
      <c r="H44" s="301" t="s">
        <v>37</v>
      </c>
      <c r="I44" s="302">
        <v>0.31903209109730846</v>
      </c>
      <c r="J44" s="320"/>
      <c r="L44" s="303"/>
    </row>
    <row r="45" spans="2:12" x14ac:dyDescent="0.2">
      <c r="B45" s="296" t="s">
        <v>59</v>
      </c>
      <c r="C45" s="294" t="s">
        <v>60</v>
      </c>
      <c r="D45" s="331">
        <f t="shared" si="0"/>
        <v>0.2090845461486846</v>
      </c>
      <c r="H45" s="301" t="s">
        <v>52</v>
      </c>
      <c r="I45" s="302">
        <v>0.33350365048543684</v>
      </c>
      <c r="J45" s="320"/>
      <c r="L45" s="303"/>
    </row>
    <row r="46" spans="2:12" x14ac:dyDescent="0.2">
      <c r="B46" s="296" t="s">
        <v>61</v>
      </c>
      <c r="C46" s="294" t="s">
        <v>62</v>
      </c>
      <c r="D46" s="331">
        <f t="shared" si="0"/>
        <v>0.46049427613686678</v>
      </c>
      <c r="H46" s="301" t="s">
        <v>32</v>
      </c>
      <c r="I46" s="302">
        <v>0.35036716352476982</v>
      </c>
      <c r="J46" s="320"/>
      <c r="L46" s="303"/>
    </row>
    <row r="47" spans="2:12" x14ac:dyDescent="0.2">
      <c r="B47" s="296" t="s">
        <v>63</v>
      </c>
      <c r="C47" s="294" t="s">
        <v>64</v>
      </c>
      <c r="D47" s="331">
        <f t="shared" si="0"/>
        <v>0.26509413854351688</v>
      </c>
      <c r="H47" s="294" t="s">
        <v>39</v>
      </c>
      <c r="I47" s="304">
        <v>0.37663025488248919</v>
      </c>
      <c r="J47" s="320"/>
      <c r="L47" s="303"/>
    </row>
    <row r="48" spans="2:12" x14ac:dyDescent="0.2">
      <c r="B48" s="296" t="s">
        <v>65</v>
      </c>
      <c r="C48" s="294" t="s">
        <v>66</v>
      </c>
      <c r="D48" s="331">
        <f t="shared" si="0"/>
        <v>0.27496934865900385</v>
      </c>
      <c r="H48" s="305" t="s">
        <v>30</v>
      </c>
      <c r="I48" s="302">
        <v>0.379593965655593</v>
      </c>
      <c r="J48" s="320"/>
      <c r="L48" s="303"/>
    </row>
    <row r="49" spans="2:12" x14ac:dyDescent="0.2">
      <c r="B49" s="296" t="s">
        <v>67</v>
      </c>
      <c r="C49" s="294" t="s">
        <v>68</v>
      </c>
      <c r="D49" s="331">
        <f t="shared" si="0"/>
        <v>0.19351493598862021</v>
      </c>
      <c r="H49" s="301" t="s">
        <v>72</v>
      </c>
      <c r="I49" s="302">
        <v>0.39148902322621698</v>
      </c>
      <c r="J49" s="320"/>
      <c r="L49" s="303"/>
    </row>
    <row r="50" spans="2:12" x14ac:dyDescent="0.2">
      <c r="B50" s="296" t="s">
        <v>69</v>
      </c>
      <c r="C50" s="294" t="s">
        <v>70</v>
      </c>
      <c r="D50" s="331">
        <f t="shared" si="0"/>
        <v>0.24893034825870647</v>
      </c>
      <c r="E50" s="294"/>
      <c r="F50" s="294"/>
      <c r="H50" s="301" t="s">
        <v>43</v>
      </c>
      <c r="I50" s="302">
        <v>0.40180138568129331</v>
      </c>
      <c r="J50" s="320"/>
      <c r="L50" s="303"/>
    </row>
    <row r="51" spans="2:12" x14ac:dyDescent="0.2">
      <c r="B51" s="296" t="s">
        <v>71</v>
      </c>
      <c r="C51" s="294" t="s">
        <v>72</v>
      </c>
      <c r="D51" s="331">
        <f t="shared" si="0"/>
        <v>0.39148902322621698</v>
      </c>
      <c r="E51" s="294"/>
      <c r="F51" s="294"/>
      <c r="H51" s="301" t="s">
        <v>1365</v>
      </c>
      <c r="I51" s="302">
        <v>0.42185701964837202</v>
      </c>
      <c r="J51" s="320"/>
      <c r="L51" s="303"/>
    </row>
    <row r="52" spans="2:12" x14ac:dyDescent="0.2">
      <c r="B52" s="296" t="s">
        <v>73</v>
      </c>
      <c r="C52" s="294" t="s">
        <v>74</v>
      </c>
      <c r="D52" s="331">
        <f t="shared" si="0"/>
        <v>0.31468660774982998</v>
      </c>
      <c r="E52" s="294"/>
      <c r="F52" s="294"/>
      <c r="H52" s="301" t="s">
        <v>56</v>
      </c>
      <c r="I52" s="302">
        <v>0.42710851081980267</v>
      </c>
      <c r="J52" s="320"/>
      <c r="L52" s="303"/>
    </row>
    <row r="53" spans="2:12" x14ac:dyDescent="0.2">
      <c r="D53" s="300"/>
      <c r="E53" s="294"/>
      <c r="F53" s="294"/>
      <c r="H53" s="301" t="s">
        <v>62</v>
      </c>
      <c r="I53" s="302">
        <v>0.46049427613686678</v>
      </c>
      <c r="J53" s="320"/>
      <c r="K53" s="301"/>
      <c r="L53" s="306"/>
    </row>
    <row r="54" spans="2:12" x14ac:dyDescent="0.2">
      <c r="B54" s="307" t="s">
        <v>1244</v>
      </c>
      <c r="C54" s="307"/>
      <c r="D54" s="308">
        <f>MEDIAN(D30:D52)</f>
        <v>0.30403519106648907</v>
      </c>
      <c r="E54" s="306"/>
      <c r="F54" s="306"/>
    </row>
    <row r="55" spans="2:12" x14ac:dyDescent="0.2">
      <c r="D55" s="294"/>
      <c r="E55" s="309"/>
      <c r="F55" s="309"/>
    </row>
    <row r="56" spans="2:12" x14ac:dyDescent="0.2">
      <c r="B56" s="307" t="s">
        <v>1365</v>
      </c>
      <c r="C56" s="307"/>
      <c r="D56" s="308">
        <v>0.42185701964837202</v>
      </c>
      <c r="E56" s="309"/>
      <c r="F56" s="309"/>
    </row>
    <row r="57" spans="2:12" x14ac:dyDescent="0.2">
      <c r="B57" s="309"/>
      <c r="C57" s="309"/>
      <c r="D57" s="309"/>
      <c r="E57" s="309"/>
      <c r="F57" s="309"/>
    </row>
    <row r="58" spans="2:12" x14ac:dyDescent="0.2">
      <c r="B58" s="309"/>
      <c r="C58" s="309"/>
      <c r="D58" s="309"/>
      <c r="E58" s="309"/>
      <c r="F58" s="309"/>
    </row>
    <row r="59" spans="2:12" ht="12.75" customHeight="1" x14ac:dyDescent="0.2">
      <c r="B59" s="309"/>
      <c r="C59" s="309"/>
      <c r="D59" s="309"/>
      <c r="E59" s="309"/>
      <c r="F59" s="309"/>
    </row>
    <row r="60" spans="2:12" ht="27" customHeight="1" x14ac:dyDescent="0.2">
      <c r="B60" s="310" t="s">
        <v>77</v>
      </c>
      <c r="C60" s="309"/>
      <c r="D60" s="309"/>
      <c r="E60" s="309"/>
      <c r="F60" s="309"/>
    </row>
    <row r="61" spans="2:12" x14ac:dyDescent="0.2">
      <c r="B61" s="388" t="s">
        <v>1382</v>
      </c>
      <c r="C61" s="388"/>
      <c r="D61" s="388"/>
      <c r="E61" s="388"/>
    </row>
    <row r="62" spans="2:12" x14ac:dyDescent="0.2">
      <c r="B62" s="309"/>
      <c r="C62" s="309"/>
      <c r="D62" s="309"/>
    </row>
    <row r="63" spans="2:12" x14ac:dyDescent="0.2">
      <c r="B63" s="309"/>
      <c r="C63" s="309"/>
      <c r="D63" s="309"/>
    </row>
  </sheetData>
  <mergeCells count="2">
    <mergeCell ref="A2:E2"/>
    <mergeCell ref="B61:E61"/>
  </mergeCells>
  <printOptions horizontalCentered="1"/>
  <pageMargins left="0.7" right="0.7" top="0.75" bottom="0.75" header="0.3" footer="0.3"/>
  <pageSetup scale="88" orientation="portrait" useFirstPageNumber="1" r:id="rId1"/>
  <headerFooter scaleWithDoc="0">
    <oddHeader>&amp;R&amp;"Arial,Regular"&amp;10EXHIBIT RBH-9
Page &amp;P of 1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90"/>
  <sheetViews>
    <sheetView tabSelected="1" view="pageLayout" zoomScale="85" zoomScaleNormal="70" zoomScaleSheetLayoutView="70" zoomScalePageLayoutView="85" workbookViewId="0">
      <selection activeCell="P3" sqref="P3"/>
    </sheetView>
  </sheetViews>
  <sheetFormatPr defaultColWidth="9.140625" defaultRowHeight="12.75" x14ac:dyDescent="0.2"/>
  <cols>
    <col min="1" max="1" width="2.7109375" style="1" customWidth="1"/>
    <col min="2" max="2" width="41.85546875" style="2" customWidth="1"/>
    <col min="3" max="12" width="9.140625" style="1"/>
    <col min="13" max="13" width="2.5703125" style="1" customWidth="1"/>
    <col min="14" max="14" width="44" style="2" bestFit="1" customWidth="1"/>
    <col min="15" max="24" width="9.140625" style="1"/>
    <col min="25" max="16384" width="9.140625" style="2"/>
  </cols>
  <sheetData>
    <row r="1" spans="2:25" x14ac:dyDescent="0.2">
      <c r="B1" s="391" t="s">
        <v>1212</v>
      </c>
      <c r="C1" s="391"/>
      <c r="D1" s="391"/>
      <c r="E1" s="391"/>
      <c r="F1" s="391"/>
      <c r="G1" s="391"/>
      <c r="H1" s="391"/>
      <c r="I1" s="391"/>
      <c r="J1" s="391"/>
      <c r="K1" s="391"/>
      <c r="L1" s="391"/>
      <c r="N1" s="391" t="s">
        <v>1212</v>
      </c>
      <c r="O1" s="391"/>
      <c r="P1" s="391"/>
      <c r="Q1" s="391"/>
      <c r="R1" s="391"/>
      <c r="S1" s="391"/>
      <c r="T1" s="391"/>
      <c r="U1" s="391"/>
      <c r="V1" s="391"/>
      <c r="W1" s="391"/>
      <c r="X1" s="391"/>
    </row>
    <row r="3" spans="2:25" x14ac:dyDescent="0.2">
      <c r="B3" s="20"/>
      <c r="C3" s="164"/>
      <c r="D3" s="390" t="s">
        <v>1213</v>
      </c>
      <c r="E3" s="390"/>
      <c r="F3" s="390"/>
      <c r="G3" s="390"/>
      <c r="H3" s="390"/>
      <c r="I3" s="390"/>
      <c r="J3" s="390"/>
      <c r="K3" s="390"/>
      <c r="L3" s="390"/>
      <c r="N3" s="20"/>
      <c r="O3" s="164"/>
      <c r="P3" s="390" t="s">
        <v>1214</v>
      </c>
      <c r="Q3" s="390"/>
      <c r="R3" s="390"/>
      <c r="S3" s="390"/>
      <c r="T3" s="390"/>
      <c r="U3" s="390"/>
      <c r="V3" s="390"/>
      <c r="W3" s="390"/>
      <c r="X3" s="390"/>
    </row>
    <row r="4" spans="2:25" x14ac:dyDescent="0.2">
      <c r="B4" s="23" t="s">
        <v>13</v>
      </c>
      <c r="C4" s="165" t="s">
        <v>14</v>
      </c>
      <c r="D4" s="166" t="s">
        <v>1231</v>
      </c>
      <c r="E4" s="166" t="s">
        <v>1215</v>
      </c>
      <c r="F4" s="166" t="s">
        <v>1216</v>
      </c>
      <c r="G4" s="166" t="s">
        <v>1217</v>
      </c>
      <c r="H4" s="166" t="s">
        <v>1218</v>
      </c>
      <c r="I4" s="166" t="s">
        <v>1219</v>
      </c>
      <c r="J4" s="166" t="s">
        <v>1220</v>
      </c>
      <c r="K4" s="166" t="s">
        <v>1221</v>
      </c>
      <c r="L4" s="165" t="s">
        <v>1222</v>
      </c>
      <c r="N4" s="23" t="s">
        <v>13</v>
      </c>
      <c r="O4" s="165" t="s">
        <v>14</v>
      </c>
      <c r="P4" s="166" t="s">
        <v>1231</v>
      </c>
      <c r="Q4" s="166" t="s">
        <v>1215</v>
      </c>
      <c r="R4" s="166" t="s">
        <v>1216</v>
      </c>
      <c r="S4" s="166" t="s">
        <v>1217</v>
      </c>
      <c r="T4" s="166" t="s">
        <v>1218</v>
      </c>
      <c r="U4" s="166" t="s">
        <v>1219</v>
      </c>
      <c r="V4" s="166" t="s">
        <v>1220</v>
      </c>
      <c r="W4" s="166" t="s">
        <v>1221</v>
      </c>
      <c r="X4" s="165" t="s">
        <v>1222</v>
      </c>
    </row>
    <row r="5" spans="2:25" x14ac:dyDescent="0.2">
      <c r="B5" s="2" t="s">
        <v>26</v>
      </c>
      <c r="C5" s="1" t="s">
        <v>27</v>
      </c>
      <c r="D5" s="52">
        <f>AVERAGEIF($C$34:$C$87,$C5,D$34:D$87)</f>
        <v>0.58501784977562554</v>
      </c>
      <c r="E5" s="52">
        <f t="shared" ref="E5:K5" si="0">AVERAGEIF($C$34:$C$87,$C5,E$34:E$87)</f>
        <v>0.58836390975292763</v>
      </c>
      <c r="F5" s="52">
        <f t="shared" si="0"/>
        <v>0.63086800922592223</v>
      </c>
      <c r="G5" s="52">
        <f t="shared" si="0"/>
        <v>0.62513431016599674</v>
      </c>
      <c r="H5" s="52">
        <f t="shared" si="0"/>
        <v>0.61029354301721161</v>
      </c>
      <c r="I5" s="52">
        <f t="shared" si="0"/>
        <v>0.60621297699323362</v>
      </c>
      <c r="J5" s="52">
        <f t="shared" si="0"/>
        <v>0.60280393693132894</v>
      </c>
      <c r="K5" s="52">
        <f t="shared" si="0"/>
        <v>0.59022914475597954</v>
      </c>
      <c r="L5" s="52">
        <f>AVERAGE(D5:K5)</f>
        <v>0.60486546007727826</v>
      </c>
      <c r="N5" s="2" t="str">
        <f>B5</f>
        <v>ALLETE, Inc.</v>
      </c>
      <c r="O5" s="1" t="str">
        <f>C5</f>
        <v>ALE</v>
      </c>
      <c r="P5" s="52">
        <f t="shared" ref="P5:W14" si="1">AVERAGEIF($C$34:$C$87,$C5,P$34:P$87)</f>
        <v>0.41498215022437451</v>
      </c>
      <c r="Q5" s="52">
        <f t="shared" si="1"/>
        <v>0.41163609024707237</v>
      </c>
      <c r="R5" s="52">
        <f t="shared" si="1"/>
        <v>0.36913199077407788</v>
      </c>
      <c r="S5" s="52">
        <f t="shared" si="1"/>
        <v>0.37486568983400337</v>
      </c>
      <c r="T5" s="52">
        <f t="shared" si="1"/>
        <v>0.38970645698278827</v>
      </c>
      <c r="U5" s="52">
        <f t="shared" si="1"/>
        <v>0.39378702300676638</v>
      </c>
      <c r="V5" s="52">
        <f t="shared" si="1"/>
        <v>0.39719606306867106</v>
      </c>
      <c r="W5" s="52">
        <f t="shared" si="1"/>
        <v>0.40977085524402046</v>
      </c>
      <c r="X5" s="52">
        <f>AVERAGE(P5:W5)</f>
        <v>0.39513453992272185</v>
      </c>
      <c r="Y5" s="314"/>
    </row>
    <row r="6" spans="2:25" x14ac:dyDescent="0.2">
      <c r="B6" s="2" t="s">
        <v>29</v>
      </c>
      <c r="C6" s="1" t="s">
        <v>30</v>
      </c>
      <c r="D6" s="52">
        <f t="shared" ref="D6:K27" si="2">AVERAGEIF($C$34:$C$87,$C6,D$34:D$87)</f>
        <v>0.5113100133203573</v>
      </c>
      <c r="E6" s="52">
        <f t="shared" si="2"/>
        <v>0.50995694643636824</v>
      </c>
      <c r="F6" s="52">
        <f t="shared" si="2"/>
        <v>0.497449056196134</v>
      </c>
      <c r="G6" s="52">
        <f t="shared" si="2"/>
        <v>0.49767506817521795</v>
      </c>
      <c r="H6" s="52">
        <f t="shared" si="2"/>
        <v>0.52088947110382788</v>
      </c>
      <c r="I6" s="52">
        <f t="shared" si="2"/>
        <v>0.51226961078508215</v>
      </c>
      <c r="J6" s="52">
        <f t="shared" si="2"/>
        <v>0.50840921597118016</v>
      </c>
      <c r="K6" s="52">
        <f t="shared" si="2"/>
        <v>0.50726225340334385</v>
      </c>
      <c r="L6" s="52">
        <f t="shared" ref="L6:L27" si="3">AVERAGE(D6:K6)</f>
        <v>0.50815270442393889</v>
      </c>
      <c r="N6" s="2" t="str">
        <f t="shared" ref="N6:O27" si="4">B6</f>
        <v>Alliant Energy Corporation</v>
      </c>
      <c r="O6" s="1" t="str">
        <f t="shared" si="4"/>
        <v>LNT</v>
      </c>
      <c r="P6" s="52">
        <f t="shared" si="1"/>
        <v>0.48868998667964264</v>
      </c>
      <c r="Q6" s="52">
        <f t="shared" si="1"/>
        <v>0.49004305356363176</v>
      </c>
      <c r="R6" s="52">
        <f t="shared" si="1"/>
        <v>0.502550943803866</v>
      </c>
      <c r="S6" s="52">
        <f t="shared" si="1"/>
        <v>0.502324931824782</v>
      </c>
      <c r="T6" s="52">
        <f t="shared" si="1"/>
        <v>0.47911052889617201</v>
      </c>
      <c r="U6" s="52">
        <f t="shared" si="1"/>
        <v>0.48773038921491774</v>
      </c>
      <c r="V6" s="52">
        <f t="shared" si="1"/>
        <v>0.49159078402881978</v>
      </c>
      <c r="W6" s="52">
        <f t="shared" si="1"/>
        <v>0.49273774659665615</v>
      </c>
      <c r="X6" s="52">
        <f t="shared" ref="X6:X27" si="5">AVERAGE(P6:W6)</f>
        <v>0.49184729557606094</v>
      </c>
      <c r="Y6" s="314"/>
    </row>
    <row r="7" spans="2:25" x14ac:dyDescent="0.2">
      <c r="B7" s="2" t="s">
        <v>31</v>
      </c>
      <c r="C7" s="1" t="s">
        <v>32</v>
      </c>
      <c r="D7" s="52">
        <f t="shared" si="2"/>
        <v>0.53222044331835006</v>
      </c>
      <c r="E7" s="52">
        <f t="shared" si="2"/>
        <v>0.52005448450699698</v>
      </c>
      <c r="F7" s="52">
        <f t="shared" si="2"/>
        <v>0.53041818441888544</v>
      </c>
      <c r="G7" s="52">
        <f t="shared" si="2"/>
        <v>0.52647562860142227</v>
      </c>
      <c r="H7" s="52">
        <f t="shared" si="2"/>
        <v>0.53562408204482348</v>
      </c>
      <c r="I7" s="52">
        <f t="shared" si="2"/>
        <v>0.53114761813550893</v>
      </c>
      <c r="J7" s="52">
        <f t="shared" si="2"/>
        <v>0.52771715691567977</v>
      </c>
      <c r="K7" s="52">
        <f t="shared" si="2"/>
        <v>0.52619929815397737</v>
      </c>
      <c r="L7" s="52">
        <f t="shared" si="3"/>
        <v>0.52873211201195547</v>
      </c>
      <c r="N7" s="2" t="str">
        <f t="shared" si="4"/>
        <v>Ameren Corporation</v>
      </c>
      <c r="O7" s="1" t="str">
        <f t="shared" si="4"/>
        <v>AEE</v>
      </c>
      <c r="P7" s="52">
        <f t="shared" si="1"/>
        <v>0.46777955668165</v>
      </c>
      <c r="Q7" s="52">
        <f t="shared" si="1"/>
        <v>0.47994551549300307</v>
      </c>
      <c r="R7" s="52">
        <f t="shared" si="1"/>
        <v>0.46958181558111456</v>
      </c>
      <c r="S7" s="52">
        <f t="shared" si="1"/>
        <v>0.47352437139857778</v>
      </c>
      <c r="T7" s="52">
        <f t="shared" si="1"/>
        <v>0.46437591795517646</v>
      </c>
      <c r="U7" s="52">
        <f t="shared" si="1"/>
        <v>0.46885238186449107</v>
      </c>
      <c r="V7" s="52">
        <f t="shared" si="1"/>
        <v>0.47228284308432034</v>
      </c>
      <c r="W7" s="52">
        <f t="shared" si="1"/>
        <v>0.47380070184602263</v>
      </c>
      <c r="X7" s="52">
        <f t="shared" si="5"/>
        <v>0.47126788798804453</v>
      </c>
      <c r="Y7" s="314"/>
    </row>
    <row r="8" spans="2:25" x14ac:dyDescent="0.2">
      <c r="B8" s="2" t="s">
        <v>34</v>
      </c>
      <c r="C8" s="1" t="s">
        <v>35</v>
      </c>
      <c r="D8" s="52">
        <f t="shared" si="2"/>
        <v>0.56128107519619941</v>
      </c>
      <c r="E8" s="52">
        <f t="shared" si="2"/>
        <v>0.54931079507049541</v>
      </c>
      <c r="F8" s="52">
        <f t="shared" si="2"/>
        <v>0.56547108274409841</v>
      </c>
      <c r="G8" s="52">
        <f t="shared" si="2"/>
        <v>0.55686623376096644</v>
      </c>
      <c r="H8" s="52">
        <f t="shared" si="2"/>
        <v>0.53882178290105343</v>
      </c>
      <c r="I8" s="52">
        <f t="shared" si="2"/>
        <v>0.5353735000497063</v>
      </c>
      <c r="J8" s="52">
        <f t="shared" si="2"/>
        <v>0.55663531450522896</v>
      </c>
      <c r="K8" s="52">
        <f t="shared" si="2"/>
        <v>0.54946627171572038</v>
      </c>
      <c r="L8" s="52">
        <f t="shared" si="3"/>
        <v>0.55165325699293355</v>
      </c>
      <c r="N8" s="2" t="str">
        <f t="shared" si="4"/>
        <v>Avangrid, Inc.</v>
      </c>
      <c r="O8" s="1" t="str">
        <f t="shared" si="4"/>
        <v>AGR</v>
      </c>
      <c r="P8" s="52">
        <f t="shared" si="1"/>
        <v>0.43871892480380065</v>
      </c>
      <c r="Q8" s="52">
        <f t="shared" si="1"/>
        <v>0.45068920492950459</v>
      </c>
      <c r="R8" s="52">
        <f t="shared" si="1"/>
        <v>0.43452891725590165</v>
      </c>
      <c r="S8" s="52">
        <f t="shared" si="1"/>
        <v>0.4431337662390335</v>
      </c>
      <c r="T8" s="52">
        <f t="shared" si="1"/>
        <v>0.46117821709894657</v>
      </c>
      <c r="U8" s="52">
        <f t="shared" si="1"/>
        <v>0.4646264999502937</v>
      </c>
      <c r="V8" s="52">
        <f t="shared" si="1"/>
        <v>0.44336468549477104</v>
      </c>
      <c r="W8" s="52">
        <f t="shared" si="1"/>
        <v>0.45053372828427962</v>
      </c>
      <c r="X8" s="52">
        <f t="shared" si="5"/>
        <v>0.4483467430070664</v>
      </c>
      <c r="Y8" s="314"/>
    </row>
    <row r="9" spans="2:25" x14ac:dyDescent="0.2">
      <c r="B9" s="2" t="s">
        <v>36</v>
      </c>
      <c r="C9" s="1" t="s">
        <v>37</v>
      </c>
      <c r="D9" s="52">
        <f t="shared" si="2"/>
        <v>0.53196016044115524</v>
      </c>
      <c r="E9" s="52">
        <f t="shared" si="2"/>
        <v>0.53824665799789662</v>
      </c>
      <c r="F9" s="52">
        <f t="shared" si="2"/>
        <v>0.53790355245253307</v>
      </c>
      <c r="G9" s="52">
        <f t="shared" si="2"/>
        <v>0.54396946479861052</v>
      </c>
      <c r="H9" s="52">
        <f t="shared" si="2"/>
        <v>0.54753757556201632</v>
      </c>
      <c r="I9" s="52">
        <f t="shared" si="2"/>
        <v>0.53843877259119155</v>
      </c>
      <c r="J9" s="52">
        <f t="shared" si="2"/>
        <v>0.53202770771693164</v>
      </c>
      <c r="K9" s="52">
        <f t="shared" si="2"/>
        <v>0.5280900108381944</v>
      </c>
      <c r="L9" s="52">
        <f t="shared" si="3"/>
        <v>0.53727173779981618</v>
      </c>
      <c r="N9" s="2" t="str">
        <f t="shared" si="4"/>
        <v>Black Hills Corporation</v>
      </c>
      <c r="O9" s="1" t="str">
        <f t="shared" si="4"/>
        <v>BKH</v>
      </c>
      <c r="P9" s="52">
        <f t="shared" si="1"/>
        <v>0.46803983955884476</v>
      </c>
      <c r="Q9" s="52">
        <f t="shared" si="1"/>
        <v>0.46175334200210338</v>
      </c>
      <c r="R9" s="52">
        <f t="shared" si="1"/>
        <v>0.46209644754746693</v>
      </c>
      <c r="S9" s="52">
        <f t="shared" si="1"/>
        <v>0.45603053520138942</v>
      </c>
      <c r="T9" s="52">
        <f t="shared" si="1"/>
        <v>0.45246242443798373</v>
      </c>
      <c r="U9" s="52">
        <f t="shared" si="1"/>
        <v>0.46156122740880851</v>
      </c>
      <c r="V9" s="52">
        <f t="shared" si="1"/>
        <v>0.4679722922830683</v>
      </c>
      <c r="W9" s="52">
        <f t="shared" si="1"/>
        <v>0.47190998916180565</v>
      </c>
      <c r="X9" s="52">
        <f t="shared" si="5"/>
        <v>0.46272826220018382</v>
      </c>
      <c r="Y9" s="314"/>
    </row>
    <row r="10" spans="2:25" x14ac:dyDescent="0.2">
      <c r="B10" s="2" t="s">
        <v>38</v>
      </c>
      <c r="C10" s="1" t="s">
        <v>39</v>
      </c>
      <c r="D10" s="52">
        <f t="shared" si="2"/>
        <v>0.53013313928575112</v>
      </c>
      <c r="E10" s="52">
        <f t="shared" si="2"/>
        <v>0.52858694904934955</v>
      </c>
      <c r="F10" s="52">
        <f t="shared" si="2"/>
        <v>0.53130257106689038</v>
      </c>
      <c r="G10" s="52">
        <f t="shared" si="2"/>
        <v>0.5225247558831414</v>
      </c>
      <c r="H10" s="52">
        <f t="shared" si="2"/>
        <v>0.53254723319637987</v>
      </c>
      <c r="I10" s="52">
        <f t="shared" si="2"/>
        <v>0.52974860243069866</v>
      </c>
      <c r="J10" s="52">
        <f t="shared" si="2"/>
        <v>0.5209655149845378</v>
      </c>
      <c r="K10" s="52">
        <f t="shared" si="2"/>
        <v>0.5123735879095398</v>
      </c>
      <c r="L10" s="52">
        <f t="shared" si="3"/>
        <v>0.52602279422578613</v>
      </c>
      <c r="N10" s="2" t="str">
        <f t="shared" si="4"/>
        <v>CMS Energy Corporation</v>
      </c>
      <c r="O10" s="1" t="str">
        <f t="shared" si="4"/>
        <v>CMS</v>
      </c>
      <c r="P10" s="52">
        <f t="shared" si="1"/>
        <v>0.46986686071424888</v>
      </c>
      <c r="Q10" s="52">
        <f t="shared" si="1"/>
        <v>0.4714130509506505</v>
      </c>
      <c r="R10" s="52">
        <f t="shared" si="1"/>
        <v>0.46869742893310967</v>
      </c>
      <c r="S10" s="52">
        <f t="shared" si="1"/>
        <v>0.4774752441168586</v>
      </c>
      <c r="T10" s="52">
        <f t="shared" si="1"/>
        <v>0.46745276680362013</v>
      </c>
      <c r="U10" s="52">
        <f t="shared" si="1"/>
        <v>0.47025139756930129</v>
      </c>
      <c r="V10" s="52">
        <f t="shared" si="1"/>
        <v>0.4790344850154622</v>
      </c>
      <c r="W10" s="52">
        <f t="shared" si="1"/>
        <v>0.48762641209046026</v>
      </c>
      <c r="X10" s="52">
        <f t="shared" si="5"/>
        <v>0.47397720577421387</v>
      </c>
      <c r="Y10" s="314"/>
    </row>
    <row r="11" spans="2:25" x14ac:dyDescent="0.2">
      <c r="B11" s="2" t="s">
        <v>40</v>
      </c>
      <c r="C11" s="1" t="s">
        <v>41</v>
      </c>
      <c r="D11" s="52">
        <f t="shared" si="2"/>
        <v>0.48383913520416455</v>
      </c>
      <c r="E11" s="52">
        <f t="shared" si="2"/>
        <v>0.48730525990460793</v>
      </c>
      <c r="F11" s="52">
        <f t="shared" si="2"/>
        <v>0.49746540499748604</v>
      </c>
      <c r="G11" s="52">
        <f t="shared" si="2"/>
        <v>0.49234426264293396</v>
      </c>
      <c r="H11" s="52">
        <f t="shared" si="2"/>
        <v>0.49872826880022264</v>
      </c>
      <c r="I11" s="52">
        <f t="shared" si="2"/>
        <v>0.4919204874961578</v>
      </c>
      <c r="J11" s="52">
        <f t="shared" si="2"/>
        <v>0.49826867614536868</v>
      </c>
      <c r="K11" s="52">
        <f t="shared" si="2"/>
        <v>0.4938673390231012</v>
      </c>
      <c r="L11" s="52">
        <f t="shared" si="3"/>
        <v>0.49296735427675531</v>
      </c>
      <c r="N11" s="2" t="str">
        <f t="shared" si="4"/>
        <v>Consolidated Edison, Inc.</v>
      </c>
      <c r="O11" s="1" t="str">
        <f t="shared" si="4"/>
        <v>ED</v>
      </c>
      <c r="P11" s="52">
        <f t="shared" si="1"/>
        <v>0.51616086479583545</v>
      </c>
      <c r="Q11" s="52">
        <f t="shared" si="1"/>
        <v>0.51269474009539195</v>
      </c>
      <c r="R11" s="52">
        <f t="shared" si="1"/>
        <v>0.50253459500251396</v>
      </c>
      <c r="S11" s="52">
        <f t="shared" si="1"/>
        <v>0.50765573735706604</v>
      </c>
      <c r="T11" s="52">
        <f t="shared" si="1"/>
        <v>0.50127173119977742</v>
      </c>
      <c r="U11" s="52">
        <f t="shared" si="1"/>
        <v>0.5080795125038422</v>
      </c>
      <c r="V11" s="52">
        <f t="shared" si="1"/>
        <v>0.50173132385463126</v>
      </c>
      <c r="W11" s="52">
        <f t="shared" si="1"/>
        <v>0.5061326609768988</v>
      </c>
      <c r="X11" s="52">
        <f t="shared" si="5"/>
        <v>0.50703264572324469</v>
      </c>
      <c r="Y11" s="314"/>
    </row>
    <row r="12" spans="2:25" x14ac:dyDescent="0.2">
      <c r="B12" s="2" t="s">
        <v>42</v>
      </c>
      <c r="C12" s="1" t="s">
        <v>43</v>
      </c>
      <c r="D12" s="52">
        <f t="shared" si="2"/>
        <v>0.49965418108152515</v>
      </c>
      <c r="E12" s="52">
        <f t="shared" si="2"/>
        <v>0.49227750931366288</v>
      </c>
      <c r="F12" s="52">
        <f t="shared" si="2"/>
        <v>0.51117751175104242</v>
      </c>
      <c r="G12" s="52">
        <f t="shared" si="2"/>
        <v>0.51021484806259432</v>
      </c>
      <c r="H12" s="52">
        <f t="shared" si="2"/>
        <v>0.50496838665839661</v>
      </c>
      <c r="I12" s="52">
        <f t="shared" si="2"/>
        <v>0.50625425263642454</v>
      </c>
      <c r="J12" s="52">
        <f t="shared" si="2"/>
        <v>0.50498448806225926</v>
      </c>
      <c r="K12" s="52">
        <f t="shared" si="2"/>
        <v>0.50502142764382496</v>
      </c>
      <c r="L12" s="52">
        <f t="shared" si="3"/>
        <v>0.50431907565121625</v>
      </c>
      <c r="N12" s="2" t="str">
        <f t="shared" si="4"/>
        <v>DTE Energy Company</v>
      </c>
      <c r="O12" s="1" t="str">
        <f t="shared" si="4"/>
        <v>DTE</v>
      </c>
      <c r="P12" s="52">
        <f t="shared" si="1"/>
        <v>0.50034581891847485</v>
      </c>
      <c r="Q12" s="52">
        <f t="shared" si="1"/>
        <v>0.50772249068633712</v>
      </c>
      <c r="R12" s="52">
        <f t="shared" si="1"/>
        <v>0.48882248824895763</v>
      </c>
      <c r="S12" s="52">
        <f t="shared" si="1"/>
        <v>0.48978515193740568</v>
      </c>
      <c r="T12" s="52">
        <f t="shared" si="1"/>
        <v>0.49503161334160339</v>
      </c>
      <c r="U12" s="52">
        <f t="shared" si="1"/>
        <v>0.4937457473635754</v>
      </c>
      <c r="V12" s="52">
        <f t="shared" si="1"/>
        <v>0.49501551193774068</v>
      </c>
      <c r="W12" s="52">
        <f t="shared" si="1"/>
        <v>0.49497857235617504</v>
      </c>
      <c r="X12" s="52">
        <f t="shared" si="5"/>
        <v>0.49568092434878375</v>
      </c>
      <c r="Y12" s="314"/>
    </row>
    <row r="13" spans="2:25" x14ac:dyDescent="0.2">
      <c r="B13" s="2" t="s">
        <v>44</v>
      </c>
      <c r="C13" s="1" t="s">
        <v>45</v>
      </c>
      <c r="D13" s="52">
        <f t="shared" si="2"/>
        <v>0.55025438615873268</v>
      </c>
      <c r="E13" s="52">
        <f t="shared" si="2"/>
        <v>0.54940259601774077</v>
      </c>
      <c r="F13" s="52">
        <f t="shared" si="2"/>
        <v>0.54461778291034013</v>
      </c>
      <c r="G13" s="52">
        <f t="shared" si="2"/>
        <v>0.54299425862940665</v>
      </c>
      <c r="H13" s="52">
        <f t="shared" si="2"/>
        <v>0.53779827481079445</v>
      </c>
      <c r="I13" s="52">
        <f t="shared" si="2"/>
        <v>0.54624883661824553</v>
      </c>
      <c r="J13" s="52">
        <f t="shared" si="2"/>
        <v>0.54367752914325729</v>
      </c>
      <c r="K13" s="52">
        <f t="shared" si="2"/>
        <v>0.54656216810158575</v>
      </c>
      <c r="L13" s="52">
        <f t="shared" si="3"/>
        <v>0.54519447904876295</v>
      </c>
      <c r="N13" s="2" t="str">
        <f t="shared" si="4"/>
        <v>Duke Energy Corporation</v>
      </c>
      <c r="O13" s="1" t="str">
        <f t="shared" si="4"/>
        <v>DUK</v>
      </c>
      <c r="P13" s="52">
        <f t="shared" si="1"/>
        <v>0.44974561384126738</v>
      </c>
      <c r="Q13" s="52">
        <f t="shared" si="1"/>
        <v>0.45059740398225917</v>
      </c>
      <c r="R13" s="52">
        <f t="shared" si="1"/>
        <v>0.45538221708965981</v>
      </c>
      <c r="S13" s="52">
        <f t="shared" si="1"/>
        <v>0.45700574137059341</v>
      </c>
      <c r="T13" s="52">
        <f t="shared" si="1"/>
        <v>0.4622017251892056</v>
      </c>
      <c r="U13" s="52">
        <f t="shared" si="1"/>
        <v>0.45375116338175442</v>
      </c>
      <c r="V13" s="52">
        <f t="shared" si="1"/>
        <v>0.45632247085674277</v>
      </c>
      <c r="W13" s="52">
        <f t="shared" si="1"/>
        <v>0.45343783189841425</v>
      </c>
      <c r="X13" s="52">
        <f t="shared" si="5"/>
        <v>0.45480552095123705</v>
      </c>
      <c r="Y13" s="314"/>
    </row>
    <row r="14" spans="2:25" x14ac:dyDescent="0.2">
      <c r="B14" s="2" t="s">
        <v>46</v>
      </c>
      <c r="C14" s="1" t="s">
        <v>47</v>
      </c>
      <c r="D14" s="52">
        <f t="shared" si="2"/>
        <v>0.48570705288023086</v>
      </c>
      <c r="E14" s="52">
        <f t="shared" si="2"/>
        <v>0.47323612913990976</v>
      </c>
      <c r="F14" s="52">
        <f t="shared" si="2"/>
        <v>0.4946215019121859</v>
      </c>
      <c r="G14" s="52">
        <f t="shared" si="2"/>
        <v>0.49947086212676844</v>
      </c>
      <c r="H14" s="52">
        <f t="shared" si="2"/>
        <v>0.49806459242072898</v>
      </c>
      <c r="I14" s="52">
        <f t="shared" si="2"/>
        <v>0.48005450112348808</v>
      </c>
      <c r="J14" s="52">
        <f t="shared" si="2"/>
        <v>0.47479256482074966</v>
      </c>
      <c r="K14" s="52">
        <f t="shared" si="2"/>
        <v>0.47728499116304779</v>
      </c>
      <c r="L14" s="52">
        <f t="shared" si="3"/>
        <v>0.48540402444838865</v>
      </c>
      <c r="N14" s="2" t="str">
        <f t="shared" si="4"/>
        <v>El Paso Electric Company</v>
      </c>
      <c r="O14" s="1" t="str">
        <f t="shared" si="4"/>
        <v>EE</v>
      </c>
      <c r="P14" s="52">
        <f t="shared" si="1"/>
        <v>0.51429294711976914</v>
      </c>
      <c r="Q14" s="52">
        <f t="shared" si="1"/>
        <v>0.52676387086009024</v>
      </c>
      <c r="R14" s="52">
        <f t="shared" si="1"/>
        <v>0.5053784980878141</v>
      </c>
      <c r="S14" s="52">
        <f t="shared" si="1"/>
        <v>0.50052913787323161</v>
      </c>
      <c r="T14" s="52">
        <f t="shared" si="1"/>
        <v>0.50193540757927102</v>
      </c>
      <c r="U14" s="52">
        <f t="shared" si="1"/>
        <v>0.51994549887651198</v>
      </c>
      <c r="V14" s="52">
        <f t="shared" si="1"/>
        <v>0.52520743517925028</v>
      </c>
      <c r="W14" s="52">
        <f t="shared" si="1"/>
        <v>0.52271500883695221</v>
      </c>
      <c r="X14" s="52">
        <f t="shared" si="5"/>
        <v>0.51459597555161141</v>
      </c>
      <c r="Y14" s="314"/>
    </row>
    <row r="15" spans="2:25" x14ac:dyDescent="0.2">
      <c r="B15" s="2" t="s">
        <v>48</v>
      </c>
      <c r="C15" s="1" t="s">
        <v>49</v>
      </c>
      <c r="D15" s="52">
        <f t="shared" si="2"/>
        <v>0.59862422960438277</v>
      </c>
      <c r="E15" s="52">
        <f t="shared" si="2"/>
        <v>0.5851026063512913</v>
      </c>
      <c r="F15" s="52">
        <f t="shared" si="2"/>
        <v>0.58730507399673737</v>
      </c>
      <c r="G15" s="52">
        <f t="shared" si="2"/>
        <v>0.5861709915050004</v>
      </c>
      <c r="H15" s="52">
        <f t="shared" si="2"/>
        <v>0.59410255835710568</v>
      </c>
      <c r="I15" s="52">
        <f t="shared" si="2"/>
        <v>0.58740904173233233</v>
      </c>
      <c r="J15" s="52">
        <f t="shared" si="2"/>
        <v>0.58748120846075491</v>
      </c>
      <c r="K15" s="52">
        <f t="shared" si="2"/>
        <v>0.59282156984694456</v>
      </c>
      <c r="L15" s="52">
        <f t="shared" si="3"/>
        <v>0.58987715998181867</v>
      </c>
      <c r="N15" s="2" t="str">
        <f t="shared" si="4"/>
        <v>Evergy, Inc</v>
      </c>
      <c r="O15" s="1" t="str">
        <f t="shared" si="4"/>
        <v>EVRG</v>
      </c>
      <c r="P15" s="52">
        <f t="shared" ref="P15:W27" si="6">AVERAGEIF($C$34:$C$87,$C15,P$34:P$87)</f>
        <v>0.40137577039561723</v>
      </c>
      <c r="Q15" s="52">
        <f t="shared" si="6"/>
        <v>0.41489739364870865</v>
      </c>
      <c r="R15" s="52">
        <f t="shared" si="6"/>
        <v>0.41269492600326263</v>
      </c>
      <c r="S15" s="52">
        <f t="shared" si="6"/>
        <v>0.4138290084949996</v>
      </c>
      <c r="T15" s="52">
        <f t="shared" si="6"/>
        <v>0.40589744164289437</v>
      </c>
      <c r="U15" s="52">
        <f t="shared" si="6"/>
        <v>0.41259095826766767</v>
      </c>
      <c r="V15" s="52">
        <f t="shared" si="6"/>
        <v>0.41251879153924514</v>
      </c>
      <c r="W15" s="52">
        <f t="shared" si="6"/>
        <v>0.40717843015305538</v>
      </c>
      <c r="X15" s="52">
        <f t="shared" si="5"/>
        <v>0.41012284001818133</v>
      </c>
      <c r="Y15" s="314"/>
    </row>
    <row r="16" spans="2:25" x14ac:dyDescent="0.2">
      <c r="B16" s="2" t="s">
        <v>51</v>
      </c>
      <c r="C16" s="1" t="s">
        <v>52</v>
      </c>
      <c r="D16" s="52">
        <f t="shared" si="2"/>
        <v>0.51033029683116737</v>
      </c>
      <c r="E16" s="52">
        <f t="shared" si="2"/>
        <v>0.50139608317836393</v>
      </c>
      <c r="F16" s="52">
        <f t="shared" si="2"/>
        <v>0.54053016417300526</v>
      </c>
      <c r="G16" s="52">
        <f t="shared" si="2"/>
        <v>0.5459886816674957</v>
      </c>
      <c r="H16" s="52">
        <f t="shared" si="2"/>
        <v>0.55160769347884808</v>
      </c>
      <c r="I16" s="52">
        <f t="shared" si="2"/>
        <v>0.54822474695179979</v>
      </c>
      <c r="J16" s="52">
        <f t="shared" si="2"/>
        <v>0.55444741338609771</v>
      </c>
      <c r="K16" s="52">
        <f t="shared" si="2"/>
        <v>0.55508533191177267</v>
      </c>
      <c r="L16" s="52">
        <f t="shared" si="3"/>
        <v>0.5384513014473189</v>
      </c>
      <c r="N16" s="2" t="str">
        <f>B16</f>
        <v>Eversource Energy</v>
      </c>
      <c r="O16" s="1" t="str">
        <f>C16</f>
        <v>ES</v>
      </c>
      <c r="P16" s="52">
        <f t="shared" si="6"/>
        <v>0.48966970316883268</v>
      </c>
      <c r="Q16" s="52">
        <f t="shared" si="6"/>
        <v>0.49860391682163607</v>
      </c>
      <c r="R16" s="52">
        <f t="shared" si="6"/>
        <v>0.45946983582699469</v>
      </c>
      <c r="S16" s="52">
        <f t="shared" si="6"/>
        <v>0.45401131833250424</v>
      </c>
      <c r="T16" s="52">
        <f t="shared" si="6"/>
        <v>0.44839230652115186</v>
      </c>
      <c r="U16" s="52">
        <f t="shared" si="6"/>
        <v>0.45177525304820021</v>
      </c>
      <c r="V16" s="52">
        <f t="shared" si="6"/>
        <v>0.44555258661390229</v>
      </c>
      <c r="W16" s="52">
        <f t="shared" si="6"/>
        <v>0.44491466808822738</v>
      </c>
      <c r="X16" s="52">
        <f>AVERAGE(P16:W16)</f>
        <v>0.4615486985526811</v>
      </c>
      <c r="Y16" s="314"/>
    </row>
    <row r="17" spans="2:25" x14ac:dyDescent="0.2">
      <c r="B17" s="2" t="s">
        <v>53</v>
      </c>
      <c r="C17" s="1" t="s">
        <v>54</v>
      </c>
      <c r="D17" s="52">
        <f t="shared" si="2"/>
        <v>0.5609312315220274</v>
      </c>
      <c r="E17" s="52">
        <f t="shared" si="2"/>
        <v>0.55779769879434993</v>
      </c>
      <c r="F17" s="52">
        <f t="shared" si="2"/>
        <v>0.57437658252845047</v>
      </c>
      <c r="G17" s="52">
        <f t="shared" si="2"/>
        <v>0.57418159776610711</v>
      </c>
      <c r="H17" s="52">
        <f t="shared" si="2"/>
        <v>0.58108338220502731</v>
      </c>
      <c r="I17" s="52">
        <f t="shared" si="2"/>
        <v>0.57761154975849927</v>
      </c>
      <c r="J17" s="52">
        <f t="shared" si="2"/>
        <v>0.57710059513121104</v>
      </c>
      <c r="K17" s="52">
        <f t="shared" si="2"/>
        <v>0.57703106109013425</v>
      </c>
      <c r="L17" s="52">
        <f t="shared" si="3"/>
        <v>0.57251421234947586</v>
      </c>
      <c r="N17" s="2" t="str">
        <f t="shared" si="4"/>
        <v>Hawaiian Electric Industries, Inc.</v>
      </c>
      <c r="O17" s="1" t="str">
        <f t="shared" si="4"/>
        <v>HE</v>
      </c>
      <c r="P17" s="52">
        <f t="shared" si="6"/>
        <v>0.4390687684779726</v>
      </c>
      <c r="Q17" s="52">
        <f t="shared" si="6"/>
        <v>0.44220230120565013</v>
      </c>
      <c r="R17" s="52">
        <f t="shared" si="6"/>
        <v>0.42562341747154947</v>
      </c>
      <c r="S17" s="52">
        <f t="shared" si="6"/>
        <v>0.42581840223389289</v>
      </c>
      <c r="T17" s="52">
        <f t="shared" si="6"/>
        <v>0.41891661779497269</v>
      </c>
      <c r="U17" s="52">
        <f t="shared" si="6"/>
        <v>0.42238845024150073</v>
      </c>
      <c r="V17" s="52">
        <f t="shared" si="6"/>
        <v>0.42289940486878896</v>
      </c>
      <c r="W17" s="52">
        <f t="shared" si="6"/>
        <v>0.42296893890986575</v>
      </c>
      <c r="X17" s="52">
        <f t="shared" si="5"/>
        <v>0.42748578765052414</v>
      </c>
      <c r="Y17" s="314"/>
    </row>
    <row r="18" spans="2:25" x14ac:dyDescent="0.2">
      <c r="B18" s="2" t="s">
        <v>55</v>
      </c>
      <c r="C18" s="1" t="s">
        <v>56</v>
      </c>
      <c r="D18" s="52">
        <f t="shared" si="2"/>
        <v>0.64777393936136507</v>
      </c>
      <c r="E18" s="52">
        <f t="shared" si="2"/>
        <v>0.60837478408498624</v>
      </c>
      <c r="F18" s="52">
        <f t="shared" si="2"/>
        <v>0.61225473517541695</v>
      </c>
      <c r="G18" s="52">
        <f t="shared" si="2"/>
        <v>0.59933548252557023</v>
      </c>
      <c r="H18" s="52">
        <f t="shared" si="2"/>
        <v>0.63002252950027948</v>
      </c>
      <c r="I18" s="52">
        <f t="shared" si="2"/>
        <v>0.62779159963514486</v>
      </c>
      <c r="J18" s="52">
        <f t="shared" si="2"/>
        <v>0.62050756676515295</v>
      </c>
      <c r="K18" s="52">
        <f t="shared" si="2"/>
        <v>0.62648762893590204</v>
      </c>
      <c r="L18" s="52">
        <f t="shared" si="3"/>
        <v>0.62156853324797723</v>
      </c>
      <c r="N18" s="2" t="str">
        <f t="shared" si="4"/>
        <v>NextEra Energy, Inc.</v>
      </c>
      <c r="O18" s="1" t="str">
        <f t="shared" si="4"/>
        <v>NEE</v>
      </c>
      <c r="P18" s="52">
        <f t="shared" si="6"/>
        <v>0.35222606063863493</v>
      </c>
      <c r="Q18" s="52">
        <f t="shared" si="6"/>
        <v>0.39162521591501376</v>
      </c>
      <c r="R18" s="52">
        <f t="shared" si="6"/>
        <v>0.38774526482458305</v>
      </c>
      <c r="S18" s="52">
        <f t="shared" si="6"/>
        <v>0.40066451747442983</v>
      </c>
      <c r="T18" s="52">
        <f t="shared" si="6"/>
        <v>0.36997747049972052</v>
      </c>
      <c r="U18" s="52">
        <f t="shared" si="6"/>
        <v>0.37220840036485514</v>
      </c>
      <c r="V18" s="52">
        <f t="shared" si="6"/>
        <v>0.37949243323484699</v>
      </c>
      <c r="W18" s="52">
        <f t="shared" si="6"/>
        <v>0.37351237106409796</v>
      </c>
      <c r="X18" s="52">
        <f t="shared" si="5"/>
        <v>0.37843146675202277</v>
      </c>
      <c r="Y18" s="314"/>
    </row>
    <row r="19" spans="2:25" x14ac:dyDescent="0.2">
      <c r="B19" s="2" t="s">
        <v>57</v>
      </c>
      <c r="C19" s="1" t="s">
        <v>58</v>
      </c>
      <c r="D19" s="52">
        <f t="shared" si="2"/>
        <v>0.48361514731820016</v>
      </c>
      <c r="E19" s="52">
        <f t="shared" si="2"/>
        <v>0.48406960775110908</v>
      </c>
      <c r="F19" s="52">
        <f t="shared" si="2"/>
        <v>0.47476683110526496</v>
      </c>
      <c r="G19" s="52">
        <f t="shared" si="2"/>
        <v>0.49892915148637434</v>
      </c>
      <c r="H19" s="52">
        <f t="shared" si="2"/>
        <v>0.48861781667922516</v>
      </c>
      <c r="I19" s="52">
        <f t="shared" si="2"/>
        <v>0.48605899229205696</v>
      </c>
      <c r="J19" s="52">
        <f t="shared" si="2"/>
        <v>0.48614841485894988</v>
      </c>
      <c r="K19" s="52">
        <f t="shared" si="2"/>
        <v>0.48128344088491382</v>
      </c>
      <c r="L19" s="52">
        <f t="shared" si="3"/>
        <v>0.48543617529701177</v>
      </c>
      <c r="N19" s="2" t="str">
        <f t="shared" si="4"/>
        <v>NorthWestern Corporation</v>
      </c>
      <c r="O19" s="1" t="str">
        <f t="shared" si="4"/>
        <v>NWE</v>
      </c>
      <c r="P19" s="52">
        <f t="shared" si="6"/>
        <v>0.5163848526817999</v>
      </c>
      <c r="Q19" s="52">
        <f t="shared" si="6"/>
        <v>0.51593039224889092</v>
      </c>
      <c r="R19" s="52">
        <f t="shared" si="6"/>
        <v>0.52523316889473504</v>
      </c>
      <c r="S19" s="52">
        <f t="shared" si="6"/>
        <v>0.5010708485136256</v>
      </c>
      <c r="T19" s="52">
        <f t="shared" si="6"/>
        <v>0.51138218332077479</v>
      </c>
      <c r="U19" s="52">
        <f t="shared" si="6"/>
        <v>0.51394100770794304</v>
      </c>
      <c r="V19" s="52">
        <f t="shared" si="6"/>
        <v>0.51385158514105012</v>
      </c>
      <c r="W19" s="52">
        <f t="shared" si="6"/>
        <v>0.51871655911508618</v>
      </c>
      <c r="X19" s="52">
        <f t="shared" si="5"/>
        <v>0.51456382470298823</v>
      </c>
      <c r="Y19" s="314"/>
    </row>
    <row r="20" spans="2:25" x14ac:dyDescent="0.2">
      <c r="B20" s="2" t="s">
        <v>59</v>
      </c>
      <c r="C20" s="1" t="s">
        <v>60</v>
      </c>
      <c r="D20" s="52">
        <f t="shared" si="2"/>
        <v>0.53048487850486115</v>
      </c>
      <c r="E20" s="52">
        <f t="shared" si="2"/>
        <v>0.54247083074805136</v>
      </c>
      <c r="F20" s="52">
        <f t="shared" si="2"/>
        <v>0.53593435783718402</v>
      </c>
      <c r="G20" s="52">
        <f t="shared" si="2"/>
        <v>0.53362908849677226</v>
      </c>
      <c r="H20" s="52">
        <f t="shared" si="2"/>
        <v>0.5305347385844591</v>
      </c>
      <c r="I20" s="52">
        <f t="shared" si="2"/>
        <v>0.52753433343298495</v>
      </c>
      <c r="J20" s="52">
        <f t="shared" si="2"/>
        <v>0.53461013202279206</v>
      </c>
      <c r="K20" s="52">
        <f t="shared" si="2"/>
        <v>0.56089626452963182</v>
      </c>
      <c r="L20" s="52">
        <f t="shared" si="3"/>
        <v>0.53701182801959213</v>
      </c>
      <c r="N20" s="2" t="str">
        <f t="shared" si="4"/>
        <v>OGE Energy Corp.</v>
      </c>
      <c r="O20" s="1" t="str">
        <f t="shared" si="4"/>
        <v>OGE</v>
      </c>
      <c r="P20" s="52">
        <f t="shared" si="6"/>
        <v>0.46951512149513885</v>
      </c>
      <c r="Q20" s="52">
        <f t="shared" si="6"/>
        <v>0.45752916925194864</v>
      </c>
      <c r="R20" s="52">
        <f t="shared" si="6"/>
        <v>0.46406564216281598</v>
      </c>
      <c r="S20" s="52">
        <f t="shared" si="6"/>
        <v>0.46637091150322768</v>
      </c>
      <c r="T20" s="52">
        <f t="shared" si="6"/>
        <v>0.4694652614155409</v>
      </c>
      <c r="U20" s="52">
        <f t="shared" si="6"/>
        <v>0.47246566656701505</v>
      </c>
      <c r="V20" s="52">
        <f t="shared" si="6"/>
        <v>0.46538986797720794</v>
      </c>
      <c r="W20" s="52">
        <f t="shared" si="6"/>
        <v>0.43910373547036813</v>
      </c>
      <c r="X20" s="52">
        <f t="shared" si="5"/>
        <v>0.46298817198040787</v>
      </c>
      <c r="Y20" s="314"/>
    </row>
    <row r="21" spans="2:25" x14ac:dyDescent="0.2">
      <c r="B21" s="2" t="s">
        <v>61</v>
      </c>
      <c r="C21" s="1" t="s">
        <v>62</v>
      </c>
      <c r="D21" s="52">
        <f t="shared" si="2"/>
        <v>0.53489639635547725</v>
      </c>
      <c r="E21" s="52">
        <f t="shared" si="2"/>
        <v>0.53106725246624742</v>
      </c>
      <c r="F21" s="52">
        <f t="shared" si="2"/>
        <v>0.52672129707944515</v>
      </c>
      <c r="G21" s="52">
        <f t="shared" si="2"/>
        <v>0.57342301113655847</v>
      </c>
      <c r="H21" s="52">
        <f t="shared" si="2"/>
        <v>0.57240030803783637</v>
      </c>
      <c r="I21" s="52">
        <f t="shared" si="2"/>
        <v>0.55309304803596948</v>
      </c>
      <c r="J21" s="52">
        <f t="shared" si="2"/>
        <v>0.55306477045607483</v>
      </c>
      <c r="K21" s="52">
        <f t="shared" si="2"/>
        <v>0.55057677663564808</v>
      </c>
      <c r="L21" s="52">
        <f t="shared" si="3"/>
        <v>0.54940535752540709</v>
      </c>
      <c r="N21" s="2" t="str">
        <f t="shared" si="4"/>
        <v>Otter Tail Corporation</v>
      </c>
      <c r="O21" s="1" t="str">
        <f t="shared" si="4"/>
        <v>OTTR</v>
      </c>
      <c r="P21" s="52">
        <f t="shared" si="6"/>
        <v>0.46510360364452275</v>
      </c>
      <c r="Q21" s="52">
        <f t="shared" si="6"/>
        <v>0.46893274753375264</v>
      </c>
      <c r="R21" s="52">
        <f t="shared" si="6"/>
        <v>0.47327870292055479</v>
      </c>
      <c r="S21" s="52">
        <f t="shared" si="6"/>
        <v>0.42657698886344153</v>
      </c>
      <c r="T21" s="52">
        <f t="shared" si="6"/>
        <v>0.42759969196216363</v>
      </c>
      <c r="U21" s="52">
        <f t="shared" si="6"/>
        <v>0.44690695196403052</v>
      </c>
      <c r="V21" s="52">
        <f t="shared" si="6"/>
        <v>0.44693522954392517</v>
      </c>
      <c r="W21" s="52">
        <f t="shared" si="6"/>
        <v>0.44942322336435198</v>
      </c>
      <c r="X21" s="52">
        <f t="shared" si="5"/>
        <v>0.45059464247459285</v>
      </c>
      <c r="Y21" s="314"/>
    </row>
    <row r="22" spans="2:25" x14ac:dyDescent="0.2">
      <c r="B22" s="2" t="s">
        <v>63</v>
      </c>
      <c r="C22" s="1" t="s">
        <v>64</v>
      </c>
      <c r="D22" s="52">
        <f t="shared" si="2"/>
        <v>0.53681865870605439</v>
      </c>
      <c r="E22" s="52">
        <f t="shared" si="2"/>
        <v>0.53708218374079175</v>
      </c>
      <c r="F22" s="52">
        <f t="shared" si="2"/>
        <v>0.53180454473086247</v>
      </c>
      <c r="G22" s="52">
        <f t="shared" si="2"/>
        <v>0.53138444251440253</v>
      </c>
      <c r="H22" s="52">
        <f t="shared" si="2"/>
        <v>0.53047091567042826</v>
      </c>
      <c r="I22" s="52">
        <f t="shared" si="2"/>
        <v>0.53315385193452114</v>
      </c>
      <c r="J22" s="52">
        <f t="shared" si="2"/>
        <v>0.53204269603867482</v>
      </c>
      <c r="K22" s="52">
        <f t="shared" si="2"/>
        <v>0.54591377582979916</v>
      </c>
      <c r="L22" s="52">
        <f t="shared" si="3"/>
        <v>0.53483388364569184</v>
      </c>
      <c r="N22" s="2" t="str">
        <f t="shared" si="4"/>
        <v>Pinnacle West Capital Corporation</v>
      </c>
      <c r="O22" s="1" t="str">
        <f t="shared" si="4"/>
        <v>PNW</v>
      </c>
      <c r="P22" s="52">
        <f t="shared" si="6"/>
        <v>0.46318134129394556</v>
      </c>
      <c r="Q22" s="52">
        <f t="shared" si="6"/>
        <v>0.46291781625920825</v>
      </c>
      <c r="R22" s="52">
        <f t="shared" si="6"/>
        <v>0.46819545526913753</v>
      </c>
      <c r="S22" s="52">
        <f t="shared" si="6"/>
        <v>0.46861555748559747</v>
      </c>
      <c r="T22" s="52">
        <f t="shared" si="6"/>
        <v>0.4695290843295718</v>
      </c>
      <c r="U22" s="52">
        <f t="shared" si="6"/>
        <v>0.46684614806547892</v>
      </c>
      <c r="V22" s="52">
        <f t="shared" si="6"/>
        <v>0.46795730396132512</v>
      </c>
      <c r="W22" s="52">
        <f t="shared" si="6"/>
        <v>0.45408622417020089</v>
      </c>
      <c r="X22" s="52">
        <f t="shared" si="5"/>
        <v>0.46516611635430821</v>
      </c>
      <c r="Y22" s="314"/>
    </row>
    <row r="23" spans="2:25" x14ac:dyDescent="0.2">
      <c r="B23" s="2" t="s">
        <v>65</v>
      </c>
      <c r="C23" s="1" t="s">
        <v>66</v>
      </c>
      <c r="D23" s="52">
        <f t="shared" si="2"/>
        <v>0.48006072046543197</v>
      </c>
      <c r="E23" s="52">
        <f t="shared" si="2"/>
        <v>0.46681548319426608</v>
      </c>
      <c r="F23" s="52">
        <f t="shared" si="2"/>
        <v>0.46202242530283333</v>
      </c>
      <c r="G23" s="52">
        <f t="shared" si="2"/>
        <v>0.46063491868126744</v>
      </c>
      <c r="H23" s="52">
        <f t="shared" si="2"/>
        <v>0.47584118786151186</v>
      </c>
      <c r="I23" s="52">
        <f t="shared" si="2"/>
        <v>0.46888843915194001</v>
      </c>
      <c r="J23" s="52">
        <f t="shared" si="2"/>
        <v>0.46375302425946513</v>
      </c>
      <c r="K23" s="52">
        <f t="shared" si="2"/>
        <v>0.46012751768427357</v>
      </c>
      <c r="L23" s="52">
        <f t="shared" si="3"/>
        <v>0.46726796457512365</v>
      </c>
      <c r="N23" s="2" t="str">
        <f t="shared" si="4"/>
        <v>PNM Resources, Inc.</v>
      </c>
      <c r="O23" s="1" t="str">
        <f t="shared" si="4"/>
        <v>PNM</v>
      </c>
      <c r="P23" s="52">
        <f t="shared" si="6"/>
        <v>0.51993927953456798</v>
      </c>
      <c r="Q23" s="52">
        <f t="shared" si="6"/>
        <v>0.53318451680573387</v>
      </c>
      <c r="R23" s="52">
        <f t="shared" si="6"/>
        <v>0.53797757469716667</v>
      </c>
      <c r="S23" s="52">
        <f t="shared" si="6"/>
        <v>0.53936508131873262</v>
      </c>
      <c r="T23" s="52">
        <f t="shared" si="6"/>
        <v>0.52415881213848814</v>
      </c>
      <c r="U23" s="52">
        <f t="shared" si="6"/>
        <v>0.53111156084805999</v>
      </c>
      <c r="V23" s="52">
        <f t="shared" si="6"/>
        <v>0.53624697574053493</v>
      </c>
      <c r="W23" s="52">
        <f t="shared" si="6"/>
        <v>0.53987248231572638</v>
      </c>
      <c r="X23" s="52">
        <f t="shared" si="5"/>
        <v>0.53273203542487635</v>
      </c>
      <c r="Y23" s="314"/>
    </row>
    <row r="24" spans="2:25" x14ac:dyDescent="0.2">
      <c r="B24" s="2" t="s">
        <v>67</v>
      </c>
      <c r="C24" s="1" t="s">
        <v>68</v>
      </c>
      <c r="D24" s="52">
        <f t="shared" si="2"/>
        <v>0.50510644608824085</v>
      </c>
      <c r="E24" s="52">
        <f t="shared" si="2"/>
        <v>0.50293459574446375</v>
      </c>
      <c r="F24" s="52">
        <f t="shared" si="2"/>
        <v>0.5013507435998581</v>
      </c>
      <c r="G24" s="52">
        <f t="shared" si="2"/>
        <v>0.49796728698453629</v>
      </c>
      <c r="H24" s="52">
        <f t="shared" si="2"/>
        <v>0.50170930299826089</v>
      </c>
      <c r="I24" s="52">
        <f t="shared" si="2"/>
        <v>0.50322725900239562</v>
      </c>
      <c r="J24" s="52">
        <f t="shared" si="2"/>
        <v>0.50276618472907653</v>
      </c>
      <c r="K24" s="52">
        <f t="shared" si="2"/>
        <v>0.49819353165730029</v>
      </c>
      <c r="L24" s="52">
        <f t="shared" si="3"/>
        <v>0.50165691885051655</v>
      </c>
      <c r="N24" s="2" t="str">
        <f t="shared" si="4"/>
        <v>Portland General Electric Company</v>
      </c>
      <c r="O24" s="1" t="str">
        <f t="shared" si="4"/>
        <v>POR</v>
      </c>
      <c r="P24" s="52">
        <f t="shared" si="6"/>
        <v>0.49489355391175915</v>
      </c>
      <c r="Q24" s="52">
        <f t="shared" si="6"/>
        <v>0.49706540425553625</v>
      </c>
      <c r="R24" s="52">
        <f t="shared" si="6"/>
        <v>0.4986492564001419</v>
      </c>
      <c r="S24" s="52">
        <f t="shared" si="6"/>
        <v>0.50203271301546371</v>
      </c>
      <c r="T24" s="52">
        <f t="shared" si="6"/>
        <v>0.49829069700173906</v>
      </c>
      <c r="U24" s="52">
        <f t="shared" si="6"/>
        <v>0.49677274099760443</v>
      </c>
      <c r="V24" s="52">
        <f t="shared" si="6"/>
        <v>0.49723381527092353</v>
      </c>
      <c r="W24" s="52">
        <f t="shared" si="6"/>
        <v>0.50180646834269971</v>
      </c>
      <c r="X24" s="52">
        <f t="shared" si="5"/>
        <v>0.49834308114948345</v>
      </c>
      <c r="Y24" s="314"/>
    </row>
    <row r="25" spans="2:25" x14ac:dyDescent="0.2">
      <c r="B25" s="2" t="s">
        <v>69</v>
      </c>
      <c r="C25" s="1" t="s">
        <v>70</v>
      </c>
      <c r="D25" s="52">
        <f t="shared" si="2"/>
        <v>0.51502990801222026</v>
      </c>
      <c r="E25" s="52">
        <f t="shared" si="2"/>
        <v>0.50311329029572294</v>
      </c>
      <c r="F25" s="52">
        <f t="shared" si="2"/>
        <v>0.49982127830657819</v>
      </c>
      <c r="G25" s="52">
        <f t="shared" si="2"/>
        <v>0.47665355500973511</v>
      </c>
      <c r="H25" s="52">
        <f t="shared" si="2"/>
        <v>0.50141193807875473</v>
      </c>
      <c r="I25" s="52">
        <f t="shared" si="2"/>
        <v>0.49992369111393314</v>
      </c>
      <c r="J25" s="52">
        <f t="shared" si="2"/>
        <v>0.51413487397231283</v>
      </c>
      <c r="K25" s="52">
        <f t="shared" si="2"/>
        <v>0.51098062036654424</v>
      </c>
      <c r="L25" s="52">
        <f t="shared" si="3"/>
        <v>0.50263364439447511</v>
      </c>
      <c r="N25" s="2" t="str">
        <f t="shared" si="4"/>
        <v>Southern Company</v>
      </c>
      <c r="O25" s="1" t="str">
        <f t="shared" si="4"/>
        <v>SO</v>
      </c>
      <c r="P25" s="52">
        <f t="shared" si="6"/>
        <v>0.48497009198777968</v>
      </c>
      <c r="Q25" s="52">
        <f t="shared" si="6"/>
        <v>0.49688670970427712</v>
      </c>
      <c r="R25" s="52">
        <f t="shared" si="6"/>
        <v>0.50017872169342192</v>
      </c>
      <c r="S25" s="52">
        <f t="shared" si="6"/>
        <v>0.52334644499026495</v>
      </c>
      <c r="T25" s="52">
        <f t="shared" si="6"/>
        <v>0.49858806192124533</v>
      </c>
      <c r="U25" s="52">
        <f t="shared" si="6"/>
        <v>0.50007630888606691</v>
      </c>
      <c r="V25" s="52">
        <f t="shared" si="6"/>
        <v>0.48586512602768717</v>
      </c>
      <c r="W25" s="52">
        <f t="shared" si="6"/>
        <v>0.48901937963345576</v>
      </c>
      <c r="X25" s="52">
        <f t="shared" si="5"/>
        <v>0.49736635560552483</v>
      </c>
      <c r="Y25" s="314"/>
    </row>
    <row r="26" spans="2:25" x14ac:dyDescent="0.2">
      <c r="B26" s="2" t="s">
        <v>71</v>
      </c>
      <c r="C26" s="1" t="s">
        <v>72</v>
      </c>
      <c r="D26" s="52">
        <f t="shared" si="2"/>
        <v>0.5830486134987346</v>
      </c>
      <c r="E26" s="52">
        <f t="shared" si="2"/>
        <v>0.57720327864825594</v>
      </c>
      <c r="F26" s="52">
        <f t="shared" si="2"/>
        <v>0.616195678828802</v>
      </c>
      <c r="G26" s="52">
        <f t="shared" si="2"/>
        <v>0.54615824624465203</v>
      </c>
      <c r="H26" s="52">
        <f t="shared" si="2"/>
        <v>0.55824770799025925</v>
      </c>
      <c r="I26" s="52">
        <f t="shared" si="2"/>
        <v>0.55483894325486571</v>
      </c>
      <c r="J26" s="52">
        <f t="shared" si="2"/>
        <v>0.54798159699344517</v>
      </c>
      <c r="K26" s="52">
        <f t="shared" si="2"/>
        <v>0.56259157652149705</v>
      </c>
      <c r="L26" s="52">
        <f t="shared" si="3"/>
        <v>0.56828320524756393</v>
      </c>
      <c r="N26" s="2" t="str">
        <f t="shared" si="4"/>
        <v>WEC Energy Group, Inc.</v>
      </c>
      <c r="O26" s="1" t="str">
        <f t="shared" si="4"/>
        <v>WEC</v>
      </c>
      <c r="P26" s="52">
        <f t="shared" si="6"/>
        <v>0.41695138650126545</v>
      </c>
      <c r="Q26" s="52">
        <f t="shared" si="6"/>
        <v>0.42279672135174412</v>
      </c>
      <c r="R26" s="52">
        <f t="shared" si="6"/>
        <v>0.38380432117119795</v>
      </c>
      <c r="S26" s="52">
        <f t="shared" si="6"/>
        <v>0.45384175375534802</v>
      </c>
      <c r="T26" s="52">
        <f t="shared" si="6"/>
        <v>0.44175229200974075</v>
      </c>
      <c r="U26" s="52">
        <f t="shared" si="6"/>
        <v>0.44516105674513423</v>
      </c>
      <c r="V26" s="52">
        <f t="shared" si="6"/>
        <v>0.45201840300655483</v>
      </c>
      <c r="W26" s="52">
        <f t="shared" si="6"/>
        <v>0.43740842347850295</v>
      </c>
      <c r="X26" s="52">
        <f t="shared" si="5"/>
        <v>0.43171679475243602</v>
      </c>
      <c r="Y26" s="314"/>
    </row>
    <row r="27" spans="2:25" x14ac:dyDescent="0.2">
      <c r="B27" s="2" t="s">
        <v>73</v>
      </c>
      <c r="C27" s="1" t="s">
        <v>74</v>
      </c>
      <c r="D27" s="52">
        <f t="shared" si="2"/>
        <v>0.53365010753523934</v>
      </c>
      <c r="E27" s="52">
        <f t="shared" si="2"/>
        <v>0.53628287099895966</v>
      </c>
      <c r="F27" s="52">
        <f t="shared" si="2"/>
        <v>0.54148118470394679</v>
      </c>
      <c r="G27" s="52">
        <f t="shared" si="2"/>
        <v>0.53947356141883329</v>
      </c>
      <c r="H27" s="52">
        <f t="shared" si="2"/>
        <v>0.53929220377996068</v>
      </c>
      <c r="I27" s="52">
        <f t="shared" si="2"/>
        <v>0.54370901722818399</v>
      </c>
      <c r="J27" s="52">
        <f t="shared" si="2"/>
        <v>0.54940488568774815</v>
      </c>
      <c r="K27" s="52">
        <f t="shared" si="2"/>
        <v>0.54370075788574657</v>
      </c>
      <c r="L27" s="52">
        <f t="shared" si="3"/>
        <v>0.54087432365482735</v>
      </c>
      <c r="N27" s="2" t="str">
        <f t="shared" si="4"/>
        <v>Xcel Energy Inc.</v>
      </c>
      <c r="O27" s="1" t="str">
        <f t="shared" si="4"/>
        <v>XEL</v>
      </c>
      <c r="P27" s="52">
        <f t="shared" si="6"/>
        <v>0.46634989246476066</v>
      </c>
      <c r="Q27" s="52">
        <f t="shared" si="6"/>
        <v>0.46371712900104034</v>
      </c>
      <c r="R27" s="52">
        <f t="shared" si="6"/>
        <v>0.45851881529605321</v>
      </c>
      <c r="S27" s="52">
        <f t="shared" si="6"/>
        <v>0.46052643858116671</v>
      </c>
      <c r="T27" s="52">
        <f t="shared" si="6"/>
        <v>0.46070779622003938</v>
      </c>
      <c r="U27" s="52">
        <f t="shared" si="6"/>
        <v>0.45629098277181601</v>
      </c>
      <c r="V27" s="52">
        <f t="shared" si="6"/>
        <v>0.45059511431225197</v>
      </c>
      <c r="W27" s="52">
        <f t="shared" si="6"/>
        <v>0.45629924211425338</v>
      </c>
      <c r="X27" s="52">
        <f t="shared" si="5"/>
        <v>0.45912567634517271</v>
      </c>
      <c r="Y27" s="314"/>
    </row>
    <row r="28" spans="2:25" x14ac:dyDescent="0.2">
      <c r="B28" s="167" t="s">
        <v>1106</v>
      </c>
      <c r="C28" s="168"/>
      <c r="D28" s="169">
        <f t="shared" ref="D28:L28" si="7">AVERAGE(D5:D27)</f>
        <v>0.53442382654197795</v>
      </c>
      <c r="E28" s="169">
        <f t="shared" si="7"/>
        <v>0.52915007839942663</v>
      </c>
      <c r="F28" s="169">
        <f t="shared" si="7"/>
        <v>0.53677650239321317</v>
      </c>
      <c r="G28" s="169">
        <f t="shared" si="7"/>
        <v>0.53398259601236364</v>
      </c>
      <c r="H28" s="169">
        <f t="shared" si="7"/>
        <v>0.53828763016249626</v>
      </c>
      <c r="I28" s="169">
        <f t="shared" si="7"/>
        <v>0.53431015966888551</v>
      </c>
      <c r="J28" s="169">
        <f t="shared" si="7"/>
        <v>0.53450980295470762</v>
      </c>
      <c r="K28" s="169">
        <f t="shared" si="7"/>
        <v>0.53487158028210535</v>
      </c>
      <c r="L28" s="169">
        <f t="shared" si="7"/>
        <v>0.53453902205189707</v>
      </c>
      <c r="N28" s="167" t="s">
        <v>1106</v>
      </c>
      <c r="O28" s="168"/>
      <c r="P28" s="169">
        <f t="shared" ref="P28:X28" si="8">AVERAGE(P5:P27)</f>
        <v>0.46557617345802205</v>
      </c>
      <c r="Q28" s="169">
        <f t="shared" si="8"/>
        <v>0.47084992160057337</v>
      </c>
      <c r="R28" s="169">
        <f t="shared" si="8"/>
        <v>0.46322349760678683</v>
      </c>
      <c r="S28" s="169">
        <f t="shared" si="8"/>
        <v>0.4660174039876363</v>
      </c>
      <c r="T28" s="169">
        <f t="shared" si="8"/>
        <v>0.46171236983750374</v>
      </c>
      <c r="U28" s="169">
        <f t="shared" si="8"/>
        <v>0.46568984033111466</v>
      </c>
      <c r="V28" s="169">
        <f t="shared" si="8"/>
        <v>0.46549019704529238</v>
      </c>
      <c r="W28" s="169">
        <f t="shared" si="8"/>
        <v>0.46512841971789465</v>
      </c>
      <c r="X28" s="169">
        <f t="shared" si="8"/>
        <v>0.46546097794810298</v>
      </c>
      <c r="Y28" s="314"/>
    </row>
    <row r="31" spans="2:25" x14ac:dyDescent="0.2">
      <c r="B31" s="389" t="s">
        <v>1223</v>
      </c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N31" s="389" t="s">
        <v>1223</v>
      </c>
      <c r="O31" s="389"/>
      <c r="P31" s="389"/>
      <c r="Q31" s="389"/>
      <c r="R31" s="389"/>
      <c r="S31" s="389"/>
      <c r="T31" s="389"/>
      <c r="U31" s="389"/>
      <c r="V31" s="389"/>
      <c r="W31" s="389"/>
      <c r="X31" s="389"/>
    </row>
    <row r="32" spans="2:25" x14ac:dyDescent="0.2">
      <c r="B32" s="20"/>
      <c r="C32" s="164"/>
      <c r="D32" s="390" t="s">
        <v>1213</v>
      </c>
      <c r="E32" s="390"/>
      <c r="F32" s="390"/>
      <c r="G32" s="390"/>
      <c r="H32" s="390"/>
      <c r="I32" s="390"/>
      <c r="J32" s="390"/>
      <c r="K32" s="390"/>
      <c r="L32" s="390"/>
      <c r="N32" s="20"/>
      <c r="O32" s="164"/>
      <c r="P32" s="390" t="s">
        <v>1214</v>
      </c>
      <c r="Q32" s="390"/>
      <c r="R32" s="390"/>
      <c r="S32" s="390"/>
      <c r="T32" s="390"/>
      <c r="U32" s="390"/>
      <c r="V32" s="390"/>
      <c r="W32" s="390"/>
      <c r="X32" s="390"/>
    </row>
    <row r="33" spans="2:27" x14ac:dyDescent="0.2">
      <c r="B33" s="23" t="s">
        <v>1224</v>
      </c>
      <c r="C33" s="165" t="s">
        <v>1146</v>
      </c>
      <c r="D33" s="165" t="str">
        <f t="shared" ref="D33:K33" si="9">D4</f>
        <v>2018Q3</v>
      </c>
      <c r="E33" s="165" t="str">
        <f t="shared" si="9"/>
        <v>2018Q2</v>
      </c>
      <c r="F33" s="165" t="str">
        <f t="shared" si="9"/>
        <v>2018Q1</v>
      </c>
      <c r="G33" s="165" t="str">
        <f t="shared" si="9"/>
        <v>2017Q4</v>
      </c>
      <c r="H33" s="165" t="str">
        <f t="shared" si="9"/>
        <v>2017Q3</v>
      </c>
      <c r="I33" s="165" t="str">
        <f t="shared" si="9"/>
        <v>2017Q2</v>
      </c>
      <c r="J33" s="165" t="str">
        <f t="shared" si="9"/>
        <v>2017Q1</v>
      </c>
      <c r="K33" s="165" t="str">
        <f t="shared" si="9"/>
        <v>2016Q4</v>
      </c>
      <c r="L33" s="165" t="s">
        <v>1222</v>
      </c>
      <c r="N33" s="23" t="s">
        <v>1224</v>
      </c>
      <c r="O33" s="165" t="s">
        <v>1146</v>
      </c>
      <c r="P33" s="165" t="str">
        <f t="shared" ref="P33:W33" si="10">P4</f>
        <v>2018Q3</v>
      </c>
      <c r="Q33" s="165" t="str">
        <f t="shared" si="10"/>
        <v>2018Q2</v>
      </c>
      <c r="R33" s="165" t="str">
        <f t="shared" si="10"/>
        <v>2018Q1</v>
      </c>
      <c r="S33" s="165" t="str">
        <f t="shared" si="10"/>
        <v>2017Q4</v>
      </c>
      <c r="T33" s="165" t="str">
        <f t="shared" si="10"/>
        <v>2017Q3</v>
      </c>
      <c r="U33" s="165" t="str">
        <f t="shared" si="10"/>
        <v>2017Q2</v>
      </c>
      <c r="V33" s="165" t="str">
        <f t="shared" si="10"/>
        <v>2017Q1</v>
      </c>
      <c r="W33" s="165" t="str">
        <f t="shared" si="10"/>
        <v>2016Q4</v>
      </c>
      <c r="X33" s="165" t="s">
        <v>1222</v>
      </c>
    </row>
    <row r="34" spans="2:27" x14ac:dyDescent="0.2">
      <c r="B34" s="2" t="s">
        <v>1168</v>
      </c>
      <c r="C34" s="1" t="s">
        <v>27</v>
      </c>
      <c r="D34" s="16">
        <v>0.60426864628900723</v>
      </c>
      <c r="E34" s="16">
        <v>0.60333515715206276</v>
      </c>
      <c r="F34" s="16">
        <v>0.60378432811128857</v>
      </c>
      <c r="G34" s="16">
        <v>0.60037747235689565</v>
      </c>
      <c r="H34" s="16">
        <v>0.59731489676637128</v>
      </c>
      <c r="I34" s="16">
        <v>0.59162646142569175</v>
      </c>
      <c r="J34" s="16">
        <v>0.58712311366232772</v>
      </c>
      <c r="K34" s="16">
        <v>0.56921131118317303</v>
      </c>
      <c r="L34" s="52">
        <f>AVERAGE(D34:K34)</f>
        <v>0.59463017336835222</v>
      </c>
      <c r="N34" s="2" t="str">
        <f>B34</f>
        <v>ALLETE (Minnesota Power)</v>
      </c>
      <c r="O34" s="1" t="str">
        <f>C34</f>
        <v>ALE</v>
      </c>
      <c r="P34" s="16">
        <v>0.39573135371099277</v>
      </c>
      <c r="Q34" s="16">
        <v>0.39666484284793729</v>
      </c>
      <c r="R34" s="16">
        <v>0.39621567188871148</v>
      </c>
      <c r="S34" s="16">
        <v>0.39962252764310441</v>
      </c>
      <c r="T34" s="16">
        <v>0.40268510323362872</v>
      </c>
      <c r="U34" s="16">
        <v>0.40837353857430825</v>
      </c>
      <c r="V34" s="16">
        <v>0.41287688633767233</v>
      </c>
      <c r="W34" s="16">
        <v>0.43078868881682703</v>
      </c>
      <c r="X34" s="52">
        <f>AVERAGE(P34:W34)</f>
        <v>0.40536982663164778</v>
      </c>
      <c r="Y34" s="314"/>
      <c r="Z34" s="314"/>
      <c r="AA34" s="314"/>
    </row>
    <row r="35" spans="2:27" x14ac:dyDescent="0.2">
      <c r="B35" s="2" t="s">
        <v>1169</v>
      </c>
      <c r="C35" s="1" t="s">
        <v>27</v>
      </c>
      <c r="D35" s="16">
        <v>0.56576705326224375</v>
      </c>
      <c r="E35" s="16">
        <v>0.57339266235379249</v>
      </c>
      <c r="F35" s="16">
        <v>0.65795169034055578</v>
      </c>
      <c r="G35" s="16">
        <v>0.64989114797509773</v>
      </c>
      <c r="H35" s="16">
        <v>0.62327218926805206</v>
      </c>
      <c r="I35" s="16">
        <v>0.62079949256077549</v>
      </c>
      <c r="J35" s="16">
        <v>0.61848476020033016</v>
      </c>
      <c r="K35" s="16">
        <v>0.61124697832878605</v>
      </c>
      <c r="L35" s="52">
        <f t="shared" ref="L35:L87" si="11">AVERAGE(D35:K35)</f>
        <v>0.61510074678620419</v>
      </c>
      <c r="N35" s="2" t="str">
        <f t="shared" ref="N35:O87" si="12">B35</f>
        <v>Superior Water, Light and Power Company</v>
      </c>
      <c r="O35" s="1" t="str">
        <f t="shared" si="12"/>
        <v>ALE</v>
      </c>
      <c r="P35" s="16">
        <v>0.43423294673775625</v>
      </c>
      <c r="Q35" s="16">
        <v>0.42660733764620751</v>
      </c>
      <c r="R35" s="16">
        <v>0.34204830965944427</v>
      </c>
      <c r="S35" s="16">
        <v>0.35010885202490227</v>
      </c>
      <c r="T35" s="16">
        <v>0.37672781073194789</v>
      </c>
      <c r="U35" s="16">
        <v>0.37920050743922451</v>
      </c>
      <c r="V35" s="16">
        <v>0.38151523979966984</v>
      </c>
      <c r="W35" s="16">
        <v>0.38875302167121389</v>
      </c>
      <c r="X35" s="52">
        <f t="shared" ref="X35:X87" si="13">AVERAGE(P35:W35)</f>
        <v>0.38489925321379581</v>
      </c>
      <c r="Y35" s="314"/>
      <c r="Z35" s="314"/>
      <c r="AA35" s="314"/>
    </row>
    <row r="36" spans="2:27" x14ac:dyDescent="0.2">
      <c r="B36" s="2" t="s">
        <v>1191</v>
      </c>
      <c r="C36" s="1" t="s">
        <v>30</v>
      </c>
      <c r="D36" s="16">
        <v>0.49637563042099192</v>
      </c>
      <c r="E36" s="16">
        <v>0.50469816802678846</v>
      </c>
      <c r="F36" s="16">
        <v>0.49918075658967215</v>
      </c>
      <c r="G36" s="16">
        <v>0.50307669479187667</v>
      </c>
      <c r="H36" s="16">
        <v>0.51792854835122604</v>
      </c>
      <c r="I36" s="16">
        <v>0.50894717164857473</v>
      </c>
      <c r="J36" s="16">
        <v>0.50227845294531426</v>
      </c>
      <c r="K36" s="16">
        <v>0.5023590342456451</v>
      </c>
      <c r="L36" s="52">
        <f t="shared" si="11"/>
        <v>0.50435555712751123</v>
      </c>
      <c r="N36" s="2" t="str">
        <f t="shared" si="12"/>
        <v>Interstate Power and Light Company</v>
      </c>
      <c r="O36" s="1" t="str">
        <f t="shared" si="12"/>
        <v>LNT</v>
      </c>
      <c r="P36" s="16">
        <v>0.50362436957900802</v>
      </c>
      <c r="Q36" s="16">
        <v>0.49530183197321159</v>
      </c>
      <c r="R36" s="16">
        <v>0.50081924341032791</v>
      </c>
      <c r="S36" s="16">
        <v>0.49692330520812333</v>
      </c>
      <c r="T36" s="16">
        <v>0.48207145164877391</v>
      </c>
      <c r="U36" s="16">
        <v>0.49105282835142527</v>
      </c>
      <c r="V36" s="16">
        <v>0.4977215470546858</v>
      </c>
      <c r="W36" s="16">
        <v>0.49764096575435485</v>
      </c>
      <c r="X36" s="52">
        <f t="shared" si="13"/>
        <v>0.49564444287248888</v>
      </c>
      <c r="Y36" s="314"/>
      <c r="Z36" s="314"/>
      <c r="AA36" s="314"/>
    </row>
    <row r="37" spans="2:27" x14ac:dyDescent="0.2">
      <c r="B37" s="2" t="s">
        <v>1192</v>
      </c>
      <c r="C37" s="1" t="s">
        <v>30</v>
      </c>
      <c r="D37" s="16">
        <v>0.52624439621972274</v>
      </c>
      <c r="E37" s="16">
        <v>0.51521572484594802</v>
      </c>
      <c r="F37" s="16">
        <v>0.4957173558025959</v>
      </c>
      <c r="G37" s="16">
        <v>0.49227344155855923</v>
      </c>
      <c r="H37" s="16">
        <v>0.52385039385642984</v>
      </c>
      <c r="I37" s="16">
        <v>0.51559204992158969</v>
      </c>
      <c r="J37" s="16">
        <v>0.51453997899704618</v>
      </c>
      <c r="K37" s="16">
        <v>0.51216547256104261</v>
      </c>
      <c r="L37" s="52">
        <f t="shared" si="11"/>
        <v>0.51194985172036678</v>
      </c>
      <c r="N37" s="2" t="str">
        <f t="shared" si="12"/>
        <v>Wisconsin Power and Light Company</v>
      </c>
      <c r="O37" s="1" t="str">
        <f t="shared" si="12"/>
        <v>LNT</v>
      </c>
      <c r="P37" s="16">
        <v>0.47375560378027726</v>
      </c>
      <c r="Q37" s="16">
        <v>0.48478427515405198</v>
      </c>
      <c r="R37" s="16">
        <v>0.5042826441974041</v>
      </c>
      <c r="S37" s="16">
        <v>0.50772655844144077</v>
      </c>
      <c r="T37" s="16">
        <v>0.47614960614357016</v>
      </c>
      <c r="U37" s="16">
        <v>0.48440795007841025</v>
      </c>
      <c r="V37" s="16">
        <v>0.48546002100295377</v>
      </c>
      <c r="W37" s="16">
        <v>0.48783452743895744</v>
      </c>
      <c r="X37" s="52">
        <f t="shared" si="13"/>
        <v>0.48805014827963322</v>
      </c>
      <c r="Y37" s="314"/>
      <c r="Z37" s="314"/>
      <c r="AA37" s="314"/>
    </row>
    <row r="38" spans="2:27" x14ac:dyDescent="0.2">
      <c r="B38" s="2" t="s">
        <v>1160</v>
      </c>
      <c r="C38" s="1" t="s">
        <v>32</v>
      </c>
      <c r="D38" s="16">
        <v>0.53181618812544618</v>
      </c>
      <c r="E38" s="16">
        <v>0.52735240588151788</v>
      </c>
      <c r="F38" s="16">
        <v>0.54241063975542703</v>
      </c>
      <c r="G38" s="16">
        <v>0.53378817018778457</v>
      </c>
      <c r="H38" s="16">
        <v>0.54979970475853934</v>
      </c>
      <c r="I38" s="16">
        <v>0.54546920735939552</v>
      </c>
      <c r="J38" s="16">
        <v>0.54088943040226511</v>
      </c>
      <c r="K38" s="16">
        <v>0.53436674256732164</v>
      </c>
      <c r="L38" s="52">
        <f t="shared" si="11"/>
        <v>0.53823656112971219</v>
      </c>
      <c r="N38" s="2" t="str">
        <f t="shared" si="12"/>
        <v>Ameren Illinois Company</v>
      </c>
      <c r="O38" s="1" t="str">
        <f t="shared" si="12"/>
        <v>AEE</v>
      </c>
      <c r="P38" s="16">
        <v>0.46818381187455388</v>
      </c>
      <c r="Q38" s="16">
        <v>0.47264759411848212</v>
      </c>
      <c r="R38" s="16">
        <v>0.45758936024457292</v>
      </c>
      <c r="S38" s="16">
        <v>0.46621182981221543</v>
      </c>
      <c r="T38" s="16">
        <v>0.4502002952414606</v>
      </c>
      <c r="U38" s="16">
        <v>0.45453079264060442</v>
      </c>
      <c r="V38" s="16">
        <v>0.45911056959773489</v>
      </c>
      <c r="W38" s="16">
        <v>0.4656332574326783</v>
      </c>
      <c r="X38" s="52">
        <f t="shared" si="13"/>
        <v>0.46176343887028781</v>
      </c>
      <c r="Y38" s="314"/>
      <c r="Z38" s="314"/>
      <c r="AA38" s="314"/>
    </row>
    <row r="39" spans="2:27" x14ac:dyDescent="0.2">
      <c r="B39" s="2" t="s">
        <v>1162</v>
      </c>
      <c r="C39" s="1" t="s">
        <v>32</v>
      </c>
      <c r="D39" s="16">
        <v>0.53262469851125394</v>
      </c>
      <c r="E39" s="16">
        <v>0.51275656313247597</v>
      </c>
      <c r="F39" s="16">
        <v>0.51842572908234386</v>
      </c>
      <c r="G39" s="16">
        <v>0.51916308701505987</v>
      </c>
      <c r="H39" s="16">
        <v>0.52144845933110773</v>
      </c>
      <c r="I39" s="16">
        <v>0.51682602891162233</v>
      </c>
      <c r="J39" s="16">
        <v>0.51454488342909432</v>
      </c>
      <c r="K39" s="16">
        <v>0.5180318537406331</v>
      </c>
      <c r="L39" s="52">
        <f t="shared" si="11"/>
        <v>0.51922766289419886</v>
      </c>
      <c r="N39" s="2" t="str">
        <f t="shared" si="12"/>
        <v>Union Electric Company</v>
      </c>
      <c r="O39" s="1" t="str">
        <f t="shared" si="12"/>
        <v>AEE</v>
      </c>
      <c r="P39" s="16">
        <v>0.46737530148874612</v>
      </c>
      <c r="Q39" s="16">
        <v>0.48724343686752403</v>
      </c>
      <c r="R39" s="16">
        <v>0.4815742709176562</v>
      </c>
      <c r="S39" s="16">
        <v>0.48083691298494013</v>
      </c>
      <c r="T39" s="16">
        <v>0.47855154066889233</v>
      </c>
      <c r="U39" s="16">
        <v>0.48317397108837773</v>
      </c>
      <c r="V39" s="16">
        <v>0.48545511657090573</v>
      </c>
      <c r="W39" s="16">
        <v>0.4819681462593669</v>
      </c>
      <c r="X39" s="52">
        <f t="shared" si="13"/>
        <v>0.48077233710580114</v>
      </c>
      <c r="Y39" s="314"/>
      <c r="Z39" s="314"/>
      <c r="AA39" s="314"/>
    </row>
    <row r="40" spans="2:27" x14ac:dyDescent="0.2">
      <c r="B40" s="163" t="s">
        <v>1165</v>
      </c>
      <c r="C40" s="170" t="s">
        <v>35</v>
      </c>
      <c r="D40" s="16">
        <v>0.64170448328466434</v>
      </c>
      <c r="E40" s="16">
        <v>0.63527307542584199</v>
      </c>
      <c r="F40" s="16">
        <v>0.6417819040930226</v>
      </c>
      <c r="G40" s="16">
        <v>0.63815062006230894</v>
      </c>
      <c r="H40" s="16">
        <v>0.63971321868547593</v>
      </c>
      <c r="I40" s="16">
        <v>0.63270610265232441</v>
      </c>
      <c r="J40" s="16">
        <v>0.62835518364482212</v>
      </c>
      <c r="K40" s="16">
        <v>0.62388159672129129</v>
      </c>
      <c r="L40" s="52">
        <f t="shared" si="11"/>
        <v>0.63519577307121888</v>
      </c>
      <c r="N40" s="2" t="str">
        <f t="shared" si="12"/>
        <v>Central Maine Power Company</v>
      </c>
      <c r="O40" s="1" t="str">
        <f t="shared" si="12"/>
        <v>AGR</v>
      </c>
      <c r="P40" s="16">
        <v>0.3582955167153356</v>
      </c>
      <c r="Q40" s="16">
        <v>0.36472692457415806</v>
      </c>
      <c r="R40" s="16">
        <v>0.3582180959069774</v>
      </c>
      <c r="S40" s="16">
        <v>0.36184937993769106</v>
      </c>
      <c r="T40" s="16">
        <v>0.36028678131452407</v>
      </c>
      <c r="U40" s="16">
        <v>0.36729389734767559</v>
      </c>
      <c r="V40" s="16">
        <v>0.37164481635517793</v>
      </c>
      <c r="W40" s="16">
        <v>0.37611840327870866</v>
      </c>
      <c r="X40" s="52">
        <f t="shared" si="13"/>
        <v>0.36480422692878106</v>
      </c>
      <c r="Y40" s="314"/>
      <c r="Z40" s="314"/>
      <c r="AA40" s="314"/>
    </row>
    <row r="41" spans="2:27" x14ac:dyDescent="0.2">
      <c r="B41" s="163" t="s">
        <v>1166</v>
      </c>
      <c r="C41" s="170" t="s">
        <v>35</v>
      </c>
      <c r="D41" s="16">
        <v>0.53954217552259476</v>
      </c>
      <c r="E41" s="16">
        <v>0.50990166446042062</v>
      </c>
      <c r="F41" s="16">
        <v>0.54509563336100919</v>
      </c>
      <c r="G41" s="16">
        <v>0.53299155678978161</v>
      </c>
      <c r="H41" s="16">
        <v>0.48270863412747128</v>
      </c>
      <c r="I41" s="16">
        <v>0.50243252782905856</v>
      </c>
      <c r="J41" s="16">
        <v>0.49683285627093654</v>
      </c>
      <c r="K41" s="16">
        <v>0.48838256251738388</v>
      </c>
      <c r="L41" s="52">
        <f t="shared" si="11"/>
        <v>0.51223595135983202</v>
      </c>
      <c r="N41" s="2" t="str">
        <f t="shared" si="12"/>
        <v>New York State Electric &amp; Gas Corporation</v>
      </c>
      <c r="O41" s="1" t="str">
        <f t="shared" si="12"/>
        <v>AGR</v>
      </c>
      <c r="P41" s="16">
        <v>0.46045782447740519</v>
      </c>
      <c r="Q41" s="16">
        <v>0.49009833553957943</v>
      </c>
      <c r="R41" s="16">
        <v>0.45490436663899081</v>
      </c>
      <c r="S41" s="16">
        <v>0.46700844321021839</v>
      </c>
      <c r="T41" s="16">
        <v>0.51729136587252877</v>
      </c>
      <c r="U41" s="16">
        <v>0.49756747217094144</v>
      </c>
      <c r="V41" s="16">
        <v>0.50316714372906346</v>
      </c>
      <c r="W41" s="16">
        <v>0.51161743748261612</v>
      </c>
      <c r="X41" s="52">
        <f t="shared" si="13"/>
        <v>0.48776404864016792</v>
      </c>
      <c r="Y41" s="314"/>
      <c r="Z41" s="314"/>
      <c r="AA41" s="314"/>
    </row>
    <row r="42" spans="2:27" x14ac:dyDescent="0.2">
      <c r="B42" s="163" t="s">
        <v>1167</v>
      </c>
      <c r="C42" s="170" t="s">
        <v>35</v>
      </c>
      <c r="D42" s="16">
        <v>0.48161213710824052</v>
      </c>
      <c r="E42" s="16">
        <v>0.47774185748254616</v>
      </c>
      <c r="F42" s="16">
        <v>0.50801737114135237</v>
      </c>
      <c r="G42" s="16">
        <v>0.4963392430629468</v>
      </c>
      <c r="H42" s="16">
        <v>0.48939481717921202</v>
      </c>
      <c r="I42" s="16">
        <v>0.48464967756873101</v>
      </c>
      <c r="J42" s="16">
        <v>0.55252806955717093</v>
      </c>
      <c r="K42" s="16">
        <v>0.54296685280972856</v>
      </c>
      <c r="L42" s="52">
        <f t="shared" si="11"/>
        <v>0.50415625323874103</v>
      </c>
      <c r="N42" s="2" t="str">
        <f t="shared" si="12"/>
        <v>Rochester Gas and Electric Corporation</v>
      </c>
      <c r="O42" s="1" t="str">
        <f t="shared" si="12"/>
        <v>AGR</v>
      </c>
      <c r="P42" s="16">
        <v>0.51838786289175953</v>
      </c>
      <c r="Q42" s="16">
        <v>0.52225814251745384</v>
      </c>
      <c r="R42" s="16">
        <v>0.49198262885864769</v>
      </c>
      <c r="S42" s="16">
        <v>0.50366075693705326</v>
      </c>
      <c r="T42" s="16">
        <v>0.51060518282078804</v>
      </c>
      <c r="U42" s="16">
        <v>0.51535032243126899</v>
      </c>
      <c r="V42" s="16">
        <v>0.44747193044282901</v>
      </c>
      <c r="W42" s="16">
        <v>0.45703314719027144</v>
      </c>
      <c r="X42" s="52">
        <f t="shared" si="13"/>
        <v>0.49584374676125903</v>
      </c>
      <c r="Y42" s="314"/>
      <c r="Z42" s="314"/>
      <c r="AA42" s="314"/>
    </row>
    <row r="43" spans="2:27" x14ac:dyDescent="0.2">
      <c r="B43" s="163" t="s">
        <v>1164</v>
      </c>
      <c r="C43" s="170" t="s">
        <v>35</v>
      </c>
      <c r="D43" s="16">
        <v>0.58226550486929785</v>
      </c>
      <c r="E43" s="16">
        <v>0.57432658291317307</v>
      </c>
      <c r="F43" s="16">
        <v>0.56698942238100913</v>
      </c>
      <c r="G43" s="16">
        <v>0.5599835151288286</v>
      </c>
      <c r="H43" s="16">
        <v>0.54347046161205448</v>
      </c>
      <c r="I43" s="16">
        <v>0.5217056921487111</v>
      </c>
      <c r="J43" s="16">
        <v>0.54882514854798625</v>
      </c>
      <c r="K43" s="16">
        <v>0.5426340748144779</v>
      </c>
      <c r="L43" s="52">
        <f t="shared" si="11"/>
        <v>0.55502505030194238</v>
      </c>
      <c r="N43" s="2" t="str">
        <f t="shared" si="12"/>
        <v>United Illuminating Company</v>
      </c>
      <c r="O43" s="1" t="str">
        <f t="shared" si="12"/>
        <v>AGR</v>
      </c>
      <c r="P43" s="16">
        <v>0.41773449513070221</v>
      </c>
      <c r="Q43" s="16">
        <v>0.42567341708682693</v>
      </c>
      <c r="R43" s="16">
        <v>0.43301057761899081</v>
      </c>
      <c r="S43" s="16">
        <v>0.44001648487117145</v>
      </c>
      <c r="T43" s="16">
        <v>0.45652953838794547</v>
      </c>
      <c r="U43" s="16">
        <v>0.47829430785128885</v>
      </c>
      <c r="V43" s="16">
        <v>0.45117485145201375</v>
      </c>
      <c r="W43" s="16">
        <v>0.4573659251855221</v>
      </c>
      <c r="X43" s="52">
        <f t="shared" si="13"/>
        <v>0.44497494969805768</v>
      </c>
      <c r="Y43" s="314"/>
      <c r="Z43" s="314"/>
      <c r="AA43" s="314"/>
    </row>
    <row r="44" spans="2:27" x14ac:dyDescent="0.2">
      <c r="B44" s="2" t="s">
        <v>1170</v>
      </c>
      <c r="C44" s="1" t="s">
        <v>37</v>
      </c>
      <c r="D44" s="16">
        <v>0.53037280348651228</v>
      </c>
      <c r="E44" s="16">
        <v>0.54854321344360912</v>
      </c>
      <c r="F44" s="16">
        <v>0.54683111949545471</v>
      </c>
      <c r="G44" s="16">
        <v>0.55691883892480665</v>
      </c>
      <c r="H44" s="16">
        <v>0.54963591280436574</v>
      </c>
      <c r="I44" s="16">
        <v>0.55005161550753534</v>
      </c>
      <c r="J44" s="16">
        <v>0.5307782645767084</v>
      </c>
      <c r="K44" s="16">
        <v>0.52197024742819997</v>
      </c>
      <c r="L44" s="52">
        <f t="shared" si="11"/>
        <v>0.541887751958399</v>
      </c>
      <c r="N44" s="2" t="str">
        <f t="shared" si="12"/>
        <v>Black Hills Colorado Electric Utility Company, LP</v>
      </c>
      <c r="O44" s="1" t="str">
        <f t="shared" si="12"/>
        <v>BKH</v>
      </c>
      <c r="P44" s="16">
        <v>0.46962719651348767</v>
      </c>
      <c r="Q44" s="16">
        <v>0.45145678655639082</v>
      </c>
      <c r="R44" s="16">
        <v>0.45316888050454529</v>
      </c>
      <c r="S44" s="16">
        <v>0.44308116107519341</v>
      </c>
      <c r="T44" s="16">
        <v>0.45036408719563431</v>
      </c>
      <c r="U44" s="16">
        <v>0.44994838449246466</v>
      </c>
      <c r="V44" s="16">
        <v>0.46922173542329165</v>
      </c>
      <c r="W44" s="16">
        <v>0.47802975257180008</v>
      </c>
      <c r="X44" s="52">
        <f t="shared" si="13"/>
        <v>0.458112248041601</v>
      </c>
      <c r="Y44" s="314"/>
      <c r="Z44" s="314"/>
      <c r="AA44" s="314"/>
    </row>
    <row r="45" spans="2:27" x14ac:dyDescent="0.2">
      <c r="B45" s="2" t="s">
        <v>1171</v>
      </c>
      <c r="C45" s="1" t="s">
        <v>37</v>
      </c>
      <c r="D45" s="16">
        <v>0.53509492924048474</v>
      </c>
      <c r="E45" s="16">
        <v>0.53297681009346809</v>
      </c>
      <c r="F45" s="16">
        <v>0.53224333946972313</v>
      </c>
      <c r="G45" s="16">
        <v>0.53491669572603417</v>
      </c>
      <c r="H45" s="16">
        <v>0.56137500799795248</v>
      </c>
      <c r="I45" s="16">
        <v>0.53259442189134243</v>
      </c>
      <c r="J45" s="16">
        <v>0.53239684100957818</v>
      </c>
      <c r="K45" s="16">
        <v>0.52880171344831473</v>
      </c>
      <c r="L45" s="52">
        <f t="shared" si="11"/>
        <v>0.53629996985961226</v>
      </c>
      <c r="N45" s="2" t="str">
        <f t="shared" si="12"/>
        <v>Black Hills Power, Inc.</v>
      </c>
      <c r="O45" s="1" t="str">
        <f t="shared" si="12"/>
        <v>BKH</v>
      </c>
      <c r="P45" s="16">
        <v>0.46490507075951532</v>
      </c>
      <c r="Q45" s="16">
        <v>0.46702318990653185</v>
      </c>
      <c r="R45" s="16">
        <v>0.46775666053027687</v>
      </c>
      <c r="S45" s="16">
        <v>0.46508330427396583</v>
      </c>
      <c r="T45" s="16">
        <v>0.43862499200204746</v>
      </c>
      <c r="U45" s="16">
        <v>0.46740557810865763</v>
      </c>
      <c r="V45" s="16">
        <v>0.46760315899042182</v>
      </c>
      <c r="W45" s="16">
        <v>0.47119828655168527</v>
      </c>
      <c r="X45" s="52">
        <f t="shared" si="13"/>
        <v>0.46370003014038774</v>
      </c>
      <c r="Y45" s="314"/>
      <c r="Z45" s="314"/>
      <c r="AA45" s="314"/>
    </row>
    <row r="46" spans="2:27" x14ac:dyDescent="0.2">
      <c r="B46" s="2" t="s">
        <v>1172</v>
      </c>
      <c r="C46" s="1" t="s">
        <v>37</v>
      </c>
      <c r="D46" s="16">
        <v>0.53041274859646881</v>
      </c>
      <c r="E46" s="16">
        <v>0.53321995045661252</v>
      </c>
      <c r="F46" s="16">
        <v>0.53463619839242149</v>
      </c>
      <c r="G46" s="16">
        <v>0.54007285974499086</v>
      </c>
      <c r="H46" s="16">
        <v>0.53160180588373063</v>
      </c>
      <c r="I46" s="16">
        <v>0.53267028037469666</v>
      </c>
      <c r="J46" s="16">
        <v>0.53290801756450845</v>
      </c>
      <c r="K46" s="16">
        <v>0.53349807163806839</v>
      </c>
      <c r="L46" s="52">
        <f t="shared" si="11"/>
        <v>0.5336274915814373</v>
      </c>
      <c r="N46" s="2" t="str">
        <f t="shared" si="12"/>
        <v>Cheyenne Light, Fuel and Power Company</v>
      </c>
      <c r="O46" s="1" t="str">
        <f t="shared" si="12"/>
        <v>BKH</v>
      </c>
      <c r="P46" s="16">
        <v>0.46958725140353119</v>
      </c>
      <c r="Q46" s="16">
        <v>0.46678004954338742</v>
      </c>
      <c r="R46" s="16">
        <v>0.46536380160757851</v>
      </c>
      <c r="S46" s="16">
        <v>0.45992714025500908</v>
      </c>
      <c r="T46" s="16">
        <v>0.46839819411626943</v>
      </c>
      <c r="U46" s="16">
        <v>0.46732971962530334</v>
      </c>
      <c r="V46" s="16">
        <v>0.4670919824354916</v>
      </c>
      <c r="W46" s="16">
        <v>0.46650192836193161</v>
      </c>
      <c r="X46" s="52">
        <f t="shared" si="13"/>
        <v>0.46637250841856281</v>
      </c>
      <c r="Y46" s="314"/>
      <c r="Z46" s="314"/>
      <c r="AA46" s="314"/>
    </row>
    <row r="47" spans="2:27" x14ac:dyDescent="0.2">
      <c r="B47" s="2" t="s">
        <v>1173</v>
      </c>
      <c r="C47" s="1" t="s">
        <v>39</v>
      </c>
      <c r="D47" s="16">
        <v>0.53013313928575112</v>
      </c>
      <c r="E47" s="16">
        <v>0.52858694904934955</v>
      </c>
      <c r="F47" s="16">
        <v>0.53130257106689038</v>
      </c>
      <c r="G47" s="16">
        <v>0.5225247558831414</v>
      </c>
      <c r="H47" s="16">
        <v>0.53254723319637987</v>
      </c>
      <c r="I47" s="16">
        <v>0.52974860243069866</v>
      </c>
      <c r="J47" s="16">
        <v>0.5209655149845378</v>
      </c>
      <c r="K47" s="16">
        <v>0.5123735879095398</v>
      </c>
      <c r="L47" s="52">
        <f t="shared" si="11"/>
        <v>0.52602279422578613</v>
      </c>
      <c r="N47" s="2" t="str">
        <f t="shared" si="12"/>
        <v>Consumers Energy Company</v>
      </c>
      <c r="O47" s="1" t="str">
        <f t="shared" si="12"/>
        <v>CMS</v>
      </c>
      <c r="P47" s="16">
        <v>0.46986686071424888</v>
      </c>
      <c r="Q47" s="16">
        <v>0.4714130509506505</v>
      </c>
      <c r="R47" s="16">
        <v>0.46869742893310967</v>
      </c>
      <c r="S47" s="16">
        <v>0.4774752441168586</v>
      </c>
      <c r="T47" s="16">
        <v>0.46745276680362013</v>
      </c>
      <c r="U47" s="16">
        <v>0.47025139756930129</v>
      </c>
      <c r="V47" s="16">
        <v>0.4790344850154622</v>
      </c>
      <c r="W47" s="16">
        <v>0.48762641209046026</v>
      </c>
      <c r="X47" s="52">
        <f t="shared" si="13"/>
        <v>0.47397720577421387</v>
      </c>
      <c r="Y47" s="314"/>
      <c r="Z47" s="314"/>
      <c r="AA47" s="314"/>
    </row>
    <row r="48" spans="2:27" x14ac:dyDescent="0.2">
      <c r="B48" s="2" t="s">
        <v>1182</v>
      </c>
      <c r="C48" s="1" t="s">
        <v>41</v>
      </c>
      <c r="D48" s="16">
        <v>0.48326505266528935</v>
      </c>
      <c r="E48" s="16">
        <v>0.46722265306881511</v>
      </c>
      <c r="F48" s="16">
        <v>0.48661540336949954</v>
      </c>
      <c r="G48" s="16">
        <v>0.48217829492732611</v>
      </c>
      <c r="H48" s="16">
        <v>0.49472221122394633</v>
      </c>
      <c r="I48" s="16">
        <v>0.48576714617216499</v>
      </c>
      <c r="J48" s="16">
        <v>0.49649866809937349</v>
      </c>
      <c r="K48" s="16">
        <v>0.49310486354915511</v>
      </c>
      <c r="L48" s="52">
        <f t="shared" si="11"/>
        <v>0.48617178663444627</v>
      </c>
      <c r="N48" s="2" t="str">
        <f t="shared" si="12"/>
        <v>Consolidated Edison Company of New York, Inc.</v>
      </c>
      <c r="O48" s="1" t="str">
        <f t="shared" si="12"/>
        <v>ED</v>
      </c>
      <c r="P48" s="16">
        <v>0.5167349473347107</v>
      </c>
      <c r="Q48" s="16">
        <v>0.53277734693118484</v>
      </c>
      <c r="R48" s="16">
        <v>0.5133845966305004</v>
      </c>
      <c r="S48" s="16">
        <v>0.51782170507267389</v>
      </c>
      <c r="T48" s="16">
        <v>0.50527778877605367</v>
      </c>
      <c r="U48" s="16">
        <v>0.51423285382783501</v>
      </c>
      <c r="V48" s="16">
        <v>0.50350133190062651</v>
      </c>
      <c r="W48" s="16">
        <v>0.50689513645084494</v>
      </c>
      <c r="X48" s="52">
        <f t="shared" si="13"/>
        <v>0.51382821336555373</v>
      </c>
      <c r="Y48" s="314"/>
      <c r="Z48" s="314"/>
      <c r="AA48" s="314"/>
    </row>
    <row r="49" spans="2:27" x14ac:dyDescent="0.2">
      <c r="B49" s="2" t="s">
        <v>1183</v>
      </c>
      <c r="C49" s="1" t="s">
        <v>41</v>
      </c>
      <c r="D49" s="16">
        <v>0.4844132177430398</v>
      </c>
      <c r="E49" s="16">
        <v>0.50738786674040082</v>
      </c>
      <c r="F49" s="16">
        <v>0.50831540662547259</v>
      </c>
      <c r="G49" s="16">
        <v>0.50251023035854181</v>
      </c>
      <c r="H49" s="16">
        <v>0.50273432637649895</v>
      </c>
      <c r="I49" s="16">
        <v>0.49807382882015067</v>
      </c>
      <c r="J49" s="16">
        <v>0.50003868419136388</v>
      </c>
      <c r="K49" s="16">
        <v>0.49462981449704729</v>
      </c>
      <c r="L49" s="52">
        <f t="shared" si="11"/>
        <v>0.49976292191906446</v>
      </c>
      <c r="N49" s="2" t="str">
        <f t="shared" si="12"/>
        <v>Orange and Rockland Utilities, Inc.</v>
      </c>
      <c r="O49" s="1" t="str">
        <f t="shared" si="12"/>
        <v>ED</v>
      </c>
      <c r="P49" s="16">
        <v>0.5155867822569602</v>
      </c>
      <c r="Q49" s="16">
        <v>0.49261213325959913</v>
      </c>
      <c r="R49" s="16">
        <v>0.49168459337452747</v>
      </c>
      <c r="S49" s="16">
        <v>0.49748976964145819</v>
      </c>
      <c r="T49" s="16">
        <v>0.4972656736235011</v>
      </c>
      <c r="U49" s="16">
        <v>0.50192617117984928</v>
      </c>
      <c r="V49" s="16">
        <v>0.49996131580863612</v>
      </c>
      <c r="W49" s="16">
        <v>0.50537018550295265</v>
      </c>
      <c r="X49" s="52">
        <f t="shared" si="13"/>
        <v>0.50023707808093554</v>
      </c>
      <c r="Y49" s="314"/>
      <c r="Z49" s="314"/>
      <c r="AA49" s="314"/>
    </row>
    <row r="50" spans="2:27" x14ac:dyDescent="0.2">
      <c r="B50" s="2" t="s">
        <v>1181</v>
      </c>
      <c r="C50" s="1" t="s">
        <v>41</v>
      </c>
      <c r="D50" s="16" t="s">
        <v>28</v>
      </c>
      <c r="E50" s="16" t="s">
        <v>28</v>
      </c>
      <c r="F50" s="16" t="s">
        <v>28</v>
      </c>
      <c r="G50" s="16" t="s">
        <v>28</v>
      </c>
      <c r="H50" s="16" t="s">
        <v>28</v>
      </c>
      <c r="I50" s="16" t="s">
        <v>28</v>
      </c>
      <c r="J50" s="16" t="s">
        <v>28</v>
      </c>
      <c r="K50" s="16" t="s">
        <v>28</v>
      </c>
      <c r="L50" s="16" t="s">
        <v>28</v>
      </c>
      <c r="N50" s="2" t="str">
        <f t="shared" si="12"/>
        <v>Rockland Electric Company</v>
      </c>
      <c r="O50" s="1" t="str">
        <f t="shared" si="12"/>
        <v>ED</v>
      </c>
      <c r="P50" s="16" t="s">
        <v>28</v>
      </c>
      <c r="Q50" s="16" t="s">
        <v>28</v>
      </c>
      <c r="R50" s="16" t="s">
        <v>28</v>
      </c>
      <c r="S50" s="16" t="s">
        <v>28</v>
      </c>
      <c r="T50" s="16" t="s">
        <v>28</v>
      </c>
      <c r="U50" s="16" t="s">
        <v>28</v>
      </c>
      <c r="V50" s="16" t="s">
        <v>28</v>
      </c>
      <c r="W50" s="16" t="s">
        <v>28</v>
      </c>
      <c r="X50" s="16" t="s">
        <v>28</v>
      </c>
      <c r="Y50" s="314"/>
      <c r="Z50" s="314"/>
      <c r="AA50" s="314"/>
    </row>
    <row r="51" spans="2:27" x14ac:dyDescent="0.2">
      <c r="B51" s="2" t="s">
        <v>1174</v>
      </c>
      <c r="C51" s="1" t="s">
        <v>43</v>
      </c>
      <c r="D51" s="16">
        <v>0.49965418108152515</v>
      </c>
      <c r="E51" s="16">
        <v>0.49227750931366288</v>
      </c>
      <c r="F51" s="16">
        <v>0.51117751175104242</v>
      </c>
      <c r="G51" s="16">
        <v>0.51021484806259432</v>
      </c>
      <c r="H51" s="16">
        <v>0.50496838665839661</v>
      </c>
      <c r="I51" s="16">
        <v>0.50625425263642454</v>
      </c>
      <c r="J51" s="16">
        <v>0.50498448806225926</v>
      </c>
      <c r="K51" s="16">
        <v>0.50502142764382496</v>
      </c>
      <c r="L51" s="52">
        <f t="shared" si="11"/>
        <v>0.50431907565121625</v>
      </c>
      <c r="N51" s="2" t="str">
        <f t="shared" si="12"/>
        <v>DTE Electric Company</v>
      </c>
      <c r="O51" s="1" t="str">
        <f t="shared" si="12"/>
        <v>DTE</v>
      </c>
      <c r="P51" s="16">
        <v>0.50034581891847485</v>
      </c>
      <c r="Q51" s="16">
        <v>0.50772249068633712</v>
      </c>
      <c r="R51" s="16">
        <v>0.48882248824895763</v>
      </c>
      <c r="S51" s="16">
        <v>0.48978515193740568</v>
      </c>
      <c r="T51" s="16">
        <v>0.49503161334160339</v>
      </c>
      <c r="U51" s="16">
        <v>0.4937457473635754</v>
      </c>
      <c r="V51" s="16">
        <v>0.49501551193774068</v>
      </c>
      <c r="W51" s="16">
        <v>0.49497857235617504</v>
      </c>
      <c r="X51" s="52">
        <f t="shared" si="13"/>
        <v>0.49568092434878375</v>
      </c>
      <c r="Y51" s="314"/>
      <c r="Z51" s="314"/>
      <c r="AA51" s="314"/>
    </row>
    <row r="52" spans="2:27" x14ac:dyDescent="0.2">
      <c r="B52" s="2" t="s">
        <v>1178</v>
      </c>
      <c r="C52" s="1" t="s">
        <v>45</v>
      </c>
      <c r="D52" s="16">
        <v>0.52641209344403428</v>
      </c>
      <c r="E52" s="16">
        <v>0.52100792397616724</v>
      </c>
      <c r="F52" s="16">
        <v>0.51700804950425905</v>
      </c>
      <c r="G52" s="16">
        <v>0.52976010612833624</v>
      </c>
      <c r="H52" s="16">
        <v>0.53978358666848214</v>
      </c>
      <c r="I52" s="16">
        <v>0.53490176391615729</v>
      </c>
      <c r="J52" s="16">
        <v>0.53322900524843952</v>
      </c>
      <c r="K52" s="16">
        <v>0.52812277313472977</v>
      </c>
      <c r="L52" s="52">
        <f t="shared" si="11"/>
        <v>0.52877816275257561</v>
      </c>
      <c r="N52" s="2" t="str">
        <f t="shared" si="12"/>
        <v>Duke Energy Carolinas, LLC</v>
      </c>
      <c r="O52" s="1" t="str">
        <f t="shared" si="12"/>
        <v>DUK</v>
      </c>
      <c r="P52" s="16">
        <v>0.47358790655596572</v>
      </c>
      <c r="Q52" s="16">
        <v>0.47899207602383276</v>
      </c>
      <c r="R52" s="16">
        <v>0.4829919504957409</v>
      </c>
      <c r="S52" s="16">
        <v>0.47023989387166376</v>
      </c>
      <c r="T52" s="16">
        <v>0.46021641333151786</v>
      </c>
      <c r="U52" s="16">
        <v>0.46509823608384265</v>
      </c>
      <c r="V52" s="16">
        <v>0.46677099475156048</v>
      </c>
      <c r="W52" s="16">
        <v>0.47187722686527028</v>
      </c>
      <c r="X52" s="52">
        <f t="shared" si="13"/>
        <v>0.47122183724742428</v>
      </c>
      <c r="Y52" s="314"/>
      <c r="Z52" s="314"/>
      <c r="AA52" s="314"/>
    </row>
    <row r="53" spans="2:27" x14ac:dyDescent="0.2">
      <c r="B53" s="2" t="s">
        <v>1175</v>
      </c>
      <c r="C53" s="1" t="s">
        <v>45</v>
      </c>
      <c r="D53" s="16">
        <v>0.4965259114028675</v>
      </c>
      <c r="E53" s="16">
        <v>0.48785823609415235</v>
      </c>
      <c r="F53" s="16">
        <v>0.49924724111994889</v>
      </c>
      <c r="G53" s="16">
        <v>0.49245744630494198</v>
      </c>
      <c r="H53" s="16">
        <v>0.49455242277925654</v>
      </c>
      <c r="I53" s="16">
        <v>0.47740664062290056</v>
      </c>
      <c r="J53" s="16">
        <v>0.46950426516503907</v>
      </c>
      <c r="K53" s="16">
        <v>0.50831211179206071</v>
      </c>
      <c r="L53" s="52">
        <f t="shared" si="11"/>
        <v>0.49073303441014593</v>
      </c>
      <c r="N53" s="2" t="str">
        <f t="shared" si="12"/>
        <v>Duke Energy Florida, LLC</v>
      </c>
      <c r="O53" s="1" t="str">
        <f t="shared" si="12"/>
        <v>DUK</v>
      </c>
      <c r="P53" s="16">
        <v>0.5034740885971325</v>
      </c>
      <c r="Q53" s="16">
        <v>0.51214176390584765</v>
      </c>
      <c r="R53" s="16">
        <v>0.50075275888005111</v>
      </c>
      <c r="S53" s="16">
        <v>0.50754255369505796</v>
      </c>
      <c r="T53" s="16">
        <v>0.5054475772207434</v>
      </c>
      <c r="U53" s="16">
        <v>0.52259335937709939</v>
      </c>
      <c r="V53" s="16">
        <v>0.53049573483496093</v>
      </c>
      <c r="W53" s="16">
        <v>0.49168788820793924</v>
      </c>
      <c r="X53" s="52">
        <f t="shared" si="13"/>
        <v>0.50926696558985396</v>
      </c>
      <c r="Y53" s="314"/>
      <c r="Z53" s="314"/>
      <c r="AA53" s="314"/>
    </row>
    <row r="54" spans="2:27" x14ac:dyDescent="0.2">
      <c r="B54" s="2" t="s">
        <v>1176</v>
      </c>
      <c r="C54" s="1" t="s">
        <v>45</v>
      </c>
      <c r="D54" s="16">
        <v>0.52793469508031643</v>
      </c>
      <c r="E54" s="16">
        <v>0.52644842655443902</v>
      </c>
      <c r="F54" s="16">
        <v>0.52540099959936948</v>
      </c>
      <c r="G54" s="16">
        <v>0.51944374199610088</v>
      </c>
      <c r="H54" s="16">
        <v>0.51705911066274268</v>
      </c>
      <c r="I54" s="16">
        <v>0.51886996968786492</v>
      </c>
      <c r="J54" s="16">
        <v>0.5215338796411495</v>
      </c>
      <c r="K54" s="16">
        <v>0.51587110034163552</v>
      </c>
      <c r="L54" s="52">
        <f t="shared" si="11"/>
        <v>0.5215702404454523</v>
      </c>
      <c r="N54" s="2" t="str">
        <f t="shared" si="12"/>
        <v>Duke Energy Indiana, LLC</v>
      </c>
      <c r="O54" s="1" t="str">
        <f t="shared" si="12"/>
        <v>DUK</v>
      </c>
      <c r="P54" s="16">
        <v>0.47206530491968357</v>
      </c>
      <c r="Q54" s="16">
        <v>0.47355157344556104</v>
      </c>
      <c r="R54" s="16">
        <v>0.47459900040063052</v>
      </c>
      <c r="S54" s="16">
        <v>0.48055625800389912</v>
      </c>
      <c r="T54" s="16">
        <v>0.48294088933725737</v>
      </c>
      <c r="U54" s="16">
        <v>0.48113003031213514</v>
      </c>
      <c r="V54" s="16">
        <v>0.4784661203588505</v>
      </c>
      <c r="W54" s="16">
        <v>0.48412889965836453</v>
      </c>
      <c r="X54" s="52">
        <f t="shared" si="13"/>
        <v>0.4784297595545477</v>
      </c>
      <c r="Y54" s="314"/>
      <c r="Z54" s="314"/>
      <c r="AA54" s="314"/>
    </row>
    <row r="55" spans="2:27" x14ac:dyDescent="0.2">
      <c r="B55" s="2" t="s">
        <v>1177</v>
      </c>
      <c r="C55" s="1" t="s">
        <v>45</v>
      </c>
      <c r="D55" s="16">
        <v>0.56579707914769206</v>
      </c>
      <c r="E55" s="16">
        <v>0.55789453067619843</v>
      </c>
      <c r="F55" s="16">
        <v>0.53722779929904119</v>
      </c>
      <c r="G55" s="16">
        <v>0.53114828331841224</v>
      </c>
      <c r="H55" s="16">
        <v>0.50693204271619419</v>
      </c>
      <c r="I55" s="16">
        <v>0.55740788592268387</v>
      </c>
      <c r="J55" s="16">
        <v>0.55428743387891066</v>
      </c>
      <c r="K55" s="16">
        <v>0.54736553368812757</v>
      </c>
      <c r="L55" s="52">
        <f t="shared" si="11"/>
        <v>0.54475757358090759</v>
      </c>
      <c r="N55" s="2" t="str">
        <f t="shared" si="12"/>
        <v>Duke Energy Kentucky, Inc.</v>
      </c>
      <c r="O55" s="1" t="str">
        <f t="shared" si="12"/>
        <v>DUK</v>
      </c>
      <c r="P55" s="16">
        <v>0.43420292085230799</v>
      </c>
      <c r="Q55" s="16">
        <v>0.44210546932380157</v>
      </c>
      <c r="R55" s="16">
        <v>0.46277220070095876</v>
      </c>
      <c r="S55" s="16">
        <v>0.4688517166815877</v>
      </c>
      <c r="T55" s="16">
        <v>0.49306795728380581</v>
      </c>
      <c r="U55" s="16">
        <v>0.44259211407731619</v>
      </c>
      <c r="V55" s="16">
        <v>0.44571256612108934</v>
      </c>
      <c r="W55" s="16">
        <v>0.45263446631187243</v>
      </c>
      <c r="X55" s="52">
        <f t="shared" si="13"/>
        <v>0.45524242641909252</v>
      </c>
      <c r="Y55" s="314"/>
      <c r="Z55" s="314"/>
      <c r="AA55" s="314"/>
    </row>
    <row r="56" spans="2:27" x14ac:dyDescent="0.2">
      <c r="B56" s="2" t="s">
        <v>1180</v>
      </c>
      <c r="C56" s="1" t="s">
        <v>45</v>
      </c>
      <c r="D56" s="16">
        <v>0.67725196933120391</v>
      </c>
      <c r="E56" s="16">
        <v>0.67097449254243513</v>
      </c>
      <c r="F56" s="16">
        <v>0.66059108350906248</v>
      </c>
      <c r="G56" s="16">
        <v>0.66242245973123204</v>
      </c>
      <c r="H56" s="16">
        <v>0.65786286893229762</v>
      </c>
      <c r="I56" s="16">
        <v>0.65383522602578259</v>
      </c>
      <c r="J56" s="16">
        <v>0.65356301745800538</v>
      </c>
      <c r="K56" s="16">
        <v>0.66388694738784837</v>
      </c>
      <c r="L56" s="52">
        <f t="shared" si="11"/>
        <v>0.66254850811473331</v>
      </c>
      <c r="N56" s="2" t="str">
        <f t="shared" si="12"/>
        <v>Duke Energy Ohio, Inc.</v>
      </c>
      <c r="O56" s="1" t="str">
        <f t="shared" si="12"/>
        <v>DUK</v>
      </c>
      <c r="P56" s="16">
        <v>0.32274803066879609</v>
      </c>
      <c r="Q56" s="16">
        <v>0.32902550745756481</v>
      </c>
      <c r="R56" s="16">
        <v>0.33940891649093752</v>
      </c>
      <c r="S56" s="16">
        <v>0.33757754026876802</v>
      </c>
      <c r="T56" s="16">
        <v>0.34213713106770238</v>
      </c>
      <c r="U56" s="16">
        <v>0.34616477397421735</v>
      </c>
      <c r="V56" s="16">
        <v>0.34643698254199462</v>
      </c>
      <c r="W56" s="16">
        <v>0.33611305261215169</v>
      </c>
      <c r="X56" s="52">
        <f t="shared" si="13"/>
        <v>0.33745149188526657</v>
      </c>
      <c r="Y56" s="314"/>
      <c r="Z56" s="314"/>
      <c r="AA56" s="314"/>
    </row>
    <row r="57" spans="2:27" x14ac:dyDescent="0.2">
      <c r="B57" s="2" t="s">
        <v>1179</v>
      </c>
      <c r="C57" s="1" t="s">
        <v>45</v>
      </c>
      <c r="D57" s="16">
        <v>0.50760456854628189</v>
      </c>
      <c r="E57" s="16">
        <v>0.53223196626305247</v>
      </c>
      <c r="F57" s="16">
        <v>0.52823152443036003</v>
      </c>
      <c r="G57" s="16">
        <v>0.52273351429741644</v>
      </c>
      <c r="H57" s="16">
        <v>0.51059961710579316</v>
      </c>
      <c r="I57" s="16">
        <v>0.53507153353408388</v>
      </c>
      <c r="J57" s="16">
        <v>0.52994757346799914</v>
      </c>
      <c r="K57" s="16">
        <v>0.51581454226511236</v>
      </c>
      <c r="L57" s="52">
        <f t="shared" si="11"/>
        <v>0.52277935498876238</v>
      </c>
      <c r="N57" s="2" t="str">
        <f t="shared" si="12"/>
        <v>Duke Energy Progress, LLC</v>
      </c>
      <c r="O57" s="1" t="str">
        <f t="shared" si="12"/>
        <v>DUK</v>
      </c>
      <c r="P57" s="16">
        <v>0.49239543145371811</v>
      </c>
      <c r="Q57" s="16">
        <v>0.46776803373694753</v>
      </c>
      <c r="R57" s="16">
        <v>0.47176847556964002</v>
      </c>
      <c r="S57" s="16">
        <v>0.47726648570258356</v>
      </c>
      <c r="T57" s="16">
        <v>0.4894003828942069</v>
      </c>
      <c r="U57" s="16">
        <v>0.46492846646591612</v>
      </c>
      <c r="V57" s="16">
        <v>0.47005242653200091</v>
      </c>
      <c r="W57" s="16">
        <v>0.48418545773488764</v>
      </c>
      <c r="X57" s="52">
        <f t="shared" si="13"/>
        <v>0.47722064501123762</v>
      </c>
      <c r="Y57" s="314"/>
      <c r="Z57" s="314"/>
      <c r="AA57" s="314"/>
    </row>
    <row r="58" spans="2:27" x14ac:dyDescent="0.2">
      <c r="B58" s="2" t="s">
        <v>46</v>
      </c>
      <c r="C58" s="1" t="s">
        <v>47</v>
      </c>
      <c r="D58" s="16">
        <v>0.48570705288023086</v>
      </c>
      <c r="E58" s="16">
        <v>0.47323612913990976</v>
      </c>
      <c r="F58" s="16">
        <v>0.4946215019121859</v>
      </c>
      <c r="G58" s="16">
        <v>0.49947086212676844</v>
      </c>
      <c r="H58" s="16">
        <v>0.49806459242072898</v>
      </c>
      <c r="I58" s="16">
        <v>0.48005450112348808</v>
      </c>
      <c r="J58" s="16">
        <v>0.47479256482074966</v>
      </c>
      <c r="K58" s="16">
        <v>0.47728499116304779</v>
      </c>
      <c r="L58" s="52">
        <f t="shared" si="11"/>
        <v>0.48540402444838865</v>
      </c>
      <c r="N58" s="2" t="str">
        <f t="shared" si="12"/>
        <v>El Paso Electric Company</v>
      </c>
      <c r="O58" s="1" t="str">
        <f t="shared" si="12"/>
        <v>EE</v>
      </c>
      <c r="P58" s="16">
        <v>0.51429294711976914</v>
      </c>
      <c r="Q58" s="16">
        <v>0.52676387086009024</v>
      </c>
      <c r="R58" s="16">
        <v>0.5053784980878141</v>
      </c>
      <c r="S58" s="16">
        <v>0.50052913787323161</v>
      </c>
      <c r="T58" s="16">
        <v>0.50193540757927102</v>
      </c>
      <c r="U58" s="16">
        <v>0.51994549887651198</v>
      </c>
      <c r="V58" s="16">
        <v>0.52520743517925028</v>
      </c>
      <c r="W58" s="16">
        <v>0.52271500883695221</v>
      </c>
      <c r="X58" s="52">
        <f t="shared" si="13"/>
        <v>0.51459597555161141</v>
      </c>
      <c r="Y58" s="314"/>
      <c r="Z58" s="314"/>
      <c r="AA58" s="314"/>
    </row>
    <row r="59" spans="2:27" x14ac:dyDescent="0.2">
      <c r="B59" s="2" t="s">
        <v>1225</v>
      </c>
      <c r="C59" s="1" t="s">
        <v>49</v>
      </c>
      <c r="D59" s="16">
        <v>0.49504484239524849</v>
      </c>
      <c r="E59" s="16">
        <v>0.48884670166197586</v>
      </c>
      <c r="F59" s="16">
        <v>0.49247094207924436</v>
      </c>
      <c r="G59" s="16">
        <v>0.49149826390386048</v>
      </c>
      <c r="H59" s="16">
        <v>0.49421106397579462</v>
      </c>
      <c r="I59" s="16">
        <v>0.48473917683878237</v>
      </c>
      <c r="J59" s="16">
        <v>0.49189641566124259</v>
      </c>
      <c r="K59" s="16">
        <v>0.49609791070235654</v>
      </c>
      <c r="L59" s="52">
        <f t="shared" si="11"/>
        <v>0.49185066465231314</v>
      </c>
      <c r="N59" s="2" t="str">
        <f t="shared" si="12"/>
        <v>Kansas City Power &amp; Light Company</v>
      </c>
      <c r="O59" s="1" t="str">
        <f t="shared" si="12"/>
        <v>EVRG</v>
      </c>
      <c r="P59" s="16">
        <v>0.50495515760475151</v>
      </c>
      <c r="Q59" s="16">
        <v>0.51115329833802414</v>
      </c>
      <c r="R59" s="16">
        <v>0.50752905792075564</v>
      </c>
      <c r="S59" s="16">
        <v>0.50850173609613947</v>
      </c>
      <c r="T59" s="16">
        <v>0.50578893602420538</v>
      </c>
      <c r="U59" s="16">
        <v>0.51526082316121757</v>
      </c>
      <c r="V59" s="16">
        <v>0.50810358433875746</v>
      </c>
      <c r="W59" s="16">
        <v>0.50390208929764346</v>
      </c>
      <c r="X59" s="52">
        <f t="shared" si="13"/>
        <v>0.5081493353476868</v>
      </c>
      <c r="Y59" s="314"/>
      <c r="Z59" s="314"/>
      <c r="AA59" s="314"/>
    </row>
    <row r="60" spans="2:27" x14ac:dyDescent="0.2">
      <c r="B60" s="2" t="s">
        <v>1226</v>
      </c>
      <c r="C60" s="1" t="s">
        <v>49</v>
      </c>
      <c r="D60" s="16">
        <v>0.74906084368210279</v>
      </c>
      <c r="E60" s="16">
        <v>0.74448862458008691</v>
      </c>
      <c r="F60" s="16">
        <v>0.7429415713111206</v>
      </c>
      <c r="G60" s="16">
        <v>0.74179499980185171</v>
      </c>
      <c r="H60" s="16">
        <v>0.74211666211086047</v>
      </c>
      <c r="I60" s="16">
        <v>0.73692659904045654</v>
      </c>
      <c r="J60" s="16">
        <v>0.73488366376855929</v>
      </c>
      <c r="K60" s="16">
        <v>0.73369025034944124</v>
      </c>
      <c r="L60" s="52">
        <f t="shared" si="11"/>
        <v>0.74073790183055988</v>
      </c>
      <c r="N60" s="2" t="str">
        <f t="shared" si="12"/>
        <v>Kansas Gas and Electric Company</v>
      </c>
      <c r="O60" s="1" t="str">
        <f t="shared" si="12"/>
        <v>EVRG</v>
      </c>
      <c r="P60" s="16">
        <v>0.25093915631789726</v>
      </c>
      <c r="Q60" s="16">
        <v>0.25551137541991309</v>
      </c>
      <c r="R60" s="16">
        <v>0.25705842868887946</v>
      </c>
      <c r="S60" s="16">
        <v>0.25820500019814824</v>
      </c>
      <c r="T60" s="16">
        <v>0.25788333788913959</v>
      </c>
      <c r="U60" s="16">
        <v>0.26307340095954351</v>
      </c>
      <c r="V60" s="16">
        <v>0.26511633623144076</v>
      </c>
      <c r="W60" s="16">
        <v>0.26630974965055876</v>
      </c>
      <c r="X60" s="52">
        <f t="shared" si="13"/>
        <v>0.25926209816944007</v>
      </c>
      <c r="Y60" s="314"/>
      <c r="Z60" s="314"/>
      <c r="AA60" s="314"/>
    </row>
    <row r="61" spans="2:27" x14ac:dyDescent="0.2">
      <c r="B61" s="2" t="s">
        <v>1227</v>
      </c>
      <c r="C61" s="1" t="s">
        <v>49</v>
      </c>
      <c r="D61" s="16">
        <v>0.55695485920535626</v>
      </c>
      <c r="E61" s="16">
        <v>0.52029805058876188</v>
      </c>
      <c r="F61" s="16">
        <v>0.52632835716072845</v>
      </c>
      <c r="G61" s="16">
        <v>0.52399776328446435</v>
      </c>
      <c r="H61" s="16">
        <v>0.55138644905417467</v>
      </c>
      <c r="I61" s="16">
        <v>0.54573938947425082</v>
      </c>
      <c r="J61" s="16">
        <v>0.54216025423132574</v>
      </c>
      <c r="K61" s="16">
        <v>0.54466008379476594</v>
      </c>
      <c r="L61" s="52">
        <f t="shared" si="11"/>
        <v>0.53894065084922849</v>
      </c>
      <c r="N61" s="2" t="str">
        <f t="shared" si="12"/>
        <v>KCP&amp;L Greater Missouri Operations Company</v>
      </c>
      <c r="O61" s="1" t="str">
        <f t="shared" si="12"/>
        <v>EVRG</v>
      </c>
      <c r="P61" s="16">
        <v>0.44304514079464374</v>
      </c>
      <c r="Q61" s="16">
        <v>0.47970194941123806</v>
      </c>
      <c r="R61" s="16">
        <v>0.47367164283927155</v>
      </c>
      <c r="S61" s="16">
        <v>0.47600223671553571</v>
      </c>
      <c r="T61" s="16">
        <v>0.44861355094582528</v>
      </c>
      <c r="U61" s="16">
        <v>0.45426061052574918</v>
      </c>
      <c r="V61" s="16">
        <v>0.45783974576867426</v>
      </c>
      <c r="W61" s="16">
        <v>0.45533991620523401</v>
      </c>
      <c r="X61" s="52">
        <f t="shared" si="13"/>
        <v>0.46105934915077146</v>
      </c>
      <c r="Y61" s="314"/>
      <c r="Z61" s="314"/>
      <c r="AA61" s="314"/>
    </row>
    <row r="62" spans="2:27" x14ac:dyDescent="0.2">
      <c r="B62" s="2" t="s">
        <v>1228</v>
      </c>
      <c r="C62" s="1" t="s">
        <v>49</v>
      </c>
      <c r="D62" s="16">
        <v>0.59343637313482345</v>
      </c>
      <c r="E62" s="16">
        <v>0.58677704857434076</v>
      </c>
      <c r="F62" s="16">
        <v>0.58747942543585618</v>
      </c>
      <c r="G62" s="16">
        <v>0.58739293902982492</v>
      </c>
      <c r="H62" s="16">
        <v>0.58869605828759297</v>
      </c>
      <c r="I62" s="16">
        <v>0.58223100157583951</v>
      </c>
      <c r="J62" s="16">
        <v>0.58098450018189196</v>
      </c>
      <c r="K62" s="16">
        <v>0.59683803454121465</v>
      </c>
      <c r="L62" s="52">
        <f t="shared" si="11"/>
        <v>0.587979422595173</v>
      </c>
      <c r="N62" s="2" t="str">
        <f t="shared" si="12"/>
        <v>Westar Energy (KPL)</v>
      </c>
      <c r="O62" s="1" t="str">
        <f t="shared" si="12"/>
        <v>EVRG</v>
      </c>
      <c r="P62" s="16">
        <v>0.40656362686517655</v>
      </c>
      <c r="Q62" s="16">
        <v>0.41322295142565929</v>
      </c>
      <c r="R62" s="16">
        <v>0.41252057456414382</v>
      </c>
      <c r="S62" s="16">
        <v>0.41260706097017513</v>
      </c>
      <c r="T62" s="16">
        <v>0.41130394171240708</v>
      </c>
      <c r="U62" s="16">
        <v>0.41776899842416049</v>
      </c>
      <c r="V62" s="16">
        <v>0.41901549981810809</v>
      </c>
      <c r="W62" s="16">
        <v>0.4031619654587853</v>
      </c>
      <c r="X62" s="52">
        <f t="shared" si="13"/>
        <v>0.41202057740482695</v>
      </c>
      <c r="Y62" s="314"/>
      <c r="Z62" s="314"/>
      <c r="AA62" s="314"/>
    </row>
    <row r="63" spans="2:27" x14ac:dyDescent="0.2">
      <c r="B63" s="2" t="s">
        <v>1184</v>
      </c>
      <c r="C63" s="1" t="s">
        <v>52</v>
      </c>
      <c r="D63" s="16">
        <v>0.5448804066813363</v>
      </c>
      <c r="E63" s="16">
        <v>0.53853721252093467</v>
      </c>
      <c r="F63" s="16">
        <v>0.50400670169548234</v>
      </c>
      <c r="G63" s="16">
        <v>0.5381841132991062</v>
      </c>
      <c r="H63" s="16">
        <v>0.53493467009159579</v>
      </c>
      <c r="I63" s="16">
        <v>0.54787490478383305</v>
      </c>
      <c r="J63" s="16">
        <v>0.54505403819711795</v>
      </c>
      <c r="K63" s="16">
        <v>0.55519538538501545</v>
      </c>
      <c r="L63" s="52">
        <f t="shared" si="11"/>
        <v>0.53858342908180268</v>
      </c>
      <c r="N63" s="2" t="str">
        <f t="shared" si="12"/>
        <v>Connecticut Light and Power Company</v>
      </c>
      <c r="O63" s="1" t="str">
        <f t="shared" si="12"/>
        <v>ES</v>
      </c>
      <c r="P63" s="16">
        <v>0.4551195933186637</v>
      </c>
      <c r="Q63" s="16">
        <v>0.46146278747906527</v>
      </c>
      <c r="R63" s="16">
        <v>0.49599329830451766</v>
      </c>
      <c r="S63" s="16">
        <v>0.46181588670089374</v>
      </c>
      <c r="T63" s="16">
        <v>0.46506532990840421</v>
      </c>
      <c r="U63" s="16">
        <v>0.45212509521616695</v>
      </c>
      <c r="V63" s="16">
        <v>0.4549459618028821</v>
      </c>
      <c r="W63" s="16">
        <v>0.44480461461498455</v>
      </c>
      <c r="X63" s="52">
        <f t="shared" si="13"/>
        <v>0.46141657091819727</v>
      </c>
      <c r="Y63" s="314"/>
      <c r="Z63" s="314"/>
      <c r="AA63" s="314"/>
    </row>
    <row r="64" spans="2:27" x14ac:dyDescent="0.2">
      <c r="B64" s="2" t="s">
        <v>1185</v>
      </c>
      <c r="C64" s="1" t="s">
        <v>52</v>
      </c>
      <c r="D64" s="16">
        <v>0.55500548832251995</v>
      </c>
      <c r="E64" s="16">
        <v>0.5450680581549483</v>
      </c>
      <c r="F64" s="16">
        <v>0.53827979642782564</v>
      </c>
      <c r="G64" s="16">
        <v>0.5384572838280387</v>
      </c>
      <c r="H64" s="16">
        <v>0.52871593734957345</v>
      </c>
      <c r="I64" s="16">
        <v>0.52733832384902968</v>
      </c>
      <c r="J64" s="16">
        <v>0.56273381472494532</v>
      </c>
      <c r="K64" s="16">
        <v>0.5609805721950184</v>
      </c>
      <c r="L64" s="52">
        <f t="shared" si="11"/>
        <v>0.54457240935648743</v>
      </c>
      <c r="N64" s="2" t="str">
        <f t="shared" si="12"/>
        <v>NSTAR Electric Company</v>
      </c>
      <c r="O64" s="1" t="str">
        <f t="shared" si="12"/>
        <v>ES</v>
      </c>
      <c r="P64" s="16">
        <v>0.44499451167748011</v>
      </c>
      <c r="Q64" s="16">
        <v>0.4549319418450517</v>
      </c>
      <c r="R64" s="16">
        <v>0.4617202035721743</v>
      </c>
      <c r="S64" s="16">
        <v>0.46154271617196124</v>
      </c>
      <c r="T64" s="16">
        <v>0.47128406265042655</v>
      </c>
      <c r="U64" s="16">
        <v>0.47266167615097038</v>
      </c>
      <c r="V64" s="16">
        <v>0.43726618527505468</v>
      </c>
      <c r="W64" s="16">
        <v>0.4390194278049816</v>
      </c>
      <c r="X64" s="52">
        <f t="shared" si="13"/>
        <v>0.45542759064351257</v>
      </c>
      <c r="Y64" s="314"/>
      <c r="Z64" s="314"/>
      <c r="AA64" s="314"/>
    </row>
    <row r="65" spans="2:27" x14ac:dyDescent="0.2">
      <c r="B65" s="2" t="s">
        <v>1187</v>
      </c>
      <c r="C65" s="1" t="s">
        <v>52</v>
      </c>
      <c r="D65" s="16">
        <v>0.4311049954896457</v>
      </c>
      <c r="E65" s="16">
        <v>0.42058297885920881</v>
      </c>
      <c r="F65" s="16">
        <v>0.57930399439570779</v>
      </c>
      <c r="G65" s="16">
        <v>0.57299576805998964</v>
      </c>
      <c r="H65" s="16">
        <v>0.59259969876140828</v>
      </c>
      <c r="I65" s="16">
        <v>0.57054385974011257</v>
      </c>
      <c r="J65" s="16">
        <v>0.56595222887815766</v>
      </c>
      <c r="K65" s="16">
        <v>0.56310192160326267</v>
      </c>
      <c r="L65" s="52">
        <f t="shared" si="11"/>
        <v>0.53702318072343669</v>
      </c>
      <c r="N65" s="2" t="str">
        <f t="shared" si="12"/>
        <v>Public Service Company of New Hampshire</v>
      </c>
      <c r="O65" s="1" t="str">
        <f t="shared" si="12"/>
        <v>ES</v>
      </c>
      <c r="P65" s="16">
        <v>0.56889500451035424</v>
      </c>
      <c r="Q65" s="16">
        <v>0.57941702114079119</v>
      </c>
      <c r="R65" s="16">
        <v>0.42069600560429216</v>
      </c>
      <c r="S65" s="16">
        <v>0.42700423194001041</v>
      </c>
      <c r="T65" s="16">
        <v>0.40740030123859172</v>
      </c>
      <c r="U65" s="16">
        <v>0.42945614025988743</v>
      </c>
      <c r="V65" s="16">
        <v>0.43404777112184234</v>
      </c>
      <c r="W65" s="16">
        <v>0.43689807839673739</v>
      </c>
      <c r="X65" s="52">
        <f t="shared" si="13"/>
        <v>0.46297681927656337</v>
      </c>
      <c r="Y65" s="314"/>
      <c r="Z65" s="314"/>
      <c r="AA65" s="314"/>
    </row>
    <row r="66" spans="2:27" x14ac:dyDescent="0.2">
      <c r="B66" s="2" t="s">
        <v>1186</v>
      </c>
      <c r="C66" s="1" t="s">
        <v>52</v>
      </c>
      <c r="D66" s="16" t="s">
        <v>28</v>
      </c>
      <c r="E66" s="16" t="s">
        <v>28</v>
      </c>
      <c r="F66" s="16" t="s">
        <v>28</v>
      </c>
      <c r="G66" s="16">
        <v>0.53431756148284837</v>
      </c>
      <c r="H66" s="16">
        <v>0.55018046771281504</v>
      </c>
      <c r="I66" s="16">
        <v>0.54714189943422398</v>
      </c>
      <c r="J66" s="16">
        <v>0.5440495717441699</v>
      </c>
      <c r="K66" s="16">
        <v>0.54106344846379406</v>
      </c>
      <c r="L66" s="52">
        <f t="shared" si="11"/>
        <v>0.54335058976757034</v>
      </c>
      <c r="N66" s="2" t="str">
        <f t="shared" si="12"/>
        <v>Western Massachusetts Electric Company</v>
      </c>
      <c r="O66" s="1" t="str">
        <f t="shared" si="12"/>
        <v>ES</v>
      </c>
      <c r="P66" s="16" t="s">
        <v>28</v>
      </c>
      <c r="Q66" s="16" t="s">
        <v>28</v>
      </c>
      <c r="R66" s="16" t="s">
        <v>28</v>
      </c>
      <c r="S66" s="16">
        <v>0.46568243851715163</v>
      </c>
      <c r="T66" s="16">
        <v>0.44981953228718496</v>
      </c>
      <c r="U66" s="16">
        <v>0.45285810056577602</v>
      </c>
      <c r="V66" s="16">
        <v>0.4559504282558301</v>
      </c>
      <c r="W66" s="16">
        <v>0.45893655153620599</v>
      </c>
      <c r="X66" s="52">
        <f t="shared" si="13"/>
        <v>0.45664941023242972</v>
      </c>
      <c r="Y66" s="314"/>
      <c r="Z66" s="314"/>
      <c r="AA66" s="314"/>
    </row>
    <row r="67" spans="2:27" x14ac:dyDescent="0.2">
      <c r="B67" s="2" t="s">
        <v>1188</v>
      </c>
      <c r="C67" s="1" t="s">
        <v>54</v>
      </c>
      <c r="D67" s="16" t="s">
        <v>28</v>
      </c>
      <c r="E67" s="16" t="s">
        <v>28</v>
      </c>
      <c r="F67" s="16" t="s">
        <v>28</v>
      </c>
      <c r="G67" s="16" t="s">
        <v>28</v>
      </c>
      <c r="H67" s="16" t="s">
        <v>28</v>
      </c>
      <c r="I67" s="16" t="s">
        <v>28</v>
      </c>
      <c r="J67" s="16" t="s">
        <v>28</v>
      </c>
      <c r="K67" s="16" t="s">
        <v>28</v>
      </c>
      <c r="L67" s="16" t="s">
        <v>28</v>
      </c>
      <c r="N67" s="2" t="str">
        <f t="shared" si="12"/>
        <v>Hawaii Electric Light Company, Inc.</v>
      </c>
      <c r="O67" s="1" t="str">
        <f t="shared" si="12"/>
        <v>HE</v>
      </c>
      <c r="P67" s="16" t="s">
        <v>28</v>
      </c>
      <c r="Q67" s="16" t="s">
        <v>28</v>
      </c>
      <c r="R67" s="16" t="s">
        <v>28</v>
      </c>
      <c r="S67" s="16" t="s">
        <v>28</v>
      </c>
      <c r="T67" s="16" t="s">
        <v>28</v>
      </c>
      <c r="U67" s="16" t="s">
        <v>28</v>
      </c>
      <c r="V67" s="16" t="s">
        <v>28</v>
      </c>
      <c r="W67" s="16" t="s">
        <v>28</v>
      </c>
      <c r="X67" s="16" t="s">
        <v>28</v>
      </c>
      <c r="Y67" s="314"/>
      <c r="Z67" s="314"/>
      <c r="AA67" s="314"/>
    </row>
    <row r="68" spans="2:27" x14ac:dyDescent="0.2">
      <c r="B68" s="2" t="s">
        <v>1189</v>
      </c>
      <c r="C68" s="1" t="s">
        <v>54</v>
      </c>
      <c r="D68" s="16">
        <v>0.5609312315220274</v>
      </c>
      <c r="E68" s="16">
        <v>0.55779769879434993</v>
      </c>
      <c r="F68" s="16">
        <v>0.57437658252845047</v>
      </c>
      <c r="G68" s="16">
        <v>0.57418159776610711</v>
      </c>
      <c r="H68" s="16">
        <v>0.58108338220502731</v>
      </c>
      <c r="I68" s="16">
        <v>0.57761154975849927</v>
      </c>
      <c r="J68" s="16">
        <v>0.57710059513121104</v>
      </c>
      <c r="K68" s="16">
        <v>0.57703106109013425</v>
      </c>
      <c r="L68" s="52">
        <f t="shared" si="11"/>
        <v>0.57251421234947586</v>
      </c>
      <c r="N68" s="2" t="str">
        <f t="shared" si="12"/>
        <v>Hawaiian Electric Company, Inc.</v>
      </c>
      <c r="O68" s="1" t="str">
        <f t="shared" si="12"/>
        <v>HE</v>
      </c>
      <c r="P68" s="16">
        <v>0.4390687684779726</v>
      </c>
      <c r="Q68" s="16">
        <v>0.44220230120565013</v>
      </c>
      <c r="R68" s="16">
        <v>0.42562341747154947</v>
      </c>
      <c r="S68" s="16">
        <v>0.42581840223389289</v>
      </c>
      <c r="T68" s="16">
        <v>0.41891661779497269</v>
      </c>
      <c r="U68" s="16">
        <v>0.42238845024150073</v>
      </c>
      <c r="V68" s="16">
        <v>0.42289940486878896</v>
      </c>
      <c r="W68" s="16">
        <v>0.42296893890986575</v>
      </c>
      <c r="X68" s="52">
        <f t="shared" si="13"/>
        <v>0.42748578765052414</v>
      </c>
      <c r="Y68" s="314"/>
      <c r="Z68" s="314"/>
      <c r="AA68" s="314"/>
    </row>
    <row r="69" spans="2:27" x14ac:dyDescent="0.2">
      <c r="B69" s="2" t="s">
        <v>1190</v>
      </c>
      <c r="C69" s="1" t="s">
        <v>54</v>
      </c>
      <c r="D69" s="16" t="s">
        <v>28</v>
      </c>
      <c r="E69" s="16" t="s">
        <v>28</v>
      </c>
      <c r="F69" s="16" t="s">
        <v>28</v>
      </c>
      <c r="G69" s="16" t="s">
        <v>28</v>
      </c>
      <c r="H69" s="16" t="s">
        <v>28</v>
      </c>
      <c r="I69" s="16" t="s">
        <v>28</v>
      </c>
      <c r="J69" s="16" t="s">
        <v>28</v>
      </c>
      <c r="K69" s="16" t="s">
        <v>28</v>
      </c>
      <c r="L69" s="16" t="s">
        <v>28</v>
      </c>
      <c r="N69" s="2" t="str">
        <f t="shared" si="12"/>
        <v>Maui Electric Company, Limited</v>
      </c>
      <c r="O69" s="1" t="str">
        <f t="shared" si="12"/>
        <v>HE</v>
      </c>
      <c r="P69" s="16" t="s">
        <v>28</v>
      </c>
      <c r="Q69" s="16" t="s">
        <v>28</v>
      </c>
      <c r="R69" s="16" t="s">
        <v>28</v>
      </c>
      <c r="S69" s="16" t="s">
        <v>28</v>
      </c>
      <c r="T69" s="16" t="s">
        <v>28</v>
      </c>
      <c r="U69" s="16" t="s">
        <v>28</v>
      </c>
      <c r="V69" s="16" t="s">
        <v>28</v>
      </c>
      <c r="W69" s="16" t="s">
        <v>28</v>
      </c>
      <c r="X69" s="16" t="s">
        <v>28</v>
      </c>
      <c r="Y69" s="314"/>
      <c r="Z69" s="314"/>
      <c r="AA69" s="314"/>
    </row>
    <row r="70" spans="2:27" x14ac:dyDescent="0.2">
      <c r="B70" s="171" t="s">
        <v>1193</v>
      </c>
      <c r="C70" s="170" t="s">
        <v>56</v>
      </c>
      <c r="D70" s="16">
        <v>0.64777393936136507</v>
      </c>
      <c r="E70" s="16">
        <v>0.60837478408498624</v>
      </c>
      <c r="F70" s="16">
        <v>0.61225473517541695</v>
      </c>
      <c r="G70" s="16">
        <v>0.59933548252557023</v>
      </c>
      <c r="H70" s="16">
        <v>0.63002252950027948</v>
      </c>
      <c r="I70" s="16">
        <v>0.62779159963514486</v>
      </c>
      <c r="J70" s="16">
        <v>0.62050756676515295</v>
      </c>
      <c r="K70" s="16">
        <v>0.62648762893590204</v>
      </c>
      <c r="L70" s="52">
        <f t="shared" si="11"/>
        <v>0.62156853324797723</v>
      </c>
      <c r="N70" s="2" t="str">
        <f t="shared" si="12"/>
        <v>Florida Power &amp; Light Company</v>
      </c>
      <c r="O70" s="1" t="str">
        <f t="shared" si="12"/>
        <v>NEE</v>
      </c>
      <c r="P70" s="16">
        <v>0.35222606063863493</v>
      </c>
      <c r="Q70" s="16">
        <v>0.39162521591501376</v>
      </c>
      <c r="R70" s="16">
        <v>0.38774526482458305</v>
      </c>
      <c r="S70" s="16">
        <v>0.40066451747442983</v>
      </c>
      <c r="T70" s="16">
        <v>0.36997747049972052</v>
      </c>
      <c r="U70" s="16">
        <v>0.37220840036485514</v>
      </c>
      <c r="V70" s="16">
        <v>0.37949243323484699</v>
      </c>
      <c r="W70" s="16">
        <v>0.37351237106409796</v>
      </c>
      <c r="X70" s="52">
        <f t="shared" si="13"/>
        <v>0.37843146675202277</v>
      </c>
      <c r="Y70" s="314"/>
      <c r="Z70" s="314"/>
      <c r="AA70" s="314"/>
    </row>
    <row r="71" spans="2:27" x14ac:dyDescent="0.2">
      <c r="B71" s="2" t="s">
        <v>57</v>
      </c>
      <c r="C71" s="1" t="s">
        <v>58</v>
      </c>
      <c r="D71" s="16">
        <v>0.48361514731820016</v>
      </c>
      <c r="E71" s="16">
        <v>0.48406960775110908</v>
      </c>
      <c r="F71" s="16">
        <v>0.47476683110526496</v>
      </c>
      <c r="G71" s="16">
        <v>0.49892915148637434</v>
      </c>
      <c r="H71" s="16">
        <v>0.48861781667922516</v>
      </c>
      <c r="I71" s="16">
        <v>0.48605899229205696</v>
      </c>
      <c r="J71" s="16">
        <v>0.48614841485894988</v>
      </c>
      <c r="K71" s="16">
        <v>0.48128344088491382</v>
      </c>
      <c r="L71" s="52">
        <f t="shared" si="11"/>
        <v>0.48543617529701177</v>
      </c>
      <c r="N71" s="2" t="str">
        <f t="shared" si="12"/>
        <v>NorthWestern Corporation</v>
      </c>
      <c r="O71" s="1" t="str">
        <f t="shared" si="12"/>
        <v>NWE</v>
      </c>
      <c r="P71" s="16">
        <v>0.5163848526817999</v>
      </c>
      <c r="Q71" s="16">
        <v>0.51593039224889092</v>
      </c>
      <c r="R71" s="16">
        <v>0.52523316889473504</v>
      </c>
      <c r="S71" s="16">
        <v>0.5010708485136256</v>
      </c>
      <c r="T71" s="16">
        <v>0.51138218332077479</v>
      </c>
      <c r="U71" s="16">
        <v>0.51394100770794304</v>
      </c>
      <c r="V71" s="16">
        <v>0.51385158514105012</v>
      </c>
      <c r="W71" s="16">
        <v>0.51871655911508618</v>
      </c>
      <c r="X71" s="52">
        <f t="shared" si="13"/>
        <v>0.51456382470298823</v>
      </c>
      <c r="Y71" s="314"/>
      <c r="Z71" s="314"/>
      <c r="AA71" s="314"/>
    </row>
    <row r="72" spans="2:27" x14ac:dyDescent="0.2">
      <c r="B72" s="2" t="s">
        <v>1194</v>
      </c>
      <c r="C72" s="1" t="s">
        <v>60</v>
      </c>
      <c r="D72" s="16">
        <v>0.53048487850486115</v>
      </c>
      <c r="E72" s="16">
        <v>0.54247083074805136</v>
      </c>
      <c r="F72" s="16">
        <v>0.53593435783718402</v>
      </c>
      <c r="G72" s="16">
        <v>0.53362908849677226</v>
      </c>
      <c r="H72" s="16">
        <v>0.5305347385844591</v>
      </c>
      <c r="I72" s="16">
        <v>0.52753433343298495</v>
      </c>
      <c r="J72" s="16">
        <v>0.53461013202279206</v>
      </c>
      <c r="K72" s="16">
        <v>0.56089626452963182</v>
      </c>
      <c r="L72" s="52">
        <f t="shared" si="11"/>
        <v>0.53701182801959213</v>
      </c>
      <c r="N72" s="2" t="str">
        <f t="shared" si="12"/>
        <v>Oklahoma Gas and Electric Company</v>
      </c>
      <c r="O72" s="1" t="str">
        <f t="shared" si="12"/>
        <v>OGE</v>
      </c>
      <c r="P72" s="16">
        <v>0.46951512149513885</v>
      </c>
      <c r="Q72" s="16">
        <v>0.45752916925194864</v>
      </c>
      <c r="R72" s="16">
        <v>0.46406564216281598</v>
      </c>
      <c r="S72" s="16">
        <v>0.46637091150322768</v>
      </c>
      <c r="T72" s="16">
        <v>0.4694652614155409</v>
      </c>
      <c r="U72" s="16">
        <v>0.47246566656701505</v>
      </c>
      <c r="V72" s="16">
        <v>0.46538986797720794</v>
      </c>
      <c r="W72" s="16">
        <v>0.43910373547036813</v>
      </c>
      <c r="X72" s="52">
        <f t="shared" si="13"/>
        <v>0.46298817198040787</v>
      </c>
      <c r="Y72" s="314"/>
      <c r="Z72" s="314"/>
      <c r="AA72" s="314"/>
    </row>
    <row r="73" spans="2:27" x14ac:dyDescent="0.2">
      <c r="B73" s="2" t="s">
        <v>1195</v>
      </c>
      <c r="C73" s="1" t="s">
        <v>62</v>
      </c>
      <c r="D73" s="16">
        <v>0.53489639635547725</v>
      </c>
      <c r="E73" s="16">
        <v>0.53106725246624742</v>
      </c>
      <c r="F73" s="16">
        <v>0.52672129707944515</v>
      </c>
      <c r="G73" s="16">
        <v>0.57342301113655847</v>
      </c>
      <c r="H73" s="16">
        <v>0.57240030803783637</v>
      </c>
      <c r="I73" s="16">
        <v>0.55309304803596948</v>
      </c>
      <c r="J73" s="16">
        <v>0.55306477045607483</v>
      </c>
      <c r="K73" s="16">
        <v>0.55057677663564808</v>
      </c>
      <c r="L73" s="52">
        <f t="shared" si="11"/>
        <v>0.54940535752540709</v>
      </c>
      <c r="N73" s="2" t="str">
        <f t="shared" si="12"/>
        <v>Otter Tail Power Company</v>
      </c>
      <c r="O73" s="1" t="str">
        <f t="shared" si="12"/>
        <v>OTTR</v>
      </c>
      <c r="P73" s="16">
        <v>0.46510360364452275</v>
      </c>
      <c r="Q73" s="16">
        <v>0.46893274753375264</v>
      </c>
      <c r="R73" s="16">
        <v>0.47327870292055479</v>
      </c>
      <c r="S73" s="16">
        <v>0.42657698886344153</v>
      </c>
      <c r="T73" s="16">
        <v>0.42759969196216363</v>
      </c>
      <c r="U73" s="16">
        <v>0.44690695196403052</v>
      </c>
      <c r="V73" s="16">
        <v>0.44693522954392517</v>
      </c>
      <c r="W73" s="16">
        <v>0.44942322336435198</v>
      </c>
      <c r="X73" s="52">
        <f t="shared" si="13"/>
        <v>0.45059464247459285</v>
      </c>
      <c r="Y73" s="314"/>
      <c r="Z73" s="314"/>
      <c r="AA73" s="314"/>
    </row>
    <row r="74" spans="2:27" x14ac:dyDescent="0.2">
      <c r="B74" s="2" t="s">
        <v>1197</v>
      </c>
      <c r="C74" s="1" t="s">
        <v>64</v>
      </c>
      <c r="D74" s="16">
        <v>0.53681865870605439</v>
      </c>
      <c r="E74" s="16">
        <v>0.53708218374079175</v>
      </c>
      <c r="F74" s="16">
        <v>0.53180454473086247</v>
      </c>
      <c r="G74" s="16">
        <v>0.53138444251440253</v>
      </c>
      <c r="H74" s="16">
        <v>0.53047091567042826</v>
      </c>
      <c r="I74" s="16">
        <v>0.53315385193452114</v>
      </c>
      <c r="J74" s="16">
        <v>0.53204269603867482</v>
      </c>
      <c r="K74" s="16">
        <v>0.54591377582979916</v>
      </c>
      <c r="L74" s="52">
        <f t="shared" si="11"/>
        <v>0.53483388364569184</v>
      </c>
      <c r="N74" s="2" t="str">
        <f t="shared" si="12"/>
        <v>Arizona Public Service Company</v>
      </c>
      <c r="O74" s="1" t="str">
        <f t="shared" si="12"/>
        <v>PNW</v>
      </c>
      <c r="P74" s="16">
        <v>0.46318134129394556</v>
      </c>
      <c r="Q74" s="16">
        <v>0.46291781625920825</v>
      </c>
      <c r="R74" s="16">
        <v>0.46819545526913753</v>
      </c>
      <c r="S74" s="16">
        <v>0.46861555748559747</v>
      </c>
      <c r="T74" s="16">
        <v>0.4695290843295718</v>
      </c>
      <c r="U74" s="16">
        <v>0.46684614806547892</v>
      </c>
      <c r="V74" s="16">
        <v>0.46795730396132512</v>
      </c>
      <c r="W74" s="16">
        <v>0.45408622417020089</v>
      </c>
      <c r="X74" s="52">
        <f t="shared" si="13"/>
        <v>0.46516611635430821</v>
      </c>
      <c r="Y74" s="314"/>
      <c r="Z74" s="314"/>
      <c r="AA74" s="314"/>
    </row>
    <row r="75" spans="2:27" x14ac:dyDescent="0.2">
      <c r="B75" s="2" t="s">
        <v>1196</v>
      </c>
      <c r="C75" s="1" t="s">
        <v>66</v>
      </c>
      <c r="D75" s="16">
        <v>0.48006072046543197</v>
      </c>
      <c r="E75" s="16">
        <v>0.46681548319426608</v>
      </c>
      <c r="F75" s="16">
        <v>0.46202242530283333</v>
      </c>
      <c r="G75" s="16">
        <v>0.46063491868126744</v>
      </c>
      <c r="H75" s="16">
        <v>0.47584118786151186</v>
      </c>
      <c r="I75" s="16">
        <v>0.46888843915194001</v>
      </c>
      <c r="J75" s="16">
        <v>0.46375302425946513</v>
      </c>
      <c r="K75" s="16">
        <v>0.46012751768427357</v>
      </c>
      <c r="L75" s="52">
        <f t="shared" si="11"/>
        <v>0.46726796457512365</v>
      </c>
      <c r="N75" s="2" t="str">
        <f t="shared" si="12"/>
        <v>Public Service Company of New Mexico</v>
      </c>
      <c r="O75" s="1" t="str">
        <f t="shared" si="12"/>
        <v>PNM</v>
      </c>
      <c r="P75" s="16">
        <v>0.51993927953456798</v>
      </c>
      <c r="Q75" s="16">
        <v>0.53318451680573387</v>
      </c>
      <c r="R75" s="16">
        <v>0.53797757469716667</v>
      </c>
      <c r="S75" s="16">
        <v>0.53936508131873262</v>
      </c>
      <c r="T75" s="16">
        <v>0.52415881213848814</v>
      </c>
      <c r="U75" s="16">
        <v>0.53111156084805999</v>
      </c>
      <c r="V75" s="16">
        <v>0.53624697574053493</v>
      </c>
      <c r="W75" s="16">
        <v>0.53987248231572638</v>
      </c>
      <c r="X75" s="52">
        <f t="shared" si="13"/>
        <v>0.53273203542487635</v>
      </c>
      <c r="Y75" s="314"/>
      <c r="Z75" s="314"/>
      <c r="AA75" s="314"/>
    </row>
    <row r="76" spans="2:27" x14ac:dyDescent="0.2">
      <c r="B76" s="2" t="s">
        <v>67</v>
      </c>
      <c r="C76" s="1" t="s">
        <v>68</v>
      </c>
      <c r="D76" s="16">
        <v>0.50510644608824085</v>
      </c>
      <c r="E76" s="16">
        <v>0.50293459574446375</v>
      </c>
      <c r="F76" s="16">
        <v>0.5013507435998581</v>
      </c>
      <c r="G76" s="16">
        <v>0.49796728698453629</v>
      </c>
      <c r="H76" s="16">
        <v>0.50170930299826089</v>
      </c>
      <c r="I76" s="16">
        <v>0.50322725900239562</v>
      </c>
      <c r="J76" s="16">
        <v>0.50276618472907653</v>
      </c>
      <c r="K76" s="16">
        <v>0.49819353165730029</v>
      </c>
      <c r="L76" s="52">
        <f t="shared" si="11"/>
        <v>0.50165691885051655</v>
      </c>
      <c r="N76" s="2" t="str">
        <f t="shared" si="12"/>
        <v>Portland General Electric Company</v>
      </c>
      <c r="O76" s="1" t="str">
        <f t="shared" si="12"/>
        <v>POR</v>
      </c>
      <c r="P76" s="16">
        <v>0.49489355391175915</v>
      </c>
      <c r="Q76" s="16">
        <v>0.49706540425553625</v>
      </c>
      <c r="R76" s="16">
        <v>0.4986492564001419</v>
      </c>
      <c r="S76" s="16">
        <v>0.50203271301546371</v>
      </c>
      <c r="T76" s="16">
        <v>0.49829069700173906</v>
      </c>
      <c r="U76" s="16">
        <v>0.49677274099760443</v>
      </c>
      <c r="V76" s="16">
        <v>0.49723381527092353</v>
      </c>
      <c r="W76" s="16">
        <v>0.50180646834269971</v>
      </c>
      <c r="X76" s="52">
        <f t="shared" si="13"/>
        <v>0.49834308114948345</v>
      </c>
      <c r="Y76" s="314"/>
      <c r="Z76" s="314"/>
      <c r="AA76" s="314"/>
    </row>
    <row r="77" spans="2:27" x14ac:dyDescent="0.2">
      <c r="B77" s="2" t="s">
        <v>1198</v>
      </c>
      <c r="C77" s="1" t="s">
        <v>70</v>
      </c>
      <c r="D77" s="16">
        <v>0.48128370329498593</v>
      </c>
      <c r="E77" s="16">
        <v>0.47513958559689584</v>
      </c>
      <c r="F77" s="16">
        <v>0.48857348390696181</v>
      </c>
      <c r="G77" s="16">
        <v>0.47071356867128233</v>
      </c>
      <c r="H77" s="16">
        <v>0.47931614711910991</v>
      </c>
      <c r="I77" s="16">
        <v>0.47248631829037901</v>
      </c>
      <c r="J77" s="16">
        <v>0.47003938654975991</v>
      </c>
      <c r="K77" s="16">
        <v>0.46972718845087613</v>
      </c>
      <c r="L77" s="52">
        <f t="shared" si="11"/>
        <v>0.47590992273503135</v>
      </c>
      <c r="N77" s="2" t="str">
        <f t="shared" si="12"/>
        <v>Alabama Power Company</v>
      </c>
      <c r="O77" s="1" t="str">
        <f t="shared" si="12"/>
        <v>SO</v>
      </c>
      <c r="P77" s="16">
        <v>0.51871629670501407</v>
      </c>
      <c r="Q77" s="16">
        <v>0.52486041440310416</v>
      </c>
      <c r="R77" s="16">
        <v>0.51142651609303824</v>
      </c>
      <c r="S77" s="16">
        <v>0.52928643132871767</v>
      </c>
      <c r="T77" s="16">
        <v>0.52068385288089003</v>
      </c>
      <c r="U77" s="16">
        <v>0.52751368170962099</v>
      </c>
      <c r="V77" s="16">
        <v>0.52996061345024004</v>
      </c>
      <c r="W77" s="16">
        <v>0.53027281154912387</v>
      </c>
      <c r="X77" s="52">
        <f t="shared" si="13"/>
        <v>0.52409007726496859</v>
      </c>
      <c r="Y77" s="314"/>
      <c r="Z77" s="314"/>
      <c r="AA77" s="314"/>
    </row>
    <row r="78" spans="2:27" x14ac:dyDescent="0.2">
      <c r="B78" s="2" t="s">
        <v>1200</v>
      </c>
      <c r="C78" s="1" t="s">
        <v>70</v>
      </c>
      <c r="D78" s="16">
        <v>0.57265196780518191</v>
      </c>
      <c r="E78" s="16">
        <v>0.54969001565846742</v>
      </c>
      <c r="F78" s="16">
        <v>0.5380526262907247</v>
      </c>
      <c r="G78" s="16">
        <v>0.50064261478887617</v>
      </c>
      <c r="H78" s="16">
        <v>0.50346820382511648</v>
      </c>
      <c r="I78" s="16">
        <v>0.51547823362802681</v>
      </c>
      <c r="J78" s="16">
        <v>0.50355587254593992</v>
      </c>
      <c r="K78" s="16">
        <v>0.51634029589563102</v>
      </c>
      <c r="L78" s="52">
        <f t="shared" si="11"/>
        <v>0.52498497880474559</v>
      </c>
      <c r="N78" s="2" t="str">
        <f t="shared" si="12"/>
        <v>Georgia Power Company</v>
      </c>
      <c r="O78" s="1" t="str">
        <f t="shared" si="12"/>
        <v>SO</v>
      </c>
      <c r="P78" s="16">
        <v>0.42734803219481804</v>
      </c>
      <c r="Q78" s="16">
        <v>0.45030998434153252</v>
      </c>
      <c r="R78" s="16">
        <v>0.46194737370927536</v>
      </c>
      <c r="S78" s="16">
        <v>0.49935738521112383</v>
      </c>
      <c r="T78" s="16">
        <v>0.49653179617488352</v>
      </c>
      <c r="U78" s="16">
        <v>0.48452176637197314</v>
      </c>
      <c r="V78" s="16">
        <v>0.49644412745406014</v>
      </c>
      <c r="W78" s="16">
        <v>0.48365970410436904</v>
      </c>
      <c r="X78" s="52">
        <f t="shared" si="13"/>
        <v>0.47501502119525441</v>
      </c>
      <c r="Y78" s="314"/>
      <c r="Z78" s="314"/>
      <c r="AA78" s="314"/>
    </row>
    <row r="79" spans="2:27" x14ac:dyDescent="0.2">
      <c r="B79" s="2" t="s">
        <v>1199</v>
      </c>
      <c r="C79" s="311" t="s">
        <v>70</v>
      </c>
      <c r="D79" s="16">
        <v>0.55342935393253578</v>
      </c>
      <c r="E79" s="16">
        <v>0.5489627075081529</v>
      </c>
      <c r="F79" s="16">
        <v>0.54270253158295656</v>
      </c>
      <c r="G79" s="16">
        <v>0.54188107403979069</v>
      </c>
      <c r="H79" s="16">
        <v>0.54970191273383273</v>
      </c>
      <c r="I79" s="16">
        <v>0.54413744883990411</v>
      </c>
      <c r="J79" s="16">
        <v>0.58797331869405067</v>
      </c>
      <c r="K79" s="16">
        <v>0.56163677617323837</v>
      </c>
      <c r="L79" s="52">
        <f>AVERAGE(D79:K79)</f>
        <v>0.55380314043805767</v>
      </c>
      <c r="N79" s="2" t="str">
        <f>B79</f>
        <v>Gulf Power Company</v>
      </c>
      <c r="O79" s="1" t="str">
        <f>C79</f>
        <v>SO</v>
      </c>
      <c r="P79" s="16">
        <v>0.44657064606746416</v>
      </c>
      <c r="Q79" s="16">
        <v>0.4510372924918471</v>
      </c>
      <c r="R79" s="16">
        <v>0.45729746841704344</v>
      </c>
      <c r="S79" s="16">
        <v>0.45811892596020937</v>
      </c>
      <c r="T79" s="16">
        <v>0.45029808726616732</v>
      </c>
      <c r="U79" s="16">
        <v>0.45586255116009589</v>
      </c>
      <c r="V79" s="16">
        <v>0.41202668130594938</v>
      </c>
      <c r="W79" s="16">
        <v>0.43836322382676163</v>
      </c>
      <c r="X79" s="52">
        <f>AVERAGE(P79:W79)</f>
        <v>0.44619685956194233</v>
      </c>
      <c r="Y79" s="314"/>
      <c r="Z79" s="314"/>
      <c r="AA79" s="314"/>
    </row>
    <row r="80" spans="2:27" x14ac:dyDescent="0.2">
      <c r="B80" s="2" t="s">
        <v>1201</v>
      </c>
      <c r="C80" s="1" t="s">
        <v>70</v>
      </c>
      <c r="D80" s="16">
        <v>0.45275460701617737</v>
      </c>
      <c r="E80" s="16">
        <v>0.43866085241937536</v>
      </c>
      <c r="F80" s="16">
        <v>0.42995647144566956</v>
      </c>
      <c r="G80" s="16">
        <v>0.3933769625389914</v>
      </c>
      <c r="H80" s="16">
        <v>0.4731614886369595</v>
      </c>
      <c r="I80" s="16">
        <v>0.46759276369742259</v>
      </c>
      <c r="J80" s="16">
        <v>0.49497091809950089</v>
      </c>
      <c r="K80" s="16">
        <v>0.49621822094643142</v>
      </c>
      <c r="L80" s="52">
        <f t="shared" si="11"/>
        <v>0.45583653560006598</v>
      </c>
      <c r="N80" s="2" t="str">
        <f t="shared" si="12"/>
        <v>Mississippi Power Company</v>
      </c>
      <c r="O80" s="1" t="str">
        <f t="shared" si="12"/>
        <v>SO</v>
      </c>
      <c r="P80" s="16">
        <v>0.54724539298382258</v>
      </c>
      <c r="Q80" s="16">
        <v>0.56133914758062464</v>
      </c>
      <c r="R80" s="16">
        <v>0.57004352855433049</v>
      </c>
      <c r="S80" s="16">
        <v>0.60662303746100865</v>
      </c>
      <c r="T80" s="16">
        <v>0.5268385113630405</v>
      </c>
      <c r="U80" s="16">
        <v>0.53240723630257747</v>
      </c>
      <c r="V80" s="16">
        <v>0.50502908190049911</v>
      </c>
      <c r="W80" s="16">
        <v>0.50378177905356858</v>
      </c>
      <c r="X80" s="52">
        <f t="shared" si="13"/>
        <v>0.54416346439993402</v>
      </c>
      <c r="Y80" s="314"/>
      <c r="Z80" s="314"/>
      <c r="AA80" s="314"/>
    </row>
    <row r="81" spans="2:27" x14ac:dyDescent="0.2">
      <c r="B81" s="2" t="s">
        <v>1229</v>
      </c>
      <c r="C81" s="1" t="s">
        <v>72</v>
      </c>
      <c r="D81" s="16">
        <v>0.55075159258560424</v>
      </c>
      <c r="E81" s="16">
        <v>0.54532434288000653</v>
      </c>
      <c r="F81" s="16">
        <v>0.70042659253223405</v>
      </c>
      <c r="G81" s="16">
        <v>0.4984904562733829</v>
      </c>
      <c r="H81" s="16" t="s">
        <v>28</v>
      </c>
      <c r="I81" s="16" t="s">
        <v>28</v>
      </c>
      <c r="J81" s="16" t="s">
        <v>28</v>
      </c>
      <c r="K81" s="16" t="s">
        <v>28</v>
      </c>
      <c r="L81" s="52">
        <f t="shared" si="11"/>
        <v>0.57374824606780694</v>
      </c>
      <c r="N81" s="2" t="str">
        <f t="shared" si="12"/>
        <v>Upper Michigan Energy Resources Corporation</v>
      </c>
      <c r="O81" s="1" t="str">
        <f t="shared" si="12"/>
        <v>WEC</v>
      </c>
      <c r="P81" s="16">
        <v>0.4492484074143957</v>
      </c>
      <c r="Q81" s="16">
        <v>0.45467565711999347</v>
      </c>
      <c r="R81" s="16">
        <v>0.2995734074677659</v>
      </c>
      <c r="S81" s="16">
        <v>0.50150954372661716</v>
      </c>
      <c r="T81" s="16" t="s">
        <v>28</v>
      </c>
      <c r="U81" s="16" t="s">
        <v>28</v>
      </c>
      <c r="V81" s="16" t="s">
        <v>28</v>
      </c>
      <c r="W81" s="16" t="s">
        <v>28</v>
      </c>
      <c r="X81" s="52">
        <f t="shared" si="13"/>
        <v>0.42625175393219306</v>
      </c>
      <c r="Y81" s="314"/>
      <c r="Z81" s="314"/>
      <c r="AA81" s="314"/>
    </row>
    <row r="82" spans="2:27" x14ac:dyDescent="0.2">
      <c r="B82" s="2" t="s">
        <v>1202</v>
      </c>
      <c r="C82" s="1" t="s">
        <v>72</v>
      </c>
      <c r="D82" s="16">
        <v>0.59251400498592</v>
      </c>
      <c r="E82" s="16">
        <v>0.59094890204518435</v>
      </c>
      <c r="F82" s="16">
        <v>0.56465677651065904</v>
      </c>
      <c r="G82" s="16">
        <v>0.55937835516870582</v>
      </c>
      <c r="H82" s="16">
        <v>0.55967954404303277</v>
      </c>
      <c r="I82" s="16">
        <v>0.55756027910932493</v>
      </c>
      <c r="J82" s="16">
        <v>0.55581285849242523</v>
      </c>
      <c r="K82" s="16">
        <v>0.56741248769776953</v>
      </c>
      <c r="L82" s="52">
        <f t="shared" si="11"/>
        <v>0.56849540100662777</v>
      </c>
      <c r="N82" s="2" t="str">
        <f t="shared" si="12"/>
        <v>Wisconsin Electric Power Company</v>
      </c>
      <c r="O82" s="1" t="str">
        <f t="shared" si="12"/>
        <v>WEC</v>
      </c>
      <c r="P82" s="16">
        <v>0.40748599501408</v>
      </c>
      <c r="Q82" s="16">
        <v>0.40905109795481559</v>
      </c>
      <c r="R82" s="16">
        <v>0.43534322348934096</v>
      </c>
      <c r="S82" s="16">
        <v>0.44062164483129418</v>
      </c>
      <c r="T82" s="16">
        <v>0.44032045595696723</v>
      </c>
      <c r="U82" s="16">
        <v>0.44243972089067507</v>
      </c>
      <c r="V82" s="16">
        <v>0.44418714150757477</v>
      </c>
      <c r="W82" s="16">
        <v>0.43258751230223047</v>
      </c>
      <c r="X82" s="52">
        <f t="shared" si="13"/>
        <v>0.43150459899337223</v>
      </c>
      <c r="Y82" s="314"/>
      <c r="Z82" s="314"/>
      <c r="AA82" s="314"/>
    </row>
    <row r="83" spans="2:27" x14ac:dyDescent="0.2">
      <c r="B83" s="2" t="s">
        <v>1203</v>
      </c>
      <c r="C83" s="1" t="s">
        <v>72</v>
      </c>
      <c r="D83" s="16">
        <v>0.60588024292467946</v>
      </c>
      <c r="E83" s="16">
        <v>0.59533659101957681</v>
      </c>
      <c r="F83" s="16">
        <v>0.58350366744351312</v>
      </c>
      <c r="G83" s="16">
        <v>0.58060592729186733</v>
      </c>
      <c r="H83" s="16">
        <v>0.55681587193748572</v>
      </c>
      <c r="I83" s="16">
        <v>0.55211760740040661</v>
      </c>
      <c r="J83" s="16">
        <v>0.54015033549446501</v>
      </c>
      <c r="K83" s="16">
        <v>0.55777066534522446</v>
      </c>
      <c r="L83" s="52">
        <f t="shared" si="11"/>
        <v>0.5715226136071524</v>
      </c>
      <c r="N83" s="2" t="str">
        <f t="shared" si="12"/>
        <v>Wisconsin Public Service Corporation</v>
      </c>
      <c r="O83" s="1" t="str">
        <f t="shared" si="12"/>
        <v>WEC</v>
      </c>
      <c r="P83" s="16">
        <v>0.39411975707532054</v>
      </c>
      <c r="Q83" s="16">
        <v>0.40466340898042324</v>
      </c>
      <c r="R83" s="16">
        <v>0.41649633255648688</v>
      </c>
      <c r="S83" s="16">
        <v>0.41939407270813261</v>
      </c>
      <c r="T83" s="16">
        <v>0.44318412806251423</v>
      </c>
      <c r="U83" s="16">
        <v>0.44788239259959339</v>
      </c>
      <c r="V83" s="16">
        <v>0.45984966450553494</v>
      </c>
      <c r="W83" s="16">
        <v>0.44222933465477549</v>
      </c>
      <c r="X83" s="52">
        <f t="shared" si="13"/>
        <v>0.42847738639284771</v>
      </c>
      <c r="Y83" s="314"/>
      <c r="Z83" s="314"/>
      <c r="AA83" s="314"/>
    </row>
    <row r="84" spans="2:27" x14ac:dyDescent="0.2">
      <c r="B84" s="2" t="s">
        <v>1206</v>
      </c>
      <c r="C84" s="1" t="s">
        <v>74</v>
      </c>
      <c r="D84" s="16">
        <v>0.52635107168993367</v>
      </c>
      <c r="E84" s="16">
        <v>0.5260788676488436</v>
      </c>
      <c r="F84" s="16">
        <v>0.52591615296458516</v>
      </c>
      <c r="G84" s="16">
        <v>0.52378576857201209</v>
      </c>
      <c r="H84" s="16">
        <v>0.52220594269424858</v>
      </c>
      <c r="I84" s="16">
        <v>0.52776835786973608</v>
      </c>
      <c r="J84" s="16">
        <v>0.52624075040457963</v>
      </c>
      <c r="K84" s="16">
        <v>0.52307425595586909</v>
      </c>
      <c r="L84" s="52">
        <f t="shared" si="11"/>
        <v>0.52517764597497596</v>
      </c>
      <c r="N84" s="2" t="str">
        <f t="shared" si="12"/>
        <v>Northern States Power Company - MN</v>
      </c>
      <c r="O84" s="1" t="str">
        <f t="shared" si="12"/>
        <v>XEL</v>
      </c>
      <c r="P84" s="16">
        <v>0.47364892831006633</v>
      </c>
      <c r="Q84" s="16">
        <v>0.4739211323511564</v>
      </c>
      <c r="R84" s="16">
        <v>0.47408384703541484</v>
      </c>
      <c r="S84" s="16">
        <v>0.47621423142798791</v>
      </c>
      <c r="T84" s="16">
        <v>0.47779405730575147</v>
      </c>
      <c r="U84" s="16">
        <v>0.47223164213026392</v>
      </c>
      <c r="V84" s="16">
        <v>0.47375924959542037</v>
      </c>
      <c r="W84" s="16">
        <v>0.47692574404413085</v>
      </c>
      <c r="X84" s="52">
        <f t="shared" si="13"/>
        <v>0.47482235402502404</v>
      </c>
      <c r="Y84" s="314"/>
      <c r="Z84" s="314"/>
      <c r="AA84" s="314"/>
    </row>
    <row r="85" spans="2:27" x14ac:dyDescent="0.2">
      <c r="B85" s="2" t="s">
        <v>1205</v>
      </c>
      <c r="C85" s="1" t="s">
        <v>74</v>
      </c>
      <c r="D85" s="16">
        <v>0.484488463645187</v>
      </c>
      <c r="E85" s="16">
        <v>0.53854779082994653</v>
      </c>
      <c r="F85" s="16">
        <v>0.53792258746947752</v>
      </c>
      <c r="G85" s="16">
        <v>0.53361331237650222</v>
      </c>
      <c r="H85" s="16">
        <v>0.55565943185296274</v>
      </c>
      <c r="I85" s="16">
        <v>0.55219520259789834</v>
      </c>
      <c r="J85" s="16">
        <v>0.55656049268172236</v>
      </c>
      <c r="K85" s="16">
        <v>0.54927471516332438</v>
      </c>
      <c r="L85" s="52">
        <f t="shared" si="11"/>
        <v>0.5385327495771276</v>
      </c>
      <c r="N85" s="2" t="str">
        <f t="shared" si="12"/>
        <v>Northern States Power Company - WI</v>
      </c>
      <c r="O85" s="1" t="str">
        <f t="shared" si="12"/>
        <v>XEL</v>
      </c>
      <c r="P85" s="16">
        <v>0.51551153635481295</v>
      </c>
      <c r="Q85" s="16">
        <v>0.46145220917005347</v>
      </c>
      <c r="R85" s="16">
        <v>0.46207741253052242</v>
      </c>
      <c r="S85" s="16">
        <v>0.46638668762349778</v>
      </c>
      <c r="T85" s="16">
        <v>0.44434056814703726</v>
      </c>
      <c r="U85" s="16">
        <v>0.44780479740210166</v>
      </c>
      <c r="V85" s="16">
        <v>0.44343950731827769</v>
      </c>
      <c r="W85" s="16">
        <v>0.45072528483667562</v>
      </c>
      <c r="X85" s="52">
        <f t="shared" si="13"/>
        <v>0.4614672504228724</v>
      </c>
      <c r="Y85" s="314"/>
      <c r="Z85" s="314"/>
      <c r="AA85" s="314"/>
    </row>
    <row r="86" spans="2:27" x14ac:dyDescent="0.2">
      <c r="B86" s="2" t="s">
        <v>1204</v>
      </c>
      <c r="C86" s="1" t="s">
        <v>74</v>
      </c>
      <c r="D86" s="16">
        <v>0.56081629666438815</v>
      </c>
      <c r="E86" s="16">
        <v>0.54172382555822163</v>
      </c>
      <c r="F86" s="16">
        <v>0.56665163514409256</v>
      </c>
      <c r="G86" s="16">
        <v>0.56504189929646098</v>
      </c>
      <c r="H86" s="16">
        <v>0.55639234691713257</v>
      </c>
      <c r="I86" s="16">
        <v>0.5488122899312432</v>
      </c>
      <c r="J86" s="16">
        <v>0.57004749915452446</v>
      </c>
      <c r="K86" s="16">
        <v>0.56318462866369723</v>
      </c>
      <c r="L86" s="52">
        <f t="shared" si="11"/>
        <v>0.55908380266622015</v>
      </c>
      <c r="N86" s="2" t="str">
        <f t="shared" si="12"/>
        <v>Public Service Company of Colorado</v>
      </c>
      <c r="O86" s="1" t="str">
        <f t="shared" si="12"/>
        <v>XEL</v>
      </c>
      <c r="P86" s="16">
        <v>0.4391837033356118</v>
      </c>
      <c r="Q86" s="16">
        <v>0.45827617444177837</v>
      </c>
      <c r="R86" s="16">
        <v>0.43334836485590744</v>
      </c>
      <c r="S86" s="16">
        <v>0.43495810070353902</v>
      </c>
      <c r="T86" s="16">
        <v>0.44360765308286748</v>
      </c>
      <c r="U86" s="16">
        <v>0.4511877100687568</v>
      </c>
      <c r="V86" s="16">
        <v>0.42995250084547548</v>
      </c>
      <c r="W86" s="16">
        <v>0.43681537133630283</v>
      </c>
      <c r="X86" s="52">
        <f t="shared" si="13"/>
        <v>0.4409161973337799</v>
      </c>
      <c r="Y86" s="314"/>
      <c r="Z86" s="314"/>
      <c r="AA86" s="314"/>
    </row>
    <row r="87" spans="2:27" x14ac:dyDescent="0.2">
      <c r="B87" s="2" t="s">
        <v>1207</v>
      </c>
      <c r="C87" s="1" t="s">
        <v>74</v>
      </c>
      <c r="D87" s="16">
        <v>0.56294459814144848</v>
      </c>
      <c r="E87" s="16">
        <v>0.53878099995882689</v>
      </c>
      <c r="F87" s="16">
        <v>0.53543436323763205</v>
      </c>
      <c r="G87" s="16">
        <v>0.53545326543035798</v>
      </c>
      <c r="H87" s="16">
        <v>0.5229110936554987</v>
      </c>
      <c r="I87" s="16">
        <v>0.54606021851385822</v>
      </c>
      <c r="J87" s="16">
        <v>0.5447708005101658</v>
      </c>
      <c r="K87" s="16">
        <v>0.53926943176009567</v>
      </c>
      <c r="L87" s="52">
        <f t="shared" si="11"/>
        <v>0.54070309640098557</v>
      </c>
      <c r="N87" s="2" t="str">
        <f t="shared" si="12"/>
        <v>Southwestern Public Service Company</v>
      </c>
      <c r="O87" s="1" t="str">
        <f t="shared" si="12"/>
        <v>XEL</v>
      </c>
      <c r="P87" s="16">
        <v>0.43705540185855146</v>
      </c>
      <c r="Q87" s="16">
        <v>0.46121900004117317</v>
      </c>
      <c r="R87" s="16">
        <v>0.46456563676236795</v>
      </c>
      <c r="S87" s="16">
        <v>0.46454673456964202</v>
      </c>
      <c r="T87" s="16">
        <v>0.47708890634450135</v>
      </c>
      <c r="U87" s="16">
        <v>0.45393978148614178</v>
      </c>
      <c r="V87" s="16">
        <v>0.4552291994898342</v>
      </c>
      <c r="W87" s="16">
        <v>0.46073056823990433</v>
      </c>
      <c r="X87" s="52">
        <f t="shared" si="13"/>
        <v>0.45929690359901448</v>
      </c>
      <c r="Y87" s="314"/>
      <c r="Z87" s="314"/>
      <c r="AA87" s="314"/>
    </row>
    <row r="88" spans="2:27" x14ac:dyDescent="0.2">
      <c r="B88" s="167" t="s">
        <v>1106</v>
      </c>
      <c r="C88" s="168"/>
      <c r="D88" s="169">
        <f>AVERAGE(D34:D87)</f>
        <v>0.54063682970927796</v>
      </c>
      <c r="E88" s="169">
        <f t="shared" ref="E88:L88" si="14">AVERAGE(E34:E87)</f>
        <v>0.53556532223349729</v>
      </c>
      <c r="F88" s="169">
        <f t="shared" si="14"/>
        <v>0.54393287549193592</v>
      </c>
      <c r="G88" s="169">
        <f t="shared" si="14"/>
        <v>0.53791989731744294</v>
      </c>
      <c r="H88" s="169">
        <f t="shared" si="14"/>
        <v>0.54128347243317843</v>
      </c>
      <c r="I88" s="169">
        <f t="shared" si="14"/>
        <v>0.53875130057101384</v>
      </c>
      <c r="J88" s="169">
        <f t="shared" si="14"/>
        <v>0.54095320400203706</v>
      </c>
      <c r="K88" s="169">
        <f t="shared" si="14"/>
        <v>0.54054700951421664</v>
      </c>
      <c r="L88" s="169">
        <f t="shared" si="14"/>
        <v>0.54030014758461131</v>
      </c>
      <c r="N88" s="167" t="s">
        <v>1106</v>
      </c>
      <c r="O88" s="168"/>
      <c r="P88" s="169">
        <f t="shared" ref="P88:X88" si="15">AVERAGE(P34:P87)</f>
        <v>0.45936317029072199</v>
      </c>
      <c r="Q88" s="169">
        <f t="shared" si="15"/>
        <v>0.46443467776650271</v>
      </c>
      <c r="R88" s="169">
        <f t="shared" si="15"/>
        <v>0.45606712450806397</v>
      </c>
      <c r="S88" s="169">
        <f t="shared" si="15"/>
        <v>0.46208010268255711</v>
      </c>
      <c r="T88" s="169">
        <f t="shared" si="15"/>
        <v>0.45871652756682146</v>
      </c>
      <c r="U88" s="169">
        <f t="shared" si="15"/>
        <v>0.46124869942898611</v>
      </c>
      <c r="V88" s="169">
        <f t="shared" si="15"/>
        <v>0.45904679599796289</v>
      </c>
      <c r="W88" s="169">
        <f t="shared" si="15"/>
        <v>0.45945299048578347</v>
      </c>
      <c r="X88" s="169">
        <f t="shared" si="15"/>
        <v>0.45969985241538869</v>
      </c>
    </row>
    <row r="90" spans="2:27" s="1" customFormat="1" x14ac:dyDescent="0.2">
      <c r="B90" s="2" t="s">
        <v>1230</v>
      </c>
      <c r="N90" s="2"/>
    </row>
  </sheetData>
  <mergeCells count="8">
    <mergeCell ref="B31:L31"/>
    <mergeCell ref="N31:X31"/>
    <mergeCell ref="D32:L32"/>
    <mergeCell ref="P32:X32"/>
    <mergeCell ref="B1:L1"/>
    <mergeCell ref="N1:X1"/>
    <mergeCell ref="D3:L3"/>
    <mergeCell ref="P3:X3"/>
  </mergeCells>
  <printOptions horizontalCentered="1"/>
  <pageMargins left="0.7" right="0.7" top="0.75" bottom="0.75" header="0.3" footer="0.3"/>
  <pageSetup scale="49" fitToWidth="3" orientation="portrait" useFirstPageNumber="1" r:id="rId1"/>
  <headerFooter scaleWithDoc="0">
    <oddHeader>&amp;R&amp;"Arial,Regular"&amp;10EXHIBIT RBH-10
Page &amp;P of 2</oddHeader>
  </headerFooter>
  <colBreaks count="1" manualBreakCount="1">
    <brk id="12" max="9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userSelected">
  <element uid="c5f8eb12-5b27-439d-aaa6-3402af626fa3" value=""/>
</sisl>
</file>

<file path=customXml/itemProps1.xml><?xml version="1.0" encoding="utf-8"?>
<ds:datastoreItem xmlns:ds="http://schemas.openxmlformats.org/officeDocument/2006/customXml" ds:itemID="{17E81901-5FAE-456B-99E9-A17C31BBD00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RBH-1 Constant Growth DCF</vt:lpstr>
      <vt:lpstr>RBH-2 MRP Bloomberg</vt:lpstr>
      <vt:lpstr>RBH-2 MRP Value Line</vt:lpstr>
      <vt:lpstr>RBH-3 Beta</vt:lpstr>
      <vt:lpstr>RBH-4 CAPM</vt:lpstr>
      <vt:lpstr>RBH-5 Risk Premium</vt:lpstr>
      <vt:lpstr>RBH-6 Expected Earnings</vt:lpstr>
      <vt:lpstr>RBH-7 Flotation Costs</vt:lpstr>
      <vt:lpstr>RBH-8 Rate Mechanisms</vt:lpstr>
      <vt:lpstr>RBH-9 Capital Expenditures</vt:lpstr>
      <vt:lpstr>RBH-10 Capital Structure</vt:lpstr>
      <vt:lpstr>'RBH-1 Constant Growth DCF'!Print_Area</vt:lpstr>
      <vt:lpstr>'RBH-4 CAPM'!Print_Area</vt:lpstr>
      <vt:lpstr>'RBH-5 Risk Premium'!Print_Area</vt:lpstr>
      <vt:lpstr>'RBH-8 Rate Mechanisms'!Print_Area</vt:lpstr>
      <vt:lpstr>'RBH-9 Capital Expenditures'!Print_Area</vt:lpstr>
      <vt:lpstr>'RBH-2 MRP Bloomberg'!Print_Titles</vt:lpstr>
      <vt:lpstr>'RBH-2 MRP Value Line'!Print_Titles</vt:lpstr>
      <vt:lpstr>'RBH-5 Risk Premium'!Print_Titles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AEP Public</cp:keywords>
  <cp:lastModifiedBy/>
  <dcterms:created xsi:type="dcterms:W3CDTF">2019-04-16T21:48:59Z</dcterms:created>
  <dcterms:modified xsi:type="dcterms:W3CDTF">2019-04-27T20:59:59Z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{F7BFBFDC-E723-4F6E-BB43-F53C38AC4DCE}</vt:lpwstr>
  </property>
  <property fmtid="{D5CDD505-2E9C-101B-9397-08002B2CF9AE}" pid="3" name="docIndexRef">
    <vt:lpwstr>907f3c6d-d6fd-4d1c-b123-76e3c9cd8cbb</vt:lpwstr>
  </property>
  <property fmtid="{D5CDD505-2E9C-101B-9397-08002B2CF9AE}" pid="4" name="bjDocumentSecurityLabel">
    <vt:lpwstr>AEP Public</vt:lpwstr>
  </property>
  <property fmtid="{D5CDD505-2E9C-101B-9397-08002B2CF9AE}" pid="5" name="bjSaver">
    <vt:lpwstr>qRVImZNAmhaVghHbPAub7kJ2Xz4QwyEi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policy="e9c0b8d7-bdb4-4fd3-b62a-f50327aaefce" origin="userSelected" xmlns="http://www.boldonj</vt:lpwstr>
  </property>
  <property fmtid="{D5CDD505-2E9C-101B-9397-08002B2CF9AE}" pid="7" name="bjDocumentLabelXML-0">
    <vt:lpwstr>ames.com/2008/01/sie/internal/label"&gt;&lt;element uid="c5f8eb12-5b27-439d-aaa6-3402af626fa3" value="" /&gt;&lt;/sisl&gt;</vt:lpwstr>
  </property>
</Properties>
</file>