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RegCaseMgmt\2019 AEPTX RATE CASE\TESTIMONY\HAMLETT\"/>
    </mc:Choice>
  </mc:AlternateContent>
  <bookViews>
    <workbookView xWindow="0" yWindow="0" windowWidth="28800" windowHeight="12300" activeTab="2"/>
  </bookViews>
  <sheets>
    <sheet name="Summary" sheetId="4" r:id="rId1"/>
    <sheet name="Stub Period" sheetId="1" r:id="rId2"/>
    <sheet name="Unprotected With Interest" sheetId="3" r:id="rId3"/>
    <sheet name="WP Unprotected Balances" sheetId="2" r:id="rId4"/>
  </sheets>
  <externalReferences>
    <externalReference r:id="rId5"/>
  </externalReferences>
  <definedNames>
    <definedName name="_xlnm.Print_Area" localSheetId="1">'Stub Period'!$A$5:$J$71</definedName>
    <definedName name="_xlnm.Print_Area" localSheetId="0">Summary!$A$4:$C$42</definedName>
    <definedName name="_xlnm.Print_Area" localSheetId="2">'Unprotected With Interest'!$A$6:$J$163</definedName>
    <definedName name="_xlnm.Print_Titles" localSheetId="1">'Stub Period'!$1:$4</definedName>
    <definedName name="_xlnm.Print_Titles" localSheetId="0">Summary!$1:$3</definedName>
    <definedName name="_xlnm.Print_Titles" localSheetId="2">'Unprotected With Interest'!$1:$5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3" i="3" l="1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62" i="3"/>
  <c r="F62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9" i="3"/>
  <c r="F9" i="3"/>
  <c r="G8" i="3"/>
  <c r="I115" i="3" l="1"/>
  <c r="F162" i="3" l="1"/>
  <c r="E162" i="3"/>
  <c r="F161" i="3"/>
  <c r="E161" i="3"/>
  <c r="F160" i="3"/>
  <c r="E160" i="3"/>
  <c r="F159" i="3"/>
  <c r="E159" i="3"/>
  <c r="F158" i="3"/>
  <c r="E158" i="3"/>
  <c r="F157" i="3"/>
  <c r="E157" i="3"/>
  <c r="F156" i="3"/>
  <c r="E156" i="3"/>
  <c r="F155" i="3"/>
  <c r="E155" i="3"/>
  <c r="F154" i="3"/>
  <c r="E154" i="3"/>
  <c r="F153" i="3"/>
  <c r="E153" i="3"/>
  <c r="F152" i="3"/>
  <c r="E152" i="3"/>
  <c r="F151" i="3"/>
  <c r="E151" i="3"/>
  <c r="F150" i="3"/>
  <c r="E150" i="3"/>
  <c r="F149" i="3"/>
  <c r="E149" i="3"/>
  <c r="F148" i="3"/>
  <c r="E148" i="3"/>
  <c r="F147" i="3"/>
  <c r="E147" i="3"/>
  <c r="F146" i="3"/>
  <c r="E146" i="3"/>
  <c r="F145" i="3"/>
  <c r="E145" i="3"/>
  <c r="F144" i="3"/>
  <c r="E144" i="3"/>
  <c r="F143" i="3"/>
  <c r="E143" i="3"/>
  <c r="F142" i="3"/>
  <c r="E142" i="3"/>
  <c r="F141" i="3"/>
  <c r="E141" i="3"/>
  <c r="F140" i="3"/>
  <c r="E140" i="3"/>
  <c r="F139" i="3"/>
  <c r="E139" i="3"/>
  <c r="F138" i="3"/>
  <c r="E138" i="3"/>
  <c r="F137" i="3"/>
  <c r="E137" i="3"/>
  <c r="F136" i="3"/>
  <c r="E136" i="3"/>
  <c r="F135" i="3"/>
  <c r="E135" i="3"/>
  <c r="F134" i="3"/>
  <c r="E134" i="3"/>
  <c r="F133" i="3"/>
  <c r="E133" i="3"/>
  <c r="F132" i="3"/>
  <c r="E132" i="3"/>
  <c r="F131" i="3"/>
  <c r="E131" i="3"/>
  <c r="F130" i="3"/>
  <c r="E130" i="3"/>
  <c r="F129" i="3"/>
  <c r="E129" i="3"/>
  <c r="F128" i="3"/>
  <c r="E128" i="3"/>
  <c r="F127" i="3"/>
  <c r="E127" i="3"/>
  <c r="F126" i="3"/>
  <c r="E126" i="3"/>
  <c r="F125" i="3"/>
  <c r="E125" i="3"/>
  <c r="F124" i="3"/>
  <c r="E124" i="3"/>
  <c r="F123" i="3"/>
  <c r="E123" i="3"/>
  <c r="F122" i="3"/>
  <c r="E122" i="3"/>
  <c r="F121" i="3"/>
  <c r="E121" i="3"/>
  <c r="F120" i="3"/>
  <c r="E120" i="3"/>
  <c r="F119" i="3"/>
  <c r="E119" i="3"/>
  <c r="F118" i="3"/>
  <c r="E118" i="3"/>
  <c r="F117" i="3"/>
  <c r="E117" i="3"/>
  <c r="F116" i="3"/>
  <c r="E116" i="3"/>
  <c r="F115" i="3"/>
  <c r="E115" i="3"/>
  <c r="G114" i="3"/>
  <c r="J114" i="3" s="1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15" i="3"/>
  <c r="D114" i="3"/>
  <c r="G115" i="3" l="1"/>
  <c r="G116" i="3" s="1"/>
  <c r="G117" i="3" s="1"/>
  <c r="G118" i="3" s="1"/>
  <c r="G119" i="3" s="1"/>
  <c r="G120" i="3" s="1"/>
  <c r="G121" i="3" s="1"/>
  <c r="G122" i="3" s="1"/>
  <c r="G123" i="3" s="1"/>
  <c r="G124" i="3" s="1"/>
  <c r="G125" i="3" s="1"/>
  <c r="G126" i="3" s="1"/>
  <c r="G127" i="3" s="1"/>
  <c r="G128" i="3" s="1"/>
  <c r="G129" i="3" s="1"/>
  <c r="G130" i="3" s="1"/>
  <c r="G131" i="3" s="1"/>
  <c r="G132" i="3" s="1"/>
  <c r="G133" i="3" s="1"/>
  <c r="G134" i="3" s="1"/>
  <c r="G135" i="3" s="1"/>
  <c r="G136" i="3" s="1"/>
  <c r="G137" i="3" s="1"/>
  <c r="G138" i="3" s="1"/>
  <c r="G139" i="3" s="1"/>
  <c r="G140" i="3" s="1"/>
  <c r="G141" i="3" s="1"/>
  <c r="G142" i="3" s="1"/>
  <c r="G143" i="3" s="1"/>
  <c r="G144" i="3" s="1"/>
  <c r="G145" i="3" s="1"/>
  <c r="G146" i="3" s="1"/>
  <c r="G147" i="3" s="1"/>
  <c r="G148" i="3" s="1"/>
  <c r="G149" i="3" s="1"/>
  <c r="G150" i="3" s="1"/>
  <c r="G151" i="3" s="1"/>
  <c r="G152" i="3" s="1"/>
  <c r="G153" i="3" s="1"/>
  <c r="G154" i="3" s="1"/>
  <c r="G155" i="3" s="1"/>
  <c r="G156" i="3" s="1"/>
  <c r="G157" i="3" s="1"/>
  <c r="G158" i="3" s="1"/>
  <c r="G159" i="3" s="1"/>
  <c r="G160" i="3" s="1"/>
  <c r="G161" i="3" s="1"/>
  <c r="G162" i="3" s="1"/>
  <c r="F163" i="3"/>
  <c r="C163" i="3"/>
  <c r="B35" i="4"/>
  <c r="B34" i="4"/>
  <c r="B33" i="4"/>
  <c r="B15" i="4"/>
  <c r="C15" i="4" s="1"/>
  <c r="B14" i="4"/>
  <c r="C14" i="4" s="1"/>
  <c r="B13" i="4"/>
  <c r="B28" i="4"/>
  <c r="B27" i="4"/>
  <c r="B9" i="4"/>
  <c r="C9" i="4" s="1"/>
  <c r="B8" i="4"/>
  <c r="B46" i="4" s="1"/>
  <c r="B7" i="4"/>
  <c r="C7" i="4" s="1"/>
  <c r="F110" i="3"/>
  <c r="E110" i="3"/>
  <c r="C110" i="3"/>
  <c r="F57" i="3"/>
  <c r="B29" i="4" s="1"/>
  <c r="E57" i="3"/>
  <c r="C57" i="3"/>
  <c r="G61" i="3"/>
  <c r="D61" i="3"/>
  <c r="C63" i="3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J8" i="3"/>
  <c r="D8" i="3"/>
  <c r="C10" i="3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4" i="3"/>
  <c r="B9" i="3" l="1"/>
  <c r="C8" i="4"/>
  <c r="B10" i="4"/>
  <c r="C10" i="4"/>
  <c r="B45" i="4"/>
  <c r="B21" i="4"/>
  <c r="C21" i="4" s="1"/>
  <c r="B19" i="4"/>
  <c r="B39" i="4"/>
  <c r="B20" i="4"/>
  <c r="C20" i="4" s="1"/>
  <c r="B40" i="4"/>
  <c r="I110" i="3"/>
  <c r="B41" i="4"/>
  <c r="I116" i="3"/>
  <c r="B47" i="4"/>
  <c r="B36" i="4"/>
  <c r="B16" i="4"/>
  <c r="B51" i="4"/>
  <c r="C13" i="4"/>
  <c r="C16" i="4" s="1"/>
  <c r="B52" i="4"/>
  <c r="B53" i="4"/>
  <c r="B30" i="4"/>
  <c r="J61" i="3"/>
  <c r="B62" i="3"/>
  <c r="G62" i="3"/>
  <c r="D62" i="3" l="1"/>
  <c r="H62" i="3"/>
  <c r="D9" i="3"/>
  <c r="B10" i="3" s="1"/>
  <c r="H9" i="3"/>
  <c r="H115" i="3" s="1"/>
  <c r="B115" i="3"/>
  <c r="D115" i="3" s="1"/>
  <c r="B57" i="4"/>
  <c r="C19" i="4"/>
  <c r="C22" i="4" s="1"/>
  <c r="B58" i="4"/>
  <c r="B59" i="4"/>
  <c r="B42" i="4"/>
  <c r="B22" i="4"/>
  <c r="I117" i="3"/>
  <c r="J9" i="3"/>
  <c r="B48" i="4"/>
  <c r="B54" i="4"/>
  <c r="G63" i="3"/>
  <c r="B63" i="3"/>
  <c r="J62" i="3"/>
  <c r="D63" i="3" l="1"/>
  <c r="H63" i="3"/>
  <c r="D10" i="3"/>
  <c r="B11" i="3" s="1"/>
  <c r="H10" i="3"/>
  <c r="J10" i="3" s="1"/>
  <c r="B116" i="3"/>
  <c r="D116" i="3" s="1"/>
  <c r="B60" i="4"/>
  <c r="I118" i="3"/>
  <c r="J115" i="3"/>
  <c r="B64" i="3"/>
  <c r="G64" i="3"/>
  <c r="D64" i="3" l="1"/>
  <c r="H64" i="3"/>
  <c r="D11" i="3"/>
  <c r="B12" i="3" s="1"/>
  <c r="H11" i="3"/>
  <c r="J11" i="3" s="1"/>
  <c r="B117" i="3"/>
  <c r="D117" i="3" s="1"/>
  <c r="J63" i="3"/>
  <c r="J64" i="3" s="1"/>
  <c r="H116" i="3"/>
  <c r="J116" i="3" s="1"/>
  <c r="I119" i="3"/>
  <c r="G65" i="3"/>
  <c r="B65" i="3"/>
  <c r="D65" i="3" l="1"/>
  <c r="H65" i="3"/>
  <c r="H117" i="3"/>
  <c r="J117" i="3" s="1"/>
  <c r="D12" i="3"/>
  <c r="B13" i="3" s="1"/>
  <c r="H12" i="3"/>
  <c r="J12" i="3" s="1"/>
  <c r="B118" i="3"/>
  <c r="D118" i="3" s="1"/>
  <c r="I120" i="3"/>
  <c r="B66" i="3"/>
  <c r="G66" i="3"/>
  <c r="D13" i="3" l="1"/>
  <c r="B14" i="3" s="1"/>
  <c r="H13" i="3"/>
  <c r="B119" i="3"/>
  <c r="D66" i="3"/>
  <c r="H66" i="3"/>
  <c r="H119" i="3" s="1"/>
  <c r="J65" i="3"/>
  <c r="J66" i="3" s="1"/>
  <c r="H118" i="3"/>
  <c r="J118" i="3" s="1"/>
  <c r="I121" i="3"/>
  <c r="J13" i="3"/>
  <c r="D119" i="3"/>
  <c r="G67" i="3"/>
  <c r="B67" i="3"/>
  <c r="D14" i="3" l="1"/>
  <c r="B15" i="3" s="1"/>
  <c r="H14" i="3"/>
  <c r="B120" i="3"/>
  <c r="D120" i="3" s="1"/>
  <c r="D67" i="3"/>
  <c r="H67" i="3"/>
  <c r="J67" i="3" s="1"/>
  <c r="I122" i="3"/>
  <c r="J14" i="3"/>
  <c r="J119" i="3"/>
  <c r="G68" i="3"/>
  <c r="B68" i="3"/>
  <c r="H68" i="3" s="1"/>
  <c r="D68" i="3"/>
  <c r="D15" i="3" l="1"/>
  <c r="B16" i="3" s="1"/>
  <c r="H15" i="3"/>
  <c r="B121" i="3"/>
  <c r="D121" i="3" s="1"/>
  <c r="H120" i="3"/>
  <c r="J120" i="3" s="1"/>
  <c r="I123" i="3"/>
  <c r="J15" i="3"/>
  <c r="H121" i="3"/>
  <c r="G69" i="3"/>
  <c r="J68" i="3"/>
  <c r="B69" i="3"/>
  <c r="D69" i="3" l="1"/>
  <c r="H69" i="3"/>
  <c r="D16" i="3"/>
  <c r="B17" i="3" s="1"/>
  <c r="H16" i="3"/>
  <c r="B122" i="3"/>
  <c r="D122" i="3" s="1"/>
  <c r="I124" i="3"/>
  <c r="J16" i="3"/>
  <c r="J121" i="3"/>
  <c r="B70" i="3"/>
  <c r="G70" i="3"/>
  <c r="D70" i="3" l="1"/>
  <c r="H70" i="3"/>
  <c r="D17" i="3"/>
  <c r="B18" i="3" s="1"/>
  <c r="H17" i="3"/>
  <c r="J17" i="3" s="1"/>
  <c r="B123" i="3"/>
  <c r="D123" i="3" s="1"/>
  <c r="J69" i="3"/>
  <c r="J70" i="3" s="1"/>
  <c r="H122" i="3"/>
  <c r="J122" i="3" s="1"/>
  <c r="I125" i="3"/>
  <c r="G71" i="3"/>
  <c r="B71" i="3"/>
  <c r="H123" i="3" l="1"/>
  <c r="D71" i="3"/>
  <c r="H71" i="3"/>
  <c r="D18" i="3"/>
  <c r="B19" i="3" s="1"/>
  <c r="H18" i="3"/>
  <c r="J18" i="3" s="1"/>
  <c r="B124" i="3"/>
  <c r="D124" i="3" s="1"/>
  <c r="J123" i="3"/>
  <c r="I126" i="3"/>
  <c r="G72" i="3"/>
  <c r="B72" i="3"/>
  <c r="J71" i="3"/>
  <c r="D72" i="3" l="1"/>
  <c r="H72" i="3"/>
  <c r="D19" i="3"/>
  <c r="B20" i="3" s="1"/>
  <c r="H19" i="3"/>
  <c r="B125" i="3"/>
  <c r="D125" i="3" s="1"/>
  <c r="H124" i="3"/>
  <c r="J124" i="3" s="1"/>
  <c r="I127" i="3"/>
  <c r="J19" i="3"/>
  <c r="G73" i="3"/>
  <c r="B73" i="3"/>
  <c r="D73" i="3" l="1"/>
  <c r="H73" i="3"/>
  <c r="D20" i="3"/>
  <c r="B21" i="3" s="1"/>
  <c r="H20" i="3"/>
  <c r="J20" i="3" s="1"/>
  <c r="B126" i="3"/>
  <c r="D126" i="3" s="1"/>
  <c r="J72" i="3"/>
  <c r="J73" i="3" s="1"/>
  <c r="H125" i="3"/>
  <c r="J125" i="3" s="1"/>
  <c r="I128" i="3"/>
  <c r="B74" i="3"/>
  <c r="G74" i="3"/>
  <c r="D74" i="3" l="1"/>
  <c r="H74" i="3"/>
  <c r="D21" i="3"/>
  <c r="B22" i="3" s="1"/>
  <c r="H21" i="3"/>
  <c r="B127" i="3"/>
  <c r="D127" i="3" s="1"/>
  <c r="H126" i="3"/>
  <c r="J126" i="3" s="1"/>
  <c r="I129" i="3"/>
  <c r="J21" i="3"/>
  <c r="G75" i="3"/>
  <c r="J74" i="3"/>
  <c r="B75" i="3"/>
  <c r="D75" i="3" l="1"/>
  <c r="H75" i="3"/>
  <c r="D22" i="3"/>
  <c r="B23" i="3" s="1"/>
  <c r="H22" i="3"/>
  <c r="B128" i="3"/>
  <c r="D128" i="3" s="1"/>
  <c r="H127" i="3"/>
  <c r="J127" i="3" s="1"/>
  <c r="I130" i="3"/>
  <c r="J22" i="3"/>
  <c r="B76" i="3"/>
  <c r="H76" i="3" s="1"/>
  <c r="D76" i="3"/>
  <c r="G76" i="3"/>
  <c r="D23" i="3" l="1"/>
  <c r="B24" i="3" s="1"/>
  <c r="H23" i="3"/>
  <c r="B129" i="3"/>
  <c r="J75" i="3"/>
  <c r="J76" i="3" s="1"/>
  <c r="H128" i="3"/>
  <c r="J128" i="3" s="1"/>
  <c r="I131" i="3"/>
  <c r="J23" i="3"/>
  <c r="D129" i="3"/>
  <c r="G77" i="3"/>
  <c r="B77" i="3"/>
  <c r="D77" i="3" l="1"/>
  <c r="H77" i="3"/>
  <c r="D24" i="3"/>
  <c r="B25" i="3" s="1"/>
  <c r="H24" i="3"/>
  <c r="B130" i="3"/>
  <c r="D130" i="3" s="1"/>
  <c r="H129" i="3"/>
  <c r="J129" i="3" s="1"/>
  <c r="I132" i="3"/>
  <c r="J24" i="3"/>
  <c r="B78" i="3"/>
  <c r="G78" i="3"/>
  <c r="J77" i="3"/>
  <c r="D25" i="3" l="1"/>
  <c r="B26" i="3" s="1"/>
  <c r="H25" i="3"/>
  <c r="B131" i="3"/>
  <c r="D131" i="3" s="1"/>
  <c r="D78" i="3"/>
  <c r="H78" i="3"/>
  <c r="H131" i="3" s="1"/>
  <c r="J131" i="3" s="1"/>
  <c r="H130" i="3"/>
  <c r="J130" i="3" s="1"/>
  <c r="I133" i="3"/>
  <c r="J25" i="3"/>
  <c r="G79" i="3"/>
  <c r="B79" i="3"/>
  <c r="J78" i="3" l="1"/>
  <c r="D79" i="3"/>
  <c r="H79" i="3"/>
  <c r="D26" i="3"/>
  <c r="B27" i="3" s="1"/>
  <c r="H26" i="3"/>
  <c r="B132" i="3"/>
  <c r="D132" i="3" s="1"/>
  <c r="I134" i="3"/>
  <c r="J26" i="3"/>
  <c r="B80" i="3"/>
  <c r="J79" i="3"/>
  <c r="G80" i="3"/>
  <c r="D27" i="3" l="1"/>
  <c r="B28" i="3" s="1"/>
  <c r="H27" i="3"/>
  <c r="B133" i="3"/>
  <c r="D133" i="3" s="1"/>
  <c r="D80" i="3"/>
  <c r="H80" i="3"/>
  <c r="J80" i="3" s="1"/>
  <c r="H132" i="3"/>
  <c r="J132" i="3" s="1"/>
  <c r="I135" i="3"/>
  <c r="J27" i="3"/>
  <c r="G81" i="3"/>
  <c r="B81" i="3"/>
  <c r="D81" i="3" l="1"/>
  <c r="H81" i="3"/>
  <c r="D28" i="3"/>
  <c r="B29" i="3" s="1"/>
  <c r="H28" i="3"/>
  <c r="B134" i="3"/>
  <c r="D134" i="3" s="1"/>
  <c r="H133" i="3"/>
  <c r="J133" i="3" s="1"/>
  <c r="I136" i="3"/>
  <c r="J28" i="3"/>
  <c r="B82" i="3"/>
  <c r="J81" i="3"/>
  <c r="G82" i="3"/>
  <c r="D29" i="3" l="1"/>
  <c r="B30" i="3" s="1"/>
  <c r="H29" i="3"/>
  <c r="B135" i="3"/>
  <c r="D135" i="3" s="1"/>
  <c r="D82" i="3"/>
  <c r="B83" i="3" s="1"/>
  <c r="H82" i="3"/>
  <c r="H134" i="3"/>
  <c r="J134" i="3" s="1"/>
  <c r="I137" i="3"/>
  <c r="J29" i="3"/>
  <c r="G83" i="3"/>
  <c r="J82" i="3"/>
  <c r="D83" i="3" l="1"/>
  <c r="H83" i="3"/>
  <c r="D30" i="3"/>
  <c r="B31" i="3" s="1"/>
  <c r="H30" i="3"/>
  <c r="B136" i="3"/>
  <c r="D136" i="3" s="1"/>
  <c r="H135" i="3"/>
  <c r="J135" i="3" s="1"/>
  <c r="I138" i="3"/>
  <c r="J30" i="3"/>
  <c r="B84" i="3"/>
  <c r="J83" i="3"/>
  <c r="G84" i="3"/>
  <c r="D31" i="3" l="1"/>
  <c r="B32" i="3" s="1"/>
  <c r="H31" i="3"/>
  <c r="B137" i="3"/>
  <c r="D137" i="3" s="1"/>
  <c r="D84" i="3"/>
  <c r="H84" i="3"/>
  <c r="J84" i="3" s="1"/>
  <c r="H136" i="3"/>
  <c r="J136" i="3" s="1"/>
  <c r="I139" i="3"/>
  <c r="J31" i="3"/>
  <c r="G85" i="3"/>
  <c r="B85" i="3"/>
  <c r="D85" i="3" l="1"/>
  <c r="H85" i="3"/>
  <c r="J85" i="3" s="1"/>
  <c r="D32" i="3"/>
  <c r="B33" i="3" s="1"/>
  <c r="H32" i="3"/>
  <c r="B138" i="3"/>
  <c r="D138" i="3" s="1"/>
  <c r="H137" i="3"/>
  <c r="J137" i="3" s="1"/>
  <c r="I140" i="3"/>
  <c r="J32" i="3"/>
  <c r="B86" i="3"/>
  <c r="G86" i="3"/>
  <c r="D86" i="3" l="1"/>
  <c r="H86" i="3"/>
  <c r="D33" i="3"/>
  <c r="B34" i="3" s="1"/>
  <c r="H33" i="3"/>
  <c r="B139" i="3"/>
  <c r="D139" i="3" s="1"/>
  <c r="H138" i="3"/>
  <c r="J138" i="3" s="1"/>
  <c r="I141" i="3"/>
  <c r="J33" i="3"/>
  <c r="G87" i="3"/>
  <c r="B87" i="3"/>
  <c r="J86" i="3"/>
  <c r="D87" i="3" l="1"/>
  <c r="H87" i="3"/>
  <c r="D34" i="3"/>
  <c r="B35" i="3" s="1"/>
  <c r="H34" i="3"/>
  <c r="B140" i="3"/>
  <c r="D140" i="3" s="1"/>
  <c r="H139" i="3"/>
  <c r="J139" i="3" s="1"/>
  <c r="I142" i="3"/>
  <c r="J34" i="3"/>
  <c r="B88" i="3"/>
  <c r="G88" i="3"/>
  <c r="J87" i="3"/>
  <c r="D35" i="3" l="1"/>
  <c r="B36" i="3" s="1"/>
  <c r="H35" i="3"/>
  <c r="B141" i="3"/>
  <c r="D141" i="3" s="1"/>
  <c r="D88" i="3"/>
  <c r="B89" i="3" s="1"/>
  <c r="H88" i="3"/>
  <c r="J88" i="3" s="1"/>
  <c r="H140" i="3"/>
  <c r="J140" i="3" s="1"/>
  <c r="I143" i="3"/>
  <c r="J35" i="3"/>
  <c r="G89" i="3"/>
  <c r="D89" i="3" l="1"/>
  <c r="H89" i="3"/>
  <c r="D36" i="3"/>
  <c r="B37" i="3" s="1"/>
  <c r="H36" i="3"/>
  <c r="J36" i="3" s="1"/>
  <c r="B142" i="3"/>
  <c r="D142" i="3" s="1"/>
  <c r="H141" i="3"/>
  <c r="J141" i="3" s="1"/>
  <c r="I144" i="3"/>
  <c r="B90" i="3"/>
  <c r="J89" i="3"/>
  <c r="G90" i="3"/>
  <c r="D37" i="3" l="1"/>
  <c r="B38" i="3" s="1"/>
  <c r="H37" i="3"/>
  <c r="B143" i="3"/>
  <c r="D143" i="3" s="1"/>
  <c r="D90" i="3"/>
  <c r="H90" i="3"/>
  <c r="J90" i="3" s="1"/>
  <c r="H142" i="3"/>
  <c r="J142" i="3" s="1"/>
  <c r="I145" i="3"/>
  <c r="J37" i="3"/>
  <c r="G91" i="3"/>
  <c r="B91" i="3"/>
  <c r="H91" i="3" s="1"/>
  <c r="D91" i="3"/>
  <c r="D38" i="3" l="1"/>
  <c r="B39" i="3" s="1"/>
  <c r="H38" i="3"/>
  <c r="B144" i="3"/>
  <c r="H143" i="3"/>
  <c r="J143" i="3" s="1"/>
  <c r="I146" i="3"/>
  <c r="J38" i="3"/>
  <c r="D144" i="3"/>
  <c r="G92" i="3"/>
  <c r="J91" i="3"/>
  <c r="B92" i="3"/>
  <c r="D92" i="3" l="1"/>
  <c r="H92" i="3"/>
  <c r="D39" i="3"/>
  <c r="B40" i="3" s="1"/>
  <c r="H39" i="3"/>
  <c r="B145" i="3"/>
  <c r="D145" i="3" s="1"/>
  <c r="H144" i="3"/>
  <c r="J144" i="3" s="1"/>
  <c r="I147" i="3"/>
  <c r="J39" i="3"/>
  <c r="J92" i="3"/>
  <c r="G93" i="3"/>
  <c r="B93" i="3"/>
  <c r="D93" i="3" l="1"/>
  <c r="H93" i="3"/>
  <c r="D40" i="3"/>
  <c r="B41" i="3" s="1"/>
  <c r="H40" i="3"/>
  <c r="B146" i="3"/>
  <c r="D146" i="3" s="1"/>
  <c r="H145" i="3"/>
  <c r="J145" i="3" s="1"/>
  <c r="I148" i="3"/>
  <c r="J40" i="3"/>
  <c r="B94" i="3"/>
  <c r="G94" i="3"/>
  <c r="J93" i="3"/>
  <c r="D94" i="3" l="1"/>
  <c r="H94" i="3"/>
  <c r="D41" i="3"/>
  <c r="B42" i="3" s="1"/>
  <c r="H41" i="3"/>
  <c r="H147" i="3" s="1"/>
  <c r="J147" i="3" s="1"/>
  <c r="B147" i="3"/>
  <c r="D147" i="3" s="1"/>
  <c r="H146" i="3"/>
  <c r="J146" i="3" s="1"/>
  <c r="I149" i="3"/>
  <c r="J41" i="3"/>
  <c r="G95" i="3"/>
  <c r="J94" i="3"/>
  <c r="B95" i="3"/>
  <c r="D95" i="3" l="1"/>
  <c r="H95" i="3"/>
  <c r="D42" i="3"/>
  <c r="B43" i="3" s="1"/>
  <c r="H42" i="3"/>
  <c r="B148" i="3"/>
  <c r="I150" i="3"/>
  <c r="J42" i="3"/>
  <c r="D148" i="3"/>
  <c r="B96" i="3"/>
  <c r="G96" i="3"/>
  <c r="J95" i="3"/>
  <c r="D43" i="3" l="1"/>
  <c r="B44" i="3" s="1"/>
  <c r="H43" i="3"/>
  <c r="B149" i="3"/>
  <c r="D149" i="3" s="1"/>
  <c r="D96" i="3"/>
  <c r="B97" i="3" s="1"/>
  <c r="H96" i="3"/>
  <c r="H148" i="3"/>
  <c r="J148" i="3" s="1"/>
  <c r="I151" i="3"/>
  <c r="J43" i="3"/>
  <c r="G97" i="3"/>
  <c r="D97" i="3" l="1"/>
  <c r="H97" i="3"/>
  <c r="D44" i="3"/>
  <c r="B45" i="3" s="1"/>
  <c r="H44" i="3"/>
  <c r="J44" i="3" s="1"/>
  <c r="B150" i="3"/>
  <c r="D150" i="3" s="1"/>
  <c r="J96" i="3"/>
  <c r="J97" i="3" s="1"/>
  <c r="H149" i="3"/>
  <c r="J149" i="3" s="1"/>
  <c r="I152" i="3"/>
  <c r="B98" i="3"/>
  <c r="G98" i="3"/>
  <c r="D98" i="3" l="1"/>
  <c r="H98" i="3"/>
  <c r="J98" i="3" s="1"/>
  <c r="D45" i="3"/>
  <c r="B46" i="3" s="1"/>
  <c r="H45" i="3"/>
  <c r="B151" i="3"/>
  <c r="D151" i="3" s="1"/>
  <c r="H150" i="3"/>
  <c r="J150" i="3" s="1"/>
  <c r="I153" i="3"/>
  <c r="J45" i="3"/>
  <c r="B99" i="3"/>
  <c r="G99" i="3"/>
  <c r="D99" i="3" l="1"/>
  <c r="H99" i="3"/>
  <c r="D46" i="3"/>
  <c r="B47" i="3" s="1"/>
  <c r="H46" i="3"/>
  <c r="B152" i="3"/>
  <c r="D152" i="3" s="1"/>
  <c r="H151" i="3"/>
  <c r="J151" i="3" s="1"/>
  <c r="I154" i="3"/>
  <c r="J46" i="3"/>
  <c r="G100" i="3"/>
  <c r="B100" i="3"/>
  <c r="D100" i="3" l="1"/>
  <c r="H100" i="3"/>
  <c r="D47" i="3"/>
  <c r="B48" i="3" s="1"/>
  <c r="H47" i="3"/>
  <c r="J47" i="3" s="1"/>
  <c r="B153" i="3"/>
  <c r="D153" i="3" s="1"/>
  <c r="J99" i="3"/>
  <c r="J100" i="3" s="1"/>
  <c r="H152" i="3"/>
  <c r="J152" i="3" s="1"/>
  <c r="I155" i="3"/>
  <c r="G101" i="3"/>
  <c r="B101" i="3"/>
  <c r="D101" i="3" l="1"/>
  <c r="H101" i="3"/>
  <c r="H153" i="3"/>
  <c r="J153" i="3" s="1"/>
  <c r="D48" i="3"/>
  <c r="B49" i="3" s="1"/>
  <c r="H48" i="3"/>
  <c r="H154" i="3" s="1"/>
  <c r="J154" i="3" s="1"/>
  <c r="B154" i="3"/>
  <c r="D154" i="3" s="1"/>
  <c r="I156" i="3"/>
  <c r="J48" i="3"/>
  <c r="B102" i="3"/>
  <c r="J101" i="3"/>
  <c r="G102" i="3"/>
  <c r="D49" i="3" l="1"/>
  <c r="B50" i="3" s="1"/>
  <c r="H49" i="3"/>
  <c r="B155" i="3"/>
  <c r="D102" i="3"/>
  <c r="B103" i="3" s="1"/>
  <c r="H102" i="3"/>
  <c r="J102" i="3" s="1"/>
  <c r="I157" i="3"/>
  <c r="J49" i="3"/>
  <c r="D155" i="3"/>
  <c r="G103" i="3"/>
  <c r="D103" i="3" l="1"/>
  <c r="H103" i="3"/>
  <c r="H155" i="3"/>
  <c r="J155" i="3" s="1"/>
  <c r="D50" i="3"/>
  <c r="B51" i="3" s="1"/>
  <c r="H50" i="3"/>
  <c r="B156" i="3"/>
  <c r="D156" i="3" s="1"/>
  <c r="I158" i="3"/>
  <c r="J50" i="3"/>
  <c r="G104" i="3"/>
  <c r="J103" i="3"/>
  <c r="B104" i="3"/>
  <c r="D104" i="3" l="1"/>
  <c r="H104" i="3"/>
  <c r="D51" i="3"/>
  <c r="B52" i="3" s="1"/>
  <c r="H51" i="3"/>
  <c r="B157" i="3"/>
  <c r="D157" i="3" s="1"/>
  <c r="H156" i="3"/>
  <c r="J156" i="3" s="1"/>
  <c r="I159" i="3"/>
  <c r="J51" i="3"/>
  <c r="B105" i="3"/>
  <c r="J104" i="3"/>
  <c r="G105" i="3"/>
  <c r="D52" i="3" l="1"/>
  <c r="B53" i="3" s="1"/>
  <c r="H52" i="3"/>
  <c r="B158" i="3"/>
  <c r="D158" i="3" s="1"/>
  <c r="D105" i="3"/>
  <c r="H105" i="3"/>
  <c r="J105" i="3" s="1"/>
  <c r="H157" i="3"/>
  <c r="J157" i="3" s="1"/>
  <c r="I160" i="3"/>
  <c r="J52" i="3"/>
  <c r="B106" i="3"/>
  <c r="G106" i="3"/>
  <c r="D106" i="3" l="1"/>
  <c r="H106" i="3"/>
  <c r="D53" i="3"/>
  <c r="B54" i="3" s="1"/>
  <c r="H53" i="3"/>
  <c r="B159" i="3"/>
  <c r="D159" i="3" s="1"/>
  <c r="H158" i="3"/>
  <c r="J158" i="3" s="1"/>
  <c r="I161" i="3"/>
  <c r="J53" i="3"/>
  <c r="B107" i="3"/>
  <c r="G107" i="3"/>
  <c r="J106" i="3"/>
  <c r="D54" i="3" l="1"/>
  <c r="B55" i="3" s="1"/>
  <c r="H54" i="3"/>
  <c r="J54" i="3" s="1"/>
  <c r="B160" i="3"/>
  <c r="D107" i="3"/>
  <c r="H107" i="3"/>
  <c r="J107" i="3" s="1"/>
  <c r="H159" i="3"/>
  <c r="J159" i="3" s="1"/>
  <c r="I162" i="3"/>
  <c r="I163" i="3" s="1"/>
  <c r="I57" i="3"/>
  <c r="D160" i="3"/>
  <c r="G108" i="3"/>
  <c r="B108" i="3"/>
  <c r="D108" i="3" l="1"/>
  <c r="H108" i="3"/>
  <c r="D55" i="3"/>
  <c r="B56" i="3" s="1"/>
  <c r="H55" i="3"/>
  <c r="B161" i="3"/>
  <c r="D161" i="3" s="1"/>
  <c r="H160" i="3"/>
  <c r="J160" i="3" s="1"/>
  <c r="J55" i="3"/>
  <c r="E163" i="3"/>
  <c r="B109" i="3"/>
  <c r="G109" i="3"/>
  <c r="D56" i="3" l="1"/>
  <c r="H56" i="3"/>
  <c r="B162" i="3"/>
  <c r="B57" i="3"/>
  <c r="D109" i="3"/>
  <c r="H109" i="3"/>
  <c r="B110" i="3"/>
  <c r="J108" i="3"/>
  <c r="H161" i="3"/>
  <c r="J161" i="3" s="1"/>
  <c r="J56" i="3"/>
  <c r="H57" i="3"/>
  <c r="B163" i="3"/>
  <c r="J109" i="3" l="1"/>
  <c r="H110" i="3"/>
  <c r="H162" i="3"/>
  <c r="H163" i="3"/>
  <c r="J162" i="3"/>
  <c r="D162" i="3"/>
  <c r="D42" i="2"/>
  <c r="C42" i="2"/>
  <c r="B42" i="2"/>
  <c r="D40" i="2"/>
  <c r="D38" i="2"/>
  <c r="E38" i="2" s="1"/>
  <c r="C33" i="2"/>
  <c r="D33" i="2" s="1"/>
  <c r="D34" i="2" s="1"/>
  <c r="B33" i="2"/>
  <c r="D31" i="2"/>
  <c r="D29" i="2"/>
  <c r="E29" i="2" s="1"/>
  <c r="C24" i="2"/>
  <c r="B24" i="2"/>
  <c r="D22" i="2"/>
  <c r="B20" i="2"/>
  <c r="D20" i="2" s="1"/>
  <c r="D24" i="2" s="1"/>
  <c r="D26" i="2" s="1"/>
  <c r="D18" i="2"/>
  <c r="E18" i="2" s="1"/>
  <c r="C13" i="2"/>
  <c r="B13" i="2"/>
  <c r="D13" i="2" s="1"/>
  <c r="B11" i="2"/>
  <c r="D11" i="2" s="1"/>
  <c r="D9" i="2"/>
  <c r="E9" i="2" s="1"/>
  <c r="C71" i="1" l="1"/>
  <c r="D71" i="1"/>
  <c r="E71" i="1"/>
  <c r="F71" i="1"/>
  <c r="G71" i="1"/>
  <c r="H71" i="1"/>
  <c r="I71" i="1"/>
  <c r="J71" i="1"/>
  <c r="B71" i="1"/>
  <c r="C43" i="1"/>
  <c r="D43" i="1"/>
  <c r="E43" i="1"/>
  <c r="F43" i="1"/>
  <c r="G43" i="1"/>
  <c r="H43" i="1"/>
  <c r="I43" i="1"/>
  <c r="J43" i="1"/>
  <c r="B43" i="1"/>
  <c r="B62" i="1"/>
  <c r="C62" i="1"/>
  <c r="D62" i="1"/>
  <c r="E62" i="1"/>
  <c r="G62" i="1" s="1"/>
  <c r="F62" i="1"/>
  <c r="I62" i="1"/>
  <c r="B63" i="1"/>
  <c r="C63" i="1"/>
  <c r="I63" i="1" s="1"/>
  <c r="D63" i="1"/>
  <c r="E63" i="1"/>
  <c r="G63" i="1" s="1"/>
  <c r="F63" i="1"/>
  <c r="H63" i="1"/>
  <c r="B64" i="1"/>
  <c r="H64" i="1" s="1"/>
  <c r="J64" i="1" s="1"/>
  <c r="C64" i="1"/>
  <c r="I64" i="1" s="1"/>
  <c r="D64" i="1"/>
  <c r="E64" i="1"/>
  <c r="F64" i="1"/>
  <c r="G64" i="1"/>
  <c r="B65" i="1"/>
  <c r="H65" i="1" s="1"/>
  <c r="C65" i="1"/>
  <c r="I65" i="1" s="1"/>
  <c r="E65" i="1"/>
  <c r="G65" i="1" s="1"/>
  <c r="F65" i="1"/>
  <c r="B66" i="1"/>
  <c r="H66" i="1" s="1"/>
  <c r="C66" i="1"/>
  <c r="I66" i="1" s="1"/>
  <c r="E66" i="1"/>
  <c r="G66" i="1" s="1"/>
  <c r="F66" i="1"/>
  <c r="B67" i="1"/>
  <c r="H67" i="1" s="1"/>
  <c r="J67" i="1" s="1"/>
  <c r="C67" i="1"/>
  <c r="D67" i="1"/>
  <c r="E67" i="1"/>
  <c r="F67" i="1"/>
  <c r="G67" i="1"/>
  <c r="I67" i="1"/>
  <c r="B68" i="1"/>
  <c r="D68" i="1" s="1"/>
  <c r="C68" i="1"/>
  <c r="I68" i="1" s="1"/>
  <c r="E68" i="1"/>
  <c r="F68" i="1"/>
  <c r="G68" i="1"/>
  <c r="H68" i="1"/>
  <c r="J68" i="1" s="1"/>
  <c r="B69" i="1"/>
  <c r="D69" i="1" s="1"/>
  <c r="C69" i="1"/>
  <c r="E69" i="1"/>
  <c r="F69" i="1"/>
  <c r="G69" i="1"/>
  <c r="I69" i="1"/>
  <c r="B70" i="1"/>
  <c r="D70" i="1" s="1"/>
  <c r="C70" i="1"/>
  <c r="E70" i="1"/>
  <c r="F70" i="1"/>
  <c r="G70" i="1" s="1"/>
  <c r="H70" i="1"/>
  <c r="J70" i="1" s="1"/>
  <c r="I70" i="1"/>
  <c r="H34" i="1"/>
  <c r="I34" i="1"/>
  <c r="H35" i="1"/>
  <c r="I35" i="1"/>
  <c r="J35" i="1" s="1"/>
  <c r="H36" i="1"/>
  <c r="J36" i="1" s="1"/>
  <c r="I36" i="1"/>
  <c r="H37" i="1"/>
  <c r="J37" i="1" s="1"/>
  <c r="I37" i="1"/>
  <c r="H38" i="1"/>
  <c r="J38" i="1" s="1"/>
  <c r="I38" i="1"/>
  <c r="H39" i="1"/>
  <c r="I39" i="1"/>
  <c r="H40" i="1"/>
  <c r="J40" i="1" s="1"/>
  <c r="I40" i="1"/>
  <c r="H41" i="1"/>
  <c r="J41" i="1" s="1"/>
  <c r="I41" i="1"/>
  <c r="H42" i="1"/>
  <c r="I42" i="1"/>
  <c r="G34" i="1"/>
  <c r="G35" i="1"/>
  <c r="G36" i="1"/>
  <c r="G37" i="1"/>
  <c r="G38" i="1"/>
  <c r="G39" i="1"/>
  <c r="G40" i="1"/>
  <c r="G41" i="1"/>
  <c r="G42" i="1"/>
  <c r="E35" i="1"/>
  <c r="E36" i="1" s="1"/>
  <c r="E37" i="1" s="1"/>
  <c r="E38" i="1" s="1"/>
  <c r="E39" i="1" s="1"/>
  <c r="E40" i="1" s="1"/>
  <c r="E41" i="1" s="1"/>
  <c r="E42" i="1" s="1"/>
  <c r="F35" i="1"/>
  <c r="F36" i="1" s="1"/>
  <c r="F37" i="1" s="1"/>
  <c r="F38" i="1" s="1"/>
  <c r="F39" i="1" s="1"/>
  <c r="F40" i="1" s="1"/>
  <c r="F41" i="1" s="1"/>
  <c r="F42" i="1" s="1"/>
  <c r="F34" i="1"/>
  <c r="E34" i="1"/>
  <c r="D34" i="1"/>
  <c r="D35" i="1"/>
  <c r="D36" i="1"/>
  <c r="D37" i="1"/>
  <c r="D38" i="1"/>
  <c r="D39" i="1"/>
  <c r="D40" i="1"/>
  <c r="D41" i="1"/>
  <c r="D42" i="1"/>
  <c r="B35" i="1"/>
  <c r="B36" i="1" s="1"/>
  <c r="B37" i="1" s="1"/>
  <c r="B38" i="1" s="1"/>
  <c r="B39" i="1" s="1"/>
  <c r="B40" i="1" s="1"/>
  <c r="B41" i="1" s="1"/>
  <c r="B42" i="1" s="1"/>
  <c r="C35" i="1"/>
  <c r="C36" i="1"/>
  <c r="C37" i="1"/>
  <c r="C38" i="1"/>
  <c r="C39" i="1" s="1"/>
  <c r="C40" i="1" s="1"/>
  <c r="C41" i="1" s="1"/>
  <c r="C42" i="1" s="1"/>
  <c r="C34" i="1"/>
  <c r="B34" i="1"/>
  <c r="H61" i="1"/>
  <c r="J61" i="1" s="1"/>
  <c r="I61" i="1"/>
  <c r="G61" i="1"/>
  <c r="D61" i="1"/>
  <c r="H33" i="1"/>
  <c r="G33" i="1"/>
  <c r="I33" i="1"/>
  <c r="D33" i="1"/>
  <c r="F54" i="1"/>
  <c r="E54" i="1"/>
  <c r="F53" i="1"/>
  <c r="E53" i="1"/>
  <c r="F52" i="1"/>
  <c r="E52" i="1"/>
  <c r="H52" i="1" s="1"/>
  <c r="F51" i="1"/>
  <c r="I51" i="1" s="1"/>
  <c r="E51" i="1"/>
  <c r="F50" i="1"/>
  <c r="E50" i="1"/>
  <c r="G50" i="1" s="1"/>
  <c r="F49" i="1"/>
  <c r="E49" i="1"/>
  <c r="G49" i="1" s="1"/>
  <c r="F48" i="1"/>
  <c r="E48" i="1"/>
  <c r="G48" i="1" s="1"/>
  <c r="F47" i="1"/>
  <c r="I47" i="1" s="1"/>
  <c r="E47" i="1"/>
  <c r="G47" i="1" s="1"/>
  <c r="C47" i="1"/>
  <c r="C48" i="1"/>
  <c r="C49" i="1"/>
  <c r="C50" i="1"/>
  <c r="C51" i="1"/>
  <c r="C52" i="1"/>
  <c r="I52" i="1" s="1"/>
  <c r="C53" i="1"/>
  <c r="C54" i="1"/>
  <c r="B48" i="1"/>
  <c r="B49" i="1"/>
  <c r="H49" i="1" s="1"/>
  <c r="B50" i="1"/>
  <c r="B51" i="1"/>
  <c r="B52" i="1"/>
  <c r="B53" i="1"/>
  <c r="H53" i="1" s="1"/>
  <c r="B54" i="1"/>
  <c r="H54" i="1" s="1"/>
  <c r="B47" i="1"/>
  <c r="D47" i="1" s="1"/>
  <c r="F61" i="1"/>
  <c r="E61" i="1"/>
  <c r="F60" i="1"/>
  <c r="E60" i="1"/>
  <c r="F59" i="1"/>
  <c r="E59" i="1"/>
  <c r="F58" i="1"/>
  <c r="E58" i="1"/>
  <c r="G58" i="1" s="1"/>
  <c r="F57" i="1"/>
  <c r="I57" i="1" s="1"/>
  <c r="E57" i="1"/>
  <c r="F56" i="1"/>
  <c r="E56" i="1"/>
  <c r="F55" i="1"/>
  <c r="E55" i="1"/>
  <c r="G55" i="1" s="1"/>
  <c r="C61" i="1"/>
  <c r="C60" i="1"/>
  <c r="I60" i="1" s="1"/>
  <c r="C59" i="1"/>
  <c r="I59" i="1" s="1"/>
  <c r="C58" i="1"/>
  <c r="D58" i="1" s="1"/>
  <c r="C57" i="1"/>
  <c r="C56" i="1"/>
  <c r="I56" i="1" s="1"/>
  <c r="C55" i="1"/>
  <c r="I55" i="1" s="1"/>
  <c r="B61" i="1"/>
  <c r="B56" i="1"/>
  <c r="D56" i="1" s="1"/>
  <c r="B57" i="1"/>
  <c r="B58" i="1"/>
  <c r="B59" i="1"/>
  <c r="B60" i="1"/>
  <c r="B55" i="1"/>
  <c r="H51" i="1"/>
  <c r="I50" i="1"/>
  <c r="H60" i="1"/>
  <c r="G60" i="1"/>
  <c r="G59" i="1"/>
  <c r="I58" i="1"/>
  <c r="H58" i="1"/>
  <c r="H57" i="1"/>
  <c r="D57" i="1"/>
  <c r="H56" i="1"/>
  <c r="G56" i="1"/>
  <c r="H55" i="1"/>
  <c r="G53" i="1"/>
  <c r="H50" i="1"/>
  <c r="D50" i="1"/>
  <c r="I49" i="1"/>
  <c r="H27" i="1"/>
  <c r="I27" i="1"/>
  <c r="H28" i="1"/>
  <c r="J28" i="1" s="1"/>
  <c r="I28" i="1"/>
  <c r="H29" i="1"/>
  <c r="I29" i="1"/>
  <c r="H30" i="1"/>
  <c r="I30" i="1"/>
  <c r="H31" i="1"/>
  <c r="J31" i="1" s="1"/>
  <c r="I31" i="1"/>
  <c r="H32" i="1"/>
  <c r="I32" i="1"/>
  <c r="G32" i="1"/>
  <c r="G31" i="1"/>
  <c r="G30" i="1"/>
  <c r="G29" i="1"/>
  <c r="G28" i="1"/>
  <c r="G27" i="1"/>
  <c r="D32" i="1"/>
  <c r="D31" i="1"/>
  <c r="D30" i="1"/>
  <c r="D29" i="1"/>
  <c r="D28" i="1"/>
  <c r="D27" i="1"/>
  <c r="I26" i="1"/>
  <c r="H26" i="1"/>
  <c r="G26" i="1"/>
  <c r="D26" i="1"/>
  <c r="I25" i="1"/>
  <c r="H25" i="1"/>
  <c r="G25" i="1"/>
  <c r="D25" i="1"/>
  <c r="I24" i="1"/>
  <c r="H24" i="1"/>
  <c r="G24" i="1"/>
  <c r="D24" i="1"/>
  <c r="I23" i="1"/>
  <c r="H23" i="1"/>
  <c r="G23" i="1"/>
  <c r="D23" i="1"/>
  <c r="I22" i="1"/>
  <c r="H22" i="1"/>
  <c r="G22" i="1"/>
  <c r="D22" i="1"/>
  <c r="I21" i="1"/>
  <c r="H21" i="1"/>
  <c r="G21" i="1"/>
  <c r="D21" i="1"/>
  <c r="I20" i="1"/>
  <c r="H20" i="1"/>
  <c r="G20" i="1"/>
  <c r="D20" i="1"/>
  <c r="I19" i="1"/>
  <c r="H19" i="1"/>
  <c r="G19" i="1"/>
  <c r="D19" i="1"/>
  <c r="C15" i="1"/>
  <c r="E15" i="1"/>
  <c r="F15" i="1"/>
  <c r="B15" i="1"/>
  <c r="I7" i="1"/>
  <c r="I8" i="1"/>
  <c r="I9" i="1"/>
  <c r="I10" i="1"/>
  <c r="I11" i="1"/>
  <c r="I12" i="1"/>
  <c r="I13" i="1"/>
  <c r="J13" i="1" s="1"/>
  <c r="I14" i="1"/>
  <c r="J14" i="1" s="1"/>
  <c r="H8" i="1"/>
  <c r="J8" i="1" s="1"/>
  <c r="H9" i="1"/>
  <c r="H10" i="1"/>
  <c r="H11" i="1"/>
  <c r="H12" i="1"/>
  <c r="H13" i="1"/>
  <c r="H14" i="1"/>
  <c r="H7" i="1"/>
  <c r="G8" i="1"/>
  <c r="G15" i="1" s="1"/>
  <c r="G9" i="1"/>
  <c r="G10" i="1"/>
  <c r="G11" i="1"/>
  <c r="G12" i="1"/>
  <c r="G13" i="1"/>
  <c r="G14" i="1"/>
  <c r="G7" i="1"/>
  <c r="D8" i="1"/>
  <c r="D15" i="1" s="1"/>
  <c r="D9" i="1"/>
  <c r="D10" i="1"/>
  <c r="D11" i="1"/>
  <c r="D12" i="1"/>
  <c r="D13" i="1"/>
  <c r="D14" i="1"/>
  <c r="D7" i="1"/>
  <c r="J29" i="1" l="1"/>
  <c r="J11" i="1"/>
  <c r="J34" i="1"/>
  <c r="J33" i="1"/>
  <c r="J42" i="1"/>
  <c r="H15" i="1"/>
  <c r="J9" i="1"/>
  <c r="J39" i="1"/>
  <c r="J66" i="1"/>
  <c r="J63" i="1"/>
  <c r="J65" i="1"/>
  <c r="D66" i="1"/>
  <c r="H62" i="1"/>
  <c r="J62" i="1" s="1"/>
  <c r="H69" i="1"/>
  <c r="J69" i="1" s="1"/>
  <c r="D65" i="1"/>
  <c r="J15" i="1"/>
  <c r="J12" i="1"/>
  <c r="J27" i="1"/>
  <c r="J10" i="1"/>
  <c r="I15" i="1"/>
  <c r="J32" i="1"/>
  <c r="I54" i="1"/>
  <c r="D52" i="1"/>
  <c r="I48" i="1"/>
  <c r="D49" i="1"/>
  <c r="H47" i="1"/>
  <c r="J58" i="1"/>
  <c r="G57" i="1"/>
  <c r="J57" i="1"/>
  <c r="J56" i="1"/>
  <c r="H59" i="1"/>
  <c r="J59" i="1"/>
  <c r="J55" i="1"/>
  <c r="J60" i="1"/>
  <c r="D55" i="1"/>
  <c r="D60" i="1"/>
  <c r="D59" i="1"/>
  <c r="J30" i="1"/>
  <c r="G52" i="1"/>
  <c r="I53" i="1"/>
  <c r="G51" i="1"/>
  <c r="G54" i="1"/>
  <c r="D48" i="1"/>
  <c r="J52" i="1"/>
  <c r="J47" i="1"/>
  <c r="D53" i="1"/>
  <c r="J53" i="1"/>
  <c r="J51" i="1"/>
  <c r="D51" i="1"/>
  <c r="J49" i="1"/>
  <c r="H48" i="1"/>
  <c r="J48" i="1" s="1"/>
  <c r="D54" i="1"/>
  <c r="J50" i="1"/>
  <c r="J54" i="1"/>
  <c r="J21" i="1"/>
  <c r="J23" i="1"/>
  <c r="J25" i="1"/>
  <c r="J20" i="1"/>
  <c r="J24" i="1"/>
  <c r="J26" i="1"/>
  <c r="J22" i="1"/>
  <c r="J19" i="1"/>
  <c r="J7" i="1"/>
</calcChain>
</file>

<file path=xl/sharedStrings.xml><?xml version="1.0" encoding="utf-8"?>
<sst xmlns="http://schemas.openxmlformats.org/spreadsheetml/2006/main" count="179" uniqueCount="58">
  <si>
    <t>AEP Texas</t>
  </si>
  <si>
    <t>Income Tax Refund Rider</t>
  </si>
  <si>
    <t>Distribution</t>
  </si>
  <si>
    <t>Transmission</t>
  </si>
  <si>
    <t>Total</t>
  </si>
  <si>
    <t>Month</t>
  </si>
  <si>
    <t>North Division Income Tax Rate</t>
  </si>
  <si>
    <t>Central Division Income Tax Rate</t>
  </si>
  <si>
    <t>Total Income Tax Rate</t>
  </si>
  <si>
    <t>North Division Protected</t>
  </si>
  <si>
    <t>Central Division Protected</t>
  </si>
  <si>
    <t>Total Protected</t>
  </si>
  <si>
    <t>North Division Total</t>
  </si>
  <si>
    <t>Central Division Total</t>
  </si>
  <si>
    <t xml:space="preserve"> Total</t>
  </si>
  <si>
    <t xml:space="preserve">Unprotected Texas Excess Balance </t>
  </si>
  <si>
    <t>As of January 1, 2020</t>
  </si>
  <si>
    <t>TNC Dist</t>
  </si>
  <si>
    <t>282- TX unprotected</t>
  </si>
  <si>
    <t>283- TX unprotected</t>
  </si>
  <si>
    <t>March 2019 Balance</t>
  </si>
  <si>
    <t>Apr - Dec 19 Amort</t>
  </si>
  <si>
    <t>Jan 1, 2020 Balance</t>
  </si>
  <si>
    <t>TCC Dist</t>
  </si>
  <si>
    <t>Hurricane Harvey Securitization</t>
  </si>
  <si>
    <t>Good (Not Grossed-Up Values)</t>
  </si>
  <si>
    <t>TCC Tran</t>
  </si>
  <si>
    <t>TNC Tran</t>
  </si>
  <si>
    <t>Unprotected Tax Refund With Interest</t>
  </si>
  <si>
    <t>4 Year Refund Period</t>
  </si>
  <si>
    <t>Beg. Bal.</t>
  </si>
  <si>
    <t>Carrying Cost Rate</t>
  </si>
  <si>
    <t>Interest</t>
  </si>
  <si>
    <t>TCC Distribution</t>
  </si>
  <si>
    <t>Refund</t>
  </si>
  <si>
    <t>Balance</t>
  </si>
  <si>
    <t>TCC Transmission</t>
  </si>
  <si>
    <t>TCC Total</t>
  </si>
  <si>
    <t>TNC Distribution</t>
  </si>
  <si>
    <t>TNC Transmission</t>
  </si>
  <si>
    <t>TNC Total</t>
  </si>
  <si>
    <t>Description</t>
  </si>
  <si>
    <t>Amount</t>
  </si>
  <si>
    <t>Annual</t>
  </si>
  <si>
    <t xml:space="preserve">  Income Tax Rate</t>
  </si>
  <si>
    <t xml:space="preserve">  Protected</t>
  </si>
  <si>
    <t xml:space="preserve">  Unprotected</t>
  </si>
  <si>
    <t>Total TCC Distribution</t>
  </si>
  <si>
    <t>Total Distribution</t>
  </si>
  <si>
    <t>Total Transmission</t>
  </si>
  <si>
    <t>Total Total</t>
  </si>
  <si>
    <t>Total TCC</t>
  </si>
  <si>
    <t>Refund Amt</t>
  </si>
  <si>
    <t>Total One-Time</t>
  </si>
  <si>
    <t>Total TNC Distribution</t>
  </si>
  <si>
    <t>Total TCC Transmission</t>
  </si>
  <si>
    <t>Total TNC Transmission</t>
  </si>
  <si>
    <t>Total TNC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</si>
</sst>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17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164" fontId="3" fillId="0" borderId="0" xfId="2" applyNumberFormat="1" applyFont="1" applyFill="1" applyBorder="1" applyProtection="1"/>
    <xf numFmtId="164" fontId="0" fillId="0" borderId="0" xfId="0" applyNumberFormat="1"/>
    <xf numFmtId="164" fontId="3" fillId="0" borderId="1" xfId="2" applyNumberFormat="1" applyFont="1" applyFill="1" applyBorder="1" applyProtection="1"/>
    <xf numFmtId="164" fontId="0" fillId="0" borderId="1" xfId="0" applyNumberFormat="1" applyBorder="1"/>
    <xf numFmtId="164" fontId="0" fillId="0" borderId="0" xfId="0" applyNumberFormat="1" applyBorder="1"/>
    <xf numFmtId="164" fontId="0" fillId="0" borderId="0" xfId="0" applyNumberFormat="1" applyFill="1" applyBorder="1"/>
    <xf numFmtId="164" fontId="0" fillId="0" borderId="2" xfId="1" applyNumberFormat="1" applyFont="1" applyBorder="1"/>
    <xf numFmtId="164" fontId="0" fillId="0" borderId="0" xfId="1" applyNumberFormat="1" applyFont="1" applyBorder="1"/>
    <xf numFmtId="164" fontId="0" fillId="0" borderId="1" xfId="1" applyNumberFormat="1" applyFont="1" applyBorder="1"/>
    <xf numFmtId="164" fontId="0" fillId="0" borderId="1" xfId="0" applyNumberFormat="1" applyFill="1" applyBorder="1"/>
    <xf numFmtId="0" fontId="4" fillId="0" borderId="0" xfId="0" applyFont="1"/>
    <xf numFmtId="0" fontId="0" fillId="0" borderId="0" xfId="0" applyAlignment="1">
      <alignment horizontal="right"/>
    </xf>
    <xf numFmtId="43" fontId="0" fillId="0" borderId="0" xfId="1" applyFont="1"/>
    <xf numFmtId="43" fontId="0" fillId="0" borderId="0" xfId="0" applyNumberFormat="1"/>
    <xf numFmtId="43" fontId="0" fillId="0" borderId="1" xfId="1" applyFont="1" applyBorder="1"/>
    <xf numFmtId="43" fontId="0" fillId="0" borderId="1" xfId="0" applyNumberFormat="1" applyBorder="1"/>
    <xf numFmtId="43" fontId="0" fillId="0" borderId="3" xfId="0" applyNumberFormat="1" applyBorder="1"/>
    <xf numFmtId="43" fontId="0" fillId="0" borderId="0" xfId="1" applyFont="1" applyBorder="1"/>
    <xf numFmtId="0" fontId="0" fillId="0" borderId="0" xfId="0" applyBorder="1"/>
    <xf numFmtId="43" fontId="0" fillId="0" borderId="0" xfId="0" applyNumberFormat="1" applyBorder="1"/>
    <xf numFmtId="39" fontId="0" fillId="0" borderId="3" xfId="0" applyNumberFormat="1" applyBorder="1"/>
    <xf numFmtId="165" fontId="0" fillId="0" borderId="0" xfId="3" applyNumberFormat="1" applyFont="1"/>
    <xf numFmtId="164" fontId="0" fillId="0" borderId="0" xfId="1" applyNumberFormat="1" applyFont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4">
    <cellStyle name="Comma" xfId="1" builtinId="3"/>
    <cellStyle name="Comma 40" xfId="2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tso376\AppData\Local\Microsoft\Windows\INetCache\Content.Outlook\4MGN4K64\AEPTexas%20Central%20Div%20Filing%20Schedules%20TYE%2012-31-18%20(0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-DELETE"/>
      <sheetName val="Macros"/>
      <sheetName val="I-A"/>
      <sheetName val="I-A-1"/>
      <sheetName val="II-B"/>
      <sheetName val="Attachment II-B"/>
      <sheetName val="II-B-1 Plant"/>
      <sheetName val="Attachment II-B-1 Plant"/>
      <sheetName val="II-B-2 General Plant"/>
      <sheetName val="II-B-3 Comm. Equip."/>
      <sheetName val="II-B-4 CWIP"/>
      <sheetName val="II-B-5 Depreciation"/>
      <sheetName val="Attachment II-B-5 Depreciation"/>
      <sheetName val="II-B-6 Plant Future"/>
      <sheetName val="II-B-7 Accum. Provisions"/>
      <sheetName val="II-B-8 M&amp;S"/>
      <sheetName val="II-B-9 CWCapital"/>
      <sheetName val="II-B-10 Prepayments"/>
      <sheetName val="II-B-11 Rate Base Other"/>
      <sheetName val="II-B-12 Reg. Assets"/>
      <sheetName val="II-B-13 Gain on Disposition"/>
      <sheetName val="II-C-1 ROR"/>
      <sheetName val="II-C-1.1 ROR Method"/>
      <sheetName val="II-C-2.1"/>
      <sheetName val="Attachment II-C-2.1"/>
      <sheetName val="II-C-2.2"/>
      <sheetName val="II-C-2.2a"/>
      <sheetName val="II-C-2.3"/>
      <sheetName val="II-C-2.3a"/>
      <sheetName val="II-C-2.4"/>
      <sheetName val="II-C-2.4a"/>
      <sheetName val="II-C-2.5"/>
      <sheetName val="II-C-2-5"/>
      <sheetName val="II-C-2.5.1"/>
      <sheetName val="II-C-2.6"/>
      <sheetName val="Attachment II-C-2.6 "/>
      <sheetName val="II-C-2.7"/>
      <sheetName val="II-C-2.8 "/>
      <sheetName val="II-C-2.9 "/>
      <sheetName val="II-C-2.10 "/>
      <sheetName val="II-C-3"/>
      <sheetName val="II-D-1 O&amp;M"/>
      <sheetName val="Attachment II-D-1 O&amp;M"/>
      <sheetName val="II-D-1.1 Mthly O&amp;M (all)"/>
      <sheetName val="II-D-1.1 Mthly O&amp;M (Tran)"/>
      <sheetName val="II-D-1.1Mthly O&amp;M (Dist)"/>
      <sheetName val="II-D-1.1 Mthly O&amp;M (Meter)"/>
      <sheetName val="II-D-1.1 Mthly O&amp;M (TDCS)"/>
      <sheetName val="II-D-2 A&amp;G"/>
      <sheetName val="Attachment II D-2 A&amp;G"/>
      <sheetName val="II-D-2.1 Mthly A&amp;G (all)"/>
      <sheetName val="II-D-2.1 Mthly A&amp;G (Tran)"/>
      <sheetName val="II-D-2.1 Mthly A&amp;G (Dist)"/>
      <sheetName val="II-D-2.1 Mthly A&amp;G (Meter)"/>
      <sheetName val="II-D-2.1 Mthly A&amp;G (TDCS)"/>
      <sheetName val="II D-2.2 Bad Debt"/>
      <sheetName val="II D-2.2 Bad Debt (Part 2)"/>
      <sheetName val="II D-2.2 Bad Debt (Part 3)"/>
      <sheetName val="II-D-2.3 Adv.Contr.&amp;Dues"/>
      <sheetName val="II-D-2.4 Advertising"/>
      <sheetName val="II-D-2.4a Advertising Capital"/>
      <sheetName val="II-D-2.5Contributions&amp;Donations"/>
      <sheetName val="WP II-D-2.5-1 Educational "/>
      <sheetName val="WP II-D-2.5-2 Com Service"/>
      <sheetName val="WP II-D-2.5-3 Econ Devel"/>
      <sheetName val="WP II-D-2.5-4 Industry"/>
      <sheetName val="II-D-2.6 Dues Summary"/>
      <sheetName val="II-D-2.6a Industry"/>
      <sheetName val="II-D-2.6b Business Economic"/>
      <sheetName val="II-D-2.6c Professional"/>
      <sheetName val="II-D-2.6d Educational"/>
      <sheetName val="II-D-2.6e Community Serv"/>
      <sheetName val="II-D-2.6f Other"/>
      <sheetName val="II-D-2.6g Political"/>
      <sheetName val="II-D-2.7 Outside Services"/>
      <sheetName val="II-D-2.7-1 Outside Services"/>
      <sheetName val="II-D-2.7-2 Outside Services"/>
      <sheetName val="II-D-2.7-3 Outside Services"/>
      <sheetName val="II-D-2.8 Factoring"/>
      <sheetName val="II-D-2-9 Rents and Leases"/>
      <sheetName val="II-D-3 PAYROLL"/>
      <sheetName val="II-D-3.1 Payroll Narrative"/>
      <sheetName val="II-D-3.2 Reg and Overtime"/>
      <sheetName val="II-D-3.3 Union"/>
      <sheetName val="II-D-3.4 Exp vs Capital"/>
      <sheetName val="II-D-3.5 No. of Employees"/>
      <sheetName val="II-D-3.6 Non Standard Pay"/>
      <sheetName val="II-D-3.8 Pension"/>
      <sheetName val="II-D-3.9 OPEB"/>
      <sheetName val="II-D-4 Exclusions"/>
      <sheetName val="II-E-1 Dep. Exp."/>
      <sheetName val="Attachment II-E-1-1"/>
      <sheetName val="Attachment II-E-1-2"/>
      <sheetName val="Attachment II-E-1.3 Depr Rates"/>
      <sheetName val="II-E-2 Taxes Other"/>
      <sheetName val="Attachment II-E-2"/>
      <sheetName val="II-E-2.1 Ad valorem"/>
      <sheetName val="II-E-3 FIT"/>
      <sheetName val="II-E-3-Attach"/>
      <sheetName val="II-E-3.1"/>
      <sheetName val="Attachment II-E-3.1"/>
      <sheetName val="Attachment II-E-3.1.1"/>
      <sheetName val="II-E-3.2"/>
      <sheetName val="II-E-3.3"/>
      <sheetName val="II-E-3.4"/>
      <sheetName val="II-F Alloc_Factor"/>
      <sheetName val="II-F Alloc_Data"/>
      <sheetName val="II-E-3.5 ADFIT"/>
      <sheetName val="II-E-3.6"/>
      <sheetName val="II-E-3.7"/>
      <sheetName val="II-E-3.8"/>
      <sheetName val="II-E-3.9 ITC"/>
      <sheetName val="II-E-3.10"/>
      <sheetName val="II-E-3.11"/>
      <sheetName val="II-E-3.12 ITC Utilized"/>
      <sheetName val="II-E-3.13 ITC Elections"/>
      <sheetName val="II-E-3.14 Accum Def ITC"/>
      <sheetName val="II-E-3.15"/>
      <sheetName val="II-E-3.16"/>
      <sheetName val="II-E-3.17"/>
      <sheetName val="II-E-3.18"/>
      <sheetName val="II-E-3.19"/>
      <sheetName val="II-E-3.20"/>
      <sheetName val="II-E-3.21"/>
      <sheetName val="II-E-3.22"/>
      <sheetName val="II-E-3.23 Pg 1"/>
      <sheetName val="II-E-3.23 Pg 2"/>
      <sheetName val="II-E-3.23 Pg 3"/>
      <sheetName val="II-E-3.24"/>
      <sheetName val="II-E-4 Other Expenses"/>
      <sheetName val="II-E-4.1"/>
      <sheetName val="II-E-4.2"/>
      <sheetName val="II-E-4.3"/>
      <sheetName val="II-E-4.4 Reg Comm Exp"/>
      <sheetName val="II E-4.5 Rate Case Expense"/>
      <sheetName val="II-E-5 Other Revenues"/>
      <sheetName val="II-G"/>
      <sheetName val="II-I-1"/>
      <sheetName val="III-A Wholesale TCOS"/>
      <sheetName val="III-B"/>
      <sheetName val="III-E-5"/>
      <sheetName val="IV-J-1-Revenue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5">
          <cell r="F15">
            <v>4.725E-2</v>
          </cell>
        </row>
        <row r="17">
          <cell r="F17">
            <v>2.3517E-2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tabSelected="1" workbookViewId="0">
      <selection activeCell="H74" sqref="H74"/>
    </sheetView>
  </sheetViews>
  <sheetFormatPr defaultRowHeight="15" x14ac:dyDescent="0.25"/>
  <cols>
    <col min="1" max="1" width="30.28515625" customWidth="1"/>
    <col min="2" max="2" width="15.28515625" bestFit="1" customWidth="1"/>
    <col min="3" max="4" width="13.28515625" bestFit="1" customWidth="1"/>
  </cols>
  <sheetData>
    <row r="1" spans="1:3" x14ac:dyDescent="0.25">
      <c r="A1" s="31" t="s">
        <v>0</v>
      </c>
      <c r="B1" s="31"/>
      <c r="C1" s="31"/>
    </row>
    <row r="2" spans="1:3" x14ac:dyDescent="0.25">
      <c r="A2" s="31" t="s">
        <v>1</v>
      </c>
      <c r="B2" s="31"/>
      <c r="C2" s="31"/>
    </row>
    <row r="4" spans="1:3" x14ac:dyDescent="0.25">
      <c r="A4" s="3"/>
      <c r="B4" s="3" t="s">
        <v>4</v>
      </c>
      <c r="C4" s="3" t="s">
        <v>43</v>
      </c>
    </row>
    <row r="5" spans="1:3" x14ac:dyDescent="0.25">
      <c r="A5" s="2" t="s">
        <v>41</v>
      </c>
      <c r="B5" s="2" t="s">
        <v>42</v>
      </c>
      <c r="C5" s="2" t="s">
        <v>52</v>
      </c>
    </row>
    <row r="6" spans="1:3" x14ac:dyDescent="0.25">
      <c r="A6" s="4" t="s">
        <v>33</v>
      </c>
    </row>
    <row r="7" spans="1:3" x14ac:dyDescent="0.25">
      <c r="A7" t="s">
        <v>44</v>
      </c>
      <c r="B7" s="28">
        <f>'Stub Period'!F15</f>
        <v>9293055.3490476124</v>
      </c>
      <c r="C7" s="28">
        <f>B7/4</f>
        <v>2323263.8372619031</v>
      </c>
    </row>
    <row r="8" spans="1:3" x14ac:dyDescent="0.25">
      <c r="A8" t="s">
        <v>45</v>
      </c>
      <c r="B8" s="28">
        <f>'Stub Period'!F43</f>
        <v>4734348.3899999997</v>
      </c>
      <c r="C8" s="28">
        <f t="shared" ref="C8:C9" si="0">B8/4</f>
        <v>1183587.0974999999</v>
      </c>
    </row>
    <row r="9" spans="1:3" x14ac:dyDescent="0.25">
      <c r="A9" t="s">
        <v>46</v>
      </c>
      <c r="B9" s="14">
        <f>-'Unprotected With Interest'!C57</f>
        <v>39725540.815980189</v>
      </c>
      <c r="C9" s="14">
        <f t="shared" si="0"/>
        <v>9931385.2039950471</v>
      </c>
    </row>
    <row r="10" spans="1:3" x14ac:dyDescent="0.25">
      <c r="A10" t="s">
        <v>47</v>
      </c>
      <c r="B10" s="28">
        <f>SUM(B7:B9)</f>
        <v>53752944.555027798</v>
      </c>
      <c r="C10" s="28">
        <f>SUM(C7:C9)</f>
        <v>13438236.138756949</v>
      </c>
    </row>
    <row r="11" spans="1:3" x14ac:dyDescent="0.25">
      <c r="B11" s="28"/>
      <c r="C11" s="28"/>
    </row>
    <row r="12" spans="1:3" x14ac:dyDescent="0.25">
      <c r="A12" s="4" t="s">
        <v>38</v>
      </c>
    </row>
    <row r="13" spans="1:3" x14ac:dyDescent="0.25">
      <c r="A13" t="s">
        <v>44</v>
      </c>
      <c r="B13" s="28">
        <f>'Stub Period'!C15</f>
        <v>2372459.7159178797</v>
      </c>
      <c r="C13" s="28">
        <f>B13/4</f>
        <v>593114.92897946993</v>
      </c>
    </row>
    <row r="14" spans="1:3" x14ac:dyDescent="0.25">
      <c r="A14" t="s">
        <v>45</v>
      </c>
      <c r="B14" s="28">
        <f>'Stub Period'!C43</f>
        <v>1193273.3500000001</v>
      </c>
      <c r="C14" s="28">
        <f t="shared" ref="C14:C15" si="1">B14/4</f>
        <v>298318.33750000002</v>
      </c>
    </row>
    <row r="15" spans="1:3" x14ac:dyDescent="0.25">
      <c r="A15" t="s">
        <v>46</v>
      </c>
      <c r="B15" s="14">
        <f>-'Unprotected With Interest'!C110</f>
        <v>25647715.268858079</v>
      </c>
      <c r="C15" s="14">
        <f t="shared" si="1"/>
        <v>6411928.8172145197</v>
      </c>
    </row>
    <row r="16" spans="1:3" x14ac:dyDescent="0.25">
      <c r="A16" t="s">
        <v>54</v>
      </c>
      <c r="B16" s="28">
        <f>SUM(B13:B15)</f>
        <v>29213448.334775958</v>
      </c>
      <c r="C16" s="28">
        <f>SUM(C13:C15)</f>
        <v>7303362.0836939896</v>
      </c>
    </row>
    <row r="17" spans="1:3" x14ac:dyDescent="0.25">
      <c r="B17" s="28"/>
      <c r="C17" s="28"/>
    </row>
    <row r="18" spans="1:3" x14ac:dyDescent="0.25">
      <c r="A18" s="4" t="s">
        <v>48</v>
      </c>
    </row>
    <row r="19" spans="1:3" x14ac:dyDescent="0.25">
      <c r="A19" t="s">
        <v>44</v>
      </c>
      <c r="B19" s="28">
        <f>B7+B13</f>
        <v>11665515.064965492</v>
      </c>
      <c r="C19" s="28">
        <f>B19/4</f>
        <v>2916378.766241373</v>
      </c>
    </row>
    <row r="20" spans="1:3" x14ac:dyDescent="0.25">
      <c r="A20" t="s">
        <v>45</v>
      </c>
      <c r="B20" s="28">
        <f>B8+B14</f>
        <v>5927621.7400000002</v>
      </c>
      <c r="C20" s="28">
        <f t="shared" ref="C20:C21" si="2">B20/4</f>
        <v>1481905.4350000001</v>
      </c>
    </row>
    <row r="21" spans="1:3" x14ac:dyDescent="0.25">
      <c r="A21" t="s">
        <v>46</v>
      </c>
      <c r="B21" s="14">
        <f>B9+B15</f>
        <v>65373256.084838271</v>
      </c>
      <c r="C21" s="14">
        <f t="shared" si="2"/>
        <v>16343314.021209568</v>
      </c>
    </row>
    <row r="22" spans="1:3" x14ac:dyDescent="0.25">
      <c r="A22" t="s">
        <v>48</v>
      </c>
      <c r="B22" s="28">
        <f>SUM(B19:B21)</f>
        <v>82966392.889803767</v>
      </c>
      <c r="C22" s="28">
        <f>SUM(C19:C21)</f>
        <v>20741598.222450942</v>
      </c>
    </row>
    <row r="23" spans="1:3" x14ac:dyDescent="0.25">
      <c r="B23" s="28"/>
      <c r="C23" s="28"/>
    </row>
    <row r="24" spans="1:3" x14ac:dyDescent="0.25">
      <c r="A24" s="29"/>
      <c r="B24" s="29" t="s">
        <v>53</v>
      </c>
      <c r="C24" s="30"/>
    </row>
    <row r="25" spans="1:3" x14ac:dyDescent="0.25">
      <c r="A25" s="2" t="s">
        <v>41</v>
      </c>
      <c r="B25" s="2" t="s">
        <v>52</v>
      </c>
      <c r="C25" s="30"/>
    </row>
    <row r="26" spans="1:3" x14ac:dyDescent="0.25">
      <c r="A26" s="4" t="s">
        <v>36</v>
      </c>
      <c r="C26" s="24"/>
    </row>
    <row r="27" spans="1:3" x14ac:dyDescent="0.25">
      <c r="A27" t="s">
        <v>44</v>
      </c>
      <c r="B27" s="28">
        <f>'Stub Period'!E15</f>
        <v>7723828.8299999991</v>
      </c>
      <c r="C27" s="13"/>
    </row>
    <row r="28" spans="1:3" x14ac:dyDescent="0.25">
      <c r="A28" t="s">
        <v>45</v>
      </c>
      <c r="B28" s="28">
        <f>'Stub Period'!E43</f>
        <v>1634119.1499999992</v>
      </c>
      <c r="C28" s="13"/>
    </row>
    <row r="29" spans="1:3" x14ac:dyDescent="0.25">
      <c r="A29" t="s">
        <v>46</v>
      </c>
      <c r="B29" s="14">
        <f>-'Unprotected With Interest'!F57</f>
        <v>12848996.202531645</v>
      </c>
      <c r="C29" s="13"/>
    </row>
    <row r="30" spans="1:3" x14ac:dyDescent="0.25">
      <c r="A30" t="s">
        <v>55</v>
      </c>
      <c r="B30" s="28">
        <f>SUM(B27:B29)</f>
        <v>22206944.182531644</v>
      </c>
      <c r="C30" s="13"/>
    </row>
    <row r="31" spans="1:3" x14ac:dyDescent="0.25">
      <c r="B31" s="28"/>
      <c r="C31" s="13"/>
    </row>
    <row r="32" spans="1:3" x14ac:dyDescent="0.25">
      <c r="A32" s="4" t="s">
        <v>39</v>
      </c>
      <c r="C32" s="13"/>
    </row>
    <row r="33" spans="1:3" x14ac:dyDescent="0.25">
      <c r="A33" t="s">
        <v>44</v>
      </c>
      <c r="B33" s="28">
        <f>'Stub Period'!B15</f>
        <v>2388363.67</v>
      </c>
      <c r="C33" s="13"/>
    </row>
    <row r="34" spans="1:3" x14ac:dyDescent="0.25">
      <c r="A34" t="s">
        <v>45</v>
      </c>
      <c r="B34" s="28">
        <f>'Stub Period'!B43</f>
        <v>739100.89999999979</v>
      </c>
      <c r="C34" s="13"/>
    </row>
    <row r="35" spans="1:3" x14ac:dyDescent="0.25">
      <c r="A35" t="s">
        <v>46</v>
      </c>
      <c r="B35" s="14">
        <f>-'Unprotected With Interest'!F110</f>
        <v>3926274.6835443038</v>
      </c>
      <c r="C35" s="13"/>
    </row>
    <row r="36" spans="1:3" x14ac:dyDescent="0.25">
      <c r="A36" t="s">
        <v>56</v>
      </c>
      <c r="B36" s="28">
        <f>SUM(B33:B35)</f>
        <v>7053739.2535443036</v>
      </c>
      <c r="C36" s="13"/>
    </row>
    <row r="37" spans="1:3" x14ac:dyDescent="0.25">
      <c r="B37" s="28"/>
      <c r="C37" s="13"/>
    </row>
    <row r="38" spans="1:3" x14ac:dyDescent="0.25">
      <c r="A38" s="4" t="s">
        <v>49</v>
      </c>
      <c r="C38" s="13"/>
    </row>
    <row r="39" spans="1:3" x14ac:dyDescent="0.25">
      <c r="A39" t="s">
        <v>44</v>
      </c>
      <c r="B39" s="28">
        <f>B27+B33</f>
        <v>10112192.5</v>
      </c>
      <c r="C39" s="13"/>
    </row>
    <row r="40" spans="1:3" x14ac:dyDescent="0.25">
      <c r="A40" t="s">
        <v>45</v>
      </c>
      <c r="B40" s="28">
        <f>B28+B34</f>
        <v>2373220.0499999989</v>
      </c>
      <c r="C40" s="13"/>
    </row>
    <row r="41" spans="1:3" x14ac:dyDescent="0.25">
      <c r="A41" t="s">
        <v>46</v>
      </c>
      <c r="B41" s="14">
        <f>B29+B35</f>
        <v>16775270.886075949</v>
      </c>
      <c r="C41" s="13"/>
    </row>
    <row r="42" spans="1:3" x14ac:dyDescent="0.25">
      <c r="A42" t="s">
        <v>49</v>
      </c>
      <c r="B42" s="28">
        <f>SUM(B39:B41)</f>
        <v>29260683.436075948</v>
      </c>
      <c r="C42" s="13"/>
    </row>
    <row r="43" spans="1:3" x14ac:dyDescent="0.25">
      <c r="B43" s="28"/>
      <c r="C43" s="13"/>
    </row>
    <row r="44" spans="1:3" x14ac:dyDescent="0.25">
      <c r="A44" s="4" t="s">
        <v>37</v>
      </c>
      <c r="C44" s="24"/>
    </row>
    <row r="45" spans="1:3" x14ac:dyDescent="0.25">
      <c r="A45" t="s">
        <v>44</v>
      </c>
      <c r="B45" s="28">
        <f>B7+B27</f>
        <v>17016884.179047611</v>
      </c>
      <c r="C45" s="13"/>
    </row>
    <row r="46" spans="1:3" x14ac:dyDescent="0.25">
      <c r="A46" t="s">
        <v>45</v>
      </c>
      <c r="B46" s="28">
        <f>B8+B28</f>
        <v>6368467.5399999991</v>
      </c>
      <c r="C46" s="13"/>
    </row>
    <row r="47" spans="1:3" x14ac:dyDescent="0.25">
      <c r="A47" t="s">
        <v>46</v>
      </c>
      <c r="B47" s="14">
        <f>B9+B29</f>
        <v>52574537.018511832</v>
      </c>
      <c r="C47" s="13"/>
    </row>
    <row r="48" spans="1:3" x14ac:dyDescent="0.25">
      <c r="A48" t="s">
        <v>51</v>
      </c>
      <c r="B48" s="28">
        <f>SUM(B45:B47)</f>
        <v>75959888.737559438</v>
      </c>
      <c r="C48" s="13"/>
    </row>
    <row r="49" spans="1:4" x14ac:dyDescent="0.25">
      <c r="B49" s="28"/>
      <c r="C49" s="13"/>
    </row>
    <row r="50" spans="1:4" x14ac:dyDescent="0.25">
      <c r="A50" s="4" t="s">
        <v>40</v>
      </c>
      <c r="C50" s="24"/>
    </row>
    <row r="51" spans="1:4" x14ac:dyDescent="0.25">
      <c r="A51" t="s">
        <v>44</v>
      </c>
      <c r="B51" s="28">
        <f>B13+B33</f>
        <v>4760823.3859178796</v>
      </c>
      <c r="C51" s="13"/>
      <c r="D51" s="19"/>
    </row>
    <row r="52" spans="1:4" x14ac:dyDescent="0.25">
      <c r="A52" t="s">
        <v>45</v>
      </c>
      <c r="B52" s="28">
        <f>B14+B34</f>
        <v>1932374.25</v>
      </c>
      <c r="C52" s="13"/>
    </row>
    <row r="53" spans="1:4" x14ac:dyDescent="0.25">
      <c r="A53" t="s">
        <v>46</v>
      </c>
      <c r="B53" s="14">
        <f>B15+B35</f>
        <v>29573989.952402383</v>
      </c>
      <c r="C53" s="13"/>
    </row>
    <row r="54" spans="1:4" x14ac:dyDescent="0.25">
      <c r="A54" t="s">
        <v>57</v>
      </c>
      <c r="B54" s="28">
        <f>SUM(B51:B53)</f>
        <v>36267187.588320263</v>
      </c>
      <c r="C54" s="13"/>
    </row>
    <row r="55" spans="1:4" x14ac:dyDescent="0.25">
      <c r="B55" s="28"/>
      <c r="C55" s="13"/>
    </row>
    <row r="56" spans="1:4" x14ac:dyDescent="0.25">
      <c r="A56" s="4" t="s">
        <v>50</v>
      </c>
      <c r="C56" s="24"/>
    </row>
    <row r="57" spans="1:4" x14ac:dyDescent="0.25">
      <c r="A57" t="s">
        <v>44</v>
      </c>
      <c r="B57" s="28">
        <f>B19+B39</f>
        <v>21777707.564965494</v>
      </c>
      <c r="C57" s="13"/>
    </row>
    <row r="58" spans="1:4" x14ac:dyDescent="0.25">
      <c r="A58" t="s">
        <v>45</v>
      </c>
      <c r="B58" s="28">
        <f>B20+B40</f>
        <v>8300841.7899999991</v>
      </c>
      <c r="C58" s="13"/>
    </row>
    <row r="59" spans="1:4" x14ac:dyDescent="0.25">
      <c r="A59" t="s">
        <v>46</v>
      </c>
      <c r="B59" s="14">
        <f>B21+B41</f>
        <v>82148526.970914215</v>
      </c>
      <c r="C59" s="13"/>
    </row>
    <row r="60" spans="1:4" x14ac:dyDescent="0.25">
      <c r="A60" t="s">
        <v>4</v>
      </c>
      <c r="B60" s="28">
        <f>SUM(B57:B59)</f>
        <v>112227076.32587971</v>
      </c>
      <c r="C60" s="13"/>
    </row>
    <row r="61" spans="1:4" x14ac:dyDescent="0.25">
      <c r="C61" s="24"/>
    </row>
    <row r="62" spans="1:4" x14ac:dyDescent="0.25">
      <c r="C62" s="24"/>
    </row>
    <row r="63" spans="1:4" x14ac:dyDescent="0.25">
      <c r="B63" s="28"/>
      <c r="C63" s="24"/>
    </row>
    <row r="64" spans="1:4" x14ac:dyDescent="0.25">
      <c r="C64" s="24"/>
    </row>
    <row r="65" spans="3:3" x14ac:dyDescent="0.25">
      <c r="C65" s="24"/>
    </row>
    <row r="66" spans="3:3" x14ac:dyDescent="0.25">
      <c r="C66" s="24"/>
    </row>
    <row r="67" spans="3:3" x14ac:dyDescent="0.25">
      <c r="C67" s="24"/>
    </row>
    <row r="68" spans="3:3" x14ac:dyDescent="0.25">
      <c r="C68" s="24"/>
    </row>
    <row r="69" spans="3:3" x14ac:dyDescent="0.25">
      <c r="C69" s="24"/>
    </row>
    <row r="70" spans="3:3" x14ac:dyDescent="0.25">
      <c r="C70" s="24"/>
    </row>
    <row r="71" spans="3:3" x14ac:dyDescent="0.25">
      <c r="C71" s="24"/>
    </row>
    <row r="72" spans="3:3" x14ac:dyDescent="0.25">
      <c r="C72" s="24"/>
    </row>
    <row r="73" spans="3:3" x14ac:dyDescent="0.25">
      <c r="C73" s="24"/>
    </row>
    <row r="74" spans="3:3" x14ac:dyDescent="0.25">
      <c r="C74" s="24"/>
    </row>
    <row r="75" spans="3:3" x14ac:dyDescent="0.25">
      <c r="C75" s="24"/>
    </row>
    <row r="76" spans="3:3" x14ac:dyDescent="0.25">
      <c r="C76" s="24"/>
    </row>
  </sheetData>
  <mergeCells count="2">
    <mergeCell ref="A1:C1"/>
    <mergeCell ref="A2:C2"/>
  </mergeCells>
  <printOptions horizontalCentered="1"/>
  <pageMargins left="0.7" right="0.7" top="0.75" bottom="0.75" header="0.3" footer="0.3"/>
  <pageSetup orientation="portrait" r:id="rId1"/>
  <headerFooter>
    <oddHeader>&amp;REXHIBIT RWH-4
Page &amp;P of &amp;N</oddHeader>
  </headerFooter>
  <rowBreaks count="1" manualBreakCount="1">
    <brk id="2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"/>
  <sheetViews>
    <sheetView tabSelected="1" topLeftCell="A46" workbookViewId="0">
      <selection activeCell="H74" sqref="H74"/>
    </sheetView>
  </sheetViews>
  <sheetFormatPr defaultRowHeight="15" x14ac:dyDescent="0.25"/>
  <cols>
    <col min="2" max="2" width="12.5703125" bestFit="1" customWidth="1"/>
    <col min="3" max="3" width="11.5703125" bestFit="1" customWidth="1"/>
    <col min="4" max="4" width="10.5703125" bestFit="1" customWidth="1"/>
    <col min="5" max="5" width="12.5703125" bestFit="1" customWidth="1"/>
    <col min="6" max="7" width="11.5703125" bestFit="1" customWidth="1"/>
    <col min="8" max="8" width="12.5703125" bestFit="1" customWidth="1"/>
    <col min="9" max="10" width="11.5703125" bestFit="1" customWidth="1"/>
  </cols>
  <sheetData>
    <row r="1" spans="1:10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x14ac:dyDescent="0.25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</row>
    <row r="5" spans="1:10" x14ac:dyDescent="0.25">
      <c r="B5" s="32" t="s">
        <v>6</v>
      </c>
      <c r="C5" s="32"/>
      <c r="D5" s="32"/>
      <c r="E5" s="32" t="s">
        <v>7</v>
      </c>
      <c r="F5" s="32"/>
      <c r="G5" s="32"/>
      <c r="H5" s="32" t="s">
        <v>8</v>
      </c>
      <c r="I5" s="32"/>
      <c r="J5" s="32"/>
    </row>
    <row r="6" spans="1:10" x14ac:dyDescent="0.25">
      <c r="A6" s="5" t="s">
        <v>5</v>
      </c>
      <c r="B6" s="2" t="s">
        <v>3</v>
      </c>
      <c r="C6" s="2" t="s">
        <v>2</v>
      </c>
      <c r="D6" s="2" t="s">
        <v>4</v>
      </c>
      <c r="E6" s="2" t="s">
        <v>3</v>
      </c>
      <c r="F6" s="2" t="s">
        <v>2</v>
      </c>
      <c r="G6" s="2" t="s">
        <v>4</v>
      </c>
      <c r="H6" s="2" t="s">
        <v>3</v>
      </c>
      <c r="I6" s="2" t="s">
        <v>2</v>
      </c>
      <c r="J6" s="2" t="s">
        <v>4</v>
      </c>
    </row>
    <row r="7" spans="1:10" x14ac:dyDescent="0.25">
      <c r="A7" s="1">
        <v>43101</v>
      </c>
      <c r="B7" s="6">
        <v>105214.26</v>
      </c>
      <c r="C7" s="6">
        <v>80130.490000000005</v>
      </c>
      <c r="D7" s="7">
        <f>B7+C7</f>
        <v>185344.75</v>
      </c>
      <c r="E7" s="6">
        <v>340256.78</v>
      </c>
      <c r="F7" s="6">
        <v>286906.39</v>
      </c>
      <c r="G7" s="7">
        <f>E7+F7</f>
        <v>627163.17000000004</v>
      </c>
      <c r="H7" s="6">
        <f>B7+E7</f>
        <v>445471.04000000004</v>
      </c>
      <c r="I7" s="6">
        <f>C7+F7</f>
        <v>367036.88</v>
      </c>
      <c r="J7" s="7">
        <f>H7+I7</f>
        <v>812507.92</v>
      </c>
    </row>
    <row r="8" spans="1:10" x14ac:dyDescent="0.25">
      <c r="A8" s="1">
        <v>43132</v>
      </c>
      <c r="B8" s="6">
        <v>465948.86</v>
      </c>
      <c r="C8" s="6">
        <v>317266.64</v>
      </c>
      <c r="D8" s="7">
        <f t="shared" ref="D8:D14" si="0">B8+C8</f>
        <v>783215.5</v>
      </c>
      <c r="E8" s="6">
        <v>1506851.44</v>
      </c>
      <c r="F8" s="6">
        <v>1125900.1299999999</v>
      </c>
      <c r="G8" s="7">
        <f t="shared" ref="G8:G14" si="1">E8+F8</f>
        <v>2632751.5699999998</v>
      </c>
      <c r="H8" s="6">
        <f t="shared" ref="H8:I14" si="2">B8+E8</f>
        <v>1972800.2999999998</v>
      </c>
      <c r="I8" s="6">
        <f t="shared" si="2"/>
        <v>1443166.77</v>
      </c>
      <c r="J8" s="7">
        <f t="shared" ref="J8:J14" si="3">H8+I8</f>
        <v>3415967.07</v>
      </c>
    </row>
    <row r="9" spans="1:10" x14ac:dyDescent="0.25">
      <c r="A9" s="1">
        <v>43160</v>
      </c>
      <c r="B9" s="6">
        <v>465948.86</v>
      </c>
      <c r="C9" s="6">
        <v>290865.08</v>
      </c>
      <c r="D9" s="7">
        <f t="shared" si="0"/>
        <v>756813.94</v>
      </c>
      <c r="E9" s="6">
        <v>1506851.44</v>
      </c>
      <c r="F9" s="6">
        <v>1086943.5900000001</v>
      </c>
      <c r="G9" s="7">
        <f t="shared" si="1"/>
        <v>2593795.0300000003</v>
      </c>
      <c r="H9" s="6">
        <f t="shared" si="2"/>
        <v>1972800.2999999998</v>
      </c>
      <c r="I9" s="6">
        <f t="shared" si="2"/>
        <v>1377808.6700000002</v>
      </c>
      <c r="J9" s="7">
        <f t="shared" si="3"/>
        <v>3350608.9699999997</v>
      </c>
    </row>
    <row r="10" spans="1:10" x14ac:dyDescent="0.25">
      <c r="A10" s="1">
        <v>43191</v>
      </c>
      <c r="B10" s="6">
        <v>465948.86</v>
      </c>
      <c r="C10" s="6">
        <v>287021.86</v>
      </c>
      <c r="D10" s="7">
        <f t="shared" si="0"/>
        <v>752970.72</v>
      </c>
      <c r="E10" s="6">
        <v>1506851.44</v>
      </c>
      <c r="F10" s="6">
        <v>1155669.96</v>
      </c>
      <c r="G10" s="7">
        <f t="shared" si="1"/>
        <v>2662521.4</v>
      </c>
      <c r="H10" s="6">
        <f t="shared" si="2"/>
        <v>1972800.2999999998</v>
      </c>
      <c r="I10" s="6">
        <f t="shared" si="2"/>
        <v>1442691.8199999998</v>
      </c>
      <c r="J10" s="7">
        <f t="shared" si="3"/>
        <v>3415492.1199999996</v>
      </c>
    </row>
    <row r="11" spans="1:10" x14ac:dyDescent="0.25">
      <c r="A11" s="1">
        <v>43221</v>
      </c>
      <c r="B11" s="6">
        <v>465948.86</v>
      </c>
      <c r="C11" s="6">
        <v>295371.23</v>
      </c>
      <c r="D11" s="7">
        <f t="shared" si="0"/>
        <v>761320.09</v>
      </c>
      <c r="E11" s="6">
        <v>1506851.44</v>
      </c>
      <c r="F11" s="6">
        <v>1222405.78</v>
      </c>
      <c r="G11" s="7">
        <f t="shared" si="1"/>
        <v>2729257.2199999997</v>
      </c>
      <c r="H11" s="6">
        <f t="shared" si="2"/>
        <v>1972800.2999999998</v>
      </c>
      <c r="I11" s="6">
        <f t="shared" si="2"/>
        <v>1517777.01</v>
      </c>
      <c r="J11" s="7">
        <f t="shared" si="3"/>
        <v>3490577.3099999996</v>
      </c>
    </row>
    <row r="12" spans="1:10" x14ac:dyDescent="0.25">
      <c r="A12" s="1">
        <v>43252</v>
      </c>
      <c r="B12" s="6">
        <v>419353.97</v>
      </c>
      <c r="C12" s="6">
        <v>336895.65</v>
      </c>
      <c r="D12" s="7">
        <f t="shared" si="0"/>
        <v>756249.62</v>
      </c>
      <c r="E12" s="6">
        <v>1356166.29</v>
      </c>
      <c r="F12" s="6">
        <v>1387521</v>
      </c>
      <c r="G12" s="7">
        <f t="shared" si="1"/>
        <v>2743687.29</v>
      </c>
      <c r="H12" s="6">
        <f t="shared" si="2"/>
        <v>1775520.26</v>
      </c>
      <c r="I12" s="6">
        <f t="shared" si="2"/>
        <v>1724416.65</v>
      </c>
      <c r="J12" s="7">
        <f t="shared" si="3"/>
        <v>3499936.91</v>
      </c>
    </row>
    <row r="13" spans="1:10" x14ac:dyDescent="0.25">
      <c r="A13" s="1">
        <v>43282</v>
      </c>
      <c r="B13" s="6">
        <v>0</v>
      </c>
      <c r="C13" s="6">
        <v>381525.21591787989</v>
      </c>
      <c r="D13" s="7">
        <f t="shared" si="0"/>
        <v>381525.21591787989</v>
      </c>
      <c r="E13" s="6">
        <v>0</v>
      </c>
      <c r="F13" s="6">
        <v>1493302.0390476114</v>
      </c>
      <c r="G13" s="7">
        <f t="shared" si="1"/>
        <v>1493302.0390476114</v>
      </c>
      <c r="H13" s="6">
        <f t="shared" si="2"/>
        <v>0</v>
      </c>
      <c r="I13" s="6">
        <f t="shared" si="2"/>
        <v>1874827.2549654914</v>
      </c>
      <c r="J13" s="7">
        <f t="shared" si="3"/>
        <v>1874827.2549654914</v>
      </c>
    </row>
    <row r="14" spans="1:10" x14ac:dyDescent="0.25">
      <c r="A14" s="1">
        <v>43313</v>
      </c>
      <c r="B14" s="8">
        <v>0</v>
      </c>
      <c r="C14" s="8">
        <v>383383.55</v>
      </c>
      <c r="D14" s="9">
        <f t="shared" si="0"/>
        <v>383383.55</v>
      </c>
      <c r="E14" s="8">
        <v>0</v>
      </c>
      <c r="F14" s="8">
        <v>1534406.46</v>
      </c>
      <c r="G14" s="9">
        <f t="shared" si="1"/>
        <v>1534406.46</v>
      </c>
      <c r="H14" s="8">
        <f t="shared" si="2"/>
        <v>0</v>
      </c>
      <c r="I14" s="8">
        <f t="shared" si="2"/>
        <v>1917790.01</v>
      </c>
      <c r="J14" s="9">
        <f t="shared" si="3"/>
        <v>1917790.01</v>
      </c>
    </row>
    <row r="15" spans="1:10" x14ac:dyDescent="0.25">
      <c r="A15" s="1" t="s">
        <v>4</v>
      </c>
      <c r="B15" s="7">
        <f>SUM(B7:B14)</f>
        <v>2388363.67</v>
      </c>
      <c r="C15" s="7">
        <f t="shared" ref="C15:J15" si="4">SUM(C7:C14)</f>
        <v>2372459.7159178797</v>
      </c>
      <c r="D15" s="7">
        <f t="shared" si="4"/>
        <v>4760823.3859178796</v>
      </c>
      <c r="E15" s="7">
        <f t="shared" si="4"/>
        <v>7723828.8299999991</v>
      </c>
      <c r="F15" s="7">
        <f t="shared" si="4"/>
        <v>9293055.3490476124</v>
      </c>
      <c r="G15" s="7">
        <f t="shared" si="4"/>
        <v>17016884.179047611</v>
      </c>
      <c r="H15" s="7">
        <f t="shared" si="4"/>
        <v>10112192.5</v>
      </c>
      <c r="I15" s="7">
        <f t="shared" si="4"/>
        <v>11665515.064965492</v>
      </c>
      <c r="J15" s="7">
        <f t="shared" si="4"/>
        <v>21777707.564965494</v>
      </c>
    </row>
    <row r="16" spans="1:10" x14ac:dyDescent="0.25">
      <c r="A16" s="1"/>
    </row>
    <row r="17" spans="1:10" x14ac:dyDescent="0.25">
      <c r="B17" s="32" t="s">
        <v>9</v>
      </c>
      <c r="C17" s="32"/>
      <c r="D17" s="32"/>
      <c r="E17" s="32" t="s">
        <v>10</v>
      </c>
      <c r="F17" s="32"/>
      <c r="G17" s="32"/>
      <c r="H17" s="32" t="s">
        <v>11</v>
      </c>
      <c r="I17" s="32"/>
      <c r="J17" s="32"/>
    </row>
    <row r="18" spans="1:10" x14ac:dyDescent="0.25">
      <c r="A18" s="5" t="s">
        <v>5</v>
      </c>
      <c r="B18" s="2" t="s">
        <v>3</v>
      </c>
      <c r="C18" s="2" t="s">
        <v>2</v>
      </c>
      <c r="D18" s="2" t="s">
        <v>4</v>
      </c>
      <c r="E18" s="2" t="s">
        <v>3</v>
      </c>
      <c r="F18" s="2" t="s">
        <v>2</v>
      </c>
      <c r="G18" s="2" t="s">
        <v>4</v>
      </c>
      <c r="H18" s="2" t="s">
        <v>3</v>
      </c>
      <c r="I18" s="2" t="s">
        <v>2</v>
      </c>
      <c r="J18" s="2" t="s">
        <v>4</v>
      </c>
    </row>
    <row r="19" spans="1:10" x14ac:dyDescent="0.25">
      <c r="A19" s="1">
        <v>43101</v>
      </c>
      <c r="B19" s="6">
        <v>0</v>
      </c>
      <c r="C19" s="6">
        <v>0</v>
      </c>
      <c r="D19" s="7">
        <f>B19+C19</f>
        <v>0</v>
      </c>
      <c r="E19" s="6">
        <v>0</v>
      </c>
      <c r="F19" s="6">
        <v>0</v>
      </c>
      <c r="G19" s="7">
        <f>E19+F19</f>
        <v>0</v>
      </c>
      <c r="H19" s="6">
        <f>B19+E19</f>
        <v>0</v>
      </c>
      <c r="I19" s="6">
        <f>C19+F19</f>
        <v>0</v>
      </c>
      <c r="J19" s="7">
        <f>H19+I19</f>
        <v>0</v>
      </c>
    </row>
    <row r="20" spans="1:10" x14ac:dyDescent="0.25">
      <c r="A20" s="1">
        <v>43132</v>
      </c>
      <c r="B20" s="6">
        <v>0</v>
      </c>
      <c r="C20" s="6">
        <v>0</v>
      </c>
      <c r="D20" s="10">
        <f t="shared" ref="D20:D42" si="5">B20+C20</f>
        <v>0</v>
      </c>
      <c r="E20" s="6">
        <v>0</v>
      </c>
      <c r="F20" s="6">
        <v>0</v>
      </c>
      <c r="G20" s="7">
        <f t="shared" ref="G20:G42" si="6">E20+F20</f>
        <v>0</v>
      </c>
      <c r="H20" s="6">
        <f t="shared" ref="H20:H26" si="7">B20+E20</f>
        <v>0</v>
      </c>
      <c r="I20" s="6">
        <f t="shared" ref="I20:I26" si="8">C20+F20</f>
        <v>0</v>
      </c>
      <c r="J20" s="7">
        <f t="shared" ref="J20:J26" si="9">H20+I20</f>
        <v>0</v>
      </c>
    </row>
    <row r="21" spans="1:10" x14ac:dyDescent="0.25">
      <c r="A21" s="1">
        <v>43160</v>
      </c>
      <c r="B21" s="10">
        <v>77119.97</v>
      </c>
      <c r="C21" s="6">
        <v>367570.8</v>
      </c>
      <c r="D21" s="10">
        <f t="shared" si="5"/>
        <v>444690.77</v>
      </c>
      <c r="E21" s="10">
        <v>185080.03</v>
      </c>
      <c r="F21" s="10">
        <v>1458348.39</v>
      </c>
      <c r="G21" s="7">
        <f t="shared" si="6"/>
        <v>1643428.42</v>
      </c>
      <c r="H21" s="6">
        <f t="shared" si="7"/>
        <v>262200</v>
      </c>
      <c r="I21" s="6">
        <f t="shared" si="8"/>
        <v>1825919.19</v>
      </c>
      <c r="J21" s="7">
        <f t="shared" si="9"/>
        <v>2088119.19</v>
      </c>
    </row>
    <row r="22" spans="1:10" x14ac:dyDescent="0.25">
      <c r="A22" s="1">
        <v>43191</v>
      </c>
      <c r="B22" s="10">
        <v>34648.1</v>
      </c>
      <c r="C22" s="6">
        <v>165140.51</v>
      </c>
      <c r="D22" s="10">
        <f t="shared" si="5"/>
        <v>199788.61000000002</v>
      </c>
      <c r="E22" s="10">
        <v>83151.899999999994</v>
      </c>
      <c r="F22" s="10">
        <v>655200</v>
      </c>
      <c r="G22" s="7">
        <f t="shared" si="6"/>
        <v>738351.9</v>
      </c>
      <c r="H22" s="6">
        <f t="shared" si="7"/>
        <v>117800</v>
      </c>
      <c r="I22" s="6">
        <f t="shared" si="8"/>
        <v>820340.51</v>
      </c>
      <c r="J22" s="7">
        <f t="shared" si="9"/>
        <v>938140.51</v>
      </c>
    </row>
    <row r="23" spans="1:10" x14ac:dyDescent="0.25">
      <c r="A23" s="1">
        <v>43221</v>
      </c>
      <c r="B23" s="10">
        <v>34648.1</v>
      </c>
      <c r="C23" s="6">
        <v>165140.51</v>
      </c>
      <c r="D23" s="10">
        <f t="shared" si="5"/>
        <v>199788.61000000002</v>
      </c>
      <c r="E23" s="10">
        <v>83151.899999999994</v>
      </c>
      <c r="F23" s="10">
        <v>655200</v>
      </c>
      <c r="G23" s="7">
        <f t="shared" si="6"/>
        <v>738351.9</v>
      </c>
      <c r="H23" s="6">
        <f t="shared" si="7"/>
        <v>117800</v>
      </c>
      <c r="I23" s="6">
        <f t="shared" si="8"/>
        <v>820340.51</v>
      </c>
      <c r="J23" s="7">
        <f t="shared" si="9"/>
        <v>938140.51</v>
      </c>
    </row>
    <row r="24" spans="1:10" x14ac:dyDescent="0.25">
      <c r="A24" s="1">
        <v>43252</v>
      </c>
      <c r="B24" s="10">
        <v>34648.1</v>
      </c>
      <c r="C24" s="6">
        <v>165140.51</v>
      </c>
      <c r="D24" s="10">
        <f t="shared" si="5"/>
        <v>199788.61000000002</v>
      </c>
      <c r="E24" s="10">
        <v>83151.899999999994</v>
      </c>
      <c r="F24" s="10">
        <v>655200</v>
      </c>
      <c r="G24" s="7">
        <f t="shared" si="6"/>
        <v>738351.9</v>
      </c>
      <c r="H24" s="6">
        <f t="shared" si="7"/>
        <v>117800</v>
      </c>
      <c r="I24" s="6">
        <f t="shared" si="8"/>
        <v>820340.51</v>
      </c>
      <c r="J24" s="7">
        <f t="shared" si="9"/>
        <v>938140.51</v>
      </c>
    </row>
    <row r="25" spans="1:10" x14ac:dyDescent="0.25">
      <c r="A25" s="1">
        <v>43282</v>
      </c>
      <c r="B25" s="10">
        <v>34648.1</v>
      </c>
      <c r="C25" s="6">
        <v>165140.51</v>
      </c>
      <c r="D25" s="10">
        <f t="shared" si="5"/>
        <v>199788.61000000002</v>
      </c>
      <c r="E25" s="10">
        <v>83151.899999999994</v>
      </c>
      <c r="F25" s="10">
        <v>655200</v>
      </c>
      <c r="G25" s="7">
        <f t="shared" si="6"/>
        <v>738351.9</v>
      </c>
      <c r="H25" s="6">
        <f t="shared" si="7"/>
        <v>117800</v>
      </c>
      <c r="I25" s="6">
        <f t="shared" si="8"/>
        <v>820340.51</v>
      </c>
      <c r="J25" s="7">
        <f t="shared" si="9"/>
        <v>938140.51</v>
      </c>
    </row>
    <row r="26" spans="1:10" x14ac:dyDescent="0.25">
      <c r="A26" s="1">
        <v>43313</v>
      </c>
      <c r="B26" s="10">
        <v>34648.1</v>
      </c>
      <c r="C26" s="6">
        <v>165140.51</v>
      </c>
      <c r="D26" s="10">
        <f t="shared" si="5"/>
        <v>199788.61000000002</v>
      </c>
      <c r="E26" s="10">
        <v>83151.899999999994</v>
      </c>
      <c r="F26" s="10">
        <v>655200</v>
      </c>
      <c r="G26" s="10">
        <f t="shared" si="6"/>
        <v>738351.9</v>
      </c>
      <c r="H26" s="6">
        <f t="shared" si="7"/>
        <v>117800</v>
      </c>
      <c r="I26" s="6">
        <f t="shared" si="8"/>
        <v>820340.51</v>
      </c>
      <c r="J26" s="10">
        <f t="shared" si="9"/>
        <v>938140.51</v>
      </c>
    </row>
    <row r="27" spans="1:10" x14ac:dyDescent="0.25">
      <c r="A27" s="1">
        <v>43344</v>
      </c>
      <c r="B27" s="10">
        <v>34648.1</v>
      </c>
      <c r="C27" s="10">
        <v>0</v>
      </c>
      <c r="D27" s="10">
        <f t="shared" si="5"/>
        <v>34648.1</v>
      </c>
      <c r="E27" s="10">
        <v>83151.899999999994</v>
      </c>
      <c r="F27" s="7">
        <v>0</v>
      </c>
      <c r="G27" s="7">
        <f t="shared" si="6"/>
        <v>83151.899999999994</v>
      </c>
      <c r="H27" s="6">
        <f t="shared" ref="H27:H33" si="10">B27+E27</f>
        <v>117800</v>
      </c>
      <c r="I27" s="6">
        <f t="shared" ref="I27:I33" si="11">C27+F27</f>
        <v>0</v>
      </c>
      <c r="J27" s="10">
        <f t="shared" ref="J27:J33" si="12">H27+I27</f>
        <v>117800</v>
      </c>
    </row>
    <row r="28" spans="1:10" x14ac:dyDescent="0.25">
      <c r="A28" s="1">
        <v>43374</v>
      </c>
      <c r="B28" s="10">
        <v>34648.1</v>
      </c>
      <c r="C28" s="6">
        <v>0</v>
      </c>
      <c r="D28" s="11">
        <f t="shared" si="5"/>
        <v>34648.1</v>
      </c>
      <c r="E28" s="10">
        <v>83151.899999999994</v>
      </c>
      <c r="F28" s="7">
        <v>0</v>
      </c>
      <c r="G28" s="7">
        <f t="shared" si="6"/>
        <v>83151.899999999994</v>
      </c>
      <c r="H28" s="6">
        <f t="shared" si="10"/>
        <v>117800</v>
      </c>
      <c r="I28" s="6">
        <f t="shared" si="11"/>
        <v>0</v>
      </c>
      <c r="J28" s="10">
        <f t="shared" si="12"/>
        <v>117800</v>
      </c>
    </row>
    <row r="29" spans="1:10" x14ac:dyDescent="0.25">
      <c r="A29" s="1">
        <v>43405</v>
      </c>
      <c r="B29" s="10">
        <v>34648.1</v>
      </c>
      <c r="C29" s="6">
        <v>0</v>
      </c>
      <c r="D29" s="11">
        <f t="shared" si="5"/>
        <v>34648.1</v>
      </c>
      <c r="E29" s="10">
        <v>83151.899999999994</v>
      </c>
      <c r="F29" s="7">
        <v>0</v>
      </c>
      <c r="G29" s="7">
        <f t="shared" si="6"/>
        <v>83151.899999999994</v>
      </c>
      <c r="H29" s="6">
        <f t="shared" si="10"/>
        <v>117800</v>
      </c>
      <c r="I29" s="6">
        <f t="shared" si="11"/>
        <v>0</v>
      </c>
      <c r="J29" s="10">
        <f t="shared" si="12"/>
        <v>117800</v>
      </c>
    </row>
    <row r="30" spans="1:10" x14ac:dyDescent="0.25">
      <c r="A30" s="1">
        <v>43435</v>
      </c>
      <c r="B30" s="10">
        <v>47854.37</v>
      </c>
      <c r="C30" s="6">
        <v>0</v>
      </c>
      <c r="D30" s="11">
        <f t="shared" si="5"/>
        <v>47854.37</v>
      </c>
      <c r="E30" s="10">
        <v>-51512.76</v>
      </c>
      <c r="F30" s="7">
        <v>0</v>
      </c>
      <c r="G30" s="7">
        <f t="shared" si="6"/>
        <v>-51512.76</v>
      </c>
      <c r="H30" s="6">
        <f t="shared" si="10"/>
        <v>-3658.3899999999994</v>
      </c>
      <c r="I30" s="6">
        <f t="shared" si="11"/>
        <v>0</v>
      </c>
      <c r="J30" s="10">
        <f t="shared" si="12"/>
        <v>-3658.3899999999994</v>
      </c>
    </row>
    <row r="31" spans="1:10" x14ac:dyDescent="0.25">
      <c r="A31" s="1">
        <v>43466</v>
      </c>
      <c r="B31" s="10">
        <v>34648.1</v>
      </c>
      <c r="C31" s="6">
        <v>0</v>
      </c>
      <c r="D31" s="11">
        <f t="shared" si="5"/>
        <v>34648.1</v>
      </c>
      <c r="E31" s="10">
        <v>83151.899999999994</v>
      </c>
      <c r="F31" s="7">
        <v>0</v>
      </c>
      <c r="G31" s="7">
        <f t="shared" si="6"/>
        <v>83151.899999999994</v>
      </c>
      <c r="H31" s="6">
        <f t="shared" si="10"/>
        <v>117800</v>
      </c>
      <c r="I31" s="6">
        <f t="shared" si="11"/>
        <v>0</v>
      </c>
      <c r="J31" s="10">
        <f t="shared" si="12"/>
        <v>117800</v>
      </c>
    </row>
    <row r="32" spans="1:10" x14ac:dyDescent="0.25">
      <c r="A32" s="1">
        <v>43497</v>
      </c>
      <c r="B32" s="10">
        <v>21508.86</v>
      </c>
      <c r="C32" s="6">
        <v>0</v>
      </c>
      <c r="D32" s="11">
        <f t="shared" si="5"/>
        <v>21508.86</v>
      </c>
      <c r="E32" s="10">
        <v>56070.879999999997</v>
      </c>
      <c r="F32" s="7">
        <v>0</v>
      </c>
      <c r="G32" s="7">
        <f t="shared" si="6"/>
        <v>56070.879999999997</v>
      </c>
      <c r="H32" s="6">
        <f t="shared" si="10"/>
        <v>77579.739999999991</v>
      </c>
      <c r="I32" s="6">
        <f t="shared" si="11"/>
        <v>0</v>
      </c>
      <c r="J32" s="10">
        <f t="shared" si="12"/>
        <v>77579.739999999991</v>
      </c>
    </row>
    <row r="33" spans="1:10" x14ac:dyDescent="0.25">
      <c r="A33" s="1">
        <v>43525</v>
      </c>
      <c r="B33" s="12">
        <v>28078.48</v>
      </c>
      <c r="C33" s="6">
        <v>0</v>
      </c>
      <c r="D33" s="11">
        <f t="shared" si="5"/>
        <v>28078.48</v>
      </c>
      <c r="E33" s="12">
        <v>69611.39</v>
      </c>
      <c r="F33" s="7">
        <v>0</v>
      </c>
      <c r="G33" s="7">
        <f t="shared" si="6"/>
        <v>69611.39</v>
      </c>
      <c r="H33" s="6">
        <f t="shared" si="10"/>
        <v>97689.87</v>
      </c>
      <c r="I33" s="6">
        <f t="shared" si="11"/>
        <v>0</v>
      </c>
      <c r="J33" s="10">
        <f t="shared" si="12"/>
        <v>97689.87</v>
      </c>
    </row>
    <row r="34" spans="1:10" x14ac:dyDescent="0.25">
      <c r="A34" s="1">
        <v>43556</v>
      </c>
      <c r="B34" s="13">
        <f>B33</f>
        <v>28078.48</v>
      </c>
      <c r="C34" s="6">
        <f>C33</f>
        <v>0</v>
      </c>
      <c r="D34" s="11">
        <f t="shared" si="5"/>
        <v>28078.48</v>
      </c>
      <c r="E34" s="13">
        <f>E33</f>
        <v>69611.39</v>
      </c>
      <c r="F34" s="13">
        <f>F33</f>
        <v>0</v>
      </c>
      <c r="G34" s="7">
        <f t="shared" si="6"/>
        <v>69611.39</v>
      </c>
      <c r="H34" s="6">
        <f t="shared" ref="H34:H42" si="13">B34+E34</f>
        <v>97689.87</v>
      </c>
      <c r="I34" s="6">
        <f t="shared" ref="I34:I42" si="14">C34+F34</f>
        <v>0</v>
      </c>
      <c r="J34" s="10">
        <f t="shared" ref="J34:J42" si="15">H34+I34</f>
        <v>97689.87</v>
      </c>
    </row>
    <row r="35" spans="1:10" x14ac:dyDescent="0.25">
      <c r="A35" s="1">
        <v>43586</v>
      </c>
      <c r="B35" s="13">
        <f t="shared" ref="B35:B42" si="16">B34</f>
        <v>28078.48</v>
      </c>
      <c r="C35" s="6">
        <f t="shared" ref="C35:C42" si="17">C34</f>
        <v>0</v>
      </c>
      <c r="D35" s="11">
        <f t="shared" si="5"/>
        <v>28078.48</v>
      </c>
      <c r="E35" s="13">
        <f t="shared" ref="E35:E42" si="18">E34</f>
        <v>69611.39</v>
      </c>
      <c r="F35" s="13">
        <f t="shared" ref="F35:F42" si="19">F34</f>
        <v>0</v>
      </c>
      <c r="G35" s="7">
        <f t="shared" si="6"/>
        <v>69611.39</v>
      </c>
      <c r="H35" s="6">
        <f t="shared" si="13"/>
        <v>97689.87</v>
      </c>
      <c r="I35" s="6">
        <f t="shared" si="14"/>
        <v>0</v>
      </c>
      <c r="J35" s="10">
        <f t="shared" si="15"/>
        <v>97689.87</v>
      </c>
    </row>
    <row r="36" spans="1:10" x14ac:dyDescent="0.25">
      <c r="A36" s="1">
        <v>43617</v>
      </c>
      <c r="B36" s="13">
        <f t="shared" si="16"/>
        <v>28078.48</v>
      </c>
      <c r="C36" s="6">
        <f t="shared" si="17"/>
        <v>0</v>
      </c>
      <c r="D36" s="11">
        <f t="shared" si="5"/>
        <v>28078.48</v>
      </c>
      <c r="E36" s="13">
        <f t="shared" si="18"/>
        <v>69611.39</v>
      </c>
      <c r="F36" s="13">
        <f t="shared" si="19"/>
        <v>0</v>
      </c>
      <c r="G36" s="7">
        <f t="shared" si="6"/>
        <v>69611.39</v>
      </c>
      <c r="H36" s="6">
        <f t="shared" si="13"/>
        <v>97689.87</v>
      </c>
      <c r="I36" s="6">
        <f t="shared" si="14"/>
        <v>0</v>
      </c>
      <c r="J36" s="10">
        <f t="shared" si="15"/>
        <v>97689.87</v>
      </c>
    </row>
    <row r="37" spans="1:10" x14ac:dyDescent="0.25">
      <c r="A37" s="1">
        <v>43647</v>
      </c>
      <c r="B37" s="13">
        <f t="shared" si="16"/>
        <v>28078.48</v>
      </c>
      <c r="C37" s="6">
        <f t="shared" si="17"/>
        <v>0</v>
      </c>
      <c r="D37" s="11">
        <f t="shared" si="5"/>
        <v>28078.48</v>
      </c>
      <c r="E37" s="13">
        <f t="shared" si="18"/>
        <v>69611.39</v>
      </c>
      <c r="F37" s="13">
        <f t="shared" si="19"/>
        <v>0</v>
      </c>
      <c r="G37" s="7">
        <f t="shared" si="6"/>
        <v>69611.39</v>
      </c>
      <c r="H37" s="6">
        <f t="shared" si="13"/>
        <v>97689.87</v>
      </c>
      <c r="I37" s="6">
        <f t="shared" si="14"/>
        <v>0</v>
      </c>
      <c r="J37" s="10">
        <f t="shared" si="15"/>
        <v>97689.87</v>
      </c>
    </row>
    <row r="38" spans="1:10" x14ac:dyDescent="0.25">
      <c r="A38" s="1">
        <v>43678</v>
      </c>
      <c r="B38" s="13">
        <f t="shared" si="16"/>
        <v>28078.48</v>
      </c>
      <c r="C38" s="6">
        <f t="shared" si="17"/>
        <v>0</v>
      </c>
      <c r="D38" s="11">
        <f t="shared" si="5"/>
        <v>28078.48</v>
      </c>
      <c r="E38" s="13">
        <f t="shared" si="18"/>
        <v>69611.39</v>
      </c>
      <c r="F38" s="13">
        <f t="shared" si="19"/>
        <v>0</v>
      </c>
      <c r="G38" s="7">
        <f t="shared" si="6"/>
        <v>69611.39</v>
      </c>
      <c r="H38" s="6">
        <f t="shared" si="13"/>
        <v>97689.87</v>
      </c>
      <c r="I38" s="6">
        <f t="shared" si="14"/>
        <v>0</v>
      </c>
      <c r="J38" s="10">
        <f t="shared" si="15"/>
        <v>97689.87</v>
      </c>
    </row>
    <row r="39" spans="1:10" x14ac:dyDescent="0.25">
      <c r="A39" s="1">
        <v>43709</v>
      </c>
      <c r="B39" s="13">
        <f t="shared" si="16"/>
        <v>28078.48</v>
      </c>
      <c r="C39" s="6">
        <f t="shared" si="17"/>
        <v>0</v>
      </c>
      <c r="D39" s="11">
        <f t="shared" si="5"/>
        <v>28078.48</v>
      </c>
      <c r="E39" s="13">
        <f t="shared" si="18"/>
        <v>69611.39</v>
      </c>
      <c r="F39" s="13">
        <f t="shared" si="19"/>
        <v>0</v>
      </c>
      <c r="G39" s="7">
        <f t="shared" si="6"/>
        <v>69611.39</v>
      </c>
      <c r="H39" s="6">
        <f t="shared" si="13"/>
        <v>97689.87</v>
      </c>
      <c r="I39" s="6">
        <f t="shared" si="14"/>
        <v>0</v>
      </c>
      <c r="J39" s="10">
        <f t="shared" si="15"/>
        <v>97689.87</v>
      </c>
    </row>
    <row r="40" spans="1:10" x14ac:dyDescent="0.25">
      <c r="A40" s="1">
        <v>43739</v>
      </c>
      <c r="B40" s="13">
        <f t="shared" si="16"/>
        <v>28078.48</v>
      </c>
      <c r="C40" s="6">
        <f t="shared" si="17"/>
        <v>0</v>
      </c>
      <c r="D40" s="11">
        <f t="shared" si="5"/>
        <v>28078.48</v>
      </c>
      <c r="E40" s="13">
        <f t="shared" si="18"/>
        <v>69611.39</v>
      </c>
      <c r="F40" s="13">
        <f t="shared" si="19"/>
        <v>0</v>
      </c>
      <c r="G40" s="7">
        <f t="shared" si="6"/>
        <v>69611.39</v>
      </c>
      <c r="H40" s="6">
        <f t="shared" si="13"/>
        <v>97689.87</v>
      </c>
      <c r="I40" s="6">
        <f t="shared" si="14"/>
        <v>0</v>
      </c>
      <c r="J40" s="10">
        <f t="shared" si="15"/>
        <v>97689.87</v>
      </c>
    </row>
    <row r="41" spans="1:10" x14ac:dyDescent="0.25">
      <c r="A41" s="1">
        <v>43770</v>
      </c>
      <c r="B41" s="13">
        <f t="shared" si="16"/>
        <v>28078.48</v>
      </c>
      <c r="C41" s="6">
        <f t="shared" si="17"/>
        <v>0</v>
      </c>
      <c r="D41" s="11">
        <f t="shared" si="5"/>
        <v>28078.48</v>
      </c>
      <c r="E41" s="13">
        <f t="shared" si="18"/>
        <v>69611.39</v>
      </c>
      <c r="F41" s="13">
        <f t="shared" si="19"/>
        <v>0</v>
      </c>
      <c r="G41" s="7">
        <f t="shared" si="6"/>
        <v>69611.39</v>
      </c>
      <c r="H41" s="6">
        <f t="shared" si="13"/>
        <v>97689.87</v>
      </c>
      <c r="I41" s="6">
        <f t="shared" si="14"/>
        <v>0</v>
      </c>
      <c r="J41" s="10">
        <f t="shared" si="15"/>
        <v>97689.87</v>
      </c>
    </row>
    <row r="42" spans="1:10" x14ac:dyDescent="0.25">
      <c r="A42" s="1">
        <v>43800</v>
      </c>
      <c r="B42" s="14">
        <f t="shared" si="16"/>
        <v>28078.48</v>
      </c>
      <c r="C42" s="8">
        <f t="shared" si="17"/>
        <v>0</v>
      </c>
      <c r="D42" s="15">
        <f t="shared" si="5"/>
        <v>28078.48</v>
      </c>
      <c r="E42" s="14">
        <f t="shared" si="18"/>
        <v>69611.39</v>
      </c>
      <c r="F42" s="14">
        <f t="shared" si="19"/>
        <v>0</v>
      </c>
      <c r="G42" s="9">
        <f t="shared" si="6"/>
        <v>69611.39</v>
      </c>
      <c r="H42" s="8">
        <f t="shared" si="13"/>
        <v>97689.87</v>
      </c>
      <c r="I42" s="8">
        <f t="shared" si="14"/>
        <v>0</v>
      </c>
      <c r="J42" s="9">
        <f t="shared" si="15"/>
        <v>97689.87</v>
      </c>
    </row>
    <row r="43" spans="1:10" x14ac:dyDescent="0.25">
      <c r="A43" s="1" t="s">
        <v>4</v>
      </c>
      <c r="B43" s="7">
        <f>SUM(B19:B42)</f>
        <v>739100.89999999979</v>
      </c>
      <c r="C43" s="7">
        <f t="shared" ref="C43:J43" si="20">SUM(C19:C42)</f>
        <v>1193273.3500000001</v>
      </c>
      <c r="D43" s="7">
        <f t="shared" si="20"/>
        <v>1932374.2500000005</v>
      </c>
      <c r="E43" s="7">
        <f t="shared" si="20"/>
        <v>1634119.1499999992</v>
      </c>
      <c r="F43" s="7">
        <f t="shared" si="20"/>
        <v>4734348.3899999997</v>
      </c>
      <c r="G43" s="7">
        <f t="shared" si="20"/>
        <v>6368467.5399999982</v>
      </c>
      <c r="H43" s="7">
        <f t="shared" si="20"/>
        <v>2373220.0500000012</v>
      </c>
      <c r="I43" s="7">
        <f t="shared" si="20"/>
        <v>5927621.7399999993</v>
      </c>
      <c r="J43" s="7">
        <f t="shared" si="20"/>
        <v>8300841.790000001</v>
      </c>
    </row>
    <row r="44" spans="1:10" x14ac:dyDescent="0.25">
      <c r="A44" s="1"/>
    </row>
    <row r="45" spans="1:10" x14ac:dyDescent="0.25">
      <c r="B45" s="32" t="s">
        <v>12</v>
      </c>
      <c r="C45" s="32"/>
      <c r="D45" s="32"/>
      <c r="E45" s="32" t="s">
        <v>13</v>
      </c>
      <c r="F45" s="32"/>
      <c r="G45" s="32"/>
      <c r="H45" s="32" t="s">
        <v>14</v>
      </c>
      <c r="I45" s="32"/>
      <c r="J45" s="32"/>
    </row>
    <row r="46" spans="1:10" x14ac:dyDescent="0.25">
      <c r="A46" s="5" t="s">
        <v>5</v>
      </c>
      <c r="B46" s="2" t="s">
        <v>3</v>
      </c>
      <c r="C46" s="2" t="s">
        <v>2</v>
      </c>
      <c r="D46" s="2" t="s">
        <v>4</v>
      </c>
      <c r="E46" s="2" t="s">
        <v>3</v>
      </c>
      <c r="F46" s="2" t="s">
        <v>2</v>
      </c>
      <c r="G46" s="2" t="s">
        <v>4</v>
      </c>
      <c r="H46" s="2" t="s">
        <v>3</v>
      </c>
      <c r="I46" s="2" t="s">
        <v>2</v>
      </c>
      <c r="J46" s="2" t="s">
        <v>4</v>
      </c>
    </row>
    <row r="47" spans="1:10" x14ac:dyDescent="0.25">
      <c r="A47" s="1">
        <v>43101</v>
      </c>
      <c r="B47" s="6">
        <f>B7+B19</f>
        <v>105214.26</v>
      </c>
      <c r="C47" s="6">
        <f>C7+C19</f>
        <v>80130.490000000005</v>
      </c>
      <c r="D47" s="7">
        <f>B47+C47</f>
        <v>185344.75</v>
      </c>
      <c r="E47" s="6">
        <f>E7+E19</f>
        <v>340256.78</v>
      </c>
      <c r="F47" s="6">
        <f>F7+F19</f>
        <v>286906.39</v>
      </c>
      <c r="G47" s="7">
        <f>E47+F47</f>
        <v>627163.17000000004</v>
      </c>
      <c r="H47" s="6">
        <f>B47+E47</f>
        <v>445471.04000000004</v>
      </c>
      <c r="I47" s="6">
        <f>C47+F47</f>
        <v>367036.88</v>
      </c>
      <c r="J47" s="7">
        <f>H47+I47</f>
        <v>812507.92</v>
      </c>
    </row>
    <row r="48" spans="1:10" x14ac:dyDescent="0.25">
      <c r="A48" s="1">
        <v>43132</v>
      </c>
      <c r="B48" s="6">
        <f t="shared" ref="B48:C54" si="21">B8+B20</f>
        <v>465948.86</v>
      </c>
      <c r="C48" s="6">
        <f t="shared" si="21"/>
        <v>317266.64</v>
      </c>
      <c r="D48" s="10">
        <f t="shared" ref="D48:D61" si="22">B48+C48</f>
        <v>783215.5</v>
      </c>
      <c r="E48" s="6">
        <f t="shared" ref="E48:F48" si="23">E8+E20</f>
        <v>1506851.44</v>
      </c>
      <c r="F48" s="6">
        <f t="shared" si="23"/>
        <v>1125900.1299999999</v>
      </c>
      <c r="G48" s="7">
        <f t="shared" ref="G48:G61" si="24">E48+F48</f>
        <v>2632751.5699999998</v>
      </c>
      <c r="H48" s="6">
        <f t="shared" ref="H48:H60" si="25">B48+E48</f>
        <v>1972800.2999999998</v>
      </c>
      <c r="I48" s="6">
        <f t="shared" ref="I48:I60" si="26">C48+F48</f>
        <v>1443166.77</v>
      </c>
      <c r="J48" s="7">
        <f t="shared" ref="J48:J60" si="27">H48+I48</f>
        <v>3415967.07</v>
      </c>
    </row>
    <row r="49" spans="1:10" x14ac:dyDescent="0.25">
      <c r="A49" s="1">
        <v>43160</v>
      </c>
      <c r="B49" s="6">
        <f t="shared" si="21"/>
        <v>543068.82999999996</v>
      </c>
      <c r="C49" s="6">
        <f t="shared" si="21"/>
        <v>658435.88</v>
      </c>
      <c r="D49" s="10">
        <f t="shared" si="22"/>
        <v>1201504.71</v>
      </c>
      <c r="E49" s="6">
        <f t="shared" ref="E49:F49" si="28">E9+E21</f>
        <v>1691931.47</v>
      </c>
      <c r="F49" s="6">
        <f t="shared" si="28"/>
        <v>2545291.98</v>
      </c>
      <c r="G49" s="7">
        <f t="shared" si="24"/>
        <v>4237223.45</v>
      </c>
      <c r="H49" s="6">
        <f t="shared" si="25"/>
        <v>2235000.2999999998</v>
      </c>
      <c r="I49" s="6">
        <f t="shared" si="26"/>
        <v>3203727.86</v>
      </c>
      <c r="J49" s="7">
        <f t="shared" si="27"/>
        <v>5438728.1600000001</v>
      </c>
    </row>
    <row r="50" spans="1:10" x14ac:dyDescent="0.25">
      <c r="A50" s="1">
        <v>43191</v>
      </c>
      <c r="B50" s="6">
        <f t="shared" si="21"/>
        <v>500596.95999999996</v>
      </c>
      <c r="C50" s="6">
        <f t="shared" si="21"/>
        <v>452162.37</v>
      </c>
      <c r="D50" s="10">
        <f t="shared" si="22"/>
        <v>952759.33</v>
      </c>
      <c r="E50" s="6">
        <f t="shared" ref="E50:F50" si="29">E10+E22</f>
        <v>1590003.3399999999</v>
      </c>
      <c r="F50" s="6">
        <f t="shared" si="29"/>
        <v>1810869.96</v>
      </c>
      <c r="G50" s="7">
        <f t="shared" si="24"/>
        <v>3400873.3</v>
      </c>
      <c r="H50" s="6">
        <f t="shared" si="25"/>
        <v>2090600.2999999998</v>
      </c>
      <c r="I50" s="6">
        <f t="shared" si="26"/>
        <v>2263032.33</v>
      </c>
      <c r="J50" s="7">
        <f t="shared" si="27"/>
        <v>4353632.63</v>
      </c>
    </row>
    <row r="51" spans="1:10" x14ac:dyDescent="0.25">
      <c r="A51" s="1">
        <v>43221</v>
      </c>
      <c r="B51" s="6">
        <f t="shared" si="21"/>
        <v>500596.95999999996</v>
      </c>
      <c r="C51" s="6">
        <f t="shared" si="21"/>
        <v>460511.74</v>
      </c>
      <c r="D51" s="10">
        <f t="shared" si="22"/>
        <v>961108.7</v>
      </c>
      <c r="E51" s="6">
        <f t="shared" ref="E51:F51" si="30">E11+E23</f>
        <v>1590003.3399999999</v>
      </c>
      <c r="F51" s="6">
        <f t="shared" si="30"/>
        <v>1877605.78</v>
      </c>
      <c r="G51" s="7">
        <f t="shared" si="24"/>
        <v>3467609.12</v>
      </c>
      <c r="H51" s="6">
        <f t="shared" si="25"/>
        <v>2090600.2999999998</v>
      </c>
      <c r="I51" s="6">
        <f t="shared" si="26"/>
        <v>2338117.52</v>
      </c>
      <c r="J51" s="7">
        <f t="shared" si="27"/>
        <v>4428717.82</v>
      </c>
    </row>
    <row r="52" spans="1:10" x14ac:dyDescent="0.25">
      <c r="A52" s="1">
        <v>43252</v>
      </c>
      <c r="B52" s="6">
        <f t="shared" si="21"/>
        <v>454002.06999999995</v>
      </c>
      <c r="C52" s="6">
        <f t="shared" si="21"/>
        <v>502036.16000000003</v>
      </c>
      <c r="D52" s="10">
        <f t="shared" si="22"/>
        <v>956038.23</v>
      </c>
      <c r="E52" s="6">
        <f t="shared" ref="E52:F52" si="31">E12+E24</f>
        <v>1439318.19</v>
      </c>
      <c r="F52" s="6">
        <f t="shared" si="31"/>
        <v>2042721</v>
      </c>
      <c r="G52" s="7">
        <f t="shared" si="24"/>
        <v>3482039.19</v>
      </c>
      <c r="H52" s="6">
        <f t="shared" si="25"/>
        <v>1893320.2599999998</v>
      </c>
      <c r="I52" s="6">
        <f t="shared" si="26"/>
        <v>2544757.16</v>
      </c>
      <c r="J52" s="7">
        <f t="shared" si="27"/>
        <v>4438077.42</v>
      </c>
    </row>
    <row r="53" spans="1:10" x14ac:dyDescent="0.25">
      <c r="A53" s="1">
        <v>43282</v>
      </c>
      <c r="B53" s="6">
        <f t="shared" si="21"/>
        <v>34648.1</v>
      </c>
      <c r="C53" s="6">
        <f t="shared" si="21"/>
        <v>546665.72591787996</v>
      </c>
      <c r="D53" s="10">
        <f t="shared" si="22"/>
        <v>581313.82591787993</v>
      </c>
      <c r="E53" s="6">
        <f t="shared" ref="E53:F53" si="32">E13+E25</f>
        <v>83151.899999999994</v>
      </c>
      <c r="F53" s="6">
        <f t="shared" si="32"/>
        <v>2148502.0390476114</v>
      </c>
      <c r="G53" s="7">
        <f t="shared" si="24"/>
        <v>2231653.9390476113</v>
      </c>
      <c r="H53" s="6">
        <f t="shared" si="25"/>
        <v>117800</v>
      </c>
      <c r="I53" s="6">
        <f t="shared" si="26"/>
        <v>2695167.7649654914</v>
      </c>
      <c r="J53" s="7">
        <f t="shared" si="27"/>
        <v>2812967.7649654914</v>
      </c>
    </row>
    <row r="54" spans="1:10" x14ac:dyDescent="0.25">
      <c r="A54" s="1">
        <v>43313</v>
      </c>
      <c r="B54" s="6">
        <f t="shared" si="21"/>
        <v>34648.1</v>
      </c>
      <c r="C54" s="6">
        <f t="shared" si="21"/>
        <v>548524.06000000006</v>
      </c>
      <c r="D54" s="10">
        <f t="shared" si="22"/>
        <v>583172.16</v>
      </c>
      <c r="E54" s="6">
        <f t="shared" ref="E54:F54" si="33">E14+E26</f>
        <v>83151.899999999994</v>
      </c>
      <c r="F54" s="6">
        <f t="shared" si="33"/>
        <v>2189606.46</v>
      </c>
      <c r="G54" s="10">
        <f t="shared" si="24"/>
        <v>2272758.36</v>
      </c>
      <c r="H54" s="6">
        <f t="shared" si="25"/>
        <v>117800</v>
      </c>
      <c r="I54" s="6">
        <f t="shared" si="26"/>
        <v>2738130.52</v>
      </c>
      <c r="J54" s="10">
        <f t="shared" si="27"/>
        <v>2855930.52</v>
      </c>
    </row>
    <row r="55" spans="1:10" x14ac:dyDescent="0.25">
      <c r="A55" s="1">
        <v>43344</v>
      </c>
      <c r="B55" s="10">
        <f>B27</f>
        <v>34648.1</v>
      </c>
      <c r="C55" s="10">
        <f>C27</f>
        <v>0</v>
      </c>
      <c r="D55" s="10">
        <f t="shared" si="22"/>
        <v>34648.1</v>
      </c>
      <c r="E55" s="10">
        <f>E27</f>
        <v>83151.899999999994</v>
      </c>
      <c r="F55" s="10">
        <f>F27</f>
        <v>0</v>
      </c>
      <c r="G55" s="7">
        <f t="shared" si="24"/>
        <v>83151.899999999994</v>
      </c>
      <c r="H55" s="6">
        <f t="shared" si="25"/>
        <v>117800</v>
      </c>
      <c r="I55" s="6">
        <f t="shared" si="26"/>
        <v>0</v>
      </c>
      <c r="J55" s="10">
        <f t="shared" si="27"/>
        <v>117800</v>
      </c>
    </row>
    <row r="56" spans="1:10" x14ac:dyDescent="0.25">
      <c r="A56" s="1">
        <v>43374</v>
      </c>
      <c r="B56" s="10">
        <f t="shared" ref="B56:C60" si="34">B28</f>
        <v>34648.1</v>
      </c>
      <c r="C56" s="10">
        <f t="shared" si="34"/>
        <v>0</v>
      </c>
      <c r="D56" s="11">
        <f t="shared" si="22"/>
        <v>34648.1</v>
      </c>
      <c r="E56" s="10">
        <f t="shared" ref="E56:F56" si="35">E28</f>
        <v>83151.899999999994</v>
      </c>
      <c r="F56" s="10">
        <f t="shared" si="35"/>
        <v>0</v>
      </c>
      <c r="G56" s="7">
        <f t="shared" si="24"/>
        <v>83151.899999999994</v>
      </c>
      <c r="H56" s="6">
        <f t="shared" si="25"/>
        <v>117800</v>
      </c>
      <c r="I56" s="6">
        <f t="shared" si="26"/>
        <v>0</v>
      </c>
      <c r="J56" s="10">
        <f t="shared" si="27"/>
        <v>117800</v>
      </c>
    </row>
    <row r="57" spans="1:10" x14ac:dyDescent="0.25">
      <c r="A57" s="1">
        <v>43405</v>
      </c>
      <c r="B57" s="10">
        <f t="shared" si="34"/>
        <v>34648.1</v>
      </c>
      <c r="C57" s="10">
        <f t="shared" si="34"/>
        <v>0</v>
      </c>
      <c r="D57" s="11">
        <f t="shared" si="22"/>
        <v>34648.1</v>
      </c>
      <c r="E57" s="10">
        <f t="shared" ref="E57:F57" si="36">E29</f>
        <v>83151.899999999994</v>
      </c>
      <c r="F57" s="10">
        <f t="shared" si="36"/>
        <v>0</v>
      </c>
      <c r="G57" s="7">
        <f t="shared" si="24"/>
        <v>83151.899999999994</v>
      </c>
      <c r="H57" s="6">
        <f t="shared" si="25"/>
        <v>117800</v>
      </c>
      <c r="I57" s="6">
        <f t="shared" si="26"/>
        <v>0</v>
      </c>
      <c r="J57" s="10">
        <f t="shared" si="27"/>
        <v>117800</v>
      </c>
    </row>
    <row r="58" spans="1:10" x14ac:dyDescent="0.25">
      <c r="A58" s="1">
        <v>43435</v>
      </c>
      <c r="B58" s="10">
        <f t="shared" si="34"/>
        <v>47854.37</v>
      </c>
      <c r="C58" s="10">
        <f t="shared" si="34"/>
        <v>0</v>
      </c>
      <c r="D58" s="11">
        <f t="shared" si="22"/>
        <v>47854.37</v>
      </c>
      <c r="E58" s="10">
        <f t="shared" ref="E58:F58" si="37">E30</f>
        <v>-51512.76</v>
      </c>
      <c r="F58" s="10">
        <f t="shared" si="37"/>
        <v>0</v>
      </c>
      <c r="G58" s="7">
        <f t="shared" si="24"/>
        <v>-51512.76</v>
      </c>
      <c r="H58" s="6">
        <f t="shared" si="25"/>
        <v>-3658.3899999999994</v>
      </c>
      <c r="I58" s="6">
        <f t="shared" si="26"/>
        <v>0</v>
      </c>
      <c r="J58" s="10">
        <f t="shared" si="27"/>
        <v>-3658.3899999999994</v>
      </c>
    </row>
    <row r="59" spans="1:10" x14ac:dyDescent="0.25">
      <c r="A59" s="1">
        <v>43466</v>
      </c>
      <c r="B59" s="10">
        <f t="shared" si="34"/>
        <v>34648.1</v>
      </c>
      <c r="C59" s="10">
        <f t="shared" si="34"/>
        <v>0</v>
      </c>
      <c r="D59" s="11">
        <f t="shared" si="22"/>
        <v>34648.1</v>
      </c>
      <c r="E59" s="10">
        <f t="shared" ref="E59:F59" si="38">E31</f>
        <v>83151.899999999994</v>
      </c>
      <c r="F59" s="10">
        <f t="shared" si="38"/>
        <v>0</v>
      </c>
      <c r="G59" s="7">
        <f t="shared" si="24"/>
        <v>83151.899999999994</v>
      </c>
      <c r="H59" s="6">
        <f t="shared" si="25"/>
        <v>117800</v>
      </c>
      <c r="I59" s="6">
        <f t="shared" si="26"/>
        <v>0</v>
      </c>
      <c r="J59" s="10">
        <f t="shared" si="27"/>
        <v>117800</v>
      </c>
    </row>
    <row r="60" spans="1:10" x14ac:dyDescent="0.25">
      <c r="A60" s="1">
        <v>43497</v>
      </c>
      <c r="B60" s="10">
        <f t="shared" si="34"/>
        <v>21508.86</v>
      </c>
      <c r="C60" s="10">
        <f t="shared" si="34"/>
        <v>0</v>
      </c>
      <c r="D60" s="11">
        <f t="shared" si="22"/>
        <v>21508.86</v>
      </c>
      <c r="E60" s="10">
        <f t="shared" ref="E60:F60" si="39">E32</f>
        <v>56070.879999999997</v>
      </c>
      <c r="F60" s="10">
        <f t="shared" si="39"/>
        <v>0</v>
      </c>
      <c r="G60" s="7">
        <f t="shared" si="24"/>
        <v>56070.879999999997</v>
      </c>
      <c r="H60" s="6">
        <f t="shared" si="25"/>
        <v>77579.739999999991</v>
      </c>
      <c r="I60" s="6">
        <f t="shared" si="26"/>
        <v>0</v>
      </c>
      <c r="J60" s="10">
        <f t="shared" si="27"/>
        <v>77579.739999999991</v>
      </c>
    </row>
    <row r="61" spans="1:10" x14ac:dyDescent="0.25">
      <c r="A61" s="1">
        <v>43525</v>
      </c>
      <c r="B61" s="10">
        <f>B33</f>
        <v>28078.48</v>
      </c>
      <c r="C61" s="10">
        <f>C33</f>
        <v>0</v>
      </c>
      <c r="D61" s="11">
        <f t="shared" si="22"/>
        <v>28078.48</v>
      </c>
      <c r="E61" s="10">
        <f>E33</f>
        <v>69611.39</v>
      </c>
      <c r="F61" s="10">
        <f>F33</f>
        <v>0</v>
      </c>
      <c r="G61" s="7">
        <f t="shared" si="24"/>
        <v>69611.39</v>
      </c>
      <c r="H61" s="6">
        <f t="shared" ref="H61" si="40">B61+E61</f>
        <v>97689.87</v>
      </c>
      <c r="I61" s="6">
        <f t="shared" ref="I61" si="41">C61+F61</f>
        <v>0</v>
      </c>
      <c r="J61" s="10">
        <f t="shared" ref="J61" si="42">H61+I61</f>
        <v>97689.87</v>
      </c>
    </row>
    <row r="62" spans="1:10" x14ac:dyDescent="0.25">
      <c r="A62" s="1">
        <v>43556</v>
      </c>
      <c r="B62" s="10">
        <f t="shared" ref="B62:C62" si="43">B34</f>
        <v>28078.48</v>
      </c>
      <c r="C62" s="10">
        <f t="shared" si="43"/>
        <v>0</v>
      </c>
      <c r="D62" s="11">
        <f t="shared" ref="D62:D70" si="44">B62+C62</f>
        <v>28078.48</v>
      </c>
      <c r="E62" s="10">
        <f t="shared" ref="E62:F62" si="45">E34</f>
        <v>69611.39</v>
      </c>
      <c r="F62" s="10">
        <f t="shared" si="45"/>
        <v>0</v>
      </c>
      <c r="G62" s="7">
        <f t="shared" ref="G62:G70" si="46">E62+F62</f>
        <v>69611.39</v>
      </c>
      <c r="H62" s="6">
        <f t="shared" ref="H62:H70" si="47">B62+E62</f>
        <v>97689.87</v>
      </c>
      <c r="I62" s="6">
        <f t="shared" ref="I62:I70" si="48">C62+F62</f>
        <v>0</v>
      </c>
      <c r="J62" s="10">
        <f t="shared" ref="J62:J70" si="49">H62+I62</f>
        <v>97689.87</v>
      </c>
    </row>
    <row r="63" spans="1:10" x14ac:dyDescent="0.25">
      <c r="A63" s="1">
        <v>43586</v>
      </c>
      <c r="B63" s="10">
        <f t="shared" ref="B63:C63" si="50">B35</f>
        <v>28078.48</v>
      </c>
      <c r="C63" s="10">
        <f t="shared" si="50"/>
        <v>0</v>
      </c>
      <c r="D63" s="11">
        <f t="shared" si="44"/>
        <v>28078.48</v>
      </c>
      <c r="E63" s="10">
        <f t="shared" ref="E63:F63" si="51">E35</f>
        <v>69611.39</v>
      </c>
      <c r="F63" s="10">
        <f t="shared" si="51"/>
        <v>0</v>
      </c>
      <c r="G63" s="7">
        <f t="shared" si="46"/>
        <v>69611.39</v>
      </c>
      <c r="H63" s="6">
        <f t="shared" si="47"/>
        <v>97689.87</v>
      </c>
      <c r="I63" s="6">
        <f t="shared" si="48"/>
        <v>0</v>
      </c>
      <c r="J63" s="10">
        <f t="shared" si="49"/>
        <v>97689.87</v>
      </c>
    </row>
    <row r="64" spans="1:10" x14ac:dyDescent="0.25">
      <c r="A64" s="1">
        <v>43617</v>
      </c>
      <c r="B64" s="10">
        <f t="shared" ref="B64:C64" si="52">B36</f>
        <v>28078.48</v>
      </c>
      <c r="C64" s="10">
        <f t="shared" si="52"/>
        <v>0</v>
      </c>
      <c r="D64" s="11">
        <f t="shared" si="44"/>
        <v>28078.48</v>
      </c>
      <c r="E64" s="10">
        <f t="shared" ref="E64:F64" si="53">E36</f>
        <v>69611.39</v>
      </c>
      <c r="F64" s="10">
        <f t="shared" si="53"/>
        <v>0</v>
      </c>
      <c r="G64" s="7">
        <f t="shared" si="46"/>
        <v>69611.39</v>
      </c>
      <c r="H64" s="6">
        <f t="shared" si="47"/>
        <v>97689.87</v>
      </c>
      <c r="I64" s="6">
        <f t="shared" si="48"/>
        <v>0</v>
      </c>
      <c r="J64" s="10">
        <f t="shared" si="49"/>
        <v>97689.87</v>
      </c>
    </row>
    <row r="65" spans="1:10" x14ac:dyDescent="0.25">
      <c r="A65" s="1">
        <v>43647</v>
      </c>
      <c r="B65" s="10">
        <f t="shared" ref="B65:C65" si="54">B37</f>
        <v>28078.48</v>
      </c>
      <c r="C65" s="10">
        <f t="shared" si="54"/>
        <v>0</v>
      </c>
      <c r="D65" s="11">
        <f t="shared" si="44"/>
        <v>28078.48</v>
      </c>
      <c r="E65" s="10">
        <f t="shared" ref="E65:F65" si="55">E37</f>
        <v>69611.39</v>
      </c>
      <c r="F65" s="10">
        <f t="shared" si="55"/>
        <v>0</v>
      </c>
      <c r="G65" s="7">
        <f t="shared" si="46"/>
        <v>69611.39</v>
      </c>
      <c r="H65" s="6">
        <f t="shared" si="47"/>
        <v>97689.87</v>
      </c>
      <c r="I65" s="6">
        <f t="shared" si="48"/>
        <v>0</v>
      </c>
      <c r="J65" s="10">
        <f t="shared" si="49"/>
        <v>97689.87</v>
      </c>
    </row>
    <row r="66" spans="1:10" x14ac:dyDescent="0.25">
      <c r="A66" s="1">
        <v>43678</v>
      </c>
      <c r="B66" s="10">
        <f t="shared" ref="B66:C66" si="56">B38</f>
        <v>28078.48</v>
      </c>
      <c r="C66" s="10">
        <f t="shared" si="56"/>
        <v>0</v>
      </c>
      <c r="D66" s="11">
        <f t="shared" si="44"/>
        <v>28078.48</v>
      </c>
      <c r="E66" s="10">
        <f t="shared" ref="E66:F66" si="57">E38</f>
        <v>69611.39</v>
      </c>
      <c r="F66" s="10">
        <f t="shared" si="57"/>
        <v>0</v>
      </c>
      <c r="G66" s="7">
        <f t="shared" si="46"/>
        <v>69611.39</v>
      </c>
      <c r="H66" s="6">
        <f t="shared" si="47"/>
        <v>97689.87</v>
      </c>
      <c r="I66" s="6">
        <f t="shared" si="48"/>
        <v>0</v>
      </c>
      <c r="J66" s="10">
        <f t="shared" si="49"/>
        <v>97689.87</v>
      </c>
    </row>
    <row r="67" spans="1:10" x14ac:dyDescent="0.25">
      <c r="A67" s="1">
        <v>43709</v>
      </c>
      <c r="B67" s="10">
        <f t="shared" ref="B67:C67" si="58">B39</f>
        <v>28078.48</v>
      </c>
      <c r="C67" s="10">
        <f t="shared" si="58"/>
        <v>0</v>
      </c>
      <c r="D67" s="11">
        <f t="shared" si="44"/>
        <v>28078.48</v>
      </c>
      <c r="E67" s="10">
        <f t="shared" ref="E67:F67" si="59">E39</f>
        <v>69611.39</v>
      </c>
      <c r="F67" s="10">
        <f t="shared" si="59"/>
        <v>0</v>
      </c>
      <c r="G67" s="7">
        <f t="shared" si="46"/>
        <v>69611.39</v>
      </c>
      <c r="H67" s="6">
        <f t="shared" si="47"/>
        <v>97689.87</v>
      </c>
      <c r="I67" s="6">
        <f t="shared" si="48"/>
        <v>0</v>
      </c>
      <c r="J67" s="10">
        <f t="shared" si="49"/>
        <v>97689.87</v>
      </c>
    </row>
    <row r="68" spans="1:10" x14ac:dyDescent="0.25">
      <c r="A68" s="1">
        <v>43739</v>
      </c>
      <c r="B68" s="10">
        <f t="shared" ref="B68:C68" si="60">B40</f>
        <v>28078.48</v>
      </c>
      <c r="C68" s="10">
        <f t="shared" si="60"/>
        <v>0</v>
      </c>
      <c r="D68" s="11">
        <f t="shared" si="44"/>
        <v>28078.48</v>
      </c>
      <c r="E68" s="10">
        <f t="shared" ref="E68:F68" si="61">E40</f>
        <v>69611.39</v>
      </c>
      <c r="F68" s="10">
        <f t="shared" si="61"/>
        <v>0</v>
      </c>
      <c r="G68" s="7">
        <f t="shared" si="46"/>
        <v>69611.39</v>
      </c>
      <c r="H68" s="6">
        <f t="shared" si="47"/>
        <v>97689.87</v>
      </c>
      <c r="I68" s="6">
        <f t="shared" si="48"/>
        <v>0</v>
      </c>
      <c r="J68" s="10">
        <f t="shared" si="49"/>
        <v>97689.87</v>
      </c>
    </row>
    <row r="69" spans="1:10" x14ac:dyDescent="0.25">
      <c r="A69" s="1">
        <v>43770</v>
      </c>
      <c r="B69" s="10">
        <f t="shared" ref="B69:C69" si="62">B41</f>
        <v>28078.48</v>
      </c>
      <c r="C69" s="10">
        <f t="shared" si="62"/>
        <v>0</v>
      </c>
      <c r="D69" s="11">
        <f t="shared" si="44"/>
        <v>28078.48</v>
      </c>
      <c r="E69" s="10">
        <f t="shared" ref="E69:F69" si="63">E41</f>
        <v>69611.39</v>
      </c>
      <c r="F69" s="10">
        <f t="shared" si="63"/>
        <v>0</v>
      </c>
      <c r="G69" s="7">
        <f t="shared" si="46"/>
        <v>69611.39</v>
      </c>
      <c r="H69" s="6">
        <f t="shared" si="47"/>
        <v>97689.87</v>
      </c>
      <c r="I69" s="6">
        <f t="shared" si="48"/>
        <v>0</v>
      </c>
      <c r="J69" s="10">
        <f t="shared" si="49"/>
        <v>97689.87</v>
      </c>
    </row>
    <row r="70" spans="1:10" x14ac:dyDescent="0.25">
      <c r="A70" s="1">
        <v>43800</v>
      </c>
      <c r="B70" s="9">
        <f t="shared" ref="B70:C70" si="64">B42</f>
        <v>28078.48</v>
      </c>
      <c r="C70" s="9">
        <f t="shared" si="64"/>
        <v>0</v>
      </c>
      <c r="D70" s="15">
        <f t="shared" si="44"/>
        <v>28078.48</v>
      </c>
      <c r="E70" s="9">
        <f t="shared" ref="E70:F70" si="65">E42</f>
        <v>69611.39</v>
      </c>
      <c r="F70" s="9">
        <f t="shared" si="65"/>
        <v>0</v>
      </c>
      <c r="G70" s="9">
        <f t="shared" si="46"/>
        <v>69611.39</v>
      </c>
      <c r="H70" s="8">
        <f t="shared" si="47"/>
        <v>97689.87</v>
      </c>
      <c r="I70" s="8">
        <f t="shared" si="48"/>
        <v>0</v>
      </c>
      <c r="J70" s="9">
        <f t="shared" si="49"/>
        <v>97689.87</v>
      </c>
    </row>
    <row r="71" spans="1:10" x14ac:dyDescent="0.25">
      <c r="A71" t="s">
        <v>4</v>
      </c>
      <c r="B71" s="7">
        <f>SUM(B47:B70)</f>
        <v>3127464.5700000003</v>
      </c>
      <c r="C71" s="7">
        <f t="shared" ref="C71:J71" si="66">SUM(C47:C70)</f>
        <v>3565733.0659178798</v>
      </c>
      <c r="D71" s="7">
        <f t="shared" si="66"/>
        <v>6693197.6359178843</v>
      </c>
      <c r="E71" s="7">
        <f t="shared" si="66"/>
        <v>9357947.9800000079</v>
      </c>
      <c r="F71" s="7">
        <f t="shared" si="66"/>
        <v>14027403.739047613</v>
      </c>
      <c r="G71" s="7">
        <f t="shared" si="66"/>
        <v>23385351.71904761</v>
      </c>
      <c r="H71" s="7">
        <f t="shared" si="66"/>
        <v>12485412.54999999</v>
      </c>
      <c r="I71" s="7">
        <f t="shared" si="66"/>
        <v>17593136.804965492</v>
      </c>
      <c r="J71" s="7">
        <f t="shared" si="66"/>
        <v>30078549.354965501</v>
      </c>
    </row>
  </sheetData>
  <mergeCells count="11">
    <mergeCell ref="B45:D45"/>
    <mergeCell ref="E45:G45"/>
    <mergeCell ref="H45:J45"/>
    <mergeCell ref="A1:J1"/>
    <mergeCell ref="A2:J2"/>
    <mergeCell ref="B5:D5"/>
    <mergeCell ref="E5:G5"/>
    <mergeCell ref="H5:J5"/>
    <mergeCell ref="B17:D17"/>
    <mergeCell ref="E17:G17"/>
    <mergeCell ref="H17:J17"/>
  </mergeCells>
  <printOptions horizontalCentered="1"/>
  <pageMargins left="0.7" right="0.7" top="0.75" bottom="0.75" header="0.3" footer="0.3"/>
  <pageSetup orientation="landscape" r:id="rId1"/>
  <headerFooter>
    <oddHeader>&amp;REXHIBIT RWH-4
Page &amp;P of &amp;N</oddHeader>
  </headerFooter>
  <rowBreaks count="2" manualBreakCount="2">
    <brk id="16" max="9" man="1"/>
    <brk id="44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9"/>
  <sheetViews>
    <sheetView tabSelected="1" topLeftCell="A56" workbookViewId="0">
      <selection activeCell="H74" sqref="H74"/>
    </sheetView>
  </sheetViews>
  <sheetFormatPr defaultRowHeight="15" x14ac:dyDescent="0.25"/>
  <cols>
    <col min="2" max="2" width="10.5703125" bestFit="1" customWidth="1"/>
    <col min="3" max="3" width="12.28515625" bestFit="1" customWidth="1"/>
    <col min="4" max="4" width="12.5703125" bestFit="1" customWidth="1"/>
    <col min="5" max="5" width="10.5703125" bestFit="1" customWidth="1"/>
    <col min="6" max="7" width="12.28515625" bestFit="1" customWidth="1"/>
    <col min="8" max="8" width="11.5703125" bestFit="1" customWidth="1"/>
    <col min="9" max="9" width="12.28515625" bestFit="1" customWidth="1"/>
    <col min="10" max="10" width="11.5703125" bestFit="1" customWidth="1"/>
  </cols>
  <sheetData>
    <row r="1" spans="1:11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</row>
    <row r="2" spans="1:11" x14ac:dyDescent="0.25">
      <c r="A2" s="31" t="s">
        <v>28</v>
      </c>
      <c r="B2" s="31"/>
      <c r="C2" s="31"/>
      <c r="D2" s="31"/>
      <c r="E2" s="31"/>
      <c r="F2" s="31"/>
      <c r="G2" s="31"/>
      <c r="H2" s="31"/>
      <c r="I2" s="31"/>
      <c r="J2" s="31"/>
    </row>
    <row r="3" spans="1:11" x14ac:dyDescent="0.25">
      <c r="A3" s="31" t="s">
        <v>29</v>
      </c>
      <c r="B3" s="31"/>
      <c r="C3" s="31"/>
      <c r="D3" s="31"/>
      <c r="E3" s="31"/>
      <c r="F3" s="31"/>
      <c r="G3" s="31"/>
      <c r="H3" s="31"/>
      <c r="I3" s="31"/>
      <c r="J3" s="31"/>
    </row>
    <row r="4" spans="1:11" x14ac:dyDescent="0.25">
      <c r="A4" t="s">
        <v>31</v>
      </c>
      <c r="C4" s="27">
        <f>'[1]II-C-1.1 ROR Method'!$F$17+('[1]II-C-1.1 ROR Method'!$F$15/0.79)</f>
        <v>8.3327126582278477E-2</v>
      </c>
    </row>
    <row r="6" spans="1:11" x14ac:dyDescent="0.25">
      <c r="B6" s="32" t="s">
        <v>33</v>
      </c>
      <c r="C6" s="32"/>
      <c r="D6" s="32"/>
      <c r="E6" s="32" t="s">
        <v>36</v>
      </c>
      <c r="F6" s="32"/>
      <c r="G6" s="32"/>
      <c r="H6" s="32" t="s">
        <v>37</v>
      </c>
      <c r="I6" s="32"/>
      <c r="J6" s="32"/>
    </row>
    <row r="7" spans="1:11" x14ac:dyDescent="0.25">
      <c r="A7" s="2" t="s">
        <v>5</v>
      </c>
      <c r="B7" s="2" t="s">
        <v>32</v>
      </c>
      <c r="C7" s="2" t="s">
        <v>34</v>
      </c>
      <c r="D7" s="2" t="s">
        <v>35</v>
      </c>
      <c r="E7" s="2" t="s">
        <v>32</v>
      </c>
      <c r="F7" s="2" t="s">
        <v>34</v>
      </c>
      <c r="G7" s="2" t="s">
        <v>35</v>
      </c>
      <c r="H7" s="2" t="s">
        <v>32</v>
      </c>
      <c r="I7" s="2" t="s">
        <v>34</v>
      </c>
      <c r="J7" s="2" t="s">
        <v>35</v>
      </c>
    </row>
    <row r="8" spans="1:11" x14ac:dyDescent="0.25">
      <c r="A8" t="s">
        <v>30</v>
      </c>
      <c r="B8" s="28"/>
      <c r="C8" s="28"/>
      <c r="D8" s="28">
        <f>-'WP Unprotected Balances'!D24/0.79</f>
        <v>33684805.06329114</v>
      </c>
      <c r="E8" s="28"/>
      <c r="F8" s="28"/>
      <c r="G8" s="28">
        <f>-'WP Unprotected Balances'!D33/0.79</f>
        <v>12848996.202531645</v>
      </c>
      <c r="H8" s="28"/>
      <c r="I8" s="28"/>
      <c r="J8" s="28">
        <f>D8+G8</f>
        <v>46533801.265822783</v>
      </c>
      <c r="K8" s="7"/>
    </row>
    <row r="9" spans="1:11" x14ac:dyDescent="0.25">
      <c r="A9" s="1">
        <v>43831</v>
      </c>
      <c r="B9" s="28">
        <f>$C$4/12*D8</f>
        <v>233904.83461735296</v>
      </c>
      <c r="C9" s="28">
        <v>-827615.43366625381</v>
      </c>
      <c r="D9" s="28">
        <f>D8+B9+C9</f>
        <v>33091094.464242239</v>
      </c>
      <c r="E9" s="28"/>
      <c r="F9" s="28">
        <f>-G8</f>
        <v>-12848996.202531645</v>
      </c>
      <c r="G9" s="28"/>
      <c r="H9" s="28">
        <f>B9</f>
        <v>233904.83461735296</v>
      </c>
      <c r="I9" s="28">
        <f>C9+F9</f>
        <v>-13676611.636197899</v>
      </c>
      <c r="J9" s="28">
        <f>J8+H9+I9</f>
        <v>33091094.464242239</v>
      </c>
      <c r="K9" s="7"/>
    </row>
    <row r="10" spans="1:11" x14ac:dyDescent="0.25">
      <c r="A10" s="1">
        <v>43862</v>
      </c>
      <c r="B10" s="28">
        <f t="shared" ref="B10:B56" si="0">$C$4/12*D9</f>
        <v>229782.15143067061</v>
      </c>
      <c r="C10" s="28">
        <f>C9</f>
        <v>-827615.43366625381</v>
      </c>
      <c r="D10" s="28">
        <f t="shared" ref="D10:D56" si="1">D9+B10+C10</f>
        <v>32493261.182006653</v>
      </c>
      <c r="E10" s="28"/>
      <c r="F10" s="28"/>
      <c r="G10" s="28"/>
      <c r="H10" s="28">
        <f t="shared" ref="H10:H56" si="2">B10</f>
        <v>229782.15143067061</v>
      </c>
      <c r="I10" s="28">
        <f t="shared" ref="I10:I56" si="3">C10+F10</f>
        <v>-827615.43366625381</v>
      </c>
      <c r="J10" s="28">
        <f t="shared" ref="J10:J56" si="4">J9+H10+I10</f>
        <v>32493261.182006653</v>
      </c>
      <c r="K10" s="7"/>
    </row>
    <row r="11" spans="1:11" x14ac:dyDescent="0.25">
      <c r="A11" s="1">
        <v>43891</v>
      </c>
      <c r="B11" s="28">
        <f t="shared" si="0"/>
        <v>225630.84063200865</v>
      </c>
      <c r="C11" s="28">
        <f t="shared" ref="C11:C56" si="5">C10</f>
        <v>-827615.43366625381</v>
      </c>
      <c r="D11" s="28">
        <f t="shared" si="1"/>
        <v>31891276.588972408</v>
      </c>
      <c r="E11" s="28"/>
      <c r="F11" s="28"/>
      <c r="G11" s="28"/>
      <c r="H11" s="28">
        <f t="shared" si="2"/>
        <v>225630.84063200865</v>
      </c>
      <c r="I11" s="28">
        <f t="shared" si="3"/>
        <v>-827615.43366625381</v>
      </c>
      <c r="J11" s="28">
        <f t="shared" si="4"/>
        <v>31891276.588972408</v>
      </c>
      <c r="K11" s="7"/>
    </row>
    <row r="12" spans="1:11" x14ac:dyDescent="0.25">
      <c r="A12" s="1">
        <v>43922</v>
      </c>
      <c r="B12" s="28">
        <f t="shared" si="0"/>
        <v>221450.70343331317</v>
      </c>
      <c r="C12" s="28">
        <f t="shared" si="5"/>
        <v>-827615.43366625381</v>
      </c>
      <c r="D12" s="28">
        <f t="shared" si="1"/>
        <v>31285111.858739465</v>
      </c>
      <c r="E12" s="28"/>
      <c r="F12" s="28"/>
      <c r="G12" s="28"/>
      <c r="H12" s="28">
        <f t="shared" si="2"/>
        <v>221450.70343331317</v>
      </c>
      <c r="I12" s="28">
        <f t="shared" si="3"/>
        <v>-827615.43366625381</v>
      </c>
      <c r="J12" s="28">
        <f t="shared" si="4"/>
        <v>31285111.858739465</v>
      </c>
      <c r="K12" s="7"/>
    </row>
    <row r="13" spans="1:11" x14ac:dyDescent="0.25">
      <c r="A13" s="1">
        <v>43952</v>
      </c>
      <c r="B13" s="28">
        <f t="shared" si="0"/>
        <v>217241.53966616039</v>
      </c>
      <c r="C13" s="28">
        <f t="shared" si="5"/>
        <v>-827615.43366625381</v>
      </c>
      <c r="D13" s="28">
        <f t="shared" si="1"/>
        <v>30674737.964739371</v>
      </c>
      <c r="E13" s="28"/>
      <c r="F13" s="28"/>
      <c r="G13" s="28"/>
      <c r="H13" s="28">
        <f t="shared" si="2"/>
        <v>217241.53966616039</v>
      </c>
      <c r="I13" s="28">
        <f t="shared" si="3"/>
        <v>-827615.43366625381</v>
      </c>
      <c r="J13" s="28">
        <f t="shared" si="4"/>
        <v>30674737.964739371</v>
      </c>
      <c r="K13" s="7"/>
    </row>
    <row r="14" spans="1:11" x14ac:dyDescent="0.25">
      <c r="A14" s="1">
        <v>43983</v>
      </c>
      <c r="B14" s="28">
        <f t="shared" si="0"/>
        <v>213003.14777217174</v>
      </c>
      <c r="C14" s="28">
        <f t="shared" si="5"/>
        <v>-827615.43366625381</v>
      </c>
      <c r="D14" s="28">
        <f t="shared" si="1"/>
        <v>30060125.678845286</v>
      </c>
      <c r="E14" s="28"/>
      <c r="F14" s="28"/>
      <c r="G14" s="28"/>
      <c r="H14" s="28">
        <f t="shared" si="2"/>
        <v>213003.14777217174</v>
      </c>
      <c r="I14" s="28">
        <f t="shared" si="3"/>
        <v>-827615.43366625381</v>
      </c>
      <c r="J14" s="28">
        <f t="shared" si="4"/>
        <v>30060125.678845286</v>
      </c>
      <c r="K14" s="7"/>
    </row>
    <row r="15" spans="1:11" x14ac:dyDescent="0.25">
      <c r="A15" s="1">
        <v>44013</v>
      </c>
      <c r="B15" s="28">
        <f t="shared" si="0"/>
        <v>208735.32479336174</v>
      </c>
      <c r="C15" s="28">
        <f t="shared" si="5"/>
        <v>-827615.43366625381</v>
      </c>
      <c r="D15" s="28">
        <f t="shared" si="1"/>
        <v>29441245.569972392</v>
      </c>
      <c r="E15" s="28"/>
      <c r="F15" s="28"/>
      <c r="G15" s="28"/>
      <c r="H15" s="28">
        <f t="shared" si="2"/>
        <v>208735.32479336174</v>
      </c>
      <c r="I15" s="28">
        <f t="shared" si="3"/>
        <v>-827615.43366625381</v>
      </c>
      <c r="J15" s="28">
        <f t="shared" si="4"/>
        <v>29441245.569972392</v>
      </c>
      <c r="K15" s="7"/>
    </row>
    <row r="16" spans="1:11" x14ac:dyDescent="0.25">
      <c r="A16" s="1">
        <v>44044</v>
      </c>
      <c r="B16" s="28">
        <f t="shared" si="0"/>
        <v>204437.86636241956</v>
      </c>
      <c r="C16" s="28">
        <f t="shared" si="5"/>
        <v>-827615.43366625381</v>
      </c>
      <c r="D16" s="28">
        <f t="shared" si="1"/>
        <v>28818068.002668556</v>
      </c>
      <c r="E16" s="28"/>
      <c r="F16" s="28"/>
      <c r="G16" s="28"/>
      <c r="H16" s="28">
        <f t="shared" si="2"/>
        <v>204437.86636241956</v>
      </c>
      <c r="I16" s="28">
        <f t="shared" si="3"/>
        <v>-827615.43366625381</v>
      </c>
      <c r="J16" s="28">
        <f t="shared" si="4"/>
        <v>28818068.002668556</v>
      </c>
      <c r="K16" s="7"/>
    </row>
    <row r="17" spans="1:11" x14ac:dyDescent="0.25">
      <c r="A17" s="1">
        <v>44075</v>
      </c>
      <c r="B17" s="28">
        <f t="shared" si="0"/>
        <v>200110.56669292264</v>
      </c>
      <c r="C17" s="28">
        <f t="shared" si="5"/>
        <v>-827615.43366625381</v>
      </c>
      <c r="D17" s="28">
        <f t="shared" si="1"/>
        <v>28190563.135695223</v>
      </c>
      <c r="E17" s="28"/>
      <c r="F17" s="28"/>
      <c r="G17" s="28"/>
      <c r="H17" s="28">
        <f t="shared" si="2"/>
        <v>200110.56669292264</v>
      </c>
      <c r="I17" s="28">
        <f t="shared" si="3"/>
        <v>-827615.43366625381</v>
      </c>
      <c r="J17" s="28">
        <f t="shared" si="4"/>
        <v>28190563.135695223</v>
      </c>
      <c r="K17" s="7"/>
    </row>
    <row r="18" spans="1:11" x14ac:dyDescent="0.25">
      <c r="A18" s="1">
        <v>44105</v>
      </c>
      <c r="B18" s="28">
        <f t="shared" si="0"/>
        <v>195753.21856948241</v>
      </c>
      <c r="C18" s="28">
        <f t="shared" si="5"/>
        <v>-827615.43366625381</v>
      </c>
      <c r="D18" s="28">
        <f t="shared" si="1"/>
        <v>27558700.920598451</v>
      </c>
      <c r="E18" s="28"/>
      <c r="F18" s="28"/>
      <c r="G18" s="28"/>
      <c r="H18" s="28">
        <f t="shared" si="2"/>
        <v>195753.21856948241</v>
      </c>
      <c r="I18" s="28">
        <f t="shared" si="3"/>
        <v>-827615.43366625381</v>
      </c>
      <c r="J18" s="28">
        <f t="shared" si="4"/>
        <v>27558700.920598451</v>
      </c>
      <c r="K18" s="7"/>
    </row>
    <row r="19" spans="1:11" x14ac:dyDescent="0.25">
      <c r="A19" s="1">
        <v>44136</v>
      </c>
      <c r="B19" s="28">
        <f t="shared" si="0"/>
        <v>191365.61333782179</v>
      </c>
      <c r="C19" s="28">
        <f t="shared" si="5"/>
        <v>-827615.43366625381</v>
      </c>
      <c r="D19" s="28">
        <f t="shared" si="1"/>
        <v>26922451.100270018</v>
      </c>
      <c r="E19" s="28"/>
      <c r="F19" s="28"/>
      <c r="G19" s="28"/>
      <c r="H19" s="28">
        <f t="shared" si="2"/>
        <v>191365.61333782179</v>
      </c>
      <c r="I19" s="28">
        <f t="shared" si="3"/>
        <v>-827615.43366625381</v>
      </c>
      <c r="J19" s="28">
        <f t="shared" si="4"/>
        <v>26922451.100270018</v>
      </c>
      <c r="K19" s="7"/>
    </row>
    <row r="20" spans="1:11" x14ac:dyDescent="0.25">
      <c r="A20" s="1">
        <v>44166</v>
      </c>
      <c r="B20" s="28">
        <f t="shared" si="0"/>
        <v>186947.54089478351</v>
      </c>
      <c r="C20" s="28">
        <f t="shared" si="5"/>
        <v>-827615.43366625381</v>
      </c>
      <c r="D20" s="28">
        <f t="shared" si="1"/>
        <v>26281783.207498547</v>
      </c>
      <c r="E20" s="28"/>
      <c r="F20" s="28"/>
      <c r="G20" s="28"/>
      <c r="H20" s="28">
        <f t="shared" si="2"/>
        <v>186947.54089478351</v>
      </c>
      <c r="I20" s="28">
        <f t="shared" si="3"/>
        <v>-827615.43366625381</v>
      </c>
      <c r="J20" s="28">
        <f t="shared" si="4"/>
        <v>26281783.207498547</v>
      </c>
      <c r="K20" s="7"/>
    </row>
    <row r="21" spans="1:11" x14ac:dyDescent="0.25">
      <c r="A21" s="1">
        <v>44197</v>
      </c>
      <c r="B21" s="28">
        <f t="shared" si="0"/>
        <v>182498.78967826936</v>
      </c>
      <c r="C21" s="28">
        <f t="shared" si="5"/>
        <v>-827615.43366625381</v>
      </c>
      <c r="D21" s="28">
        <f t="shared" si="1"/>
        <v>25636666.563510559</v>
      </c>
      <c r="E21" s="28"/>
      <c r="F21" s="28"/>
      <c r="G21" s="28"/>
      <c r="H21" s="28">
        <f t="shared" si="2"/>
        <v>182498.78967826936</v>
      </c>
      <c r="I21" s="28">
        <f t="shared" si="3"/>
        <v>-827615.43366625381</v>
      </c>
      <c r="J21" s="28">
        <f t="shared" si="4"/>
        <v>25636666.563510559</v>
      </c>
      <c r="K21" s="7"/>
    </row>
    <row r="22" spans="1:11" x14ac:dyDescent="0.25">
      <c r="A22" s="1">
        <v>44228</v>
      </c>
      <c r="B22" s="28">
        <f t="shared" si="0"/>
        <v>178019.1466571092</v>
      </c>
      <c r="C22" s="28">
        <f t="shared" si="5"/>
        <v>-827615.43366625381</v>
      </c>
      <c r="D22" s="28">
        <f t="shared" si="1"/>
        <v>24987070.276501413</v>
      </c>
      <c r="E22" s="28"/>
      <c r="F22" s="28"/>
      <c r="G22" s="28"/>
      <c r="H22" s="28">
        <f t="shared" si="2"/>
        <v>178019.1466571092</v>
      </c>
      <c r="I22" s="28">
        <f t="shared" si="3"/>
        <v>-827615.43366625381</v>
      </c>
      <c r="J22" s="28">
        <f t="shared" si="4"/>
        <v>24987070.276501413</v>
      </c>
      <c r="K22" s="7"/>
    </row>
    <row r="23" spans="1:11" x14ac:dyDescent="0.25">
      <c r="A23" s="1">
        <v>44256</v>
      </c>
      <c r="B23" s="28">
        <f t="shared" si="0"/>
        <v>173508.39732086009</v>
      </c>
      <c r="C23" s="28">
        <f t="shared" si="5"/>
        <v>-827615.43366625381</v>
      </c>
      <c r="D23" s="28">
        <f t="shared" si="1"/>
        <v>24332963.240156017</v>
      </c>
      <c r="E23" s="28"/>
      <c r="F23" s="28"/>
      <c r="G23" s="28"/>
      <c r="H23" s="28">
        <f t="shared" si="2"/>
        <v>173508.39732086009</v>
      </c>
      <c r="I23" s="28">
        <f t="shared" si="3"/>
        <v>-827615.43366625381</v>
      </c>
      <c r="J23" s="28">
        <f t="shared" si="4"/>
        <v>24332963.240156017</v>
      </c>
      <c r="K23" s="7"/>
    </row>
    <row r="24" spans="1:11" x14ac:dyDescent="0.25">
      <c r="A24" s="1">
        <v>44287</v>
      </c>
      <c r="B24" s="28">
        <f t="shared" si="0"/>
        <v>168966.32566953413</v>
      </c>
      <c r="C24" s="28">
        <f t="shared" si="5"/>
        <v>-827615.43366625381</v>
      </c>
      <c r="D24" s="28">
        <f t="shared" si="1"/>
        <v>23674314.132159296</v>
      </c>
      <c r="E24" s="28"/>
      <c r="F24" s="28"/>
      <c r="G24" s="28"/>
      <c r="H24" s="28">
        <f t="shared" si="2"/>
        <v>168966.32566953413</v>
      </c>
      <c r="I24" s="28">
        <f t="shared" si="3"/>
        <v>-827615.43366625381</v>
      </c>
      <c r="J24" s="28">
        <f t="shared" si="4"/>
        <v>23674314.132159296</v>
      </c>
      <c r="K24" s="7"/>
    </row>
    <row r="25" spans="1:11" x14ac:dyDescent="0.25">
      <c r="A25" s="1">
        <v>44317</v>
      </c>
      <c r="B25" s="28">
        <f t="shared" si="0"/>
        <v>164392.71420325516</v>
      </c>
      <c r="C25" s="28">
        <f t="shared" si="5"/>
        <v>-827615.43366625381</v>
      </c>
      <c r="D25" s="28">
        <f t="shared" si="1"/>
        <v>23011091.412696294</v>
      </c>
      <c r="E25" s="28"/>
      <c r="F25" s="28"/>
      <c r="G25" s="28"/>
      <c r="H25" s="28">
        <f t="shared" si="2"/>
        <v>164392.71420325516</v>
      </c>
      <c r="I25" s="28">
        <f t="shared" si="3"/>
        <v>-827615.43366625381</v>
      </c>
      <c r="J25" s="28">
        <f t="shared" si="4"/>
        <v>23011091.412696294</v>
      </c>
      <c r="K25" s="7"/>
    </row>
    <row r="26" spans="1:11" x14ac:dyDescent="0.25">
      <c r="A26" s="1">
        <v>44348</v>
      </c>
      <c r="B26" s="28">
        <f t="shared" si="0"/>
        <v>159787.34391184378</v>
      </c>
      <c r="C26" s="28">
        <f t="shared" si="5"/>
        <v>-827615.43366625381</v>
      </c>
      <c r="D26" s="28">
        <f t="shared" si="1"/>
        <v>22343263.322941884</v>
      </c>
      <c r="E26" s="28"/>
      <c r="F26" s="28"/>
      <c r="G26" s="28"/>
      <c r="H26" s="28">
        <f t="shared" si="2"/>
        <v>159787.34391184378</v>
      </c>
      <c r="I26" s="28">
        <f t="shared" si="3"/>
        <v>-827615.43366625381</v>
      </c>
      <c r="J26" s="28">
        <f t="shared" si="4"/>
        <v>22343263.322941884</v>
      </c>
      <c r="K26" s="7"/>
    </row>
    <row r="27" spans="1:11" x14ac:dyDescent="0.25">
      <c r="A27" s="1">
        <v>44378</v>
      </c>
      <c r="B27" s="28">
        <f t="shared" si="0"/>
        <v>155149.99426432987</v>
      </c>
      <c r="C27" s="28">
        <f t="shared" si="5"/>
        <v>-827615.43366625381</v>
      </c>
      <c r="D27" s="28">
        <f t="shared" si="1"/>
        <v>21670797.88353996</v>
      </c>
      <c r="E27" s="28"/>
      <c r="F27" s="28"/>
      <c r="G27" s="28"/>
      <c r="H27" s="28">
        <f t="shared" si="2"/>
        <v>155149.99426432987</v>
      </c>
      <c r="I27" s="28">
        <f t="shared" si="3"/>
        <v>-827615.43366625381</v>
      </c>
      <c r="J27" s="28">
        <f t="shared" si="4"/>
        <v>21670797.88353996</v>
      </c>
      <c r="K27" s="7"/>
    </row>
    <row r="28" spans="1:11" x14ac:dyDescent="0.25">
      <c r="A28" s="1">
        <v>44409</v>
      </c>
      <c r="B28" s="28">
        <f t="shared" si="0"/>
        <v>150480.44319839223</v>
      </c>
      <c r="C28" s="28">
        <f t="shared" si="5"/>
        <v>-827615.43366625381</v>
      </c>
      <c r="D28" s="28">
        <f t="shared" si="1"/>
        <v>20993662.893072098</v>
      </c>
      <c r="E28" s="28"/>
      <c r="F28" s="28"/>
      <c r="G28" s="28"/>
      <c r="H28" s="28">
        <f t="shared" si="2"/>
        <v>150480.44319839223</v>
      </c>
      <c r="I28" s="28">
        <f t="shared" si="3"/>
        <v>-827615.43366625381</v>
      </c>
      <c r="J28" s="28">
        <f t="shared" si="4"/>
        <v>20993662.893072098</v>
      </c>
      <c r="K28" s="7"/>
    </row>
    <row r="29" spans="1:11" x14ac:dyDescent="0.25">
      <c r="A29" s="1">
        <v>44440</v>
      </c>
      <c r="B29" s="28">
        <f t="shared" si="0"/>
        <v>145778.46710972511</v>
      </c>
      <c r="C29" s="28">
        <f t="shared" si="5"/>
        <v>-827615.43366625381</v>
      </c>
      <c r="D29" s="28">
        <f t="shared" si="1"/>
        <v>20311825.926515568</v>
      </c>
      <c r="E29" s="28"/>
      <c r="F29" s="28"/>
      <c r="G29" s="28"/>
      <c r="H29" s="28">
        <f t="shared" si="2"/>
        <v>145778.46710972511</v>
      </c>
      <c r="I29" s="28">
        <f t="shared" si="3"/>
        <v>-827615.43366625381</v>
      </c>
      <c r="J29" s="28">
        <f t="shared" si="4"/>
        <v>20311825.926515568</v>
      </c>
      <c r="K29" s="7"/>
    </row>
    <row r="30" spans="1:11" x14ac:dyDescent="0.25">
      <c r="A30" s="1">
        <v>44470</v>
      </c>
      <c r="B30" s="28">
        <f t="shared" si="0"/>
        <v>141043.8408413307</v>
      </c>
      <c r="C30" s="28">
        <f t="shared" si="5"/>
        <v>-827615.43366625381</v>
      </c>
      <c r="D30" s="28">
        <f t="shared" si="1"/>
        <v>19625254.333690643</v>
      </c>
      <c r="E30" s="28"/>
      <c r="F30" s="28"/>
      <c r="G30" s="28"/>
      <c r="H30" s="28">
        <f t="shared" si="2"/>
        <v>141043.8408413307</v>
      </c>
      <c r="I30" s="28">
        <f t="shared" si="3"/>
        <v>-827615.43366625381</v>
      </c>
      <c r="J30" s="28">
        <f t="shared" si="4"/>
        <v>19625254.333690643</v>
      </c>
      <c r="K30" s="7"/>
    </row>
    <row r="31" spans="1:11" x14ac:dyDescent="0.25">
      <c r="A31" s="1">
        <v>44501</v>
      </c>
      <c r="B31" s="28">
        <f t="shared" si="0"/>
        <v>136276.33767273746</v>
      </c>
      <c r="C31" s="28">
        <f t="shared" si="5"/>
        <v>-827615.43366625381</v>
      </c>
      <c r="D31" s="28">
        <f t="shared" si="1"/>
        <v>18933915.237697124</v>
      </c>
      <c r="E31" s="28"/>
      <c r="F31" s="28"/>
      <c r="G31" s="28"/>
      <c r="H31" s="28">
        <f t="shared" si="2"/>
        <v>136276.33767273746</v>
      </c>
      <c r="I31" s="28">
        <f t="shared" si="3"/>
        <v>-827615.43366625381</v>
      </c>
      <c r="J31" s="28">
        <f t="shared" si="4"/>
        <v>18933915.237697124</v>
      </c>
      <c r="K31" s="7"/>
    </row>
    <row r="32" spans="1:11" x14ac:dyDescent="0.25">
      <c r="A32" s="1">
        <v>44531</v>
      </c>
      <c r="B32" s="28">
        <f t="shared" si="0"/>
        <v>131475.72930914329</v>
      </c>
      <c r="C32" s="28">
        <f t="shared" si="5"/>
        <v>-827615.43366625381</v>
      </c>
      <c r="D32" s="28">
        <f t="shared" si="1"/>
        <v>18237775.533340011</v>
      </c>
      <c r="E32" s="28"/>
      <c r="F32" s="28"/>
      <c r="G32" s="28"/>
      <c r="H32" s="28">
        <f t="shared" si="2"/>
        <v>131475.72930914329</v>
      </c>
      <c r="I32" s="28">
        <f t="shared" si="3"/>
        <v>-827615.43366625381</v>
      </c>
      <c r="J32" s="28">
        <f t="shared" si="4"/>
        <v>18237775.533340011</v>
      </c>
      <c r="K32" s="7"/>
    </row>
    <row r="33" spans="1:11" x14ac:dyDescent="0.25">
      <c r="A33" s="1">
        <v>44562</v>
      </c>
      <c r="B33" s="28">
        <f t="shared" si="0"/>
        <v>126641.7858704837</v>
      </c>
      <c r="C33" s="28">
        <f t="shared" si="5"/>
        <v>-827615.43366625381</v>
      </c>
      <c r="D33" s="28">
        <f t="shared" si="1"/>
        <v>17536801.88554424</v>
      </c>
      <c r="E33" s="28"/>
      <c r="F33" s="28"/>
      <c r="G33" s="28"/>
      <c r="H33" s="28">
        <f t="shared" si="2"/>
        <v>126641.7858704837</v>
      </c>
      <c r="I33" s="28">
        <f t="shared" si="3"/>
        <v>-827615.43366625381</v>
      </c>
      <c r="J33" s="28">
        <f t="shared" si="4"/>
        <v>17536801.88554424</v>
      </c>
      <c r="K33" s="7"/>
    </row>
    <row r="34" spans="1:11" x14ac:dyDescent="0.25">
      <c r="A34" s="1">
        <v>44593</v>
      </c>
      <c r="B34" s="28">
        <f t="shared" si="0"/>
        <v>121774.27588042372</v>
      </c>
      <c r="C34" s="28">
        <f t="shared" si="5"/>
        <v>-827615.43366625381</v>
      </c>
      <c r="D34" s="28">
        <f t="shared" si="1"/>
        <v>16830960.727758408</v>
      </c>
      <c r="E34" s="28"/>
      <c r="F34" s="28"/>
      <c r="G34" s="28"/>
      <c r="H34" s="28">
        <f t="shared" si="2"/>
        <v>121774.27588042372</v>
      </c>
      <c r="I34" s="28">
        <f t="shared" si="3"/>
        <v>-827615.43366625381</v>
      </c>
      <c r="J34" s="28">
        <f t="shared" si="4"/>
        <v>16830960.727758408</v>
      </c>
      <c r="K34" s="7"/>
    </row>
    <row r="35" spans="1:11" x14ac:dyDescent="0.25">
      <c r="A35" s="1">
        <v>44621</v>
      </c>
      <c r="B35" s="28">
        <f t="shared" si="0"/>
        <v>116872.96625527355</v>
      </c>
      <c r="C35" s="28">
        <f t="shared" si="5"/>
        <v>-827615.43366625381</v>
      </c>
      <c r="D35" s="28">
        <f t="shared" si="1"/>
        <v>16120218.260347428</v>
      </c>
      <c r="E35" s="28"/>
      <c r="F35" s="28"/>
      <c r="G35" s="28"/>
      <c r="H35" s="28">
        <f t="shared" si="2"/>
        <v>116872.96625527355</v>
      </c>
      <c r="I35" s="28">
        <f t="shared" si="3"/>
        <v>-827615.43366625381</v>
      </c>
      <c r="J35" s="28">
        <f t="shared" si="4"/>
        <v>16120218.260347428</v>
      </c>
      <c r="K35" s="7"/>
    </row>
    <row r="36" spans="1:11" x14ac:dyDescent="0.25">
      <c r="A36" s="1">
        <v>44652</v>
      </c>
      <c r="B36" s="28">
        <f t="shared" si="0"/>
        <v>111937.62229282725</v>
      </c>
      <c r="C36" s="28">
        <f t="shared" si="5"/>
        <v>-827615.43366625381</v>
      </c>
      <c r="D36" s="28">
        <f t="shared" si="1"/>
        <v>15404540.448974002</v>
      </c>
      <c r="E36" s="28"/>
      <c r="F36" s="28"/>
      <c r="G36" s="28"/>
      <c r="H36" s="28">
        <f t="shared" si="2"/>
        <v>111937.62229282725</v>
      </c>
      <c r="I36" s="28">
        <f t="shared" si="3"/>
        <v>-827615.43366625381</v>
      </c>
      <c r="J36" s="28">
        <f t="shared" si="4"/>
        <v>15404540.448974002</v>
      </c>
      <c r="K36" s="7"/>
    </row>
    <row r="37" spans="1:11" x14ac:dyDescent="0.25">
      <c r="A37" s="1">
        <v>44682</v>
      </c>
      <c r="B37" s="28">
        <f t="shared" si="0"/>
        <v>106968.00766112379</v>
      </c>
      <c r="C37" s="28">
        <f t="shared" si="5"/>
        <v>-827615.43366625381</v>
      </c>
      <c r="D37" s="28">
        <f t="shared" si="1"/>
        <v>14683893.022968873</v>
      </c>
      <c r="E37" s="28"/>
      <c r="F37" s="28"/>
      <c r="G37" s="28"/>
      <c r="H37" s="28">
        <f t="shared" si="2"/>
        <v>106968.00766112379</v>
      </c>
      <c r="I37" s="28">
        <f t="shared" si="3"/>
        <v>-827615.43366625381</v>
      </c>
      <c r="J37" s="28">
        <f t="shared" si="4"/>
        <v>14683893.022968873</v>
      </c>
      <c r="K37" s="7"/>
    </row>
    <row r="38" spans="1:11" x14ac:dyDescent="0.25">
      <c r="A38" s="1">
        <v>44713</v>
      </c>
      <c r="B38" s="28">
        <f t="shared" si="0"/>
        <v>101963.88438713025</v>
      </c>
      <c r="C38" s="28">
        <f t="shared" si="5"/>
        <v>-827615.43366625381</v>
      </c>
      <c r="D38" s="28">
        <f t="shared" si="1"/>
        <v>13958241.47368975</v>
      </c>
      <c r="E38" s="28"/>
      <c r="F38" s="28"/>
      <c r="G38" s="28"/>
      <c r="H38" s="28">
        <f t="shared" si="2"/>
        <v>101963.88438713025</v>
      </c>
      <c r="I38" s="28">
        <f t="shared" si="3"/>
        <v>-827615.43366625381</v>
      </c>
      <c r="J38" s="28">
        <f t="shared" si="4"/>
        <v>13958241.47368975</v>
      </c>
      <c r="K38" s="7"/>
    </row>
    <row r="39" spans="1:11" x14ac:dyDescent="0.25">
      <c r="A39" s="1">
        <v>44743</v>
      </c>
      <c r="B39" s="28">
        <f t="shared" si="0"/>
        <v>96925.012845346253</v>
      </c>
      <c r="C39" s="28">
        <f t="shared" si="5"/>
        <v>-827615.43366625381</v>
      </c>
      <c r="D39" s="28">
        <f t="shared" si="1"/>
        <v>13227551.052868843</v>
      </c>
      <c r="E39" s="28"/>
      <c r="F39" s="28"/>
      <c r="G39" s="28"/>
      <c r="H39" s="28">
        <f t="shared" si="2"/>
        <v>96925.012845346253</v>
      </c>
      <c r="I39" s="28">
        <f t="shared" si="3"/>
        <v>-827615.43366625381</v>
      </c>
      <c r="J39" s="28">
        <f t="shared" si="4"/>
        <v>13227551.052868843</v>
      </c>
      <c r="K39" s="7"/>
    </row>
    <row r="40" spans="1:11" x14ac:dyDescent="0.25">
      <c r="A40" s="1">
        <v>44774</v>
      </c>
      <c r="B40" s="28">
        <f t="shared" si="0"/>
        <v>91851.151746329415</v>
      </c>
      <c r="C40" s="28">
        <f t="shared" si="5"/>
        <v>-827615.43366625381</v>
      </c>
      <c r="D40" s="28">
        <f t="shared" si="1"/>
        <v>12491786.770948919</v>
      </c>
      <c r="E40" s="28"/>
      <c r="F40" s="28"/>
      <c r="G40" s="28"/>
      <c r="H40" s="28">
        <f t="shared" si="2"/>
        <v>91851.151746329415</v>
      </c>
      <c r="I40" s="28">
        <f t="shared" si="3"/>
        <v>-827615.43366625381</v>
      </c>
      <c r="J40" s="28">
        <f t="shared" si="4"/>
        <v>12491786.770948919</v>
      </c>
      <c r="K40" s="7"/>
    </row>
    <row r="41" spans="1:11" x14ac:dyDescent="0.25">
      <c r="A41" s="1">
        <v>44805</v>
      </c>
      <c r="B41" s="28">
        <f t="shared" si="0"/>
        <v>86742.058125141019</v>
      </c>
      <c r="C41" s="28">
        <f t="shared" si="5"/>
        <v>-827615.43366625381</v>
      </c>
      <c r="D41" s="28">
        <f t="shared" si="1"/>
        <v>11750913.395407805</v>
      </c>
      <c r="E41" s="28"/>
      <c r="F41" s="28"/>
      <c r="G41" s="28"/>
      <c r="H41" s="28">
        <f t="shared" si="2"/>
        <v>86742.058125141019</v>
      </c>
      <c r="I41" s="28">
        <f t="shared" si="3"/>
        <v>-827615.43366625381</v>
      </c>
      <c r="J41" s="28">
        <f t="shared" si="4"/>
        <v>11750913.395407805</v>
      </c>
      <c r="K41" s="7"/>
    </row>
    <row r="42" spans="1:11" x14ac:dyDescent="0.25">
      <c r="A42" s="1">
        <v>44835</v>
      </c>
      <c r="B42" s="28">
        <f t="shared" si="0"/>
        <v>81597.487329711497</v>
      </c>
      <c r="C42" s="28">
        <f t="shared" si="5"/>
        <v>-827615.43366625381</v>
      </c>
      <c r="D42" s="28">
        <f t="shared" si="1"/>
        <v>11004895.449071264</v>
      </c>
      <c r="E42" s="28"/>
      <c r="F42" s="28"/>
      <c r="G42" s="28"/>
      <c r="H42" s="28">
        <f t="shared" si="2"/>
        <v>81597.487329711497</v>
      </c>
      <c r="I42" s="28">
        <f t="shared" si="3"/>
        <v>-827615.43366625381</v>
      </c>
      <c r="J42" s="28">
        <f t="shared" si="4"/>
        <v>11004895.449071264</v>
      </c>
      <c r="K42" s="7"/>
    </row>
    <row r="43" spans="1:11" x14ac:dyDescent="0.25">
      <c r="A43" s="1">
        <v>44866</v>
      </c>
      <c r="B43" s="28">
        <f t="shared" si="0"/>
        <v>76417.193009125127</v>
      </c>
      <c r="C43" s="28">
        <f t="shared" si="5"/>
        <v>-827615.43366625381</v>
      </c>
      <c r="D43" s="28">
        <f t="shared" si="1"/>
        <v>10253697.208414136</v>
      </c>
      <c r="E43" s="28"/>
      <c r="F43" s="28"/>
      <c r="G43" s="28"/>
      <c r="H43" s="28">
        <f t="shared" si="2"/>
        <v>76417.193009125127</v>
      </c>
      <c r="I43" s="28">
        <f t="shared" si="3"/>
        <v>-827615.43366625381</v>
      </c>
      <c r="J43" s="28">
        <f t="shared" si="4"/>
        <v>10253697.208414136</v>
      </c>
      <c r="K43" s="7"/>
    </row>
    <row r="44" spans="1:11" x14ac:dyDescent="0.25">
      <c r="A44" s="1">
        <v>44896</v>
      </c>
      <c r="B44" s="28">
        <f t="shared" si="0"/>
        <v>71200.927101823341</v>
      </c>
      <c r="C44" s="28">
        <f t="shared" si="5"/>
        <v>-827615.43366625381</v>
      </c>
      <c r="D44" s="28">
        <f t="shared" si="1"/>
        <v>9497282.7018497046</v>
      </c>
      <c r="E44" s="28"/>
      <c r="F44" s="28"/>
      <c r="G44" s="28"/>
      <c r="H44" s="28">
        <f t="shared" si="2"/>
        <v>71200.927101823341</v>
      </c>
      <c r="I44" s="28">
        <f t="shared" si="3"/>
        <v>-827615.43366625381</v>
      </c>
      <c r="J44" s="28">
        <f t="shared" si="4"/>
        <v>9497282.7018497046</v>
      </c>
      <c r="K44" s="7"/>
    </row>
    <row r="45" spans="1:11" x14ac:dyDescent="0.25">
      <c r="A45" s="1">
        <v>44927</v>
      </c>
      <c r="B45" s="28">
        <f t="shared" si="0"/>
        <v>65948.439823726163</v>
      </c>
      <c r="C45" s="28">
        <f t="shared" si="5"/>
        <v>-827615.43366625381</v>
      </c>
      <c r="D45" s="28">
        <f t="shared" si="1"/>
        <v>8735615.7080071773</v>
      </c>
      <c r="E45" s="28"/>
      <c r="F45" s="28"/>
      <c r="G45" s="28"/>
      <c r="H45" s="28">
        <f t="shared" si="2"/>
        <v>65948.439823726163</v>
      </c>
      <c r="I45" s="28">
        <f t="shared" si="3"/>
        <v>-827615.43366625381</v>
      </c>
      <c r="J45" s="28">
        <f t="shared" si="4"/>
        <v>8735615.7080071773</v>
      </c>
      <c r="K45" s="7"/>
    </row>
    <row r="46" spans="1:11" x14ac:dyDescent="0.25">
      <c r="A46" s="1">
        <v>44958</v>
      </c>
      <c r="B46" s="28">
        <f t="shared" si="0"/>
        <v>60659.479656271185</v>
      </c>
      <c r="C46" s="28">
        <f t="shared" si="5"/>
        <v>-827615.43366625381</v>
      </c>
      <c r="D46" s="28">
        <f t="shared" si="1"/>
        <v>7968659.7539971955</v>
      </c>
      <c r="E46" s="28"/>
      <c r="F46" s="28"/>
      <c r="G46" s="28"/>
      <c r="H46" s="28">
        <f t="shared" si="2"/>
        <v>60659.479656271185</v>
      </c>
      <c r="I46" s="28">
        <f t="shared" si="3"/>
        <v>-827615.43366625381</v>
      </c>
      <c r="J46" s="28">
        <f t="shared" si="4"/>
        <v>7968659.7539971955</v>
      </c>
      <c r="K46" s="7"/>
    </row>
    <row r="47" spans="1:11" x14ac:dyDescent="0.25">
      <c r="A47" s="1">
        <v>44986</v>
      </c>
      <c r="B47" s="28">
        <f t="shared" si="0"/>
        <v>55333.793334369366</v>
      </c>
      <c r="C47" s="28">
        <f t="shared" si="5"/>
        <v>-827615.43366625381</v>
      </c>
      <c r="D47" s="28">
        <f t="shared" si="1"/>
        <v>7196378.1136653116</v>
      </c>
      <c r="E47" s="28"/>
      <c r="F47" s="28"/>
      <c r="G47" s="28"/>
      <c r="H47" s="28">
        <f t="shared" si="2"/>
        <v>55333.793334369366</v>
      </c>
      <c r="I47" s="28">
        <f t="shared" si="3"/>
        <v>-827615.43366625381</v>
      </c>
      <c r="J47" s="28">
        <f t="shared" si="4"/>
        <v>7196378.1136653116</v>
      </c>
      <c r="K47" s="7"/>
    </row>
    <row r="48" spans="1:11" x14ac:dyDescent="0.25">
      <c r="A48" s="1">
        <v>45017</v>
      </c>
      <c r="B48" s="28">
        <f t="shared" si="0"/>
        <v>49971.125834277314</v>
      </c>
      <c r="C48" s="28">
        <f t="shared" si="5"/>
        <v>-827615.43366625381</v>
      </c>
      <c r="D48" s="28">
        <f t="shared" si="1"/>
        <v>6418733.805833335</v>
      </c>
      <c r="E48" s="28"/>
      <c r="F48" s="28"/>
      <c r="G48" s="28"/>
      <c r="H48" s="28">
        <f t="shared" si="2"/>
        <v>49971.125834277314</v>
      </c>
      <c r="I48" s="28">
        <f t="shared" si="3"/>
        <v>-827615.43366625381</v>
      </c>
      <c r="J48" s="28">
        <f t="shared" si="4"/>
        <v>6418733.805833335</v>
      </c>
      <c r="K48" s="7"/>
    </row>
    <row r="49" spans="1:11" x14ac:dyDescent="0.25">
      <c r="A49" s="1">
        <v>45047</v>
      </c>
      <c r="B49" s="28">
        <f t="shared" si="0"/>
        <v>44571.220361385364</v>
      </c>
      <c r="C49" s="28">
        <f t="shared" si="5"/>
        <v>-827615.43366625381</v>
      </c>
      <c r="D49" s="28">
        <f t="shared" si="1"/>
        <v>5635689.5925284671</v>
      </c>
      <c r="E49" s="28"/>
      <c r="F49" s="28"/>
      <c r="G49" s="28"/>
      <c r="H49" s="28">
        <f t="shared" si="2"/>
        <v>44571.220361385364</v>
      </c>
      <c r="I49" s="28">
        <f t="shared" si="3"/>
        <v>-827615.43366625381</v>
      </c>
      <c r="J49" s="28">
        <f t="shared" si="4"/>
        <v>5635689.5925284671</v>
      </c>
      <c r="K49" s="7"/>
    </row>
    <row r="50" spans="1:11" x14ac:dyDescent="0.25">
      <c r="A50" s="1">
        <v>45078</v>
      </c>
      <c r="B50" s="28">
        <f t="shared" si="0"/>
        <v>39133.818337920748</v>
      </c>
      <c r="C50" s="28">
        <f t="shared" si="5"/>
        <v>-827615.43366625381</v>
      </c>
      <c r="D50" s="28">
        <f t="shared" si="1"/>
        <v>4847207.9772001347</v>
      </c>
      <c r="E50" s="28"/>
      <c r="F50" s="28"/>
      <c r="G50" s="28"/>
      <c r="H50" s="28">
        <f t="shared" si="2"/>
        <v>39133.818337920748</v>
      </c>
      <c r="I50" s="28">
        <f t="shared" si="3"/>
        <v>-827615.43366625381</v>
      </c>
      <c r="J50" s="28">
        <f t="shared" si="4"/>
        <v>4847207.9772001347</v>
      </c>
      <c r="K50" s="7"/>
    </row>
    <row r="51" spans="1:11" x14ac:dyDescent="0.25">
      <c r="A51" s="1">
        <v>45108</v>
      </c>
      <c r="B51" s="28">
        <f t="shared" si="0"/>
        <v>33658.659390565466</v>
      </c>
      <c r="C51" s="28">
        <f t="shared" si="5"/>
        <v>-827615.43366625381</v>
      </c>
      <c r="D51" s="28">
        <f t="shared" si="1"/>
        <v>4053251.2029244457</v>
      </c>
      <c r="E51" s="28"/>
      <c r="F51" s="28"/>
      <c r="G51" s="28"/>
      <c r="H51" s="28">
        <f t="shared" si="2"/>
        <v>33658.659390565466</v>
      </c>
      <c r="I51" s="28">
        <f t="shared" si="3"/>
        <v>-827615.43366625381</v>
      </c>
      <c r="J51" s="28">
        <f t="shared" si="4"/>
        <v>4053251.2029244457</v>
      </c>
      <c r="K51" s="7"/>
    </row>
    <row r="52" spans="1:11" x14ac:dyDescent="0.25">
      <c r="A52" s="1">
        <v>45139</v>
      </c>
      <c r="B52" s="28">
        <f t="shared" si="0"/>
        <v>28145.481337988149</v>
      </c>
      <c r="C52" s="28">
        <f t="shared" si="5"/>
        <v>-827615.43366625381</v>
      </c>
      <c r="D52" s="28">
        <f t="shared" si="1"/>
        <v>3253781.2505961801</v>
      </c>
      <c r="E52" s="28"/>
      <c r="F52" s="28"/>
      <c r="G52" s="28"/>
      <c r="H52" s="28">
        <f t="shared" si="2"/>
        <v>28145.481337988149</v>
      </c>
      <c r="I52" s="28">
        <f t="shared" si="3"/>
        <v>-827615.43366625381</v>
      </c>
      <c r="J52" s="28">
        <f t="shared" si="4"/>
        <v>3253781.2505961801</v>
      </c>
      <c r="K52" s="7"/>
    </row>
    <row r="53" spans="1:11" x14ac:dyDescent="0.25">
      <c r="A53" s="1">
        <v>45170</v>
      </c>
      <c r="B53" s="28">
        <f t="shared" si="0"/>
        <v>22594.020178289353</v>
      </c>
      <c r="C53" s="28">
        <f t="shared" si="5"/>
        <v>-827615.43366625381</v>
      </c>
      <c r="D53" s="28">
        <f t="shared" si="1"/>
        <v>2448759.8371082153</v>
      </c>
      <c r="E53" s="28"/>
      <c r="F53" s="28"/>
      <c r="G53" s="28"/>
      <c r="H53" s="28">
        <f t="shared" si="2"/>
        <v>22594.020178289353</v>
      </c>
      <c r="I53" s="28">
        <f t="shared" si="3"/>
        <v>-827615.43366625381</v>
      </c>
      <c r="J53" s="28">
        <f t="shared" si="4"/>
        <v>2448759.8371082153</v>
      </c>
      <c r="K53" s="7"/>
    </row>
    <row r="54" spans="1:11" x14ac:dyDescent="0.25">
      <c r="A54" s="1">
        <v>45200</v>
      </c>
      <c r="B54" s="28">
        <f t="shared" si="0"/>
        <v>17004.010076359657</v>
      </c>
      <c r="C54" s="28">
        <f t="shared" si="5"/>
        <v>-827615.43366625381</v>
      </c>
      <c r="D54" s="28">
        <f t="shared" si="1"/>
        <v>1638148.4135183212</v>
      </c>
      <c r="E54" s="28"/>
      <c r="F54" s="28"/>
      <c r="G54" s="28"/>
      <c r="H54" s="28">
        <f t="shared" si="2"/>
        <v>17004.010076359657</v>
      </c>
      <c r="I54" s="28">
        <f t="shared" si="3"/>
        <v>-827615.43366625381</v>
      </c>
      <c r="J54" s="28">
        <f t="shared" si="4"/>
        <v>1638148.4135183212</v>
      </c>
      <c r="K54" s="7"/>
    </row>
    <row r="55" spans="1:11" x14ac:dyDescent="0.25">
      <c r="A55" s="1">
        <v>45231</v>
      </c>
      <c r="B55" s="28">
        <f t="shared" si="0"/>
        <v>11375.183351149984</v>
      </c>
      <c r="C55" s="28">
        <f t="shared" si="5"/>
        <v>-827615.43366625381</v>
      </c>
      <c r="D55" s="28">
        <f t="shared" si="1"/>
        <v>821908.16320321744</v>
      </c>
      <c r="E55" s="28"/>
      <c r="F55" s="28"/>
      <c r="G55" s="28"/>
      <c r="H55" s="28">
        <f t="shared" si="2"/>
        <v>11375.183351149984</v>
      </c>
      <c r="I55" s="28">
        <f t="shared" si="3"/>
        <v>-827615.43366625381</v>
      </c>
      <c r="J55" s="28">
        <f t="shared" si="4"/>
        <v>821908.16320321744</v>
      </c>
      <c r="K55" s="7"/>
    </row>
    <row r="56" spans="1:11" x14ac:dyDescent="0.25">
      <c r="A56" s="1">
        <v>45261</v>
      </c>
      <c r="B56" s="14">
        <f t="shared" si="0"/>
        <v>5707.2704628535412</v>
      </c>
      <c r="C56" s="14">
        <f t="shared" si="5"/>
        <v>-827615.43366625381</v>
      </c>
      <c r="D56" s="14">
        <f t="shared" si="1"/>
        <v>-1.8288847059011459E-7</v>
      </c>
      <c r="E56" s="14"/>
      <c r="F56" s="14"/>
      <c r="G56" s="14"/>
      <c r="H56" s="14">
        <f t="shared" si="2"/>
        <v>5707.2704628535412</v>
      </c>
      <c r="I56" s="14">
        <f t="shared" si="3"/>
        <v>-827615.43366625381</v>
      </c>
      <c r="J56" s="14">
        <f t="shared" si="4"/>
        <v>-1.8288847059011459E-7</v>
      </c>
      <c r="K56" s="7"/>
    </row>
    <row r="57" spans="1:11" x14ac:dyDescent="0.25">
      <c r="A57" t="s">
        <v>4</v>
      </c>
      <c r="B57" s="28">
        <f>SUM(B9:B56)</f>
        <v>6040735.752688895</v>
      </c>
      <c r="C57" s="28">
        <f>SUM(C9:C56)</f>
        <v>-39725540.815980189</v>
      </c>
      <c r="D57" s="28"/>
      <c r="E57" s="28">
        <f>SUM(E9:E56)</f>
        <v>0</v>
      </c>
      <c r="F57" s="28">
        <f>SUM(F9:F56)</f>
        <v>-12848996.202531645</v>
      </c>
      <c r="H57" s="28">
        <f>SUM(H9:H56)</f>
        <v>6040735.752688895</v>
      </c>
      <c r="I57" s="28">
        <f>SUM(I9:I56)</f>
        <v>-52574537.018511809</v>
      </c>
    </row>
    <row r="58" spans="1:11" x14ac:dyDescent="0.25">
      <c r="B58" s="28"/>
      <c r="C58" s="28"/>
      <c r="D58" s="28"/>
      <c r="E58" s="28"/>
      <c r="H58" s="28"/>
    </row>
    <row r="59" spans="1:11" x14ac:dyDescent="0.25">
      <c r="B59" s="32" t="s">
        <v>38</v>
      </c>
      <c r="C59" s="32"/>
      <c r="D59" s="32"/>
      <c r="E59" s="32" t="s">
        <v>39</v>
      </c>
      <c r="F59" s="32"/>
      <c r="G59" s="32"/>
      <c r="H59" s="32" t="s">
        <v>40</v>
      </c>
      <c r="I59" s="32"/>
      <c r="J59" s="32"/>
    </row>
    <row r="60" spans="1:11" x14ac:dyDescent="0.25">
      <c r="A60" s="2" t="s">
        <v>5</v>
      </c>
      <c r="B60" s="2" t="s">
        <v>32</v>
      </c>
      <c r="C60" s="2" t="s">
        <v>34</v>
      </c>
      <c r="D60" s="2" t="s">
        <v>35</v>
      </c>
      <c r="E60" s="2" t="s">
        <v>32</v>
      </c>
      <c r="F60" s="2" t="s">
        <v>34</v>
      </c>
      <c r="G60" s="2" t="s">
        <v>35</v>
      </c>
      <c r="H60" s="2" t="s">
        <v>32</v>
      </c>
      <c r="I60" s="2" t="s">
        <v>34</v>
      </c>
      <c r="J60" s="2" t="s">
        <v>35</v>
      </c>
    </row>
    <row r="61" spans="1:11" x14ac:dyDescent="0.25">
      <c r="A61" t="s">
        <v>30</v>
      </c>
      <c r="B61" s="28"/>
      <c r="C61" s="28"/>
      <c r="D61" s="28">
        <f>-'WP Unprotected Balances'!D13/0.79</f>
        <v>21747678.481012657</v>
      </c>
      <c r="E61" s="28"/>
      <c r="F61" s="28"/>
      <c r="G61" s="28">
        <f>-'WP Unprotected Balances'!D42/0.79</f>
        <v>3926274.6835443038</v>
      </c>
      <c r="H61" s="28"/>
      <c r="I61" s="28"/>
      <c r="J61" s="28">
        <f>D61+G61</f>
        <v>25673953.164556962</v>
      </c>
      <c r="K61" s="7"/>
    </row>
    <row r="62" spans="1:11" x14ac:dyDescent="0.25">
      <c r="A62" s="1">
        <v>43831</v>
      </c>
      <c r="B62" s="28">
        <f>$C$4/12*D61</f>
        <v>151014.29647150295</v>
      </c>
      <c r="C62" s="28">
        <v>-534327.40143454284</v>
      </c>
      <c r="D62" s="28">
        <f>D61+B62+C62</f>
        <v>21364365.376049615</v>
      </c>
      <c r="E62" s="28"/>
      <c r="F62" s="28">
        <f>-G61</f>
        <v>-3926274.6835443038</v>
      </c>
      <c r="G62" s="28">
        <f>G61+E62+F62</f>
        <v>0</v>
      </c>
      <c r="H62" s="28">
        <f>B62</f>
        <v>151014.29647150295</v>
      </c>
      <c r="I62" s="28">
        <f>C62+F62</f>
        <v>-4460602.0849788468</v>
      </c>
      <c r="J62" s="28">
        <f>J61+H62+I62</f>
        <v>21364365.376049615</v>
      </c>
      <c r="K62" s="7"/>
    </row>
    <row r="63" spans="1:11" x14ac:dyDescent="0.25">
      <c r="A63" s="1">
        <v>43862</v>
      </c>
      <c r="B63" s="28">
        <f t="shared" ref="B63:B109" si="6">$C$4/12*D62</f>
        <v>148352.59817001116</v>
      </c>
      <c r="C63" s="28">
        <f>C62</f>
        <v>-534327.40143454284</v>
      </c>
      <c r="D63" s="28">
        <f t="shared" ref="D63:D109" si="7">D62+B63+C63</f>
        <v>20978390.572785083</v>
      </c>
      <c r="E63" s="28"/>
      <c r="F63" s="28"/>
      <c r="G63" s="28">
        <f t="shared" ref="G63:G109" si="8">G62+E63+F63</f>
        <v>0</v>
      </c>
      <c r="H63" s="28">
        <f t="shared" ref="H63:H109" si="9">B63</f>
        <v>148352.59817001116</v>
      </c>
      <c r="I63" s="28">
        <f t="shared" ref="I63:I109" si="10">C63+F63</f>
        <v>-534327.40143454284</v>
      </c>
      <c r="J63" s="28">
        <f t="shared" ref="J63:J109" si="11">J62+H63+I63</f>
        <v>20978390.572785083</v>
      </c>
      <c r="K63" s="7"/>
    </row>
    <row r="64" spans="1:11" x14ac:dyDescent="0.25">
      <c r="A64" s="1">
        <v>43891</v>
      </c>
      <c r="B64" s="28">
        <f t="shared" si="6"/>
        <v>145672.41722924501</v>
      </c>
      <c r="C64" s="28">
        <f t="shared" ref="C64:C109" si="12">C63</f>
        <v>-534327.40143454284</v>
      </c>
      <c r="D64" s="28">
        <f t="shared" si="7"/>
        <v>20589735.588579785</v>
      </c>
      <c r="E64" s="28"/>
      <c r="F64" s="28"/>
      <c r="G64" s="28">
        <f t="shared" si="8"/>
        <v>0</v>
      </c>
      <c r="H64" s="28">
        <f t="shared" si="9"/>
        <v>145672.41722924501</v>
      </c>
      <c r="I64" s="28">
        <f t="shared" si="10"/>
        <v>-534327.40143454284</v>
      </c>
      <c r="J64" s="28">
        <f t="shared" si="11"/>
        <v>20589735.588579785</v>
      </c>
      <c r="K64" s="7"/>
    </row>
    <row r="65" spans="1:11" x14ac:dyDescent="0.25">
      <c r="A65" s="1">
        <v>43922</v>
      </c>
      <c r="B65" s="28">
        <f t="shared" si="6"/>
        <v>142973.62530710263</v>
      </c>
      <c r="C65" s="28">
        <f t="shared" si="12"/>
        <v>-534327.40143454284</v>
      </c>
      <c r="D65" s="28">
        <f t="shared" si="7"/>
        <v>20198381.812452342</v>
      </c>
      <c r="E65" s="28"/>
      <c r="F65" s="28"/>
      <c r="G65" s="28">
        <f t="shared" si="8"/>
        <v>0</v>
      </c>
      <c r="H65" s="28">
        <f t="shared" si="9"/>
        <v>142973.62530710263</v>
      </c>
      <c r="I65" s="28">
        <f t="shared" si="10"/>
        <v>-534327.40143454284</v>
      </c>
      <c r="J65" s="28">
        <f t="shared" si="11"/>
        <v>20198381.812452342</v>
      </c>
      <c r="K65" s="7"/>
    </row>
    <row r="66" spans="1:11" x14ac:dyDescent="0.25">
      <c r="A66" s="1">
        <v>43952</v>
      </c>
      <c r="B66" s="28">
        <f t="shared" si="6"/>
        <v>140256.09317028397</v>
      </c>
      <c r="C66" s="28">
        <f t="shared" si="12"/>
        <v>-534327.40143454284</v>
      </c>
      <c r="D66" s="28">
        <f t="shared" si="7"/>
        <v>19804310.504188083</v>
      </c>
      <c r="E66" s="28"/>
      <c r="F66" s="28"/>
      <c r="G66" s="28">
        <f t="shared" si="8"/>
        <v>0</v>
      </c>
      <c r="H66" s="28">
        <f t="shared" si="9"/>
        <v>140256.09317028397</v>
      </c>
      <c r="I66" s="28">
        <f t="shared" si="10"/>
        <v>-534327.40143454284</v>
      </c>
      <c r="J66" s="28">
        <f t="shared" si="11"/>
        <v>19804310.504188083</v>
      </c>
      <c r="K66" s="7"/>
    </row>
    <row r="67" spans="1:11" x14ac:dyDescent="0.25">
      <c r="A67" s="1">
        <v>43983</v>
      </c>
      <c r="B67" s="28">
        <f t="shared" si="6"/>
        <v>137519.6906881023</v>
      </c>
      <c r="C67" s="28">
        <f t="shared" si="12"/>
        <v>-534327.40143454284</v>
      </c>
      <c r="D67" s="28">
        <f t="shared" si="7"/>
        <v>19407502.793441642</v>
      </c>
      <c r="E67" s="28"/>
      <c r="F67" s="28"/>
      <c r="G67" s="28">
        <f t="shared" si="8"/>
        <v>0</v>
      </c>
      <c r="H67" s="28">
        <f t="shared" si="9"/>
        <v>137519.6906881023</v>
      </c>
      <c r="I67" s="28">
        <f t="shared" si="10"/>
        <v>-534327.40143454284</v>
      </c>
      <c r="J67" s="28">
        <f t="shared" si="11"/>
        <v>19407502.793441642</v>
      </c>
      <c r="K67" s="7"/>
    </row>
    <row r="68" spans="1:11" x14ac:dyDescent="0.25">
      <c r="A68" s="1">
        <v>44013</v>
      </c>
      <c r="B68" s="28">
        <f t="shared" si="6"/>
        <v>134764.28682625291</v>
      </c>
      <c r="C68" s="28">
        <f t="shared" si="12"/>
        <v>-534327.40143454284</v>
      </c>
      <c r="D68" s="28">
        <f t="shared" si="7"/>
        <v>19007939.678833351</v>
      </c>
      <c r="E68" s="28"/>
      <c r="F68" s="28"/>
      <c r="G68" s="28">
        <f t="shared" si="8"/>
        <v>0</v>
      </c>
      <c r="H68" s="28">
        <f t="shared" si="9"/>
        <v>134764.28682625291</v>
      </c>
      <c r="I68" s="28">
        <f t="shared" si="10"/>
        <v>-534327.40143454284</v>
      </c>
      <c r="J68" s="28">
        <f t="shared" si="11"/>
        <v>19007939.678833351</v>
      </c>
      <c r="K68" s="7"/>
    </row>
    <row r="69" spans="1:11" x14ac:dyDescent="0.25">
      <c r="A69" s="1">
        <v>44044</v>
      </c>
      <c r="B69" s="28">
        <f t="shared" si="6"/>
        <v>131989.74964053836</v>
      </c>
      <c r="C69" s="28">
        <f t="shared" si="12"/>
        <v>-534327.40143454284</v>
      </c>
      <c r="D69" s="28">
        <f t="shared" si="7"/>
        <v>18605602.027039345</v>
      </c>
      <c r="E69" s="28"/>
      <c r="F69" s="28"/>
      <c r="G69" s="28">
        <f t="shared" si="8"/>
        <v>0</v>
      </c>
      <c r="H69" s="28">
        <f t="shared" si="9"/>
        <v>131989.74964053836</v>
      </c>
      <c r="I69" s="28">
        <f t="shared" si="10"/>
        <v>-534327.40143454284</v>
      </c>
      <c r="J69" s="28">
        <f t="shared" si="11"/>
        <v>18605602.027039345</v>
      </c>
      <c r="K69" s="7"/>
    </row>
    <row r="70" spans="1:11" x14ac:dyDescent="0.25">
      <c r="A70" s="1">
        <v>44075</v>
      </c>
      <c r="B70" s="28">
        <f t="shared" si="6"/>
        <v>129195.94627055037</v>
      </c>
      <c r="C70" s="28">
        <f t="shared" si="12"/>
        <v>-534327.40143454284</v>
      </c>
      <c r="D70" s="28">
        <f t="shared" si="7"/>
        <v>18200470.571875352</v>
      </c>
      <c r="E70" s="28"/>
      <c r="F70" s="28"/>
      <c r="G70" s="28">
        <f t="shared" si="8"/>
        <v>0</v>
      </c>
      <c r="H70" s="28">
        <f t="shared" si="9"/>
        <v>129195.94627055037</v>
      </c>
      <c r="I70" s="28">
        <f t="shared" si="10"/>
        <v>-534327.40143454284</v>
      </c>
      <c r="J70" s="28">
        <f t="shared" si="11"/>
        <v>18200470.571875352</v>
      </c>
      <c r="K70" s="7"/>
    </row>
    <row r="71" spans="1:11" x14ac:dyDescent="0.25">
      <c r="A71" s="1">
        <v>44105</v>
      </c>
      <c r="B71" s="28">
        <f t="shared" si="6"/>
        <v>126382.74293330764</v>
      </c>
      <c r="C71" s="28">
        <f t="shared" si="12"/>
        <v>-534327.40143454284</v>
      </c>
      <c r="D71" s="28">
        <f t="shared" si="7"/>
        <v>17792525.913374115</v>
      </c>
      <c r="E71" s="28"/>
      <c r="F71" s="28"/>
      <c r="G71" s="28">
        <f t="shared" si="8"/>
        <v>0</v>
      </c>
      <c r="H71" s="28">
        <f t="shared" si="9"/>
        <v>126382.74293330764</v>
      </c>
      <c r="I71" s="28">
        <f t="shared" si="10"/>
        <v>-534327.40143454284</v>
      </c>
      <c r="J71" s="28">
        <f t="shared" si="11"/>
        <v>17792525.913374115</v>
      </c>
      <c r="K71" s="7"/>
    </row>
    <row r="72" spans="1:11" x14ac:dyDescent="0.25">
      <c r="A72" s="1">
        <v>44136</v>
      </c>
      <c r="B72" s="28">
        <f t="shared" si="6"/>
        <v>123550.00491684956</v>
      </c>
      <c r="C72" s="28">
        <f t="shared" si="12"/>
        <v>-534327.40143454284</v>
      </c>
      <c r="D72" s="28">
        <f t="shared" si="7"/>
        <v>17381748.516856421</v>
      </c>
      <c r="E72" s="28"/>
      <c r="F72" s="28"/>
      <c r="G72" s="28">
        <f t="shared" si="8"/>
        <v>0</v>
      </c>
      <c r="H72" s="28">
        <f t="shared" si="9"/>
        <v>123550.00491684956</v>
      </c>
      <c r="I72" s="28">
        <f t="shared" si="10"/>
        <v>-534327.40143454284</v>
      </c>
      <c r="J72" s="28">
        <f t="shared" si="11"/>
        <v>17381748.516856421</v>
      </c>
      <c r="K72" s="7"/>
    </row>
    <row r="73" spans="1:11" x14ac:dyDescent="0.25">
      <c r="A73" s="1">
        <v>44166</v>
      </c>
      <c r="B73" s="28">
        <f t="shared" si="6"/>
        <v>120697.5965737855</v>
      </c>
      <c r="C73" s="28">
        <f t="shared" si="12"/>
        <v>-534327.40143454284</v>
      </c>
      <c r="D73" s="28">
        <f t="shared" si="7"/>
        <v>16968118.711995661</v>
      </c>
      <c r="E73" s="28"/>
      <c r="F73" s="28"/>
      <c r="G73" s="28">
        <f t="shared" si="8"/>
        <v>0</v>
      </c>
      <c r="H73" s="28">
        <f t="shared" si="9"/>
        <v>120697.5965737855</v>
      </c>
      <c r="I73" s="28">
        <f t="shared" si="10"/>
        <v>-534327.40143454284</v>
      </c>
      <c r="J73" s="28">
        <f t="shared" si="11"/>
        <v>16968118.711995661</v>
      </c>
      <c r="K73" s="7"/>
    </row>
    <row r="74" spans="1:11" x14ac:dyDescent="0.25">
      <c r="A74" s="1">
        <v>44197</v>
      </c>
      <c r="B74" s="28">
        <f t="shared" si="6"/>
        <v>117825.3813147992</v>
      </c>
      <c r="C74" s="28">
        <f t="shared" si="12"/>
        <v>-534327.40143454284</v>
      </c>
      <c r="D74" s="28">
        <f t="shared" si="7"/>
        <v>16551616.691875918</v>
      </c>
      <c r="E74" s="28"/>
      <c r="F74" s="28"/>
      <c r="G74" s="28">
        <f t="shared" si="8"/>
        <v>0</v>
      </c>
      <c r="H74" s="28">
        <f t="shared" si="9"/>
        <v>117825.3813147992</v>
      </c>
      <c r="I74" s="28">
        <f t="shared" si="10"/>
        <v>-534327.40143454284</v>
      </c>
      <c r="J74" s="28">
        <f t="shared" si="11"/>
        <v>16551616.691875918</v>
      </c>
      <c r="K74" s="7"/>
    </row>
    <row r="75" spans="1:11" x14ac:dyDescent="0.25">
      <c r="A75" s="1">
        <v>44228</v>
      </c>
      <c r="B75" s="28">
        <f t="shared" si="6"/>
        <v>114933.22160210815</v>
      </c>
      <c r="C75" s="28">
        <f t="shared" si="12"/>
        <v>-534327.40143454284</v>
      </c>
      <c r="D75" s="28">
        <f t="shared" si="7"/>
        <v>16132222.512043484</v>
      </c>
      <c r="E75" s="28"/>
      <c r="F75" s="28"/>
      <c r="G75" s="28">
        <f t="shared" si="8"/>
        <v>0</v>
      </c>
      <c r="H75" s="28">
        <f t="shared" si="9"/>
        <v>114933.22160210815</v>
      </c>
      <c r="I75" s="28">
        <f t="shared" si="10"/>
        <v>-534327.40143454284</v>
      </c>
      <c r="J75" s="28">
        <f t="shared" si="11"/>
        <v>16132222.512043484</v>
      </c>
      <c r="K75" s="7"/>
    </row>
    <row r="76" spans="1:11" x14ac:dyDescent="0.25">
      <c r="A76" s="1">
        <v>44256</v>
      </c>
      <c r="B76" s="28">
        <f t="shared" si="6"/>
        <v>112020.97894287748</v>
      </c>
      <c r="C76" s="28">
        <f t="shared" si="12"/>
        <v>-534327.40143454284</v>
      </c>
      <c r="D76" s="28">
        <f t="shared" si="7"/>
        <v>15709916.089551818</v>
      </c>
      <c r="E76" s="28"/>
      <c r="F76" s="28"/>
      <c r="G76" s="28">
        <f t="shared" si="8"/>
        <v>0</v>
      </c>
      <c r="H76" s="28">
        <f t="shared" si="9"/>
        <v>112020.97894287748</v>
      </c>
      <c r="I76" s="28">
        <f t="shared" si="10"/>
        <v>-534327.40143454284</v>
      </c>
      <c r="J76" s="28">
        <f t="shared" si="11"/>
        <v>15709916.089551818</v>
      </c>
      <c r="K76" s="7"/>
    </row>
    <row r="77" spans="1:11" x14ac:dyDescent="0.25">
      <c r="A77" s="1">
        <v>44287</v>
      </c>
      <c r="B77" s="28">
        <f t="shared" si="6"/>
        <v>109088.51388258813</v>
      </c>
      <c r="C77" s="28">
        <f t="shared" si="12"/>
        <v>-534327.40143454284</v>
      </c>
      <c r="D77" s="28">
        <f t="shared" si="7"/>
        <v>15284677.201999864</v>
      </c>
      <c r="E77" s="28"/>
      <c r="F77" s="28"/>
      <c r="G77" s="28">
        <f t="shared" si="8"/>
        <v>0</v>
      </c>
      <c r="H77" s="28">
        <f t="shared" si="9"/>
        <v>109088.51388258813</v>
      </c>
      <c r="I77" s="28">
        <f t="shared" si="10"/>
        <v>-534327.40143454284</v>
      </c>
      <c r="J77" s="28">
        <f t="shared" si="11"/>
        <v>15284677.201999864</v>
      </c>
      <c r="K77" s="7"/>
    </row>
    <row r="78" spans="1:11" x14ac:dyDescent="0.25">
      <c r="A78" s="1">
        <v>44317</v>
      </c>
      <c r="B78" s="28">
        <f t="shared" si="6"/>
        <v>106135.68599835905</v>
      </c>
      <c r="C78" s="28">
        <f t="shared" si="12"/>
        <v>-534327.40143454284</v>
      </c>
      <c r="D78" s="28">
        <f t="shared" si="7"/>
        <v>14856485.486563681</v>
      </c>
      <c r="E78" s="28"/>
      <c r="F78" s="28"/>
      <c r="G78" s="28">
        <f t="shared" si="8"/>
        <v>0</v>
      </c>
      <c r="H78" s="28">
        <f t="shared" si="9"/>
        <v>106135.68599835905</v>
      </c>
      <c r="I78" s="28">
        <f t="shared" si="10"/>
        <v>-534327.40143454284</v>
      </c>
      <c r="J78" s="28">
        <f t="shared" si="11"/>
        <v>14856485.486563681</v>
      </c>
      <c r="K78" s="7"/>
    </row>
    <row r="79" spans="1:11" x14ac:dyDescent="0.25">
      <c r="A79" s="1">
        <v>44348</v>
      </c>
      <c r="B79" s="28">
        <f t="shared" si="6"/>
        <v>103162.35389222291</v>
      </c>
      <c r="C79" s="28">
        <f t="shared" si="12"/>
        <v>-534327.40143454284</v>
      </c>
      <c r="D79" s="28">
        <f t="shared" si="7"/>
        <v>14425320.43902136</v>
      </c>
      <c r="E79" s="28"/>
      <c r="F79" s="28"/>
      <c r="G79" s="28">
        <f t="shared" si="8"/>
        <v>0</v>
      </c>
      <c r="H79" s="28">
        <f t="shared" si="9"/>
        <v>103162.35389222291</v>
      </c>
      <c r="I79" s="28">
        <f t="shared" si="10"/>
        <v>-534327.40143454284</v>
      </c>
      <c r="J79" s="28">
        <f t="shared" si="11"/>
        <v>14425320.43902136</v>
      </c>
      <c r="K79" s="7"/>
    </row>
    <row r="80" spans="1:11" x14ac:dyDescent="0.25">
      <c r="A80" s="1">
        <v>44378</v>
      </c>
      <c r="B80" s="28">
        <f t="shared" si="6"/>
        <v>100168.37518435514</v>
      </c>
      <c r="C80" s="28">
        <f t="shared" si="12"/>
        <v>-534327.40143454284</v>
      </c>
      <c r="D80" s="28">
        <f t="shared" si="7"/>
        <v>13991161.412771173</v>
      </c>
      <c r="E80" s="28"/>
      <c r="F80" s="28"/>
      <c r="G80" s="28">
        <f t="shared" si="8"/>
        <v>0</v>
      </c>
      <c r="H80" s="28">
        <f t="shared" si="9"/>
        <v>100168.37518435514</v>
      </c>
      <c r="I80" s="28">
        <f t="shared" si="10"/>
        <v>-534327.40143454284</v>
      </c>
      <c r="J80" s="28">
        <f t="shared" si="11"/>
        <v>13991161.412771173</v>
      </c>
      <c r="K80" s="7"/>
    </row>
    <row r="81" spans="1:11" x14ac:dyDescent="0.25">
      <c r="A81" s="1">
        <v>44409</v>
      </c>
      <c r="B81" s="28">
        <f t="shared" si="6"/>
        <v>97153.606506256139</v>
      </c>
      <c r="C81" s="28">
        <f t="shared" si="12"/>
        <v>-534327.40143454284</v>
      </c>
      <c r="D81" s="28">
        <f t="shared" si="7"/>
        <v>13553987.617842887</v>
      </c>
      <c r="E81" s="28"/>
      <c r="F81" s="28"/>
      <c r="G81" s="28">
        <f t="shared" si="8"/>
        <v>0</v>
      </c>
      <c r="H81" s="28">
        <f t="shared" si="9"/>
        <v>97153.606506256139</v>
      </c>
      <c r="I81" s="28">
        <f t="shared" si="10"/>
        <v>-534327.40143454284</v>
      </c>
      <c r="J81" s="28">
        <f t="shared" si="11"/>
        <v>13553987.617842887</v>
      </c>
      <c r="K81" s="7"/>
    </row>
    <row r="82" spans="1:11" x14ac:dyDescent="0.25">
      <c r="A82" s="1">
        <v>44440</v>
      </c>
      <c r="B82" s="28">
        <f t="shared" si="6"/>
        <v>94117.90349388578</v>
      </c>
      <c r="C82" s="28">
        <f t="shared" si="12"/>
        <v>-534327.40143454284</v>
      </c>
      <c r="D82" s="28">
        <f t="shared" si="7"/>
        <v>13113778.119902229</v>
      </c>
      <c r="E82" s="28"/>
      <c r="F82" s="28"/>
      <c r="G82" s="28">
        <f t="shared" si="8"/>
        <v>0</v>
      </c>
      <c r="H82" s="28">
        <f t="shared" si="9"/>
        <v>94117.90349388578</v>
      </c>
      <c r="I82" s="28">
        <f t="shared" si="10"/>
        <v>-534327.40143454284</v>
      </c>
      <c r="J82" s="28">
        <f t="shared" si="11"/>
        <v>13113778.119902229</v>
      </c>
      <c r="K82" s="7"/>
    </row>
    <row r="83" spans="1:11" x14ac:dyDescent="0.25">
      <c r="A83" s="1">
        <v>44470</v>
      </c>
      <c r="B83" s="28">
        <f t="shared" si="6"/>
        <v>91061.120780750571</v>
      </c>
      <c r="C83" s="28">
        <f t="shared" si="12"/>
        <v>-534327.40143454284</v>
      </c>
      <c r="D83" s="28">
        <f t="shared" si="7"/>
        <v>12670511.839248437</v>
      </c>
      <c r="E83" s="28"/>
      <c r="F83" s="28"/>
      <c r="G83" s="28">
        <f t="shared" si="8"/>
        <v>0</v>
      </c>
      <c r="H83" s="28">
        <f t="shared" si="9"/>
        <v>91061.120780750571</v>
      </c>
      <c r="I83" s="28">
        <f t="shared" si="10"/>
        <v>-534327.40143454284</v>
      </c>
      <c r="J83" s="28">
        <f t="shared" si="11"/>
        <v>12670511.839248437</v>
      </c>
      <c r="K83" s="7"/>
    </row>
    <row r="84" spans="1:11" x14ac:dyDescent="0.25">
      <c r="A84" s="1">
        <v>44501</v>
      </c>
      <c r="B84" s="28">
        <f t="shared" si="6"/>
        <v>87983.111990942722</v>
      </c>
      <c r="C84" s="28">
        <f t="shared" si="12"/>
        <v>-534327.40143454284</v>
      </c>
      <c r="D84" s="28">
        <f t="shared" si="7"/>
        <v>12224167.549804838</v>
      </c>
      <c r="E84" s="28"/>
      <c r="F84" s="28"/>
      <c r="G84" s="28">
        <f t="shared" si="8"/>
        <v>0</v>
      </c>
      <c r="H84" s="28">
        <f t="shared" si="9"/>
        <v>87983.111990942722</v>
      </c>
      <c r="I84" s="28">
        <f t="shared" si="10"/>
        <v>-534327.40143454284</v>
      </c>
      <c r="J84" s="28">
        <f t="shared" si="11"/>
        <v>12224167.549804838</v>
      </c>
      <c r="K84" s="7"/>
    </row>
    <row r="85" spans="1:11" x14ac:dyDescent="0.25">
      <c r="A85" s="1">
        <v>44531</v>
      </c>
      <c r="B85" s="28">
        <f t="shared" si="6"/>
        <v>84883.729732130727</v>
      </c>
      <c r="C85" s="28">
        <f t="shared" si="12"/>
        <v>-534327.40143454284</v>
      </c>
      <c r="D85" s="28">
        <f t="shared" si="7"/>
        <v>11774723.878102427</v>
      </c>
      <c r="E85" s="28"/>
      <c r="F85" s="28"/>
      <c r="G85" s="28">
        <f t="shared" si="8"/>
        <v>0</v>
      </c>
      <c r="H85" s="28">
        <f t="shared" si="9"/>
        <v>84883.729732130727</v>
      </c>
      <c r="I85" s="28">
        <f t="shared" si="10"/>
        <v>-534327.40143454284</v>
      </c>
      <c r="J85" s="28">
        <f t="shared" si="11"/>
        <v>11774723.878102427</v>
      </c>
      <c r="K85" s="7"/>
    </row>
    <row r="86" spans="1:11" x14ac:dyDescent="0.25">
      <c r="A86" s="1">
        <v>44562</v>
      </c>
      <c r="B86" s="28">
        <f t="shared" si="6"/>
        <v>81762.825588501481</v>
      </c>
      <c r="C86" s="28">
        <f t="shared" si="12"/>
        <v>-534327.40143454284</v>
      </c>
      <c r="D86" s="28">
        <f t="shared" si="7"/>
        <v>11322159.302256387</v>
      </c>
      <c r="E86" s="28"/>
      <c r="F86" s="28"/>
      <c r="G86" s="28">
        <f t="shared" si="8"/>
        <v>0</v>
      </c>
      <c r="H86" s="28">
        <f t="shared" si="9"/>
        <v>81762.825588501481</v>
      </c>
      <c r="I86" s="28">
        <f t="shared" si="10"/>
        <v>-534327.40143454284</v>
      </c>
      <c r="J86" s="28">
        <f t="shared" si="11"/>
        <v>11322159.302256387</v>
      </c>
      <c r="K86" s="7"/>
    </row>
    <row r="87" spans="1:11" x14ac:dyDescent="0.25">
      <c r="A87" s="1">
        <v>44593</v>
      </c>
      <c r="B87" s="28">
        <f t="shared" si="6"/>
        <v>78620.25011365331</v>
      </c>
      <c r="C87" s="28">
        <f t="shared" si="12"/>
        <v>-534327.40143454284</v>
      </c>
      <c r="D87" s="28">
        <f t="shared" si="7"/>
        <v>10866452.150935497</v>
      </c>
      <c r="E87" s="28"/>
      <c r="F87" s="28"/>
      <c r="G87" s="28">
        <f t="shared" si="8"/>
        <v>0</v>
      </c>
      <c r="H87" s="28">
        <f t="shared" si="9"/>
        <v>78620.25011365331</v>
      </c>
      <c r="I87" s="28">
        <f t="shared" si="10"/>
        <v>-534327.40143454284</v>
      </c>
      <c r="J87" s="28">
        <f t="shared" si="11"/>
        <v>10866452.150935497</v>
      </c>
      <c r="K87" s="7"/>
    </row>
    <row r="88" spans="1:11" x14ac:dyDescent="0.25">
      <c r="A88" s="1">
        <v>44621</v>
      </c>
      <c r="B88" s="28">
        <f t="shared" si="6"/>
        <v>75455.852823439534</v>
      </c>
      <c r="C88" s="28">
        <f t="shared" si="12"/>
        <v>-534327.40143454284</v>
      </c>
      <c r="D88" s="28">
        <f t="shared" si="7"/>
        <v>10407580.602324395</v>
      </c>
      <c r="E88" s="28"/>
      <c r="F88" s="28"/>
      <c r="G88" s="28">
        <f t="shared" si="8"/>
        <v>0</v>
      </c>
      <c r="H88" s="28">
        <f t="shared" si="9"/>
        <v>75455.852823439534</v>
      </c>
      <c r="I88" s="28">
        <f t="shared" si="10"/>
        <v>-534327.40143454284</v>
      </c>
      <c r="J88" s="28">
        <f t="shared" si="11"/>
        <v>10407580.602324395</v>
      </c>
      <c r="K88" s="7"/>
    </row>
    <row r="89" spans="1:11" x14ac:dyDescent="0.25">
      <c r="A89" s="1">
        <v>44652</v>
      </c>
      <c r="B89" s="28">
        <f t="shared" si="6"/>
        <v>72269.482188762573</v>
      </c>
      <c r="C89" s="28">
        <f t="shared" si="12"/>
        <v>-534327.40143454284</v>
      </c>
      <c r="D89" s="28">
        <f t="shared" si="7"/>
        <v>9945522.683078615</v>
      </c>
      <c r="E89" s="28"/>
      <c r="F89" s="28"/>
      <c r="G89" s="28">
        <f t="shared" si="8"/>
        <v>0</v>
      </c>
      <c r="H89" s="28">
        <f t="shared" si="9"/>
        <v>72269.482188762573</v>
      </c>
      <c r="I89" s="28">
        <f t="shared" si="10"/>
        <v>-534327.40143454284</v>
      </c>
      <c r="J89" s="28">
        <f t="shared" si="11"/>
        <v>9945522.683078615</v>
      </c>
      <c r="K89" s="7"/>
    </row>
    <row r="90" spans="1:11" x14ac:dyDescent="0.25">
      <c r="A90" s="1">
        <v>44682</v>
      </c>
      <c r="B90" s="28">
        <f t="shared" si="6"/>
        <v>69060.985628317794</v>
      </c>
      <c r="C90" s="28">
        <f t="shared" si="12"/>
        <v>-534327.40143454284</v>
      </c>
      <c r="D90" s="28">
        <f t="shared" si="7"/>
        <v>9480256.2672723904</v>
      </c>
      <c r="E90" s="28"/>
      <c r="F90" s="28"/>
      <c r="G90" s="28">
        <f t="shared" si="8"/>
        <v>0</v>
      </c>
      <c r="H90" s="28">
        <f t="shared" si="9"/>
        <v>69060.985628317794</v>
      </c>
      <c r="I90" s="28">
        <f t="shared" si="10"/>
        <v>-534327.40143454284</v>
      </c>
      <c r="J90" s="28">
        <f t="shared" si="11"/>
        <v>9480256.2672723904</v>
      </c>
      <c r="K90" s="7"/>
    </row>
    <row r="91" spans="1:11" x14ac:dyDescent="0.25">
      <c r="A91" s="1">
        <v>44713</v>
      </c>
      <c r="B91" s="28">
        <f t="shared" si="6"/>
        <v>65830.209501287114</v>
      </c>
      <c r="C91" s="28">
        <f t="shared" si="12"/>
        <v>-534327.40143454284</v>
      </c>
      <c r="D91" s="28">
        <f t="shared" si="7"/>
        <v>9011759.0753391348</v>
      </c>
      <c r="E91" s="28"/>
      <c r="F91" s="28"/>
      <c r="G91" s="28">
        <f t="shared" si="8"/>
        <v>0</v>
      </c>
      <c r="H91" s="28">
        <f t="shared" si="9"/>
        <v>65830.209501287114</v>
      </c>
      <c r="I91" s="28">
        <f t="shared" si="10"/>
        <v>-534327.40143454284</v>
      </c>
      <c r="J91" s="28">
        <f t="shared" si="11"/>
        <v>9011759.0753391348</v>
      </c>
      <c r="K91" s="7"/>
    </row>
    <row r="92" spans="1:11" x14ac:dyDescent="0.25">
      <c r="A92" s="1">
        <v>44743</v>
      </c>
      <c r="B92" s="28">
        <f t="shared" si="6"/>
        <v>62576.999099981738</v>
      </c>
      <c r="C92" s="28">
        <f t="shared" si="12"/>
        <v>-534327.40143454284</v>
      </c>
      <c r="D92" s="28">
        <f t="shared" si="7"/>
        <v>8540008.6730045732</v>
      </c>
      <c r="E92" s="28"/>
      <c r="F92" s="28"/>
      <c r="G92" s="28">
        <f t="shared" si="8"/>
        <v>0</v>
      </c>
      <c r="H92" s="28">
        <f t="shared" si="9"/>
        <v>62576.999099981738</v>
      </c>
      <c r="I92" s="28">
        <f t="shared" si="10"/>
        <v>-534327.40143454284</v>
      </c>
      <c r="J92" s="28">
        <f t="shared" si="11"/>
        <v>8540008.6730045732</v>
      </c>
      <c r="K92" s="7"/>
    </row>
    <row r="93" spans="1:11" x14ac:dyDescent="0.25">
      <c r="A93" s="1">
        <v>44774</v>
      </c>
      <c r="B93" s="28">
        <f t="shared" si="6"/>
        <v>59301.198642434007</v>
      </c>
      <c r="C93" s="28">
        <f t="shared" si="12"/>
        <v>-534327.40143454284</v>
      </c>
      <c r="D93" s="28">
        <f t="shared" si="7"/>
        <v>8064982.4702124652</v>
      </c>
      <c r="E93" s="28"/>
      <c r="F93" s="28"/>
      <c r="G93" s="28">
        <f t="shared" si="8"/>
        <v>0</v>
      </c>
      <c r="H93" s="28">
        <f t="shared" si="9"/>
        <v>59301.198642434007</v>
      </c>
      <c r="I93" s="28">
        <f t="shared" si="10"/>
        <v>-534327.40143454284</v>
      </c>
      <c r="J93" s="28">
        <f t="shared" si="11"/>
        <v>8064982.4702124652</v>
      </c>
      <c r="K93" s="7"/>
    </row>
    <row r="94" spans="1:11" x14ac:dyDescent="0.25">
      <c r="A94" s="1">
        <v>44805</v>
      </c>
      <c r="B94" s="28">
        <f t="shared" si="6"/>
        <v>56002.651264937587</v>
      </c>
      <c r="C94" s="28">
        <f t="shared" si="12"/>
        <v>-534327.40143454284</v>
      </c>
      <c r="D94" s="28">
        <f t="shared" si="7"/>
        <v>7586657.7200428601</v>
      </c>
      <c r="E94" s="28"/>
      <c r="F94" s="28"/>
      <c r="G94" s="28">
        <f t="shared" si="8"/>
        <v>0</v>
      </c>
      <c r="H94" s="28">
        <f t="shared" si="9"/>
        <v>56002.651264937587</v>
      </c>
      <c r="I94" s="28">
        <f t="shared" si="10"/>
        <v>-534327.40143454284</v>
      </c>
      <c r="J94" s="28">
        <f t="shared" si="11"/>
        <v>7586657.7200428601</v>
      </c>
      <c r="K94" s="7"/>
    </row>
    <row r="95" spans="1:11" x14ac:dyDescent="0.25">
      <c r="A95" s="1">
        <v>44835</v>
      </c>
      <c r="B95" s="28">
        <f t="shared" si="6"/>
        <v>52681.199014535967</v>
      </c>
      <c r="C95" s="28">
        <f t="shared" si="12"/>
        <v>-534327.40143454284</v>
      </c>
      <c r="D95" s="28">
        <f t="shared" si="7"/>
        <v>7105011.5176228536</v>
      </c>
      <c r="E95" s="28"/>
      <c r="F95" s="28"/>
      <c r="G95" s="28">
        <f t="shared" si="8"/>
        <v>0</v>
      </c>
      <c r="H95" s="28">
        <f t="shared" si="9"/>
        <v>52681.199014535967</v>
      </c>
      <c r="I95" s="28">
        <f t="shared" si="10"/>
        <v>-534327.40143454284</v>
      </c>
      <c r="J95" s="28">
        <f t="shared" si="11"/>
        <v>7105011.5176228536</v>
      </c>
      <c r="K95" s="7"/>
    </row>
    <row r="96" spans="1:11" x14ac:dyDescent="0.25">
      <c r="A96" s="1">
        <v>44866</v>
      </c>
      <c r="B96" s="28">
        <f t="shared" si="6"/>
        <v>49336.682841458831</v>
      </c>
      <c r="C96" s="28">
        <f t="shared" si="12"/>
        <v>-534327.40143454284</v>
      </c>
      <c r="D96" s="28">
        <f t="shared" si="7"/>
        <v>6620020.7990297703</v>
      </c>
      <c r="E96" s="28"/>
      <c r="F96" s="28"/>
      <c r="G96" s="28">
        <f t="shared" si="8"/>
        <v>0</v>
      </c>
      <c r="H96" s="28">
        <f t="shared" si="9"/>
        <v>49336.682841458831</v>
      </c>
      <c r="I96" s="28">
        <f t="shared" si="10"/>
        <v>-534327.40143454284</v>
      </c>
      <c r="J96" s="28">
        <f t="shared" si="11"/>
        <v>6620020.7990297703</v>
      </c>
      <c r="K96" s="7"/>
    </row>
    <row r="97" spans="1:11" x14ac:dyDescent="0.25">
      <c r="A97" s="1">
        <v>44896</v>
      </c>
      <c r="B97" s="28">
        <f t="shared" si="6"/>
        <v>45968.942591505831</v>
      </c>
      <c r="C97" s="28">
        <f t="shared" si="12"/>
        <v>-534327.40143454284</v>
      </c>
      <c r="D97" s="28">
        <f t="shared" si="7"/>
        <v>6131662.3401867338</v>
      </c>
      <c r="E97" s="28"/>
      <c r="F97" s="28"/>
      <c r="G97" s="28">
        <f t="shared" si="8"/>
        <v>0</v>
      </c>
      <c r="H97" s="28">
        <f t="shared" si="9"/>
        <v>45968.942591505831</v>
      </c>
      <c r="I97" s="28">
        <f t="shared" si="10"/>
        <v>-534327.40143454284</v>
      </c>
      <c r="J97" s="28">
        <f t="shared" si="11"/>
        <v>6131662.3401867338</v>
      </c>
      <c r="K97" s="7"/>
    </row>
    <row r="98" spans="1:11" x14ac:dyDescent="0.25">
      <c r="A98" s="1">
        <v>44927</v>
      </c>
      <c r="B98" s="28">
        <f t="shared" si="6"/>
        <v>42577.816998377486</v>
      </c>
      <c r="C98" s="28">
        <f t="shared" si="12"/>
        <v>-534327.40143454284</v>
      </c>
      <c r="D98" s="28">
        <f t="shared" si="7"/>
        <v>5639912.7557505686</v>
      </c>
      <c r="E98" s="28"/>
      <c r="F98" s="28"/>
      <c r="G98" s="28">
        <f t="shared" si="8"/>
        <v>0</v>
      </c>
      <c r="H98" s="28">
        <f t="shared" si="9"/>
        <v>42577.816998377486</v>
      </c>
      <c r="I98" s="28">
        <f t="shared" si="10"/>
        <v>-534327.40143454284</v>
      </c>
      <c r="J98" s="28">
        <f t="shared" si="11"/>
        <v>5639912.7557505686</v>
      </c>
      <c r="K98" s="7"/>
    </row>
    <row r="99" spans="1:11" x14ac:dyDescent="0.25">
      <c r="A99" s="1">
        <v>44958</v>
      </c>
      <c r="B99" s="28">
        <f t="shared" si="6"/>
        <v>39163.143675952888</v>
      </c>
      <c r="C99" s="28">
        <f t="shared" si="12"/>
        <v>-534327.40143454284</v>
      </c>
      <c r="D99" s="28">
        <f t="shared" si="7"/>
        <v>5144748.4979919791</v>
      </c>
      <c r="E99" s="28"/>
      <c r="F99" s="28"/>
      <c r="G99" s="28">
        <f t="shared" si="8"/>
        <v>0</v>
      </c>
      <c r="H99" s="28">
        <f t="shared" si="9"/>
        <v>39163.143675952888</v>
      </c>
      <c r="I99" s="28">
        <f t="shared" si="10"/>
        <v>-534327.40143454284</v>
      </c>
      <c r="J99" s="28">
        <f t="shared" si="11"/>
        <v>5144748.4979919791</v>
      </c>
      <c r="K99" s="7"/>
    </row>
    <row r="100" spans="1:11" x14ac:dyDescent="0.25">
      <c r="A100" s="1">
        <v>44986</v>
      </c>
      <c r="B100" s="28">
        <f t="shared" si="6"/>
        <v>35724.759110513725</v>
      </c>
      <c r="C100" s="28">
        <f t="shared" si="12"/>
        <v>-534327.40143454284</v>
      </c>
      <c r="D100" s="28">
        <f t="shared" si="7"/>
        <v>4646145.8556679506</v>
      </c>
      <c r="E100" s="28"/>
      <c r="F100" s="28"/>
      <c r="G100" s="28">
        <f t="shared" si="8"/>
        <v>0</v>
      </c>
      <c r="H100" s="28">
        <f t="shared" si="9"/>
        <v>35724.759110513725</v>
      </c>
      <c r="I100" s="28">
        <f t="shared" si="10"/>
        <v>-534327.40143454284</v>
      </c>
      <c r="J100" s="28">
        <f t="shared" si="11"/>
        <v>4646145.8556679506</v>
      </c>
      <c r="K100" s="7"/>
    </row>
    <row r="101" spans="1:11" x14ac:dyDescent="0.25">
      <c r="A101" s="1">
        <v>45017</v>
      </c>
      <c r="B101" s="28">
        <f t="shared" si="6"/>
        <v>32262.498652914321</v>
      </c>
      <c r="C101" s="28">
        <f t="shared" si="12"/>
        <v>-534327.40143454284</v>
      </c>
      <c r="D101" s="28">
        <f t="shared" si="7"/>
        <v>4144080.9528863225</v>
      </c>
      <c r="E101" s="28"/>
      <c r="F101" s="28"/>
      <c r="G101" s="28">
        <f t="shared" si="8"/>
        <v>0</v>
      </c>
      <c r="H101" s="28">
        <f t="shared" si="9"/>
        <v>32262.498652914321</v>
      </c>
      <c r="I101" s="28">
        <f t="shared" si="10"/>
        <v>-534327.40143454284</v>
      </c>
      <c r="J101" s="28">
        <f t="shared" si="11"/>
        <v>4144080.9528863225</v>
      </c>
      <c r="K101" s="7"/>
    </row>
    <row r="102" spans="1:11" x14ac:dyDescent="0.25">
      <c r="A102" s="1">
        <v>45047</v>
      </c>
      <c r="B102" s="28">
        <f t="shared" si="6"/>
        <v>28776.196510697315</v>
      </c>
      <c r="C102" s="28">
        <f t="shared" si="12"/>
        <v>-534327.40143454284</v>
      </c>
      <c r="D102" s="28">
        <f t="shared" si="7"/>
        <v>3638529.7479624767</v>
      </c>
      <c r="E102" s="28"/>
      <c r="F102" s="28"/>
      <c r="G102" s="28">
        <f t="shared" si="8"/>
        <v>0</v>
      </c>
      <c r="H102" s="28">
        <f t="shared" si="9"/>
        <v>28776.196510697315</v>
      </c>
      <c r="I102" s="28">
        <f t="shared" si="10"/>
        <v>-534327.40143454284</v>
      </c>
      <c r="J102" s="28">
        <f t="shared" si="11"/>
        <v>3638529.7479624767</v>
      </c>
      <c r="K102" s="7"/>
    </row>
    <row r="103" spans="1:11" x14ac:dyDescent="0.25">
      <c r="A103" s="1">
        <v>45078</v>
      </c>
      <c r="B103" s="28">
        <f t="shared" si="6"/>
        <v>25265.685740154589</v>
      </c>
      <c r="C103" s="28">
        <f t="shared" si="12"/>
        <v>-534327.40143454284</v>
      </c>
      <c r="D103" s="28">
        <f t="shared" si="7"/>
        <v>3129468.0322680883</v>
      </c>
      <c r="E103" s="28"/>
      <c r="F103" s="28"/>
      <c r="G103" s="28">
        <f t="shared" si="8"/>
        <v>0</v>
      </c>
      <c r="H103" s="28">
        <f t="shared" si="9"/>
        <v>25265.685740154589</v>
      </c>
      <c r="I103" s="28">
        <f t="shared" si="10"/>
        <v>-534327.40143454284</v>
      </c>
      <c r="J103" s="28">
        <f t="shared" si="11"/>
        <v>3129468.0322680883</v>
      </c>
      <c r="K103" s="7"/>
    </row>
    <row r="104" spans="1:11" x14ac:dyDescent="0.25">
      <c r="A104" s="1">
        <v>45108</v>
      </c>
      <c r="B104" s="28">
        <f t="shared" si="6"/>
        <v>21730.798238333078</v>
      </c>
      <c r="C104" s="28">
        <f t="shared" si="12"/>
        <v>-534327.40143454284</v>
      </c>
      <c r="D104" s="28">
        <f t="shared" si="7"/>
        <v>2616871.4290718781</v>
      </c>
      <c r="E104" s="28"/>
      <c r="F104" s="28"/>
      <c r="G104" s="28">
        <f t="shared" si="8"/>
        <v>0</v>
      </c>
      <c r="H104" s="28">
        <f t="shared" si="9"/>
        <v>21730.798238333078</v>
      </c>
      <c r="I104" s="28">
        <f t="shared" si="10"/>
        <v>-534327.40143454284</v>
      </c>
      <c r="J104" s="28">
        <f t="shared" si="11"/>
        <v>2616871.4290718781</v>
      </c>
      <c r="K104" s="7"/>
    </row>
    <row r="105" spans="1:11" x14ac:dyDescent="0.25">
      <c r="A105" s="1">
        <v>45139</v>
      </c>
      <c r="B105" s="28">
        <f t="shared" si="6"/>
        <v>18171.364734985029</v>
      </c>
      <c r="C105" s="28">
        <f t="shared" si="12"/>
        <v>-534327.40143454284</v>
      </c>
      <c r="D105" s="28">
        <f t="shared" si="7"/>
        <v>2100715.3923723204</v>
      </c>
      <c r="E105" s="28"/>
      <c r="F105" s="28"/>
      <c r="G105" s="28">
        <f t="shared" si="8"/>
        <v>0</v>
      </c>
      <c r="H105" s="28">
        <f t="shared" si="9"/>
        <v>18171.364734985029</v>
      </c>
      <c r="I105" s="28">
        <f t="shared" si="10"/>
        <v>-534327.40143454284</v>
      </c>
      <c r="J105" s="28">
        <f t="shared" si="11"/>
        <v>2100715.3923723204</v>
      </c>
      <c r="K105" s="7"/>
    </row>
    <row r="106" spans="1:11" x14ac:dyDescent="0.25">
      <c r="A106" s="1">
        <v>45170</v>
      </c>
      <c r="B106" s="28">
        <f t="shared" si="6"/>
        <v>14587.214784462427</v>
      </c>
      <c r="C106" s="28">
        <f t="shared" si="12"/>
        <v>-534327.40143454284</v>
      </c>
      <c r="D106" s="28">
        <f t="shared" si="7"/>
        <v>1580975.20572224</v>
      </c>
      <c r="E106" s="28"/>
      <c r="F106" s="28"/>
      <c r="G106" s="28">
        <f t="shared" si="8"/>
        <v>0</v>
      </c>
      <c r="H106" s="28">
        <f t="shared" si="9"/>
        <v>14587.214784462427</v>
      </c>
      <c r="I106" s="28">
        <f t="shared" si="10"/>
        <v>-534327.40143454284</v>
      </c>
      <c r="J106" s="28">
        <f t="shared" si="11"/>
        <v>1580975.20572224</v>
      </c>
      <c r="K106" s="7"/>
    </row>
    <row r="107" spans="1:11" x14ac:dyDescent="0.25">
      <c r="A107" s="1">
        <v>45200</v>
      </c>
      <c r="B107" s="28">
        <f t="shared" si="6"/>
        <v>10978.176757555071</v>
      </c>
      <c r="C107" s="28">
        <f t="shared" si="12"/>
        <v>-534327.40143454284</v>
      </c>
      <c r="D107" s="28">
        <f t="shared" si="7"/>
        <v>1057625.9810452522</v>
      </c>
      <c r="E107" s="28"/>
      <c r="F107" s="28"/>
      <c r="G107" s="28">
        <f t="shared" si="8"/>
        <v>0</v>
      </c>
      <c r="H107" s="28">
        <f t="shared" si="9"/>
        <v>10978.176757555071</v>
      </c>
      <c r="I107" s="28">
        <f t="shared" si="10"/>
        <v>-534327.40143454284</v>
      </c>
      <c r="J107" s="28">
        <f t="shared" si="11"/>
        <v>1057625.9810452522</v>
      </c>
      <c r="K107" s="7"/>
    </row>
    <row r="108" spans="1:11" x14ac:dyDescent="0.25">
      <c r="A108" s="1">
        <v>45231</v>
      </c>
      <c r="B108" s="28">
        <f t="shared" si="6"/>
        <v>7344.0778332720147</v>
      </c>
      <c r="C108" s="28">
        <f t="shared" si="12"/>
        <v>-534327.40143454284</v>
      </c>
      <c r="D108" s="28">
        <f t="shared" si="7"/>
        <v>530642.65744398138</v>
      </c>
      <c r="E108" s="28"/>
      <c r="F108" s="28"/>
      <c r="G108" s="28">
        <f t="shared" si="8"/>
        <v>0</v>
      </c>
      <c r="H108" s="28">
        <f t="shared" si="9"/>
        <v>7344.0778332720147</v>
      </c>
      <c r="I108" s="28">
        <f t="shared" si="10"/>
        <v>-534327.40143454284</v>
      </c>
      <c r="J108" s="28">
        <f t="shared" si="11"/>
        <v>530642.65744398138</v>
      </c>
      <c r="K108" s="7"/>
    </row>
    <row r="109" spans="1:11" x14ac:dyDescent="0.25">
      <c r="A109" s="1">
        <v>45261</v>
      </c>
      <c r="B109" s="14">
        <f t="shared" si="6"/>
        <v>3684.7439905659394</v>
      </c>
      <c r="C109" s="14">
        <f t="shared" si="12"/>
        <v>-534327.40143454284</v>
      </c>
      <c r="D109" s="14">
        <f t="shared" si="7"/>
        <v>4.4237822294235229E-9</v>
      </c>
      <c r="E109" s="14"/>
      <c r="F109" s="14"/>
      <c r="G109" s="14">
        <f t="shared" si="8"/>
        <v>0</v>
      </c>
      <c r="H109" s="14">
        <f t="shared" si="9"/>
        <v>3684.7439905659394</v>
      </c>
      <c r="I109" s="14">
        <f t="shared" si="10"/>
        <v>-534327.40143454284</v>
      </c>
      <c r="J109" s="14">
        <f t="shared" si="11"/>
        <v>4.4237822294235229E-9</v>
      </c>
      <c r="K109" s="7"/>
    </row>
    <row r="110" spans="1:11" x14ac:dyDescent="0.25">
      <c r="B110" s="7">
        <f>SUM(B62:B109)</f>
        <v>3900036.7878454081</v>
      </c>
      <c r="C110" s="7">
        <f>SUM(C62:C109)</f>
        <v>-25647715.268858079</v>
      </c>
      <c r="E110" s="7">
        <f>SUM(E62:E109)</f>
        <v>0</v>
      </c>
      <c r="F110" s="7">
        <f>SUM(F62:F109)</f>
        <v>-3926274.6835443038</v>
      </c>
      <c r="H110" s="7">
        <f>SUM(H62:H109)</f>
        <v>3900036.7878454081</v>
      </c>
      <c r="I110" s="7">
        <f>SUM(I62:I109)</f>
        <v>-29573989.952402394</v>
      </c>
    </row>
    <row r="111" spans="1:11" x14ac:dyDescent="0.25">
      <c r="B111" s="28"/>
      <c r="E111" s="28"/>
      <c r="H111" s="28"/>
    </row>
    <row r="112" spans="1:11" x14ac:dyDescent="0.25">
      <c r="B112" s="32" t="s">
        <v>48</v>
      </c>
      <c r="C112" s="32"/>
      <c r="D112" s="32"/>
      <c r="E112" s="32" t="s">
        <v>49</v>
      </c>
      <c r="F112" s="32"/>
      <c r="G112" s="32"/>
      <c r="H112" s="32" t="s">
        <v>50</v>
      </c>
      <c r="I112" s="32"/>
      <c r="J112" s="32"/>
    </row>
    <row r="113" spans="1:10" x14ac:dyDescent="0.25">
      <c r="A113" s="2" t="s">
        <v>5</v>
      </c>
      <c r="B113" s="2" t="s">
        <v>32</v>
      </c>
      <c r="C113" s="2" t="s">
        <v>34</v>
      </c>
      <c r="D113" s="2" t="s">
        <v>35</v>
      </c>
      <c r="E113" s="2" t="s">
        <v>32</v>
      </c>
      <c r="F113" s="2" t="s">
        <v>34</v>
      </c>
      <c r="G113" s="2" t="s">
        <v>35</v>
      </c>
      <c r="H113" s="2" t="s">
        <v>32</v>
      </c>
      <c r="I113" s="2" t="s">
        <v>34</v>
      </c>
      <c r="J113" s="2" t="s">
        <v>35</v>
      </c>
    </row>
    <row r="114" spans="1:10" x14ac:dyDescent="0.25">
      <c r="A114" t="s">
        <v>30</v>
      </c>
      <c r="B114" s="28"/>
      <c r="C114" s="28"/>
      <c r="D114" s="28">
        <f>D8+D61</f>
        <v>55432483.544303797</v>
      </c>
      <c r="E114" s="28"/>
      <c r="F114" s="28"/>
      <c r="G114" s="28">
        <f>G8+G61</f>
        <v>16775270.886075949</v>
      </c>
      <c r="H114" s="28"/>
      <c r="I114" s="28"/>
      <c r="J114" s="28">
        <f>D114+G114</f>
        <v>72207754.430379748</v>
      </c>
    </row>
    <row r="115" spans="1:10" x14ac:dyDescent="0.25">
      <c r="A115" s="1">
        <v>43831</v>
      </c>
      <c r="B115" s="28">
        <f>B9+B62</f>
        <v>384919.13108885591</v>
      </c>
      <c r="C115" s="28">
        <f>C9+C62</f>
        <v>-1361942.8351007965</v>
      </c>
      <c r="D115" s="28">
        <f>D114+B115+C115</f>
        <v>54455459.84029185</v>
      </c>
      <c r="E115" s="28">
        <f>E9+E62</f>
        <v>0</v>
      </c>
      <c r="F115" s="28">
        <f>F9+F62</f>
        <v>-16775270.886075949</v>
      </c>
      <c r="G115" s="28">
        <f>G114+E115+F115</f>
        <v>0</v>
      </c>
      <c r="H115" s="28">
        <f>H9+H62</f>
        <v>384919.13108885591</v>
      </c>
      <c r="I115" s="28">
        <f>I9+I62</f>
        <v>-18137213.721176744</v>
      </c>
      <c r="J115" s="28">
        <f>J114+H115+I115</f>
        <v>54455459.840291858</v>
      </c>
    </row>
    <row r="116" spans="1:10" x14ac:dyDescent="0.25">
      <c r="A116" s="1">
        <v>43862</v>
      </c>
      <c r="B116" s="28">
        <f t="shared" ref="B116:C116" si="13">B10+B63</f>
        <v>378134.74960068177</v>
      </c>
      <c r="C116" s="28">
        <f t="shared" si="13"/>
        <v>-1361942.8351007965</v>
      </c>
      <c r="D116" s="28">
        <f t="shared" ref="D116:D162" si="14">D115+B116+C116</f>
        <v>53471651.754791729</v>
      </c>
      <c r="E116" s="28">
        <f t="shared" ref="E116:F116" si="15">E10+E63</f>
        <v>0</v>
      </c>
      <c r="F116" s="28">
        <f t="shared" si="15"/>
        <v>0</v>
      </c>
      <c r="G116" s="28">
        <f t="shared" ref="G116:G162" si="16">G115+E116+F116</f>
        <v>0</v>
      </c>
      <c r="H116" s="28">
        <f t="shared" ref="H116:I116" si="17">H10+H63</f>
        <v>378134.74960068177</v>
      </c>
      <c r="I116" s="28">
        <f t="shared" si="17"/>
        <v>-1361942.8351007965</v>
      </c>
      <c r="J116" s="28">
        <f t="shared" ref="J116:J162" si="18">J115+H116+I116</f>
        <v>53471651.754791737</v>
      </c>
    </row>
    <row r="117" spans="1:10" x14ac:dyDescent="0.25">
      <c r="A117" s="1">
        <v>43891</v>
      </c>
      <c r="B117" s="28">
        <f t="shared" ref="B117:C117" si="19">B11+B64</f>
        <v>371303.25786125369</v>
      </c>
      <c r="C117" s="28">
        <f t="shared" si="19"/>
        <v>-1361942.8351007965</v>
      </c>
      <c r="D117" s="28">
        <f t="shared" si="14"/>
        <v>52481012.177552186</v>
      </c>
      <c r="E117" s="28">
        <f t="shared" ref="E117:F117" si="20">E11+E64</f>
        <v>0</v>
      </c>
      <c r="F117" s="28">
        <f t="shared" si="20"/>
        <v>0</v>
      </c>
      <c r="G117" s="28">
        <f t="shared" si="16"/>
        <v>0</v>
      </c>
      <c r="H117" s="28">
        <f t="shared" ref="H117:I117" si="21">H11+H64</f>
        <v>371303.25786125369</v>
      </c>
      <c r="I117" s="28">
        <f t="shared" si="21"/>
        <v>-1361942.8351007965</v>
      </c>
      <c r="J117" s="28">
        <f t="shared" si="18"/>
        <v>52481012.177552193</v>
      </c>
    </row>
    <row r="118" spans="1:10" x14ac:dyDescent="0.25">
      <c r="A118" s="1">
        <v>43922</v>
      </c>
      <c r="B118" s="28">
        <f t="shared" ref="B118:C118" si="22">B12+B65</f>
        <v>364424.3287404158</v>
      </c>
      <c r="C118" s="28">
        <f t="shared" si="22"/>
        <v>-1361942.8351007965</v>
      </c>
      <c r="D118" s="28">
        <f t="shared" si="14"/>
        <v>51483493.671191804</v>
      </c>
      <c r="E118" s="28">
        <f t="shared" ref="E118:F118" si="23">E12+E65</f>
        <v>0</v>
      </c>
      <c r="F118" s="28">
        <f t="shared" si="23"/>
        <v>0</v>
      </c>
      <c r="G118" s="28">
        <f t="shared" si="16"/>
        <v>0</v>
      </c>
      <c r="H118" s="28">
        <f t="shared" ref="H118:I118" si="24">H12+H65</f>
        <v>364424.3287404158</v>
      </c>
      <c r="I118" s="28">
        <f t="shared" si="24"/>
        <v>-1361942.8351007965</v>
      </c>
      <c r="J118" s="28">
        <f t="shared" si="18"/>
        <v>51483493.671191812</v>
      </c>
    </row>
    <row r="119" spans="1:10" x14ac:dyDescent="0.25">
      <c r="A119" s="1">
        <v>43952</v>
      </c>
      <c r="B119" s="28">
        <f t="shared" ref="B119:C119" si="25">B13+B66</f>
        <v>357497.63283644436</v>
      </c>
      <c r="C119" s="28">
        <f t="shared" si="25"/>
        <v>-1361942.8351007965</v>
      </c>
      <c r="D119" s="28">
        <f t="shared" si="14"/>
        <v>50479048.46892745</v>
      </c>
      <c r="E119" s="28">
        <f t="shared" ref="E119:F119" si="26">E13+E66</f>
        <v>0</v>
      </c>
      <c r="F119" s="28">
        <f t="shared" si="26"/>
        <v>0</v>
      </c>
      <c r="G119" s="28">
        <f t="shared" si="16"/>
        <v>0</v>
      </c>
      <c r="H119" s="28">
        <f t="shared" ref="H119:I119" si="27">H13+H66</f>
        <v>357497.63283644436</v>
      </c>
      <c r="I119" s="28">
        <f t="shared" si="27"/>
        <v>-1361942.8351007965</v>
      </c>
      <c r="J119" s="28">
        <f t="shared" si="18"/>
        <v>50479048.468927458</v>
      </c>
    </row>
    <row r="120" spans="1:10" x14ac:dyDescent="0.25">
      <c r="A120" s="1">
        <v>43983</v>
      </c>
      <c r="B120" s="28">
        <f t="shared" ref="B120:C120" si="28">B14+B67</f>
        <v>350522.83846027404</v>
      </c>
      <c r="C120" s="28">
        <f t="shared" si="28"/>
        <v>-1361942.8351007965</v>
      </c>
      <c r="D120" s="28">
        <f t="shared" si="14"/>
        <v>49467628.472286925</v>
      </c>
      <c r="E120" s="28">
        <f t="shared" ref="E120:F120" si="29">E14+E67</f>
        <v>0</v>
      </c>
      <c r="F120" s="28">
        <f t="shared" si="29"/>
        <v>0</v>
      </c>
      <c r="G120" s="28">
        <f t="shared" si="16"/>
        <v>0</v>
      </c>
      <c r="H120" s="28">
        <f t="shared" ref="H120:I120" si="30">H14+H67</f>
        <v>350522.83846027404</v>
      </c>
      <c r="I120" s="28">
        <f t="shared" si="30"/>
        <v>-1361942.8351007965</v>
      </c>
      <c r="J120" s="28">
        <f t="shared" si="18"/>
        <v>49467628.472286932</v>
      </c>
    </row>
    <row r="121" spans="1:10" x14ac:dyDescent="0.25">
      <c r="A121" s="1">
        <v>44013</v>
      </c>
      <c r="B121" s="28">
        <f t="shared" ref="B121:C121" si="31">B15+B68</f>
        <v>343499.61161961465</v>
      </c>
      <c r="C121" s="28">
        <f t="shared" si="31"/>
        <v>-1361942.8351007965</v>
      </c>
      <c r="D121" s="28">
        <f t="shared" si="14"/>
        <v>48449185.248805739</v>
      </c>
      <c r="E121" s="28">
        <f t="shared" ref="E121:F121" si="32">E15+E68</f>
        <v>0</v>
      </c>
      <c r="F121" s="28">
        <f t="shared" si="32"/>
        <v>0</v>
      </c>
      <c r="G121" s="28">
        <f t="shared" si="16"/>
        <v>0</v>
      </c>
      <c r="H121" s="28">
        <f t="shared" ref="H121:I121" si="33">H15+H68</f>
        <v>343499.61161961465</v>
      </c>
      <c r="I121" s="28">
        <f t="shared" si="33"/>
        <v>-1361942.8351007965</v>
      </c>
      <c r="J121" s="28">
        <f t="shared" si="18"/>
        <v>48449185.248805746</v>
      </c>
    </row>
    <row r="122" spans="1:10" x14ac:dyDescent="0.25">
      <c r="A122" s="1">
        <v>44044</v>
      </c>
      <c r="B122" s="28">
        <f t="shared" ref="B122:C122" si="34">B16+B69</f>
        <v>336427.61600295792</v>
      </c>
      <c r="C122" s="28">
        <f t="shared" si="34"/>
        <v>-1361942.8351007965</v>
      </c>
      <c r="D122" s="28">
        <f t="shared" si="14"/>
        <v>47423670.029707894</v>
      </c>
      <c r="E122" s="28">
        <f t="shared" ref="E122:F122" si="35">E16+E69</f>
        <v>0</v>
      </c>
      <c r="F122" s="28">
        <f t="shared" si="35"/>
        <v>0</v>
      </c>
      <c r="G122" s="28">
        <f t="shared" si="16"/>
        <v>0</v>
      </c>
      <c r="H122" s="28">
        <f t="shared" ref="H122:I122" si="36">H16+H69</f>
        <v>336427.61600295792</v>
      </c>
      <c r="I122" s="28">
        <f t="shared" si="36"/>
        <v>-1361942.8351007965</v>
      </c>
      <c r="J122" s="28">
        <f t="shared" si="18"/>
        <v>47423670.029707901</v>
      </c>
    </row>
    <row r="123" spans="1:10" x14ac:dyDescent="0.25">
      <c r="A123" s="1">
        <v>44075</v>
      </c>
      <c r="B123" s="28">
        <f t="shared" ref="B123:C123" si="37">B17+B70</f>
        <v>329306.51296347298</v>
      </c>
      <c r="C123" s="28">
        <f t="shared" si="37"/>
        <v>-1361942.8351007965</v>
      </c>
      <c r="D123" s="28">
        <f t="shared" si="14"/>
        <v>46391033.707570568</v>
      </c>
      <c r="E123" s="28">
        <f t="shared" ref="E123:F123" si="38">E17+E70</f>
        <v>0</v>
      </c>
      <c r="F123" s="28">
        <f t="shared" si="38"/>
        <v>0</v>
      </c>
      <c r="G123" s="28">
        <f t="shared" si="16"/>
        <v>0</v>
      </c>
      <c r="H123" s="28">
        <f t="shared" ref="H123:I123" si="39">H17+H70</f>
        <v>329306.51296347298</v>
      </c>
      <c r="I123" s="28">
        <f t="shared" si="39"/>
        <v>-1361942.8351007965</v>
      </c>
      <c r="J123" s="28">
        <f t="shared" si="18"/>
        <v>46391033.707570575</v>
      </c>
    </row>
    <row r="124" spans="1:10" x14ac:dyDescent="0.25">
      <c r="A124" s="1">
        <v>44105</v>
      </c>
      <c r="B124" s="28">
        <f t="shared" ref="B124:C124" si="40">B18+B71</f>
        <v>322135.96150279004</v>
      </c>
      <c r="C124" s="28">
        <f t="shared" si="40"/>
        <v>-1361942.8351007965</v>
      </c>
      <c r="D124" s="28">
        <f t="shared" si="14"/>
        <v>45351226.833972558</v>
      </c>
      <c r="E124" s="28">
        <f t="shared" ref="E124:F124" si="41">E18+E71</f>
        <v>0</v>
      </c>
      <c r="F124" s="28">
        <f t="shared" si="41"/>
        <v>0</v>
      </c>
      <c r="G124" s="28">
        <f t="shared" si="16"/>
        <v>0</v>
      </c>
      <c r="H124" s="28">
        <f t="shared" ref="H124:I124" si="42">H18+H71</f>
        <v>322135.96150279004</v>
      </c>
      <c r="I124" s="28">
        <f t="shared" si="42"/>
        <v>-1361942.8351007965</v>
      </c>
      <c r="J124" s="28">
        <f t="shared" si="18"/>
        <v>45351226.833972566</v>
      </c>
    </row>
    <row r="125" spans="1:10" x14ac:dyDescent="0.25">
      <c r="A125" s="1">
        <v>44136</v>
      </c>
      <c r="B125" s="28">
        <f t="shared" ref="B125:C125" si="43">B19+B72</f>
        <v>314915.61825467134</v>
      </c>
      <c r="C125" s="28">
        <f t="shared" si="43"/>
        <v>-1361942.8351007965</v>
      </c>
      <c r="D125" s="28">
        <f t="shared" si="14"/>
        <v>44304199.617126428</v>
      </c>
      <c r="E125" s="28">
        <f t="shared" ref="E125:F125" si="44">E19+E72</f>
        <v>0</v>
      </c>
      <c r="F125" s="28">
        <f t="shared" si="44"/>
        <v>0</v>
      </c>
      <c r="G125" s="28">
        <f t="shared" si="16"/>
        <v>0</v>
      </c>
      <c r="H125" s="28">
        <f t="shared" ref="H125:I125" si="45">H19+H72</f>
        <v>314915.61825467134</v>
      </c>
      <c r="I125" s="28">
        <f t="shared" si="45"/>
        <v>-1361942.8351007965</v>
      </c>
      <c r="J125" s="28">
        <f t="shared" si="18"/>
        <v>44304199.617126435</v>
      </c>
    </row>
    <row r="126" spans="1:10" x14ac:dyDescent="0.25">
      <c r="A126" s="1">
        <v>44166</v>
      </c>
      <c r="B126" s="28">
        <f t="shared" ref="B126:C126" si="46">B20+B73</f>
        <v>307645.13746856898</v>
      </c>
      <c r="C126" s="28">
        <f t="shared" si="46"/>
        <v>-1361942.8351007965</v>
      </c>
      <c r="D126" s="28">
        <f t="shared" si="14"/>
        <v>43249901.919494197</v>
      </c>
      <c r="E126" s="28">
        <f t="shared" ref="E126:F126" si="47">E20+E73</f>
        <v>0</v>
      </c>
      <c r="F126" s="28">
        <f t="shared" si="47"/>
        <v>0</v>
      </c>
      <c r="G126" s="28">
        <f t="shared" si="16"/>
        <v>0</v>
      </c>
      <c r="H126" s="28">
        <f t="shared" ref="H126:I126" si="48">H20+H73</f>
        <v>307645.13746856898</v>
      </c>
      <c r="I126" s="28">
        <f t="shared" si="48"/>
        <v>-1361942.8351007965</v>
      </c>
      <c r="J126" s="28">
        <f t="shared" si="18"/>
        <v>43249901.919494204</v>
      </c>
    </row>
    <row r="127" spans="1:10" x14ac:dyDescent="0.25">
      <c r="A127" s="1">
        <v>44197</v>
      </c>
      <c r="B127" s="28">
        <f t="shared" ref="B127:C127" si="49">B21+B74</f>
        <v>300324.17099306855</v>
      </c>
      <c r="C127" s="28">
        <f t="shared" si="49"/>
        <v>-1361942.8351007965</v>
      </c>
      <c r="D127" s="28">
        <f t="shared" si="14"/>
        <v>42188283.255386464</v>
      </c>
      <c r="E127" s="28">
        <f t="shared" ref="E127:F127" si="50">E21+E74</f>
        <v>0</v>
      </c>
      <c r="F127" s="28">
        <f t="shared" si="50"/>
        <v>0</v>
      </c>
      <c r="G127" s="28">
        <f t="shared" si="16"/>
        <v>0</v>
      </c>
      <c r="H127" s="28">
        <f t="shared" ref="H127:I127" si="51">H21+H74</f>
        <v>300324.17099306855</v>
      </c>
      <c r="I127" s="28">
        <f t="shared" si="51"/>
        <v>-1361942.8351007965</v>
      </c>
      <c r="J127" s="28">
        <f t="shared" si="18"/>
        <v>42188283.255386472</v>
      </c>
    </row>
    <row r="128" spans="1:10" x14ac:dyDescent="0.25">
      <c r="A128" s="1">
        <v>44228</v>
      </c>
      <c r="B128" s="28">
        <f t="shared" ref="B128:C128" si="52">B22+B75</f>
        <v>292952.36825921736</v>
      </c>
      <c r="C128" s="28">
        <f t="shared" si="52"/>
        <v>-1361942.8351007965</v>
      </c>
      <c r="D128" s="28">
        <f t="shared" si="14"/>
        <v>41119292.788544878</v>
      </c>
      <c r="E128" s="28">
        <f t="shared" ref="E128:F128" si="53">E22+E75</f>
        <v>0</v>
      </c>
      <c r="F128" s="28">
        <f t="shared" si="53"/>
        <v>0</v>
      </c>
      <c r="G128" s="28">
        <f t="shared" si="16"/>
        <v>0</v>
      </c>
      <c r="H128" s="28">
        <f t="shared" ref="H128:I128" si="54">H22+H75</f>
        <v>292952.36825921736</v>
      </c>
      <c r="I128" s="28">
        <f t="shared" si="54"/>
        <v>-1361942.8351007965</v>
      </c>
      <c r="J128" s="28">
        <f t="shared" si="18"/>
        <v>41119292.788544886</v>
      </c>
    </row>
    <row r="129" spans="1:10" x14ac:dyDescent="0.25">
      <c r="A129" s="1">
        <v>44256</v>
      </c>
      <c r="B129" s="28">
        <f t="shared" ref="B129:C129" si="55">B23+B76</f>
        <v>285529.37626373756</v>
      </c>
      <c r="C129" s="28">
        <f t="shared" si="55"/>
        <v>-1361942.8351007965</v>
      </c>
      <c r="D129" s="28">
        <f t="shared" si="14"/>
        <v>40042879.329707816</v>
      </c>
      <c r="E129" s="28">
        <f t="shared" ref="E129:F129" si="56">E23+E76</f>
        <v>0</v>
      </c>
      <c r="F129" s="28">
        <f t="shared" si="56"/>
        <v>0</v>
      </c>
      <c r="G129" s="28">
        <f t="shared" si="16"/>
        <v>0</v>
      </c>
      <c r="H129" s="28">
        <f t="shared" ref="H129:I129" si="57">H23+H76</f>
        <v>285529.37626373756</v>
      </c>
      <c r="I129" s="28">
        <f t="shared" si="57"/>
        <v>-1361942.8351007965</v>
      </c>
      <c r="J129" s="28">
        <f t="shared" si="18"/>
        <v>40042879.329707824</v>
      </c>
    </row>
    <row r="130" spans="1:10" x14ac:dyDescent="0.25">
      <c r="A130" s="1">
        <v>44287</v>
      </c>
      <c r="B130" s="28">
        <f t="shared" ref="B130:C130" si="58">B24+B77</f>
        <v>278054.83955212228</v>
      </c>
      <c r="C130" s="28">
        <f t="shared" si="58"/>
        <v>-1361942.8351007965</v>
      </c>
      <c r="D130" s="28">
        <f t="shared" si="14"/>
        <v>38958991.334159136</v>
      </c>
      <c r="E130" s="28">
        <f t="shared" ref="E130:F130" si="59">E24+E77</f>
        <v>0</v>
      </c>
      <c r="F130" s="28">
        <f t="shared" si="59"/>
        <v>0</v>
      </c>
      <c r="G130" s="28">
        <f t="shared" si="16"/>
        <v>0</v>
      </c>
      <c r="H130" s="28">
        <f t="shared" ref="H130:I130" si="60">H24+H77</f>
        <v>278054.83955212228</v>
      </c>
      <c r="I130" s="28">
        <f t="shared" si="60"/>
        <v>-1361942.8351007965</v>
      </c>
      <c r="J130" s="28">
        <f t="shared" si="18"/>
        <v>38958991.334159143</v>
      </c>
    </row>
    <row r="131" spans="1:10" x14ac:dyDescent="0.25">
      <c r="A131" s="1">
        <v>44317</v>
      </c>
      <c r="B131" s="28">
        <f t="shared" ref="B131:C131" si="61">B25+B78</f>
        <v>270528.40020161425</v>
      </c>
      <c r="C131" s="28">
        <f t="shared" si="61"/>
        <v>-1361942.8351007965</v>
      </c>
      <c r="D131" s="28">
        <f t="shared" si="14"/>
        <v>37867576.899259947</v>
      </c>
      <c r="E131" s="28">
        <f t="shared" ref="E131:F131" si="62">E25+E78</f>
        <v>0</v>
      </c>
      <c r="F131" s="28">
        <f t="shared" si="62"/>
        <v>0</v>
      </c>
      <c r="G131" s="28">
        <f t="shared" si="16"/>
        <v>0</v>
      </c>
      <c r="H131" s="28">
        <f t="shared" ref="H131:I131" si="63">H25+H78</f>
        <v>270528.40020161425</v>
      </c>
      <c r="I131" s="28">
        <f t="shared" si="63"/>
        <v>-1361942.8351007965</v>
      </c>
      <c r="J131" s="28">
        <f t="shared" si="18"/>
        <v>37867576.899259955</v>
      </c>
    </row>
    <row r="132" spans="1:10" x14ac:dyDescent="0.25">
      <c r="A132" s="1">
        <v>44348</v>
      </c>
      <c r="B132" s="28">
        <f t="shared" ref="B132:C132" si="64">B26+B79</f>
        <v>262949.6978040667</v>
      </c>
      <c r="C132" s="28">
        <f t="shared" si="64"/>
        <v>-1361942.8351007965</v>
      </c>
      <c r="D132" s="28">
        <f t="shared" si="14"/>
        <v>36768583.761963211</v>
      </c>
      <c r="E132" s="28">
        <f t="shared" ref="E132:F132" si="65">E26+E79</f>
        <v>0</v>
      </c>
      <c r="F132" s="28">
        <f t="shared" si="65"/>
        <v>0</v>
      </c>
      <c r="G132" s="28">
        <f t="shared" si="16"/>
        <v>0</v>
      </c>
      <c r="H132" s="28">
        <f t="shared" ref="H132:I132" si="66">H26+H79</f>
        <v>262949.6978040667</v>
      </c>
      <c r="I132" s="28">
        <f t="shared" si="66"/>
        <v>-1361942.8351007965</v>
      </c>
      <c r="J132" s="28">
        <f t="shared" si="18"/>
        <v>36768583.761963218</v>
      </c>
    </row>
    <row r="133" spans="1:10" x14ac:dyDescent="0.25">
      <c r="A133" s="1">
        <v>44378</v>
      </c>
      <c r="B133" s="28">
        <f t="shared" ref="B133:C133" si="67">B27+B80</f>
        <v>255318.36944868503</v>
      </c>
      <c r="C133" s="28">
        <f t="shared" si="67"/>
        <v>-1361942.8351007965</v>
      </c>
      <c r="D133" s="28">
        <f t="shared" si="14"/>
        <v>35661959.296311095</v>
      </c>
      <c r="E133" s="28">
        <f t="shared" ref="E133:F133" si="68">E27+E80</f>
        <v>0</v>
      </c>
      <c r="F133" s="28">
        <f t="shared" si="68"/>
        <v>0</v>
      </c>
      <c r="G133" s="28">
        <f t="shared" si="16"/>
        <v>0</v>
      </c>
      <c r="H133" s="28">
        <f t="shared" ref="H133:I133" si="69">H27+H80</f>
        <v>255318.36944868503</v>
      </c>
      <c r="I133" s="28">
        <f t="shared" si="69"/>
        <v>-1361942.8351007965</v>
      </c>
      <c r="J133" s="28">
        <f t="shared" si="18"/>
        <v>35661959.296311103</v>
      </c>
    </row>
    <row r="134" spans="1:10" x14ac:dyDescent="0.25">
      <c r="A134" s="1">
        <v>44409</v>
      </c>
      <c r="B134" s="28">
        <f t="shared" ref="B134:C134" si="70">B28+B81</f>
        <v>247634.04970464838</v>
      </c>
      <c r="C134" s="28">
        <f t="shared" si="70"/>
        <v>-1361942.8351007965</v>
      </c>
      <c r="D134" s="28">
        <f t="shared" si="14"/>
        <v>34547650.510914944</v>
      </c>
      <c r="E134" s="28">
        <f t="shared" ref="E134:F134" si="71">E28+E81</f>
        <v>0</v>
      </c>
      <c r="F134" s="28">
        <f t="shared" si="71"/>
        <v>0</v>
      </c>
      <c r="G134" s="28">
        <f t="shared" si="16"/>
        <v>0</v>
      </c>
      <c r="H134" s="28">
        <f t="shared" ref="H134:I134" si="72">H28+H81</f>
        <v>247634.04970464838</v>
      </c>
      <c r="I134" s="28">
        <f t="shared" si="72"/>
        <v>-1361942.8351007965</v>
      </c>
      <c r="J134" s="28">
        <f t="shared" si="18"/>
        <v>34547650.510914952</v>
      </c>
    </row>
    <row r="135" spans="1:10" x14ac:dyDescent="0.25">
      <c r="A135" s="1">
        <v>44440</v>
      </c>
      <c r="B135" s="28">
        <f t="shared" ref="B135:C135" si="73">B29+B82</f>
        <v>239896.37060361088</v>
      </c>
      <c r="C135" s="28">
        <f t="shared" si="73"/>
        <v>-1361942.8351007965</v>
      </c>
      <c r="D135" s="28">
        <f t="shared" si="14"/>
        <v>33425604.046417762</v>
      </c>
      <c r="E135" s="28">
        <f t="shared" ref="E135:F135" si="74">E29+E82</f>
        <v>0</v>
      </c>
      <c r="F135" s="28">
        <f t="shared" si="74"/>
        <v>0</v>
      </c>
      <c r="G135" s="28">
        <f t="shared" si="16"/>
        <v>0</v>
      </c>
      <c r="H135" s="28">
        <f t="shared" ref="H135:I135" si="75">H29+H82</f>
        <v>239896.37060361088</v>
      </c>
      <c r="I135" s="28">
        <f t="shared" si="75"/>
        <v>-1361942.8351007965</v>
      </c>
      <c r="J135" s="28">
        <f t="shared" si="18"/>
        <v>33425604.046417769</v>
      </c>
    </row>
    <row r="136" spans="1:10" x14ac:dyDescent="0.25">
      <c r="A136" s="1">
        <v>44470</v>
      </c>
      <c r="B136" s="28">
        <f t="shared" ref="B136:C136" si="76">B30+B83</f>
        <v>232104.96162208129</v>
      </c>
      <c r="C136" s="28">
        <f t="shared" si="76"/>
        <v>-1361942.8351007965</v>
      </c>
      <c r="D136" s="28">
        <f t="shared" si="14"/>
        <v>32295766.172939043</v>
      </c>
      <c r="E136" s="28">
        <f t="shared" ref="E136:F136" si="77">E30+E83</f>
        <v>0</v>
      </c>
      <c r="F136" s="28">
        <f t="shared" si="77"/>
        <v>0</v>
      </c>
      <c r="G136" s="28">
        <f t="shared" si="16"/>
        <v>0</v>
      </c>
      <c r="H136" s="28">
        <f t="shared" ref="H136:I136" si="78">H30+H83</f>
        <v>232104.96162208129</v>
      </c>
      <c r="I136" s="28">
        <f t="shared" si="78"/>
        <v>-1361942.8351007965</v>
      </c>
      <c r="J136" s="28">
        <f t="shared" si="18"/>
        <v>32295766.172939051</v>
      </c>
    </row>
    <row r="137" spans="1:10" x14ac:dyDescent="0.25">
      <c r="A137" s="1">
        <v>44501</v>
      </c>
      <c r="B137" s="28">
        <f t="shared" ref="B137:C137" si="79">B31+B84</f>
        <v>224259.44966368016</v>
      </c>
      <c r="C137" s="28">
        <f t="shared" si="79"/>
        <v>-1361942.8351007965</v>
      </c>
      <c r="D137" s="28">
        <f t="shared" si="14"/>
        <v>31158082.787501927</v>
      </c>
      <c r="E137" s="28">
        <f t="shared" ref="E137:F137" si="80">E31+E84</f>
        <v>0</v>
      </c>
      <c r="F137" s="28">
        <f t="shared" si="80"/>
        <v>0</v>
      </c>
      <c r="G137" s="28">
        <f t="shared" si="16"/>
        <v>0</v>
      </c>
      <c r="H137" s="28">
        <f t="shared" ref="H137:I137" si="81">H31+H84</f>
        <v>224259.44966368016</v>
      </c>
      <c r="I137" s="28">
        <f t="shared" si="81"/>
        <v>-1361942.8351007965</v>
      </c>
      <c r="J137" s="28">
        <f t="shared" si="18"/>
        <v>31158082.787501935</v>
      </c>
    </row>
    <row r="138" spans="1:10" x14ac:dyDescent="0.25">
      <c r="A138" s="1">
        <v>44531</v>
      </c>
      <c r="B138" s="28">
        <f t="shared" ref="B138:C138" si="82">B32+B85</f>
        <v>216359.45904127404</v>
      </c>
      <c r="C138" s="28">
        <f t="shared" si="82"/>
        <v>-1361942.8351007965</v>
      </c>
      <c r="D138" s="28">
        <f t="shared" si="14"/>
        <v>30012499.411442406</v>
      </c>
      <c r="E138" s="28">
        <f t="shared" ref="E138:F138" si="83">E32+E85</f>
        <v>0</v>
      </c>
      <c r="F138" s="28">
        <f t="shared" si="83"/>
        <v>0</v>
      </c>
      <c r="G138" s="28">
        <f t="shared" si="16"/>
        <v>0</v>
      </c>
      <c r="H138" s="28">
        <f t="shared" ref="H138:I138" si="84">H32+H85</f>
        <v>216359.45904127404</v>
      </c>
      <c r="I138" s="28">
        <f t="shared" si="84"/>
        <v>-1361942.8351007965</v>
      </c>
      <c r="J138" s="28">
        <f t="shared" si="18"/>
        <v>30012499.411442414</v>
      </c>
    </row>
    <row r="139" spans="1:10" x14ac:dyDescent="0.25">
      <c r="A139" s="1">
        <v>44562</v>
      </c>
      <c r="B139" s="28">
        <f t="shared" ref="B139:C139" si="85">B33+B86</f>
        <v>208404.61145898519</v>
      </c>
      <c r="C139" s="28">
        <f t="shared" si="85"/>
        <v>-1361942.8351007965</v>
      </c>
      <c r="D139" s="28">
        <f t="shared" si="14"/>
        <v>28858961.187800597</v>
      </c>
      <c r="E139" s="28">
        <f t="shared" ref="E139:F139" si="86">E33+E86</f>
        <v>0</v>
      </c>
      <c r="F139" s="28">
        <f t="shared" si="86"/>
        <v>0</v>
      </c>
      <c r="G139" s="28">
        <f t="shared" si="16"/>
        <v>0</v>
      </c>
      <c r="H139" s="28">
        <f t="shared" ref="H139:I139" si="87">H33+H86</f>
        <v>208404.61145898519</v>
      </c>
      <c r="I139" s="28">
        <f t="shared" si="87"/>
        <v>-1361942.8351007965</v>
      </c>
      <c r="J139" s="28">
        <f t="shared" si="18"/>
        <v>28858961.187800605</v>
      </c>
    </row>
    <row r="140" spans="1:10" x14ac:dyDescent="0.25">
      <c r="A140" s="1">
        <v>44593</v>
      </c>
      <c r="B140" s="28">
        <f t="shared" ref="B140:C140" si="88">B34+B87</f>
        <v>200394.52599407703</v>
      </c>
      <c r="C140" s="28">
        <f t="shared" si="88"/>
        <v>-1361942.8351007965</v>
      </c>
      <c r="D140" s="28">
        <f t="shared" si="14"/>
        <v>27697412.878693879</v>
      </c>
      <c r="E140" s="28">
        <f t="shared" ref="E140:F140" si="89">E34+E87</f>
        <v>0</v>
      </c>
      <c r="F140" s="28">
        <f t="shared" si="89"/>
        <v>0</v>
      </c>
      <c r="G140" s="28">
        <f t="shared" si="16"/>
        <v>0</v>
      </c>
      <c r="H140" s="28">
        <f t="shared" ref="H140:I140" si="90">H34+H87</f>
        <v>200394.52599407703</v>
      </c>
      <c r="I140" s="28">
        <f t="shared" si="90"/>
        <v>-1361942.8351007965</v>
      </c>
      <c r="J140" s="28">
        <f t="shared" si="18"/>
        <v>27697412.878693886</v>
      </c>
    </row>
    <row r="141" spans="1:10" x14ac:dyDescent="0.25">
      <c r="A141" s="1">
        <v>44621</v>
      </c>
      <c r="B141" s="28">
        <f t="shared" ref="B141:C141" si="91">B35+B88</f>
        <v>192328.81907871307</v>
      </c>
      <c r="C141" s="28">
        <f t="shared" si="91"/>
        <v>-1361942.8351007965</v>
      </c>
      <c r="D141" s="28">
        <f t="shared" si="14"/>
        <v>26527798.862671796</v>
      </c>
      <c r="E141" s="28">
        <f t="shared" ref="E141:F141" si="92">E35+E88</f>
        <v>0</v>
      </c>
      <c r="F141" s="28">
        <f t="shared" si="92"/>
        <v>0</v>
      </c>
      <c r="G141" s="28">
        <f t="shared" si="16"/>
        <v>0</v>
      </c>
      <c r="H141" s="28">
        <f t="shared" ref="H141:I141" si="93">H35+H88</f>
        <v>192328.81907871307</v>
      </c>
      <c r="I141" s="28">
        <f t="shared" si="93"/>
        <v>-1361942.8351007965</v>
      </c>
      <c r="J141" s="28">
        <f t="shared" si="18"/>
        <v>26527798.862671804</v>
      </c>
    </row>
    <row r="142" spans="1:10" x14ac:dyDescent="0.25">
      <c r="A142" s="1">
        <v>44652</v>
      </c>
      <c r="B142" s="28">
        <f t="shared" ref="B142:C142" si="94">B36+B89</f>
        <v>184207.10448158981</v>
      </c>
      <c r="C142" s="28">
        <f t="shared" si="94"/>
        <v>-1361942.8351007965</v>
      </c>
      <c r="D142" s="28">
        <f t="shared" si="14"/>
        <v>25350063.132052589</v>
      </c>
      <c r="E142" s="28">
        <f t="shared" ref="E142:F142" si="95">E36+E89</f>
        <v>0</v>
      </c>
      <c r="F142" s="28">
        <f t="shared" si="95"/>
        <v>0</v>
      </c>
      <c r="G142" s="28">
        <f t="shared" si="16"/>
        <v>0</v>
      </c>
      <c r="H142" s="28">
        <f t="shared" ref="H142:I142" si="96">H36+H89</f>
        <v>184207.10448158981</v>
      </c>
      <c r="I142" s="28">
        <f t="shared" si="96"/>
        <v>-1361942.8351007965</v>
      </c>
      <c r="J142" s="28">
        <f t="shared" si="18"/>
        <v>25350063.132052597</v>
      </c>
    </row>
    <row r="143" spans="1:10" x14ac:dyDescent="0.25">
      <c r="A143" s="1">
        <v>44682</v>
      </c>
      <c r="B143" s="28">
        <f t="shared" ref="B143:C143" si="97">B37+B90</f>
        <v>176028.99328944157</v>
      </c>
      <c r="C143" s="28">
        <f t="shared" si="97"/>
        <v>-1361942.8351007965</v>
      </c>
      <c r="D143" s="28">
        <f t="shared" si="14"/>
        <v>24164149.290241234</v>
      </c>
      <c r="E143" s="28">
        <f t="shared" ref="E143:F143" si="98">E37+E90</f>
        <v>0</v>
      </c>
      <c r="F143" s="28">
        <f t="shared" si="98"/>
        <v>0</v>
      </c>
      <c r="G143" s="28">
        <f t="shared" si="16"/>
        <v>0</v>
      </c>
      <c r="H143" s="28">
        <f t="shared" ref="H143:I143" si="99">H37+H90</f>
        <v>176028.99328944157</v>
      </c>
      <c r="I143" s="28">
        <f t="shared" si="99"/>
        <v>-1361942.8351007965</v>
      </c>
      <c r="J143" s="28">
        <f t="shared" si="18"/>
        <v>24164149.290241241</v>
      </c>
    </row>
    <row r="144" spans="1:10" x14ac:dyDescent="0.25">
      <c r="A144" s="1">
        <v>44713</v>
      </c>
      <c r="B144" s="28">
        <f t="shared" ref="B144:C144" si="100">B38+B91</f>
        <v>167794.09388841735</v>
      </c>
      <c r="C144" s="28">
        <f t="shared" si="100"/>
        <v>-1361942.8351007965</v>
      </c>
      <c r="D144" s="28">
        <f t="shared" si="14"/>
        <v>22970000.549028855</v>
      </c>
      <c r="E144" s="28">
        <f t="shared" ref="E144:F144" si="101">E38+E91</f>
        <v>0</v>
      </c>
      <c r="F144" s="28">
        <f t="shared" si="101"/>
        <v>0</v>
      </c>
      <c r="G144" s="28">
        <f t="shared" si="16"/>
        <v>0</v>
      </c>
      <c r="H144" s="28">
        <f t="shared" ref="H144:I144" si="102">H38+H91</f>
        <v>167794.09388841735</v>
      </c>
      <c r="I144" s="28">
        <f t="shared" si="102"/>
        <v>-1361942.8351007965</v>
      </c>
      <c r="J144" s="28">
        <f t="shared" si="18"/>
        <v>22970000.549028862</v>
      </c>
    </row>
    <row r="145" spans="1:10" x14ac:dyDescent="0.25">
      <c r="A145" s="1">
        <v>44743</v>
      </c>
      <c r="B145" s="28">
        <f t="shared" ref="B145:C145" si="103">B39+B92</f>
        <v>159502.01194532798</v>
      </c>
      <c r="C145" s="28">
        <f t="shared" si="103"/>
        <v>-1361942.8351007965</v>
      </c>
      <c r="D145" s="28">
        <f t="shared" si="14"/>
        <v>21767559.725873388</v>
      </c>
      <c r="E145" s="28">
        <f t="shared" ref="E145:F145" si="104">E39+E92</f>
        <v>0</v>
      </c>
      <c r="F145" s="28">
        <f t="shared" si="104"/>
        <v>0</v>
      </c>
      <c r="G145" s="28">
        <f t="shared" si="16"/>
        <v>0</v>
      </c>
      <c r="H145" s="28">
        <f t="shared" ref="H145:I145" si="105">H39+H92</f>
        <v>159502.01194532798</v>
      </c>
      <c r="I145" s="28">
        <f t="shared" si="105"/>
        <v>-1361942.8351007965</v>
      </c>
      <c r="J145" s="28">
        <f t="shared" si="18"/>
        <v>21767559.725873396</v>
      </c>
    </row>
    <row r="146" spans="1:10" x14ac:dyDescent="0.25">
      <c r="A146" s="1">
        <v>44774</v>
      </c>
      <c r="B146" s="28">
        <f t="shared" ref="B146:C146" si="106">B40+B93</f>
        <v>151152.35038876341</v>
      </c>
      <c r="C146" s="28">
        <f t="shared" si="106"/>
        <v>-1361942.8351007965</v>
      </c>
      <c r="D146" s="28">
        <f t="shared" si="14"/>
        <v>20556769.241161354</v>
      </c>
      <c r="E146" s="28">
        <f t="shared" ref="E146:F146" si="107">E40+E93</f>
        <v>0</v>
      </c>
      <c r="F146" s="28">
        <f t="shared" si="107"/>
        <v>0</v>
      </c>
      <c r="G146" s="28">
        <f t="shared" si="16"/>
        <v>0</v>
      </c>
      <c r="H146" s="28">
        <f t="shared" ref="H146:I146" si="108">H40+H93</f>
        <v>151152.35038876341</v>
      </c>
      <c r="I146" s="28">
        <f t="shared" si="108"/>
        <v>-1361942.8351007965</v>
      </c>
      <c r="J146" s="28">
        <f t="shared" si="18"/>
        <v>20556769.241161361</v>
      </c>
    </row>
    <row r="147" spans="1:10" x14ac:dyDescent="0.25">
      <c r="A147" s="1">
        <v>44805</v>
      </c>
      <c r="B147" s="28">
        <f t="shared" ref="B147:C147" si="109">B41+B94</f>
        <v>142744.70939007861</v>
      </c>
      <c r="C147" s="28">
        <f t="shared" si="109"/>
        <v>-1361942.8351007965</v>
      </c>
      <c r="D147" s="28">
        <f t="shared" si="14"/>
        <v>19337571.115450636</v>
      </c>
      <c r="E147" s="28">
        <f t="shared" ref="E147:F147" si="110">E41+E94</f>
        <v>0</v>
      </c>
      <c r="F147" s="28">
        <f t="shared" si="110"/>
        <v>0</v>
      </c>
      <c r="G147" s="28">
        <f t="shared" si="16"/>
        <v>0</v>
      </c>
      <c r="H147" s="28">
        <f t="shared" ref="H147:I147" si="111">H41+H94</f>
        <v>142744.70939007861</v>
      </c>
      <c r="I147" s="28">
        <f t="shared" si="111"/>
        <v>-1361942.8351007965</v>
      </c>
      <c r="J147" s="28">
        <f t="shared" si="18"/>
        <v>19337571.115450643</v>
      </c>
    </row>
    <row r="148" spans="1:10" x14ac:dyDescent="0.25">
      <c r="A148" s="1">
        <v>44835</v>
      </c>
      <c r="B148" s="28">
        <f t="shared" ref="B148:C148" si="112">B42+B95</f>
        <v>134278.68634424746</v>
      </c>
      <c r="C148" s="28">
        <f t="shared" si="112"/>
        <v>-1361942.8351007965</v>
      </c>
      <c r="D148" s="28">
        <f t="shared" si="14"/>
        <v>18109906.966694087</v>
      </c>
      <c r="E148" s="28">
        <f t="shared" ref="E148:F148" si="113">E42+E95</f>
        <v>0</v>
      </c>
      <c r="F148" s="28">
        <f t="shared" si="113"/>
        <v>0</v>
      </c>
      <c r="G148" s="28">
        <f t="shared" si="16"/>
        <v>0</v>
      </c>
      <c r="H148" s="28">
        <f t="shared" ref="H148:I148" si="114">H42+H95</f>
        <v>134278.68634424746</v>
      </c>
      <c r="I148" s="28">
        <f t="shared" si="114"/>
        <v>-1361942.8351007965</v>
      </c>
      <c r="J148" s="28">
        <f t="shared" si="18"/>
        <v>18109906.966694094</v>
      </c>
    </row>
    <row r="149" spans="1:10" x14ac:dyDescent="0.25">
      <c r="A149" s="1">
        <v>44866</v>
      </c>
      <c r="B149" s="28">
        <f t="shared" ref="B149:C149" si="115">B43+B96</f>
        <v>125753.87585058395</v>
      </c>
      <c r="C149" s="28">
        <f t="shared" si="115"/>
        <v>-1361942.8351007965</v>
      </c>
      <c r="D149" s="28">
        <f t="shared" si="14"/>
        <v>16873718.007443875</v>
      </c>
      <c r="E149" s="28">
        <f t="shared" ref="E149:F149" si="116">E43+E96</f>
        <v>0</v>
      </c>
      <c r="F149" s="28">
        <f t="shared" si="116"/>
        <v>0</v>
      </c>
      <c r="G149" s="28">
        <f t="shared" si="16"/>
        <v>0</v>
      </c>
      <c r="H149" s="28">
        <f t="shared" ref="H149:I149" si="117">H43+H96</f>
        <v>125753.87585058395</v>
      </c>
      <c r="I149" s="28">
        <f t="shared" si="117"/>
        <v>-1361942.8351007965</v>
      </c>
      <c r="J149" s="28">
        <f t="shared" si="18"/>
        <v>16873718.007443883</v>
      </c>
    </row>
    <row r="150" spans="1:10" x14ac:dyDescent="0.25">
      <c r="A150" s="1">
        <v>44896</v>
      </c>
      <c r="B150" s="28">
        <f t="shared" ref="B150:C150" si="118">B44+B97</f>
        <v>117169.86969332918</v>
      </c>
      <c r="C150" s="28">
        <f t="shared" si="118"/>
        <v>-1361942.8351007965</v>
      </c>
      <c r="D150" s="28">
        <f t="shared" si="14"/>
        <v>15628945.042036407</v>
      </c>
      <c r="E150" s="28">
        <f t="shared" ref="E150:F150" si="119">E44+E97</f>
        <v>0</v>
      </c>
      <c r="F150" s="28">
        <f t="shared" si="119"/>
        <v>0</v>
      </c>
      <c r="G150" s="28">
        <f t="shared" si="16"/>
        <v>0</v>
      </c>
      <c r="H150" s="28">
        <f t="shared" ref="H150:I150" si="120">H44+H97</f>
        <v>117169.86969332918</v>
      </c>
      <c r="I150" s="28">
        <f t="shared" si="120"/>
        <v>-1361942.8351007965</v>
      </c>
      <c r="J150" s="28">
        <f t="shared" si="18"/>
        <v>15628945.042036414</v>
      </c>
    </row>
    <row r="151" spans="1:10" x14ac:dyDescent="0.25">
      <c r="A151" s="1">
        <v>44927</v>
      </c>
      <c r="B151" s="28">
        <f t="shared" ref="B151:C151" si="121">B45+B98</f>
        <v>108526.25682210365</v>
      </c>
      <c r="C151" s="28">
        <f t="shared" si="121"/>
        <v>-1361942.8351007965</v>
      </c>
      <c r="D151" s="28">
        <f t="shared" si="14"/>
        <v>14375528.463757714</v>
      </c>
      <c r="E151" s="28">
        <f t="shared" ref="E151:F151" si="122">E45+E98</f>
        <v>0</v>
      </c>
      <c r="F151" s="28">
        <f t="shared" si="122"/>
        <v>0</v>
      </c>
      <c r="G151" s="28">
        <f t="shared" si="16"/>
        <v>0</v>
      </c>
      <c r="H151" s="28">
        <f t="shared" ref="H151:I151" si="123">H45+H98</f>
        <v>108526.25682210365</v>
      </c>
      <c r="I151" s="28">
        <f t="shared" si="123"/>
        <v>-1361942.8351007965</v>
      </c>
      <c r="J151" s="28">
        <f t="shared" si="18"/>
        <v>14375528.463757722</v>
      </c>
    </row>
    <row r="152" spans="1:10" x14ac:dyDescent="0.25">
      <c r="A152" s="1">
        <v>44958</v>
      </c>
      <c r="B152" s="28">
        <f t="shared" ref="B152:C152" si="124">B46+B99</f>
        <v>99822.623332224073</v>
      </c>
      <c r="C152" s="28">
        <f t="shared" si="124"/>
        <v>-1361942.8351007965</v>
      </c>
      <c r="D152" s="28">
        <f t="shared" si="14"/>
        <v>13113408.251989143</v>
      </c>
      <c r="E152" s="28">
        <f t="shared" ref="E152:F152" si="125">E46+E99</f>
        <v>0</v>
      </c>
      <c r="F152" s="28">
        <f t="shared" si="125"/>
        <v>0</v>
      </c>
      <c r="G152" s="28">
        <f t="shared" si="16"/>
        <v>0</v>
      </c>
      <c r="H152" s="28">
        <f t="shared" ref="H152:I152" si="126">H46+H99</f>
        <v>99822.623332224073</v>
      </c>
      <c r="I152" s="28">
        <f t="shared" si="126"/>
        <v>-1361942.8351007965</v>
      </c>
      <c r="J152" s="28">
        <f t="shared" si="18"/>
        <v>13113408.25198915</v>
      </c>
    </row>
    <row r="153" spans="1:10" x14ac:dyDescent="0.25">
      <c r="A153" s="1">
        <v>44986</v>
      </c>
      <c r="B153" s="28">
        <f t="shared" ref="B153:C153" si="127">B47+B100</f>
        <v>91058.552444883098</v>
      </c>
      <c r="C153" s="28">
        <f t="shared" si="127"/>
        <v>-1361942.8351007965</v>
      </c>
      <c r="D153" s="28">
        <f t="shared" si="14"/>
        <v>11842523.96933323</v>
      </c>
      <c r="E153" s="28">
        <f t="shared" ref="E153:F153" si="128">E47+E100</f>
        <v>0</v>
      </c>
      <c r="F153" s="28">
        <f t="shared" si="128"/>
        <v>0</v>
      </c>
      <c r="G153" s="28">
        <f t="shared" si="16"/>
        <v>0</v>
      </c>
      <c r="H153" s="28">
        <f t="shared" ref="H153:I153" si="129">H47+H100</f>
        <v>91058.552444883098</v>
      </c>
      <c r="I153" s="28">
        <f t="shared" si="129"/>
        <v>-1361942.8351007965</v>
      </c>
      <c r="J153" s="28">
        <f t="shared" si="18"/>
        <v>11842523.969333237</v>
      </c>
    </row>
    <row r="154" spans="1:10" x14ac:dyDescent="0.25">
      <c r="A154" s="1">
        <v>45017</v>
      </c>
      <c r="B154" s="28">
        <f t="shared" ref="B154:C154" si="130">B48+B101</f>
        <v>82233.624487191642</v>
      </c>
      <c r="C154" s="28">
        <f t="shared" si="130"/>
        <v>-1361942.8351007965</v>
      </c>
      <c r="D154" s="28">
        <f t="shared" si="14"/>
        <v>10562814.758719625</v>
      </c>
      <c r="E154" s="28">
        <f t="shared" ref="E154:F154" si="131">E48+E101</f>
        <v>0</v>
      </c>
      <c r="F154" s="28">
        <f t="shared" si="131"/>
        <v>0</v>
      </c>
      <c r="G154" s="28">
        <f t="shared" si="16"/>
        <v>0</v>
      </c>
      <c r="H154" s="28">
        <f t="shared" ref="H154:I154" si="132">H48+H101</f>
        <v>82233.624487191642</v>
      </c>
      <c r="I154" s="28">
        <f t="shared" si="132"/>
        <v>-1361942.8351007965</v>
      </c>
      <c r="J154" s="28">
        <f t="shared" si="18"/>
        <v>10562814.758719632</v>
      </c>
    </row>
    <row r="155" spans="1:10" x14ac:dyDescent="0.25">
      <c r="A155" s="1">
        <v>45047</v>
      </c>
      <c r="B155" s="28">
        <f t="shared" ref="B155:C155" si="133">B49+B102</f>
        <v>73347.416872082686</v>
      </c>
      <c r="C155" s="28">
        <f t="shared" si="133"/>
        <v>-1361942.8351007965</v>
      </c>
      <c r="D155" s="28">
        <f t="shared" si="14"/>
        <v>9274219.3404909112</v>
      </c>
      <c r="E155" s="28">
        <f t="shared" ref="E155:F155" si="134">E49+E102</f>
        <v>0</v>
      </c>
      <c r="F155" s="28">
        <f t="shared" si="134"/>
        <v>0</v>
      </c>
      <c r="G155" s="28">
        <f t="shared" si="16"/>
        <v>0</v>
      </c>
      <c r="H155" s="28">
        <f t="shared" ref="H155:I155" si="135">H49+H102</f>
        <v>73347.416872082686</v>
      </c>
      <c r="I155" s="28">
        <f t="shared" si="135"/>
        <v>-1361942.8351007965</v>
      </c>
      <c r="J155" s="28">
        <f t="shared" si="18"/>
        <v>9274219.3404909186</v>
      </c>
    </row>
    <row r="156" spans="1:10" x14ac:dyDescent="0.25">
      <c r="A156" s="1">
        <v>45078</v>
      </c>
      <c r="B156" s="28">
        <f t="shared" ref="B156:C156" si="136">B50+B103</f>
        <v>64399.504078075333</v>
      </c>
      <c r="C156" s="28">
        <f t="shared" si="136"/>
        <v>-1361942.8351007965</v>
      </c>
      <c r="D156" s="28">
        <f t="shared" si="14"/>
        <v>7976676.0094681904</v>
      </c>
      <c r="E156" s="28">
        <f t="shared" ref="E156:F156" si="137">E50+E103</f>
        <v>0</v>
      </c>
      <c r="F156" s="28">
        <f t="shared" si="137"/>
        <v>0</v>
      </c>
      <c r="G156" s="28">
        <f t="shared" si="16"/>
        <v>0</v>
      </c>
      <c r="H156" s="28">
        <f t="shared" ref="H156:I156" si="138">H50+H103</f>
        <v>64399.504078075333</v>
      </c>
      <c r="I156" s="28">
        <f t="shared" si="138"/>
        <v>-1361942.8351007965</v>
      </c>
      <c r="J156" s="28">
        <f t="shared" si="18"/>
        <v>7976676.0094681978</v>
      </c>
    </row>
    <row r="157" spans="1:10" x14ac:dyDescent="0.25">
      <c r="A157" s="1">
        <v>45108</v>
      </c>
      <c r="B157" s="28">
        <f t="shared" ref="B157:C157" si="139">B51+B104</f>
        <v>55389.457628898541</v>
      </c>
      <c r="C157" s="28">
        <f t="shared" si="139"/>
        <v>-1361942.8351007965</v>
      </c>
      <c r="D157" s="28">
        <f t="shared" si="14"/>
        <v>6670122.6319962926</v>
      </c>
      <c r="E157" s="28">
        <f t="shared" ref="E157:F157" si="140">E51+E104</f>
        <v>0</v>
      </c>
      <c r="F157" s="28">
        <f t="shared" si="140"/>
        <v>0</v>
      </c>
      <c r="G157" s="28">
        <f t="shared" si="16"/>
        <v>0</v>
      </c>
      <c r="H157" s="28">
        <f t="shared" ref="H157:I157" si="141">H51+H104</f>
        <v>55389.457628898541</v>
      </c>
      <c r="I157" s="28">
        <f t="shared" si="141"/>
        <v>-1361942.8351007965</v>
      </c>
      <c r="J157" s="28">
        <f t="shared" si="18"/>
        <v>6670122.6319963001</v>
      </c>
    </row>
    <row r="158" spans="1:10" x14ac:dyDescent="0.25">
      <c r="A158" s="1">
        <v>45139</v>
      </c>
      <c r="B158" s="28">
        <f t="shared" ref="B158:C158" si="142">B52+B105</f>
        <v>46316.846072973174</v>
      </c>
      <c r="C158" s="28">
        <f t="shared" si="142"/>
        <v>-1361942.8351007965</v>
      </c>
      <c r="D158" s="28">
        <f t="shared" si="14"/>
        <v>5354496.6429684684</v>
      </c>
      <c r="E158" s="28">
        <f t="shared" ref="E158:F158" si="143">E52+E105</f>
        <v>0</v>
      </c>
      <c r="F158" s="28">
        <f t="shared" si="143"/>
        <v>0</v>
      </c>
      <c r="G158" s="28">
        <f t="shared" si="16"/>
        <v>0</v>
      </c>
      <c r="H158" s="28">
        <f t="shared" ref="H158:I158" si="144">H52+H105</f>
        <v>46316.846072973174</v>
      </c>
      <c r="I158" s="28">
        <f t="shared" si="144"/>
        <v>-1361942.8351007965</v>
      </c>
      <c r="J158" s="28">
        <f t="shared" si="18"/>
        <v>5354496.6429684758</v>
      </c>
    </row>
    <row r="159" spans="1:10" x14ac:dyDescent="0.25">
      <c r="A159" s="1">
        <v>45170</v>
      </c>
      <c r="B159" s="28">
        <f t="shared" ref="B159:C159" si="145">B53+B106</f>
        <v>37181.234962751783</v>
      </c>
      <c r="C159" s="28">
        <f t="shared" si="145"/>
        <v>-1361942.8351007965</v>
      </c>
      <c r="D159" s="28">
        <f t="shared" si="14"/>
        <v>4029735.0428304239</v>
      </c>
      <c r="E159" s="28">
        <f t="shared" ref="E159:F159" si="146">E53+E106</f>
        <v>0</v>
      </c>
      <c r="F159" s="28">
        <f t="shared" si="146"/>
        <v>0</v>
      </c>
      <c r="G159" s="28">
        <f t="shared" si="16"/>
        <v>0</v>
      </c>
      <c r="H159" s="28">
        <f t="shared" ref="H159:I159" si="147">H53+H106</f>
        <v>37181.234962751783</v>
      </c>
      <c r="I159" s="28">
        <f t="shared" si="147"/>
        <v>-1361942.8351007965</v>
      </c>
      <c r="J159" s="28">
        <f t="shared" si="18"/>
        <v>4029735.0428304314</v>
      </c>
    </row>
    <row r="160" spans="1:10" x14ac:dyDescent="0.25">
      <c r="A160" s="1">
        <v>45200</v>
      </c>
      <c r="B160" s="28">
        <f t="shared" ref="B160:C160" si="148">B54+B107</f>
        <v>27982.186833914726</v>
      </c>
      <c r="C160" s="28">
        <f t="shared" si="148"/>
        <v>-1361942.8351007965</v>
      </c>
      <c r="D160" s="28">
        <f t="shared" si="14"/>
        <v>2695774.3945635422</v>
      </c>
      <c r="E160" s="28">
        <f t="shared" ref="E160:F160" si="149">E54+E107</f>
        <v>0</v>
      </c>
      <c r="F160" s="28">
        <f t="shared" si="149"/>
        <v>0</v>
      </c>
      <c r="G160" s="28">
        <f t="shared" si="16"/>
        <v>0</v>
      </c>
      <c r="H160" s="28">
        <f t="shared" ref="H160:I160" si="150">H54+H107</f>
        <v>27982.186833914726</v>
      </c>
      <c r="I160" s="28">
        <f t="shared" si="150"/>
        <v>-1361942.8351007965</v>
      </c>
      <c r="J160" s="28">
        <f t="shared" si="18"/>
        <v>2695774.3945635497</v>
      </c>
    </row>
    <row r="161" spans="1:10" x14ac:dyDescent="0.25">
      <c r="A161" s="1">
        <v>45231</v>
      </c>
      <c r="B161" s="28">
        <f t="shared" ref="B161:C161" si="151">B55+B108</f>
        <v>18719.261184422001</v>
      </c>
      <c r="C161" s="28">
        <f t="shared" si="151"/>
        <v>-1361942.8351007965</v>
      </c>
      <c r="D161" s="28">
        <f t="shared" si="14"/>
        <v>1352550.8206471675</v>
      </c>
      <c r="E161" s="28">
        <f t="shared" ref="E161:F161" si="152">E55+E108</f>
        <v>0</v>
      </c>
      <c r="F161" s="28">
        <f t="shared" si="152"/>
        <v>0</v>
      </c>
      <c r="G161" s="28">
        <f t="shared" si="16"/>
        <v>0</v>
      </c>
      <c r="H161" s="28">
        <f t="shared" ref="H161:I161" si="153">H55+H108</f>
        <v>18719.261184422001</v>
      </c>
      <c r="I161" s="28">
        <f t="shared" si="153"/>
        <v>-1361942.8351007965</v>
      </c>
      <c r="J161" s="28">
        <f t="shared" si="18"/>
        <v>1352550.820647175</v>
      </c>
    </row>
    <row r="162" spans="1:10" x14ac:dyDescent="0.25">
      <c r="A162" s="1">
        <v>45261</v>
      </c>
      <c r="B162" s="14">
        <f t="shared" ref="B162:C162" si="154">B56+B109</f>
        <v>9392.0144534194806</v>
      </c>
      <c r="C162" s="14">
        <f t="shared" si="154"/>
        <v>-1361942.8351007965</v>
      </c>
      <c r="D162" s="14">
        <f t="shared" si="14"/>
        <v>-2.0954757928848267E-7</v>
      </c>
      <c r="E162" s="14">
        <f t="shared" ref="E162:F162" si="155">E56+E109</f>
        <v>0</v>
      </c>
      <c r="F162" s="14">
        <f t="shared" si="155"/>
        <v>0</v>
      </c>
      <c r="G162" s="14">
        <f t="shared" si="16"/>
        <v>0</v>
      </c>
      <c r="H162" s="14">
        <f t="shared" ref="H162:I162" si="156">H56+H109</f>
        <v>9392.0144534194806</v>
      </c>
      <c r="I162" s="14">
        <f t="shared" si="156"/>
        <v>-1361942.8351007965</v>
      </c>
      <c r="J162" s="14">
        <f t="shared" si="18"/>
        <v>-2.0209699869155884E-7</v>
      </c>
    </row>
    <row r="163" spans="1:10" x14ac:dyDescent="0.25">
      <c r="B163" s="7">
        <f>SUM(B115:B162)</f>
        <v>9940772.5405343007</v>
      </c>
      <c r="C163" s="7">
        <f>SUM(C115:C162)</f>
        <v>-65373256.084838301</v>
      </c>
      <c r="E163" s="7">
        <f>SUM(E115:E162)</f>
        <v>0</v>
      </c>
      <c r="F163" s="7">
        <f>SUM(F115:F162)</f>
        <v>-16775270.886075949</v>
      </c>
      <c r="H163" s="7">
        <f>SUM(H115:H162)</f>
        <v>9940772.5405343007</v>
      </c>
      <c r="I163" s="7">
        <f>SUM(I115:I162)</f>
        <v>-82148526.970914289</v>
      </c>
    </row>
    <row r="169" spans="1:10" x14ac:dyDescent="0.25">
      <c r="D169" s="7"/>
    </row>
  </sheetData>
  <mergeCells count="12">
    <mergeCell ref="A1:J1"/>
    <mergeCell ref="A2:J2"/>
    <mergeCell ref="A3:J3"/>
    <mergeCell ref="B112:D112"/>
    <mergeCell ref="E112:G112"/>
    <mergeCell ref="H112:J112"/>
    <mergeCell ref="B6:D6"/>
    <mergeCell ref="E6:G6"/>
    <mergeCell ref="H6:J6"/>
    <mergeCell ref="B59:D59"/>
    <mergeCell ref="E59:G59"/>
    <mergeCell ref="H59:J59"/>
  </mergeCells>
  <printOptions horizontalCentered="1"/>
  <pageMargins left="0.7" right="0.7" top="0.75" bottom="0.75" header="0.3" footer="0.3"/>
  <pageSetup scale="77" fitToHeight="3" orientation="portrait" r:id="rId1"/>
  <headerFooter>
    <oddHeader>&amp;REXHIBIT RWH-4
Page &amp;P of &amp;N</oddHeader>
  </headerFooter>
  <rowBreaks count="2" manualBreakCount="2">
    <brk id="58" max="9" man="1"/>
    <brk id="111" max="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opLeftCell="A8" workbookViewId="0">
      <selection activeCell="E29" sqref="E29"/>
    </sheetView>
  </sheetViews>
  <sheetFormatPr defaultRowHeight="15" x14ac:dyDescent="0.25"/>
  <cols>
    <col min="1" max="1" width="32.140625" bestFit="1" customWidth="1"/>
    <col min="2" max="3" width="19" bestFit="1" customWidth="1"/>
    <col min="4" max="4" width="15" bestFit="1" customWidth="1"/>
    <col min="5" max="5" width="28.5703125" bestFit="1" customWidth="1"/>
  </cols>
  <sheetData>
    <row r="1" spans="1:5" x14ac:dyDescent="0.25">
      <c r="A1" t="s">
        <v>0</v>
      </c>
    </row>
    <row r="2" spans="1:5" x14ac:dyDescent="0.25">
      <c r="A2" t="s">
        <v>15</v>
      </c>
    </row>
    <row r="3" spans="1:5" x14ac:dyDescent="0.25">
      <c r="A3" t="s">
        <v>16</v>
      </c>
    </row>
    <row r="6" spans="1:5" x14ac:dyDescent="0.25">
      <c r="B6" s="16" t="s">
        <v>17</v>
      </c>
    </row>
    <row r="7" spans="1:5" x14ac:dyDescent="0.25">
      <c r="B7" t="s">
        <v>18</v>
      </c>
      <c r="C7" t="s">
        <v>19</v>
      </c>
      <c r="D7" t="s">
        <v>4</v>
      </c>
    </row>
    <row r="9" spans="1:5" x14ac:dyDescent="0.25">
      <c r="A9" s="17" t="s">
        <v>20</v>
      </c>
      <c r="B9" s="18">
        <v>-10482731</v>
      </c>
      <c r="C9" s="18">
        <v>-8478018</v>
      </c>
      <c r="D9" s="19">
        <f>SUM(B9:C9)</f>
        <v>-18960749</v>
      </c>
      <c r="E9" s="19">
        <f>D9/0.79</f>
        <v>-24000948.101265822</v>
      </c>
    </row>
    <row r="11" spans="1:5" x14ac:dyDescent="0.25">
      <c r="A11" s="17" t="s">
        <v>21</v>
      </c>
      <c r="B11" s="20">
        <f>197787*9</f>
        <v>1780083</v>
      </c>
      <c r="C11" s="5"/>
      <c r="D11" s="21">
        <f>SUM(B11:C11)</f>
        <v>1780083</v>
      </c>
    </row>
    <row r="13" spans="1:5" ht="15.75" thickBot="1" x14ac:dyDescent="0.3">
      <c r="A13" t="s">
        <v>22</v>
      </c>
      <c r="B13" s="22">
        <f>SUM(B9:B11)</f>
        <v>-8702648</v>
      </c>
      <c r="C13" s="22">
        <f>SUM(C9:C12)</f>
        <v>-8478018</v>
      </c>
      <c r="D13" s="22">
        <f>SUM(B13:C13)</f>
        <v>-17180666</v>
      </c>
    </row>
    <row r="14" spans="1:5" ht="15.75" thickTop="1" x14ac:dyDescent="0.25"/>
    <row r="15" spans="1:5" x14ac:dyDescent="0.25">
      <c r="B15" s="16" t="s">
        <v>23</v>
      </c>
    </row>
    <row r="16" spans="1:5" x14ac:dyDescent="0.25">
      <c r="B16" t="s">
        <v>18</v>
      </c>
      <c r="C16" t="s">
        <v>19</v>
      </c>
      <c r="D16" t="s">
        <v>4</v>
      </c>
    </row>
    <row r="18" spans="1:5" x14ac:dyDescent="0.25">
      <c r="A18" s="17" t="s">
        <v>20</v>
      </c>
      <c r="B18" s="18">
        <v>-34913506</v>
      </c>
      <c r="C18" s="18">
        <v>-47820231</v>
      </c>
      <c r="D18" s="19">
        <f>SUM(B18:C18)</f>
        <v>-82733737</v>
      </c>
      <c r="E18" s="19">
        <f>D18/0.79</f>
        <v>-104726249.3670886</v>
      </c>
    </row>
    <row r="20" spans="1:5" x14ac:dyDescent="0.25">
      <c r="A20" s="17" t="s">
        <v>21</v>
      </c>
      <c r="B20" s="23">
        <f>658745*9</f>
        <v>5928705</v>
      </c>
      <c r="C20" s="24">
        <v>0</v>
      </c>
      <c r="D20" s="25">
        <f>SUM(B20:C20)</f>
        <v>5928705</v>
      </c>
    </row>
    <row r="22" spans="1:5" x14ac:dyDescent="0.25">
      <c r="A22" s="17" t="s">
        <v>24</v>
      </c>
      <c r="B22" s="20">
        <v>2373805</v>
      </c>
      <c r="C22" s="20">
        <v>47820231</v>
      </c>
      <c r="D22" s="21">
        <f>SUM(B22:C22)</f>
        <v>50194036</v>
      </c>
      <c r="E22" s="19"/>
    </row>
    <row r="24" spans="1:5" ht="15.75" thickBot="1" x14ac:dyDescent="0.3">
      <c r="A24" t="s">
        <v>22</v>
      </c>
      <c r="B24" s="22">
        <f>SUM(B18:B22)</f>
        <v>-26610996</v>
      </c>
      <c r="C24" s="26">
        <f>SUM(C18:C22)</f>
        <v>0</v>
      </c>
      <c r="D24" s="22">
        <f>SUM(D18:D22)</f>
        <v>-26610996</v>
      </c>
      <c r="E24" t="s">
        <v>25</v>
      </c>
    </row>
    <row r="25" spans="1:5" ht="15.75" thickTop="1" x14ac:dyDescent="0.25"/>
    <row r="26" spans="1:5" x14ac:dyDescent="0.25">
      <c r="B26" s="16" t="s">
        <v>26</v>
      </c>
      <c r="D26" s="19">
        <f>(D24-D20)*1/0.79</f>
        <v>-41189494.93670886</v>
      </c>
      <c r="E26" s="19"/>
    </row>
    <row r="27" spans="1:5" x14ac:dyDescent="0.25">
      <c r="B27" t="s">
        <v>18</v>
      </c>
      <c r="C27" t="s">
        <v>19</v>
      </c>
      <c r="D27" t="s">
        <v>4</v>
      </c>
    </row>
    <row r="29" spans="1:5" x14ac:dyDescent="0.25">
      <c r="A29" s="17" t="s">
        <v>20</v>
      </c>
      <c r="B29" s="18">
        <v>-1031149</v>
      </c>
      <c r="C29" s="18">
        <v>-9119558</v>
      </c>
      <c r="D29" s="19">
        <f>SUM(B29:C29)</f>
        <v>-10150707</v>
      </c>
      <c r="E29" s="19">
        <f>D29/0.79</f>
        <v>-12848996.202531645</v>
      </c>
    </row>
    <row r="31" spans="1:5" x14ac:dyDescent="0.25">
      <c r="A31" s="17" t="s">
        <v>21</v>
      </c>
      <c r="B31" s="20">
        <v>0</v>
      </c>
      <c r="C31" s="5">
        <v>0</v>
      </c>
      <c r="D31" s="21">
        <f>SUM(B31:C31)</f>
        <v>0</v>
      </c>
    </row>
    <row r="33" spans="1:5" ht="15.75" thickBot="1" x14ac:dyDescent="0.3">
      <c r="A33" t="s">
        <v>22</v>
      </c>
      <c r="B33" s="22">
        <f>SUM(B29:B31)</f>
        <v>-1031149</v>
      </c>
      <c r="C33" s="22">
        <f>SUM(C29:C32)</f>
        <v>-9119558</v>
      </c>
      <c r="D33" s="22">
        <f>SUM(B33:C33)</f>
        <v>-10150707</v>
      </c>
    </row>
    <row r="34" spans="1:5" ht="15.75" thickTop="1" x14ac:dyDescent="0.25">
      <c r="D34" s="19">
        <f>D33*1/0.79</f>
        <v>-12848996.202531645</v>
      </c>
    </row>
    <row r="35" spans="1:5" x14ac:dyDescent="0.25">
      <c r="B35" s="16" t="s">
        <v>27</v>
      </c>
    </row>
    <row r="36" spans="1:5" x14ac:dyDescent="0.25">
      <c r="B36" t="s">
        <v>18</v>
      </c>
      <c r="C36" t="s">
        <v>19</v>
      </c>
      <c r="D36" t="s">
        <v>4</v>
      </c>
    </row>
    <row r="38" spans="1:5" x14ac:dyDescent="0.25">
      <c r="A38" s="17" t="s">
        <v>20</v>
      </c>
      <c r="B38" s="18">
        <v>-2315223</v>
      </c>
      <c r="C38" s="18">
        <v>-786534</v>
      </c>
      <c r="D38" s="19">
        <f>SUM(B38:C38)</f>
        <v>-3101757</v>
      </c>
      <c r="E38" s="19">
        <f>D38/0.79</f>
        <v>-3926274.6835443038</v>
      </c>
    </row>
    <row r="40" spans="1:5" x14ac:dyDescent="0.25">
      <c r="A40" s="17" t="s">
        <v>21</v>
      </c>
      <c r="B40" s="20">
        <v>0</v>
      </c>
      <c r="C40" s="5">
        <v>0</v>
      </c>
      <c r="D40" s="21">
        <f>SUM(B40:C40)</f>
        <v>0</v>
      </c>
    </row>
    <row r="42" spans="1:5" ht="15.75" thickBot="1" x14ac:dyDescent="0.3">
      <c r="A42" t="s">
        <v>22</v>
      </c>
      <c r="B42" s="22">
        <f>SUM(B38:B40)</f>
        <v>-2315223</v>
      </c>
      <c r="C42" s="22">
        <f>SUM(C38:C41)</f>
        <v>-786534</v>
      </c>
      <c r="D42" s="22">
        <f>SUM(B42:C42)</f>
        <v>-3101757</v>
      </c>
    </row>
    <row r="43" spans="1:5" ht="15.75" thickTop="1" x14ac:dyDescent="0.25"/>
    <row r="44" spans="1:5" x14ac:dyDescent="0.25">
      <c r="D44" s="19"/>
    </row>
    <row r="45" spans="1:5" x14ac:dyDescent="0.25">
      <c r="D45" s="1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c5f8eb12-5b27-439d-aaa6-3402af626fa3" value=""/>
  <element uid="c64218ab-b8d1-40b6-a478-cb8be1e10ecc" value=""/>
</sisl>
</file>

<file path=customXml/itemProps1.xml><?xml version="1.0" encoding="utf-8"?>
<ds:datastoreItem xmlns:ds="http://schemas.openxmlformats.org/officeDocument/2006/customXml" ds:itemID="{6F031C30-5AC7-4E37-B7B4-0DAAF825D2D8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Summary</vt:lpstr>
      <vt:lpstr>Stub Period</vt:lpstr>
      <vt:lpstr>Unprotected With Interest</vt:lpstr>
      <vt:lpstr>WP Unprotected Balances</vt:lpstr>
      <vt:lpstr>'Stub Period'!Print_Area</vt:lpstr>
      <vt:lpstr>Summary!Print_Area</vt:lpstr>
      <vt:lpstr>'Unprotected With Interest'!Print_Area</vt:lpstr>
      <vt:lpstr>'Stub Period'!Print_Titles</vt:lpstr>
      <vt:lpstr>Summary!Print_Titles</vt:lpstr>
      <vt:lpstr>'Unprotected With Interest'!Print_Titles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dtso376</dc:creator>
  <cp:keywords>AEP Public</cp:keywords>
  <cp:lastModifiedBy>d000298</cp:lastModifiedBy>
  <cp:lastPrinted>2019-04-26T19:39:40Z</cp:lastPrinted>
  <dcterms:created xsi:type="dcterms:W3CDTF">2019-04-09T12:11:23Z</dcterms:created>
  <dcterms:modified xsi:type="dcterms:W3CDTF">2019-04-26T19:40:00Z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b0dce25e-7131-471e-8ca6-0717f091d3d3</vt:lpwstr>
  </property>
  <property fmtid="{D5CDD505-2E9C-101B-9397-08002B2CF9AE}" pid="3" name="bjDocumentSecurityLabel">
    <vt:lpwstr>AEP Public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5" name="bjDocumentLabelXML-0">
    <vt:lpwstr>ww.boldonjames.com/2008/01/sie/internal/label"&gt;&lt;element uid="c5f8eb12-5b27-439d-aaa6-3402af626fa3" value="" /&gt;&lt;element uid="c64218ab-b8d1-40b6-a478-cb8be1e10ecc" value="" /&gt;&lt;/sisl&gt;</vt:lpwstr>
  </property>
  <property fmtid="{D5CDD505-2E9C-101B-9397-08002B2CF9AE}" pid="6" name="Visual Markings Removed">
    <vt:lpwstr>No</vt:lpwstr>
  </property>
  <property fmtid="{D5CDD505-2E9C-101B-9397-08002B2CF9AE}" pid="7" name="bjSaver">
    <vt:lpwstr>qRVImZNAmhaVghHbPAub7kJ2Xz4QwyEi</vt:lpwstr>
  </property>
</Properties>
</file>