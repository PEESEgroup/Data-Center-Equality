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Jennifer Jackson Schedules/"/>
    </mc:Choice>
  </mc:AlternateContent>
  <bookViews>
    <workbookView xWindow="0" yWindow="0" windowWidth="28800" windowHeight="12000"/>
  </bookViews>
  <sheets>
    <sheet name="AEP TX 451 Pro forma" sheetId="3" r:id="rId1"/>
    <sheet name="Central Discretionary Fees" sheetId="2" r:id="rId2"/>
    <sheet name="North Discretionary Fee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3" i="1" l="1"/>
  <c r="S23" i="2"/>
  <c r="S13" i="2"/>
  <c r="S12" i="2"/>
  <c r="S10" i="2"/>
  <c r="S18" i="2"/>
  <c r="S37" i="2"/>
  <c r="S45" i="1"/>
  <c r="S45" i="2"/>
  <c r="S57" i="3"/>
  <c r="R53" i="3"/>
  <c r="R52" i="3"/>
  <c r="R44" i="3"/>
  <c r="S38" i="3"/>
  <c r="R37" i="3"/>
  <c r="R36" i="3"/>
  <c r="S17" i="3"/>
  <c r="R13" i="3"/>
  <c r="S7" i="3"/>
  <c r="S6" i="3"/>
  <c r="R5" i="3"/>
  <c r="V47" i="1"/>
  <c r="V46" i="1"/>
  <c r="V44" i="1"/>
  <c r="V43" i="1"/>
  <c r="V42" i="1"/>
  <c r="V40" i="1"/>
  <c r="V39" i="1"/>
  <c r="V38" i="1"/>
  <c r="V37" i="1"/>
  <c r="V35" i="1"/>
  <c r="V31" i="1"/>
  <c r="V30" i="1"/>
  <c r="V29" i="1"/>
  <c r="V28" i="1"/>
  <c r="V26" i="1"/>
  <c r="V25" i="1"/>
  <c r="V24" i="1"/>
  <c r="U31" i="1"/>
  <c r="U30" i="1"/>
  <c r="U29" i="1"/>
  <c r="U28" i="1"/>
  <c r="U26" i="1"/>
  <c r="U25" i="1"/>
  <c r="U24" i="1"/>
  <c r="U23" i="1"/>
  <c r="V20" i="1"/>
  <c r="V18" i="1"/>
  <c r="V16" i="1"/>
  <c r="V12" i="1"/>
  <c r="V11" i="1"/>
  <c r="V10" i="1"/>
  <c r="V9" i="1"/>
  <c r="S47" i="1"/>
  <c r="S48" i="2"/>
  <c r="U45" i="1" l="1"/>
  <c r="U44" i="1"/>
  <c r="U43" i="1"/>
  <c r="U42" i="1"/>
  <c r="U40" i="1"/>
  <c r="U39" i="1"/>
  <c r="U38" i="1"/>
  <c r="U37" i="1"/>
  <c r="U35" i="1"/>
  <c r="U34" i="1"/>
  <c r="U33" i="1"/>
  <c r="U20" i="1"/>
  <c r="U19" i="1"/>
  <c r="U18" i="1"/>
  <c r="U16" i="1"/>
  <c r="U15" i="1"/>
  <c r="U14" i="1"/>
  <c r="U12" i="1"/>
  <c r="U11" i="1"/>
  <c r="U10" i="1"/>
  <c r="U9" i="1"/>
  <c r="U6" i="1"/>
  <c r="V6" i="1" s="1"/>
  <c r="U5" i="1"/>
  <c r="V5" i="1"/>
  <c r="U46" i="1"/>
  <c r="P57" i="3"/>
  <c r="O52" i="3"/>
  <c r="P38" i="3"/>
  <c r="O37" i="3"/>
  <c r="O36" i="3"/>
  <c r="P17" i="3"/>
  <c r="O16" i="3"/>
  <c r="O15" i="3"/>
  <c r="P7" i="3"/>
  <c r="P6" i="3"/>
  <c r="O5" i="3"/>
  <c r="P4" i="3"/>
  <c r="V48" i="2"/>
  <c r="O53" i="3" s="1"/>
  <c r="V47" i="2"/>
  <c r="V44" i="2"/>
  <c r="V43" i="2"/>
  <c r="V42" i="2"/>
  <c r="U48" i="2"/>
  <c r="U47" i="2"/>
  <c r="U45" i="2"/>
  <c r="U44" i="2"/>
  <c r="U43" i="2"/>
  <c r="U42" i="2"/>
  <c r="U40" i="2"/>
  <c r="U39" i="2"/>
  <c r="U38" i="2"/>
  <c r="U37" i="2"/>
  <c r="U35" i="2"/>
  <c r="U34" i="2"/>
  <c r="U33" i="2"/>
  <c r="U31" i="2"/>
  <c r="U30" i="2"/>
  <c r="U29" i="2"/>
  <c r="U28" i="2"/>
  <c r="U26" i="2"/>
  <c r="U25" i="2"/>
  <c r="U24" i="2"/>
  <c r="U23" i="2"/>
  <c r="U20" i="2"/>
  <c r="U19" i="2"/>
  <c r="U18" i="2"/>
  <c r="U16" i="2"/>
  <c r="U15" i="2"/>
  <c r="U14" i="2"/>
  <c r="U13" i="2"/>
  <c r="U12" i="2"/>
  <c r="U11" i="2"/>
  <c r="U10" i="2"/>
  <c r="U8" i="2"/>
  <c r="U7" i="2"/>
  <c r="U6" i="2"/>
  <c r="L53" i="3" l="1"/>
  <c r="I53" i="3" l="1"/>
  <c r="T31" i="2" l="1"/>
  <c r="T30" i="2"/>
  <c r="T26" i="2"/>
  <c r="T20" i="2"/>
  <c r="V20" i="2" s="1"/>
  <c r="T40" i="1"/>
  <c r="T39" i="1"/>
  <c r="T38" i="1"/>
  <c r="T37" i="1"/>
  <c r="S37" i="1"/>
  <c r="T42" i="1"/>
  <c r="T43" i="1"/>
  <c r="T44" i="1"/>
  <c r="T45" i="1"/>
  <c r="T31" i="1"/>
  <c r="T30" i="1"/>
  <c r="T29" i="1"/>
  <c r="T28" i="1"/>
  <c r="T26" i="1"/>
  <c r="T25" i="1"/>
  <c r="T24" i="1"/>
  <c r="T23" i="1"/>
  <c r="S28" i="1"/>
  <c r="S29" i="1"/>
  <c r="S25" i="1"/>
  <c r="S24" i="1"/>
  <c r="T20" i="1"/>
  <c r="T19" i="1"/>
  <c r="T18" i="1"/>
  <c r="T46" i="1"/>
  <c r="T16" i="1"/>
  <c r="T12" i="1"/>
  <c r="T11" i="1"/>
  <c r="T10" i="1"/>
  <c r="T9" i="1"/>
  <c r="S11" i="1"/>
  <c r="S9" i="1"/>
  <c r="T5" i="1"/>
  <c r="V23" i="1" l="1"/>
  <c r="R34" i="3" s="1"/>
  <c r="V19" i="1"/>
  <c r="R22" i="3" s="1"/>
  <c r="V45" i="1"/>
  <c r="I47" i="3"/>
  <c r="T35" i="1"/>
  <c r="T34" i="1"/>
  <c r="T33" i="1"/>
  <c r="T15" i="1"/>
  <c r="T14" i="1"/>
  <c r="T8" i="2"/>
  <c r="T7" i="1"/>
  <c r="T6" i="1"/>
  <c r="T48" i="1" s="1"/>
  <c r="T6" i="2"/>
  <c r="V6" i="2" s="1"/>
  <c r="I34" i="3"/>
  <c r="J34" i="3" s="1"/>
  <c r="I33" i="3"/>
  <c r="J33" i="3" s="1"/>
  <c r="I29" i="3"/>
  <c r="J29" i="3" s="1"/>
  <c r="T14" i="2"/>
  <c r="T47" i="2"/>
  <c r="T34" i="2"/>
  <c r="T33" i="2"/>
  <c r="T5" i="2"/>
  <c r="V5" i="2" s="1"/>
  <c r="T28" i="2"/>
  <c r="T23" i="2"/>
  <c r="S24" i="2"/>
  <c r="S28" i="2"/>
  <c r="S25" i="2"/>
  <c r="S29" i="2"/>
  <c r="T29" i="2" s="1"/>
  <c r="I43" i="3"/>
  <c r="J43" i="3" s="1"/>
  <c r="I41" i="3"/>
  <c r="J41" i="3" s="1"/>
  <c r="I38" i="3"/>
  <c r="J38" i="3" s="1"/>
  <c r="S38" i="2"/>
  <c r="S40" i="2"/>
  <c r="T40" i="2" s="1"/>
  <c r="T35" i="2"/>
  <c r="V35" i="2" s="1"/>
  <c r="I22" i="3"/>
  <c r="J22" i="3" s="1"/>
  <c r="I21" i="3"/>
  <c r="J21" i="3" s="1"/>
  <c r="I20" i="3"/>
  <c r="J20" i="3" s="1"/>
  <c r="T19" i="2"/>
  <c r="V19" i="2" s="1"/>
  <c r="T18" i="2"/>
  <c r="T7" i="2"/>
  <c r="V7" i="2" s="1"/>
  <c r="J53" i="3"/>
  <c r="I17" i="3"/>
  <c r="J17" i="3" s="1"/>
  <c r="T16" i="2"/>
  <c r="V16" i="2" s="1"/>
  <c r="I13" i="3"/>
  <c r="J13" i="3" s="1"/>
  <c r="I11" i="3"/>
  <c r="I10" i="3"/>
  <c r="V18" i="2" l="1"/>
  <c r="O22" i="3" s="1"/>
  <c r="R50" i="3"/>
  <c r="R57" i="3" s="1"/>
  <c r="V48" i="1"/>
  <c r="I27" i="3"/>
  <c r="J27" i="3" s="1"/>
  <c r="I32" i="3"/>
  <c r="J32" i="3" s="1"/>
  <c r="T38" i="2"/>
  <c r="V38" i="2" s="1"/>
  <c r="I42" i="3"/>
  <c r="J42" i="3" s="1"/>
  <c r="I28" i="3"/>
  <c r="J28" i="3" s="1"/>
  <c r="V29" i="2"/>
  <c r="V28" i="2"/>
  <c r="T24" i="2"/>
  <c r="V24" i="2" s="1"/>
  <c r="V40" i="2"/>
  <c r="I12" i="3"/>
  <c r="J12" i="3" s="1"/>
  <c r="T37" i="2"/>
  <c r="I44" i="3"/>
  <c r="J44" i="3" s="1"/>
  <c r="V23" i="2"/>
  <c r="O34" i="3" s="1"/>
  <c r="T25" i="2"/>
  <c r="V25" i="2" s="1"/>
  <c r="I26" i="3"/>
  <c r="J26" i="3" s="1"/>
  <c r="I31" i="3"/>
  <c r="J31" i="3" s="1"/>
  <c r="T10" i="2"/>
  <c r="T13" i="2"/>
  <c r="V13" i="2" s="1"/>
  <c r="T12" i="2"/>
  <c r="V12" i="2" s="1"/>
  <c r="T11" i="2"/>
  <c r="V11" i="2" s="1"/>
  <c r="V10" i="2" l="1"/>
  <c r="O13" i="3" s="1"/>
  <c r="V37" i="2"/>
  <c r="O44" i="3" s="1"/>
  <c r="J47" i="3"/>
  <c r="I50" i="3"/>
  <c r="J50" i="3" s="1"/>
  <c r="S43" i="2"/>
  <c r="I48" i="3" s="1"/>
  <c r="J48" i="3" s="1"/>
  <c r="T45" i="2"/>
  <c r="T44" i="2"/>
  <c r="T42" i="2"/>
  <c r="S44" i="2"/>
  <c r="I49" i="3" s="1"/>
  <c r="J49" i="3" s="1"/>
  <c r="V45" i="2" l="1"/>
  <c r="T43" i="2"/>
  <c r="T49" i="2" s="1"/>
  <c r="I7" i="3"/>
  <c r="I6" i="3"/>
  <c r="J6" i="3" s="1"/>
  <c r="V49" i="2" l="1"/>
  <c r="O50" i="3"/>
  <c r="O57" i="3" s="1"/>
  <c r="E6" i="3"/>
  <c r="E7" i="3"/>
  <c r="E9" i="3"/>
  <c r="E15" i="3"/>
  <c r="E16" i="3"/>
  <c r="E17" i="3"/>
  <c r="E19" i="3"/>
  <c r="E24" i="3"/>
  <c r="E36" i="3"/>
  <c r="E37" i="3"/>
  <c r="E38" i="3"/>
  <c r="E40" i="3"/>
  <c r="E46" i="3"/>
  <c r="E52" i="3"/>
  <c r="E5" i="3"/>
  <c r="D5" i="3"/>
  <c r="D6" i="3"/>
  <c r="F6" i="3" s="1"/>
  <c r="M6" i="3" s="1"/>
  <c r="D7" i="3"/>
  <c r="F7" i="3" s="1"/>
  <c r="J7" i="3" s="1"/>
  <c r="M7" i="3" s="1"/>
  <c r="D9" i="3"/>
  <c r="F9" i="3" s="1"/>
  <c r="L13" i="3" s="1"/>
  <c r="D15" i="3"/>
  <c r="D16" i="3"/>
  <c r="F16" i="3" s="1"/>
  <c r="J16" i="3" s="1"/>
  <c r="L16" i="3" s="1"/>
  <c r="D17" i="3"/>
  <c r="F17" i="3" s="1"/>
  <c r="M17" i="3" s="1"/>
  <c r="D19" i="3"/>
  <c r="F19" i="3" s="1"/>
  <c r="L22" i="3" s="1"/>
  <c r="D24" i="3"/>
  <c r="F24" i="3" s="1"/>
  <c r="L34" i="3" s="1"/>
  <c r="D36" i="3"/>
  <c r="F36" i="3" s="1"/>
  <c r="J36" i="3" s="1"/>
  <c r="L36" i="3" s="1"/>
  <c r="D37" i="3"/>
  <c r="F37" i="3" s="1"/>
  <c r="J37" i="3" s="1"/>
  <c r="L37" i="3" s="1"/>
  <c r="D38" i="3"/>
  <c r="F38" i="3" s="1"/>
  <c r="M38" i="3" s="1"/>
  <c r="D40" i="3"/>
  <c r="F40" i="3" s="1"/>
  <c r="L44" i="3" s="1"/>
  <c r="D46" i="3"/>
  <c r="F46" i="3" s="1"/>
  <c r="L50" i="3" s="1"/>
  <c r="D52" i="3"/>
  <c r="F52" i="3" s="1"/>
  <c r="L52" i="3" s="1"/>
  <c r="D4" i="3"/>
  <c r="M57" i="3" l="1"/>
  <c r="F15" i="3"/>
  <c r="J15" i="3" s="1"/>
  <c r="L15" i="3" s="1"/>
  <c r="D54" i="3"/>
  <c r="E54" i="3"/>
  <c r="F5" i="3"/>
  <c r="L5" i="3" s="1"/>
  <c r="F4" i="3"/>
  <c r="L57" i="3" l="1"/>
  <c r="F54" i="3"/>
  <c r="J4" i="3"/>
  <c r="J54" i="3" l="1"/>
  <c r="J57" i="3" s="1"/>
  <c r="M4" i="3"/>
</calcChain>
</file>

<file path=xl/sharedStrings.xml><?xml version="1.0" encoding="utf-8"?>
<sst xmlns="http://schemas.openxmlformats.org/spreadsheetml/2006/main" count="347" uniqueCount="115">
  <si>
    <t>TNC Miscellaneouse Service Fees Account 451 Detail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</si>
  <si>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</si>
  <si>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</si>
  <si>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</si>
  <si>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</si>
  <si>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</si>
  <si>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</si>
  <si>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</si>
  <si>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</si>
  <si>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</si>
  <si>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</si>
  <si>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</si>
  <si>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</si>
  <si>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Sum:</t>
  </si>
  <si>
    <t>97</t>
  </si>
  <si>
    <t>BCNSV</t>
  </si>
  <si>
    <t xml:space="preserve">BUILDER CONSTRUCTION SRV FEE                      </t>
  </si>
  <si>
    <t>BSFEE</t>
  </si>
  <si>
    <t xml:space="preserve">BROKEN METER SEAL                                 </t>
  </si>
  <si>
    <t>DAFEE</t>
  </si>
  <si>
    <t xml:space="preserve">METER ACCESS DENIAL                               </t>
  </si>
  <si>
    <t>0.00</t>
  </si>
  <si>
    <t>DOFEE</t>
  </si>
  <si>
    <t xml:space="preserve">DISPATCHED ORDER FEE                              </t>
  </si>
  <si>
    <t>ENDIV</t>
  </si>
  <si>
    <t xml:space="preserve">ENERGY DIVERSION                                  </t>
  </si>
  <si>
    <t>LPCPR</t>
  </si>
  <si>
    <t xml:space="preserve">LATE PYMT CHRG TEXAS                              </t>
  </si>
  <si>
    <t>OPOUT</t>
  </si>
  <si>
    <t>PDFEE</t>
  </si>
  <si>
    <t xml:space="preserve">PRIORITY DISCONNECT                               </t>
  </si>
  <si>
    <t>RECON</t>
  </si>
  <si>
    <t xml:space="preserve">RECONNECT CHARGE                                  </t>
  </si>
  <si>
    <t>SCTRF</t>
  </si>
  <si>
    <t xml:space="preserve">SERV COND TEMP REMVL                              </t>
  </si>
  <si>
    <t>SPSFE</t>
  </si>
  <si>
    <t xml:space="preserve">SPEC PROD/SERV FEE                                </t>
  </si>
  <si>
    <t>SRFEE</t>
  </si>
  <si>
    <t xml:space="preserve">SPECIAL MTR READ FEE                              </t>
  </si>
  <si>
    <t>SVCHG</t>
  </si>
  <si>
    <t xml:space="preserve">SERVICE CHARGE                                    </t>
  </si>
  <si>
    <t>SVCON</t>
  </si>
  <si>
    <t xml:space="preserve">SERVICE CONN CHARGE                               </t>
  </si>
  <si>
    <t xml:space="preserve">TEMP </t>
  </si>
  <si>
    <t xml:space="preserve">TEMPORARY SERVICE                                 </t>
  </si>
  <si>
    <t>TCC Miscellaneouse Service Fees Account 451 Detail</t>
  </si>
  <si>
    <t>94</t>
  </si>
  <si>
    <t>AMEDF</t>
  </si>
  <si>
    <t xml:space="preserve">ADV MTR EQP INSTL/MTR DATA FEE                    </t>
  </si>
  <si>
    <t>TOTAL</t>
  </si>
  <si>
    <t>removed</t>
  </si>
  <si>
    <t>as calculated</t>
  </si>
  <si>
    <t>varies</t>
  </si>
  <si>
    <t>CANCEL ROUTINE</t>
  </si>
  <si>
    <t>CANCEL PRIORITY</t>
  </si>
  <si>
    <t>UNEXECUTABLE ROUTINE</t>
  </si>
  <si>
    <t>UNEXECUTABLE PRIORITY</t>
  </si>
  <si>
    <t>CT NEW NON-STANDARD METER</t>
  </si>
  <si>
    <t>CT EXISTING NON-STANDARD METER</t>
  </si>
  <si>
    <t>CT EXISTING PRIORITY NON-STANDARD METER</t>
  </si>
  <si>
    <t>AT METER NON-STANDARD</t>
  </si>
  <si>
    <t>AT PREMIUM LOCATION NON-STANDARD</t>
  </si>
  <si>
    <t>AT PREMIUM LOCATION STANDARD</t>
  </si>
  <si>
    <t>Standard Reconnect</t>
  </si>
  <si>
    <t>Same Day Reconnect</t>
  </si>
  <si>
    <t>Weekend</t>
  </si>
  <si>
    <t>Holiday</t>
  </si>
  <si>
    <t>At Meter Non-Standard</t>
  </si>
  <si>
    <t>At Premium Location Standard &amp; Non-Standard</t>
  </si>
  <si>
    <t>During Business Days Non-Business Hours</t>
  </si>
  <si>
    <t>During Business Days 8:00am-5:00pm CPT</t>
  </si>
  <si>
    <t>INADVERTENT GAIN CHARGE</t>
  </si>
  <si>
    <t>new</t>
  </si>
  <si>
    <t>DISCRETIONARY SERVICE</t>
  </si>
  <si>
    <t>Central Miscellaneouse Service Fees Account 451 Detail</t>
  </si>
  <si>
    <t>North Miscellaneouse Service Fees Account 451 Detail</t>
  </si>
  <si>
    <t>SELF-CONTAINED NEW STANDARD</t>
  </si>
  <si>
    <t xml:space="preserve">SERV COND TEMP REMVL  (CLEARANCE)         </t>
  </si>
  <si>
    <t>CODE</t>
  </si>
  <si>
    <t>CENTRAL</t>
  </si>
  <si>
    <t>NORTH</t>
  </si>
  <si>
    <t>TOTAL TEST YEAR</t>
  </si>
  <si>
    <t>AEP TEXAS</t>
  </si>
  <si>
    <t>as calc</t>
  </si>
  <si>
    <t xml:space="preserve">AMS OPTOUT CHARGE  RECURRING                               </t>
  </si>
  <si>
    <t xml:space="preserve">AMS OPTOUT CHARGE RECURRING                    </t>
  </si>
  <si>
    <t xml:space="preserve">AMS OPTOUT CHARGE RECURRING              </t>
  </si>
  <si>
    <t>DISCRETIONARY SERVICE FEES REVENUE</t>
  </si>
  <si>
    <t>AEP TEXAS PROPOSED</t>
  </si>
  <si>
    <t>ANNUAL OCCURRENCES</t>
  </si>
  <si>
    <t>CO.</t>
  </si>
  <si>
    <t>FEE</t>
  </si>
  <si>
    <t>NON-STANDARD METER CT NEW</t>
  </si>
  <si>
    <t>NON-STANDARD METER CT EXISTING</t>
  </si>
  <si>
    <t>PRIORITY NON-STANDARD METER CT EXISTING</t>
  </si>
  <si>
    <t xml:space="preserve">STANDARD SELF-CONTAINED NEW </t>
  </si>
  <si>
    <t>AT METER NON STANDARD</t>
  </si>
  <si>
    <t>STANDARD RECONNECT</t>
  </si>
  <si>
    <t>SAME DAY RECONNECT</t>
  </si>
  <si>
    <t>WEEKEND</t>
  </si>
  <si>
    <t>HOLIDAY</t>
  </si>
  <si>
    <t>AT PREMIUM LOCATION STANDARD &amp; NON STANDARD</t>
  </si>
  <si>
    <t>DURING BUSINESS DAYS NON-BUSINESS HOURS</t>
  </si>
  <si>
    <t>DURING BUSINESS DAYS 8:00 AM - 5:00 PM CPT</t>
  </si>
  <si>
    <t>DISTRIBUTION FUNCTION</t>
  </si>
  <si>
    <t>METER FUNCTION</t>
  </si>
  <si>
    <t>DISTRIBUTION</t>
  </si>
  <si>
    <t>METER</t>
  </si>
  <si>
    <t>ACCOUNT 451 DISCRETIONARY SERVICE FEES PRO FORMA REVENUE ADJUSTMENT</t>
  </si>
  <si>
    <t>AEP TEXAS COMBINED</t>
  </si>
  <si>
    <t>AEPTX</t>
  </si>
  <si>
    <t>CHANGE</t>
  </si>
  <si>
    <t>0</t>
  </si>
  <si>
    <t>INADG</t>
  </si>
  <si>
    <t>CURRENT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</si>
</sst>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&quot;$&quot;#,##0.000"/>
    <numFmt numFmtId="168" formatCode="&quot;$&quot;#,##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 style="thin">
        <color rgb="FFCACAD9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AC9D9"/>
      </left>
      <right style="thin">
        <color rgb="FFCAC9D9"/>
      </right>
      <top/>
      <bottom style="thin">
        <color rgb="FFCAC9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indexed="64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3" fillId="2" borderId="0" xfId="0" applyFont="1" applyFill="1"/>
    <xf numFmtId="49" fontId="4" fillId="2" borderId="1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 vertical="center"/>
    </xf>
    <xf numFmtId="165" fontId="0" fillId="0" borderId="0" xfId="0" applyNumberFormat="1"/>
    <xf numFmtId="164" fontId="3" fillId="2" borderId="0" xfId="0" applyNumberFormat="1" applyFont="1" applyFill="1"/>
    <xf numFmtId="165" fontId="3" fillId="2" borderId="0" xfId="0" applyNumberFormat="1" applyFont="1" applyFill="1"/>
    <xf numFmtId="0" fontId="0" fillId="0" borderId="5" xfId="0" applyBorder="1"/>
    <xf numFmtId="49" fontId="4" fillId="2" borderId="1" xfId="0" applyNumberFormat="1" applyFont="1" applyFill="1" applyBorder="1" applyAlignment="1">
      <alignment horizontal="right"/>
    </xf>
    <xf numFmtId="164" fontId="0" fillId="0" borderId="0" xfId="0" applyNumberFormat="1"/>
    <xf numFmtId="166" fontId="0" fillId="0" borderId="0" xfId="1" applyNumberFormat="1" applyFont="1"/>
    <xf numFmtId="0" fontId="2" fillId="0" borderId="0" xfId="0" applyFont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6" fontId="5" fillId="2" borderId="2" xfId="1" applyNumberFormat="1" applyFont="1" applyFill="1" applyBorder="1" applyAlignment="1">
      <alignment horizontal="right" vertical="center"/>
    </xf>
    <xf numFmtId="165" fontId="0" fillId="0" borderId="0" xfId="1" applyNumberFormat="1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49" fontId="4" fillId="2" borderId="6" xfId="0" applyNumberFormat="1" applyFont="1" applyFill="1" applyBorder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65" fontId="0" fillId="0" borderId="8" xfId="1" applyNumberFormat="1" applyFont="1" applyBorder="1"/>
    <xf numFmtId="165" fontId="0" fillId="3" borderId="0" xfId="1" applyNumberFormat="1" applyFont="1" applyFill="1" applyBorder="1"/>
    <xf numFmtId="165" fontId="0" fillId="3" borderId="5" xfId="1" applyNumberFormat="1" applyFont="1" applyFill="1" applyBorder="1"/>
    <xf numFmtId="0" fontId="0" fillId="0" borderId="8" xfId="0" applyBorder="1"/>
    <xf numFmtId="164" fontId="0" fillId="3" borderId="8" xfId="0" applyNumberFormat="1" applyFill="1" applyBorder="1"/>
    <xf numFmtId="166" fontId="0" fillId="3" borderId="8" xfId="1" applyNumberFormat="1" applyFont="1" applyFill="1" applyBorder="1"/>
    <xf numFmtId="0" fontId="0" fillId="3" borderId="9" xfId="0" applyFill="1" applyBorder="1"/>
    <xf numFmtId="166" fontId="0" fillId="0" borderId="0" xfId="1" applyNumberFormat="1" applyFont="1" applyBorder="1"/>
    <xf numFmtId="165" fontId="0" fillId="0" borderId="10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6" fontId="0" fillId="0" borderId="5" xfId="1" applyNumberFormat="1" applyFont="1" applyBorder="1"/>
    <xf numFmtId="165" fontId="0" fillId="0" borderId="12" xfId="0" applyNumberFormat="1" applyBorder="1"/>
    <xf numFmtId="0" fontId="0" fillId="0" borderId="10" xfId="0" applyBorder="1"/>
    <xf numFmtId="165" fontId="0" fillId="0" borderId="0" xfId="0" applyNumberFormat="1" applyBorder="1"/>
    <xf numFmtId="165" fontId="0" fillId="0" borderId="0" xfId="1" applyNumberFormat="1" applyFont="1" applyFill="1" applyBorder="1"/>
    <xf numFmtId="0" fontId="0" fillId="0" borderId="14" xfId="0" applyBorder="1"/>
    <xf numFmtId="165" fontId="0" fillId="0" borderId="15" xfId="0" applyNumberFormat="1" applyBorder="1"/>
    <xf numFmtId="164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166" fontId="0" fillId="0" borderId="0" xfId="1" applyNumberFormat="1" applyFont="1" applyBorder="1" applyAlignment="1">
      <alignment horizontal="center"/>
    </xf>
    <xf numFmtId="0" fontId="0" fillId="0" borderId="13" xfId="0" applyBorder="1"/>
    <xf numFmtId="0" fontId="0" fillId="0" borderId="7" xfId="0" applyBorder="1"/>
    <xf numFmtId="0" fontId="0" fillId="0" borderId="11" xfId="0" applyBorder="1"/>
    <xf numFmtId="0" fontId="0" fillId="0" borderId="16" xfId="0" applyBorder="1"/>
    <xf numFmtId="0" fontId="2" fillId="0" borderId="5" xfId="0" applyFont="1" applyBorder="1" applyAlignment="1">
      <alignment horizontal="center" wrapText="1"/>
    </xf>
    <xf numFmtId="164" fontId="5" fillId="2" borderId="2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165" fontId="0" fillId="0" borderId="0" xfId="0" applyNumberFormat="1" applyFont="1"/>
    <xf numFmtId="164" fontId="5" fillId="2" borderId="1" xfId="0" applyNumberFormat="1" applyFont="1" applyFill="1" applyBorder="1" applyAlignment="1">
      <alignment horizontal="right"/>
    </xf>
    <xf numFmtId="164" fontId="0" fillId="0" borderId="0" xfId="0" applyNumberFormat="1" applyFont="1"/>
    <xf numFmtId="165" fontId="5" fillId="2" borderId="1" xfId="0" applyNumberFormat="1" applyFont="1" applyFill="1" applyBorder="1" applyAlignment="1">
      <alignment horizontal="right"/>
    </xf>
    <xf numFmtId="166" fontId="5" fillId="2" borderId="1" xfId="1" applyNumberFormat="1" applyFont="1" applyFill="1" applyBorder="1" applyAlignment="1">
      <alignment horizontal="right"/>
    </xf>
    <xf numFmtId="49" fontId="4" fillId="2" borderId="3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6" fontId="5" fillId="2" borderId="3" xfId="1" applyNumberFormat="1" applyFont="1" applyFill="1" applyBorder="1" applyAlignment="1">
      <alignment horizontal="right"/>
    </xf>
    <xf numFmtId="165" fontId="5" fillId="2" borderId="4" xfId="0" applyNumberFormat="1" applyFont="1" applyFill="1" applyBorder="1" applyAlignment="1">
      <alignment horizontal="right"/>
    </xf>
    <xf numFmtId="0" fontId="5" fillId="2" borderId="17" xfId="0" applyFont="1" applyFill="1" applyBorder="1" applyAlignment="1">
      <alignment horizontal="right" vertical="center"/>
    </xf>
    <xf numFmtId="165" fontId="5" fillId="2" borderId="17" xfId="0" applyNumberFormat="1" applyFont="1" applyFill="1" applyBorder="1" applyAlignment="1">
      <alignment horizontal="right" vertical="center"/>
    </xf>
    <xf numFmtId="164" fontId="5" fillId="2" borderId="17" xfId="0" applyNumberFormat="1" applyFont="1" applyFill="1" applyBorder="1" applyAlignment="1">
      <alignment horizontal="right" vertical="center"/>
    </xf>
    <xf numFmtId="165" fontId="5" fillId="2" borderId="18" xfId="0" applyNumberFormat="1" applyFont="1" applyFill="1" applyBorder="1" applyAlignment="1">
      <alignment horizontal="right" vertical="center"/>
    </xf>
    <xf numFmtId="164" fontId="5" fillId="2" borderId="18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165" fontId="0" fillId="0" borderId="16" xfId="0" applyNumberFormat="1" applyBorder="1"/>
    <xf numFmtId="165" fontId="0" fillId="0" borderId="9" xfId="0" applyNumberFormat="1" applyBorder="1"/>
    <xf numFmtId="165" fontId="0" fillId="0" borderId="7" xfId="0" applyNumberFormat="1" applyBorder="1"/>
    <xf numFmtId="0" fontId="0" fillId="0" borderId="7" xfId="0" applyBorder="1" applyAlignment="1">
      <alignment horizontal="left"/>
    </xf>
    <xf numFmtId="165" fontId="0" fillId="0" borderId="11" xfId="0" applyNumberFormat="1" applyBorder="1"/>
    <xf numFmtId="0" fontId="0" fillId="0" borderId="12" xfId="0" applyBorder="1"/>
    <xf numFmtId="165" fontId="0" fillId="0" borderId="5" xfId="1" applyNumberFormat="1" applyFont="1" applyBorder="1" applyAlignment="1">
      <alignment horizontal="right"/>
    </xf>
    <xf numFmtId="165" fontId="0" fillId="0" borderId="5" xfId="0" applyNumberFormat="1" applyBorder="1"/>
    <xf numFmtId="164" fontId="5" fillId="2" borderId="19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6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 wrapText="1"/>
    </xf>
    <xf numFmtId="165" fontId="0" fillId="0" borderId="13" xfId="0" applyNumberFormat="1" applyBorder="1"/>
    <xf numFmtId="165" fontId="0" fillId="0" borderId="20" xfId="0" applyNumberFormat="1" applyBorder="1"/>
    <xf numFmtId="165" fontId="5" fillId="2" borderId="6" xfId="0" applyNumberFormat="1" applyFont="1" applyFill="1" applyBorder="1" applyAlignment="1">
      <alignment horizontal="right"/>
    </xf>
    <xf numFmtId="164" fontId="5" fillId="2" borderId="6" xfId="0" applyNumberFormat="1" applyFont="1" applyFill="1" applyBorder="1" applyAlignment="1">
      <alignment horizontal="right"/>
    </xf>
    <xf numFmtId="166" fontId="5" fillId="2" borderId="6" xfId="1" applyNumberFormat="1" applyFont="1" applyFill="1" applyBorder="1" applyAlignment="1">
      <alignment horizontal="right"/>
    </xf>
    <xf numFmtId="49" fontId="4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164" fontId="5" fillId="2" borderId="0" xfId="0" applyNumberFormat="1" applyFont="1" applyFill="1" applyBorder="1" applyAlignment="1">
      <alignment horizontal="right"/>
    </xf>
    <xf numFmtId="166" fontId="5" fillId="2" borderId="0" xfId="1" applyNumberFormat="1" applyFont="1" applyFill="1" applyBorder="1" applyAlignment="1">
      <alignment horizontal="right"/>
    </xf>
    <xf numFmtId="1" fontId="0" fillId="0" borderId="0" xfId="0" applyNumberFormat="1" applyBorder="1"/>
    <xf numFmtId="165" fontId="5" fillId="2" borderId="5" xfId="0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166" fontId="3" fillId="2" borderId="5" xfId="1" applyNumberFormat="1" applyFont="1" applyFill="1" applyBorder="1"/>
    <xf numFmtId="43" fontId="3" fillId="2" borderId="0" xfId="0" applyNumberFormat="1" applyFont="1" applyFill="1"/>
    <xf numFmtId="165" fontId="0" fillId="0" borderId="7" xfId="0" applyNumberFormat="1" applyFill="1" applyBorder="1"/>
    <xf numFmtId="165" fontId="0" fillId="0" borderId="10" xfId="0" applyNumberFormat="1" applyFill="1" applyBorder="1"/>
    <xf numFmtId="0" fontId="0" fillId="0" borderId="0" xfId="0" applyFill="1" applyBorder="1"/>
    <xf numFmtId="167" fontId="3" fillId="2" borderId="0" xfId="0" applyNumberFormat="1" applyFont="1" applyFill="1"/>
    <xf numFmtId="168" fontId="3" fillId="2" borderId="0" xfId="0" applyNumberFormat="1" applyFont="1" applyFill="1"/>
    <xf numFmtId="165" fontId="4" fillId="2" borderId="18" xfId="0" applyNumberFormat="1" applyFont="1" applyFill="1" applyBorder="1" applyAlignment="1">
      <alignment horizontal="center" vertical="center"/>
    </xf>
    <xf numFmtId="164" fontId="4" fillId="2" borderId="18" xfId="0" applyNumberFormat="1" applyFont="1" applyFill="1" applyBorder="1" applyAlignment="1">
      <alignment horizontal="center" vertical="center"/>
    </xf>
    <xf numFmtId="166" fontId="4" fillId="2" borderId="18" xfId="1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62"/>
  <sheetViews>
    <sheetView tabSelected="1" workbookViewId="0">
      <selection activeCell="C1" sqref="C1"/>
    </sheetView>
  </sheetViews>
  <sheetFormatPr defaultRowHeight="15" x14ac:dyDescent="0.25"/>
  <cols>
    <col min="1" max="1" width="3.7109375" style="18" customWidth="1"/>
    <col min="2" max="2" width="9.140625" style="18"/>
    <col min="3" max="3" width="49" style="18" customWidth="1"/>
    <col min="4" max="4" width="13.28515625" style="18" bestFit="1" customWidth="1"/>
    <col min="5" max="5" width="11.5703125" style="18" bestFit="1" customWidth="1"/>
    <col min="6" max="6" width="11.85546875" style="18" customWidth="1"/>
    <col min="7" max="7" width="3.7109375" style="18" customWidth="1"/>
    <col min="8" max="8" width="16" style="18" bestFit="1" customWidth="1"/>
    <col min="9" max="9" width="14.140625" style="18" bestFit="1" customWidth="1"/>
    <col min="10" max="10" width="10.85546875" style="18" bestFit="1" customWidth="1"/>
    <col min="11" max="11" width="5.85546875" style="18" customWidth="1"/>
    <col min="12" max="12" width="14.140625" style="18" customWidth="1"/>
    <col min="13" max="13" width="10.7109375" style="18" customWidth="1"/>
    <col min="14" max="14" width="2.7109375" style="18" customWidth="1"/>
    <col min="15" max="15" width="15.140625" style="18" customWidth="1"/>
    <col min="16" max="16" width="12.140625" style="18" customWidth="1"/>
    <col min="17" max="17" width="2.7109375" style="18" customWidth="1"/>
    <col min="18" max="18" width="14.28515625" style="18" customWidth="1"/>
    <col min="19" max="19" width="12.5703125" style="18" customWidth="1"/>
    <col min="20" max="16384" width="9.140625" style="18"/>
  </cols>
  <sheetData>
    <row r="2" spans="2:19" x14ac:dyDescent="0.25">
      <c r="C2" s="43" t="s">
        <v>82</v>
      </c>
      <c r="D2" s="43" t="s">
        <v>87</v>
      </c>
      <c r="E2" s="43"/>
      <c r="F2" s="43"/>
      <c r="H2" s="42"/>
      <c r="I2" s="42"/>
      <c r="L2" s="107" t="s">
        <v>109</v>
      </c>
      <c r="M2" s="107"/>
      <c r="O2" s="107" t="s">
        <v>79</v>
      </c>
      <c r="P2" s="107"/>
      <c r="R2" s="107" t="s">
        <v>80</v>
      </c>
      <c r="S2" s="107"/>
    </row>
    <row r="3" spans="2:19" ht="30" x14ac:dyDescent="0.25">
      <c r="B3" s="20" t="s">
        <v>78</v>
      </c>
      <c r="C3" s="20" t="s">
        <v>73</v>
      </c>
      <c r="D3" s="21" t="s">
        <v>79</v>
      </c>
      <c r="E3" s="21" t="s">
        <v>80</v>
      </c>
      <c r="F3" s="49" t="s">
        <v>81</v>
      </c>
      <c r="G3" s="21"/>
      <c r="H3" s="49" t="s">
        <v>88</v>
      </c>
      <c r="I3" s="49" t="s">
        <v>89</v>
      </c>
      <c r="J3" s="21" t="s">
        <v>49</v>
      </c>
      <c r="L3" s="49" t="s">
        <v>104</v>
      </c>
      <c r="M3" s="49" t="s">
        <v>105</v>
      </c>
      <c r="O3" s="83" t="s">
        <v>104</v>
      </c>
      <c r="P3" s="83" t="s">
        <v>105</v>
      </c>
      <c r="R3" s="83" t="s">
        <v>104</v>
      </c>
      <c r="S3" s="83" t="s">
        <v>105</v>
      </c>
    </row>
    <row r="4" spans="2:19" x14ac:dyDescent="0.25">
      <c r="B4" s="18" t="s">
        <v>47</v>
      </c>
      <c r="C4" s="18" t="s">
        <v>48</v>
      </c>
      <c r="D4" s="16">
        <f>'Central Discretionary Fees'!Q5</f>
        <v>1272</v>
      </c>
      <c r="E4" s="16">
        <v>0</v>
      </c>
      <c r="F4" s="16">
        <f>D4+E4</f>
        <v>1272</v>
      </c>
      <c r="H4" s="41" t="s">
        <v>51</v>
      </c>
      <c r="I4" s="17" t="s">
        <v>52</v>
      </c>
      <c r="J4" s="36">
        <f>F4</f>
        <v>1272</v>
      </c>
      <c r="L4" s="45"/>
      <c r="M4" s="72">
        <f>J4-F4</f>
        <v>0</v>
      </c>
      <c r="O4" s="84"/>
      <c r="P4" s="72">
        <f>'Central Discretionary Fees'!V5</f>
        <v>0</v>
      </c>
      <c r="R4" s="84"/>
      <c r="S4" s="72">
        <v>0</v>
      </c>
    </row>
    <row r="5" spans="2:19" x14ac:dyDescent="0.25">
      <c r="B5" s="18" t="s">
        <v>15</v>
      </c>
      <c r="C5" s="18" t="s">
        <v>16</v>
      </c>
      <c r="D5" s="16">
        <f>'Central Discretionary Fees'!Q6</f>
        <v>104619</v>
      </c>
      <c r="E5" s="16">
        <f>'North Discretionary Fees'!Q5</f>
        <v>24859</v>
      </c>
      <c r="F5" s="16">
        <f>D5+E5</f>
        <v>129478</v>
      </c>
      <c r="H5" s="41" t="s">
        <v>50</v>
      </c>
      <c r="I5" s="29">
        <v>0</v>
      </c>
      <c r="J5" s="18">
        <v>0</v>
      </c>
      <c r="L5" s="73">
        <f>J5-F5</f>
        <v>-129478</v>
      </c>
      <c r="M5" s="35"/>
      <c r="O5" s="73">
        <f>'Central Discretionary Fees'!V6</f>
        <v>-104619</v>
      </c>
      <c r="P5" s="30"/>
      <c r="R5" s="73">
        <f>'North Discretionary Fees'!V5</f>
        <v>-24860</v>
      </c>
      <c r="S5" s="30"/>
    </row>
    <row r="6" spans="2:19" x14ac:dyDescent="0.25">
      <c r="B6" s="18" t="s">
        <v>17</v>
      </c>
      <c r="C6" s="18" t="s">
        <v>18</v>
      </c>
      <c r="D6" s="16">
        <f>'Central Discretionary Fees'!Q7</f>
        <v>27776</v>
      </c>
      <c r="E6" s="16">
        <f>'North Discretionary Fees'!Q6</f>
        <v>11180</v>
      </c>
      <c r="F6" s="16">
        <f>D6+E6</f>
        <v>38956</v>
      </c>
      <c r="H6" s="31">
        <v>29</v>
      </c>
      <c r="I6" s="29">
        <f>'Central Discretionary Fees'!S7+'North Discretionary Fees'!S6</f>
        <v>620</v>
      </c>
      <c r="J6" s="36">
        <f>ROUND(I6*H6,2)</f>
        <v>17980</v>
      </c>
      <c r="L6" s="46"/>
      <c r="M6" s="30">
        <f>J6-F6</f>
        <v>-20976</v>
      </c>
      <c r="O6" s="73"/>
      <c r="P6" s="30">
        <f>'Central Discretionary Fees'!V7</f>
        <v>-14784</v>
      </c>
      <c r="R6" s="73"/>
      <c r="S6" s="30">
        <f>'North Discretionary Fees'!V6</f>
        <v>-6192</v>
      </c>
    </row>
    <row r="7" spans="2:19" x14ac:dyDescent="0.25">
      <c r="B7" s="18" t="s">
        <v>19</v>
      </c>
      <c r="C7" s="18" t="s">
        <v>20</v>
      </c>
      <c r="D7" s="16">
        <f>'Central Discretionary Fees'!Q8</f>
        <v>1462</v>
      </c>
      <c r="E7" s="16">
        <f>'North Discretionary Fees'!Q7</f>
        <v>236</v>
      </c>
      <c r="F7" s="16">
        <f>D7+E7</f>
        <v>1698</v>
      </c>
      <c r="H7" s="31">
        <v>100</v>
      </c>
      <c r="I7" s="29">
        <f>'Central Discretionary Fees'!S8+'North Discretionary Fees'!S7</f>
        <v>34</v>
      </c>
      <c r="J7" s="36">
        <f>F7</f>
        <v>1698</v>
      </c>
      <c r="L7" s="46"/>
      <c r="M7" s="30">
        <f>J7-F7</f>
        <v>0</v>
      </c>
      <c r="O7" s="73"/>
      <c r="P7" s="30">
        <f>'Central Discretionary Fees'!V8</f>
        <v>0</v>
      </c>
      <c r="R7" s="73"/>
      <c r="S7" s="30">
        <f>'North Discretionary Fees'!V7</f>
        <v>0</v>
      </c>
    </row>
    <row r="8" spans="2:19" x14ac:dyDescent="0.25">
      <c r="D8" s="16"/>
      <c r="E8" s="16"/>
      <c r="F8" s="16"/>
      <c r="H8" s="31"/>
      <c r="I8" s="29"/>
      <c r="J8" s="36"/>
      <c r="L8" s="46"/>
      <c r="M8" s="35"/>
      <c r="O8" s="73"/>
      <c r="P8" s="30"/>
      <c r="R8" s="73"/>
      <c r="S8" s="30"/>
    </row>
    <row r="9" spans="2:19" x14ac:dyDescent="0.25">
      <c r="B9" s="45" t="s">
        <v>22</v>
      </c>
      <c r="C9" s="25" t="s">
        <v>23</v>
      </c>
      <c r="D9" s="22">
        <f>'Central Discretionary Fees'!Q9</f>
        <v>138110</v>
      </c>
      <c r="E9" s="22">
        <f>'North Discretionary Fees'!Q8</f>
        <v>19930</v>
      </c>
      <c r="F9" s="22">
        <f>D9+E9</f>
        <v>158040</v>
      </c>
      <c r="G9" s="25"/>
      <c r="H9" s="26"/>
      <c r="I9" s="27"/>
      <c r="J9" s="28"/>
      <c r="L9" s="46"/>
      <c r="M9" s="35"/>
      <c r="O9" s="73"/>
      <c r="P9" s="30"/>
      <c r="R9" s="73"/>
      <c r="S9" s="30"/>
    </row>
    <row r="10" spans="2:19" x14ac:dyDescent="0.25">
      <c r="B10" s="46"/>
      <c r="C10" s="18" t="s">
        <v>53</v>
      </c>
      <c r="D10" s="23"/>
      <c r="E10" s="23"/>
      <c r="F10" s="23"/>
      <c r="H10" s="40" t="s">
        <v>50</v>
      </c>
      <c r="I10" s="29">
        <f>'Central Discretionary Fees'!S10+'North Discretionary Fees'!S9</f>
        <v>6860</v>
      </c>
      <c r="J10" s="30">
        <v>0</v>
      </c>
      <c r="L10" s="73"/>
      <c r="M10" s="35"/>
      <c r="O10" s="73"/>
      <c r="P10" s="30"/>
      <c r="R10" s="73"/>
      <c r="S10" s="30"/>
    </row>
    <row r="11" spans="2:19" x14ac:dyDescent="0.25">
      <c r="B11" s="46"/>
      <c r="C11" s="18" t="s">
        <v>54</v>
      </c>
      <c r="D11" s="23"/>
      <c r="E11" s="23"/>
      <c r="F11" s="23"/>
      <c r="H11" s="40" t="s">
        <v>50</v>
      </c>
      <c r="I11" s="29">
        <f>'Central Discretionary Fees'!S11+'North Discretionary Fees'!S10</f>
        <v>8</v>
      </c>
      <c r="J11" s="30">
        <v>0</v>
      </c>
      <c r="L11" s="73"/>
      <c r="M11" s="35"/>
      <c r="O11" s="73"/>
      <c r="P11" s="30"/>
      <c r="R11" s="73"/>
      <c r="S11" s="30"/>
    </row>
    <row r="12" spans="2:19" x14ac:dyDescent="0.25">
      <c r="B12" s="46"/>
      <c r="C12" s="18" t="s">
        <v>55</v>
      </c>
      <c r="D12" s="23"/>
      <c r="E12" s="23"/>
      <c r="F12" s="23"/>
      <c r="H12" s="31">
        <v>25</v>
      </c>
      <c r="I12" s="29">
        <f>'Central Discretionary Fees'!S12+'North Discretionary Fees'!S11</f>
        <v>3397</v>
      </c>
      <c r="J12" s="30">
        <f>ROUND(I12*H12,2)</f>
        <v>84925</v>
      </c>
      <c r="L12" s="73"/>
      <c r="M12" s="35"/>
      <c r="O12" s="73"/>
      <c r="P12" s="30"/>
      <c r="R12" s="73"/>
      <c r="S12" s="30"/>
    </row>
    <row r="13" spans="2:19" x14ac:dyDescent="0.25">
      <c r="B13" s="47"/>
      <c r="C13" s="8" t="s">
        <v>56</v>
      </c>
      <c r="D13" s="24"/>
      <c r="E13" s="24"/>
      <c r="F13" s="24"/>
      <c r="G13" s="8"/>
      <c r="H13" s="32">
        <v>33</v>
      </c>
      <c r="I13" s="33">
        <f>'Central Discretionary Fees'!S13+'North Discretionary Fees'!S12</f>
        <v>24</v>
      </c>
      <c r="J13" s="34">
        <f>ROUND(I13*H13,2)</f>
        <v>792</v>
      </c>
      <c r="L13" s="73">
        <f>(J12+J13)-F9</f>
        <v>-72323</v>
      </c>
      <c r="M13" s="35"/>
      <c r="O13" s="73">
        <f>SUM('Central Discretionary Fees'!V10:V13)</f>
        <v>-58368</v>
      </c>
      <c r="P13" s="30"/>
      <c r="R13" s="73">
        <f>SUM('North Discretionary Fees'!V9:V12)</f>
        <v>-13955</v>
      </c>
      <c r="S13" s="30"/>
    </row>
    <row r="14" spans="2:19" x14ac:dyDescent="0.25">
      <c r="D14" s="37"/>
      <c r="E14" s="37"/>
      <c r="F14" s="37"/>
      <c r="H14" s="31"/>
      <c r="I14" s="29"/>
      <c r="J14" s="36"/>
      <c r="L14" s="46"/>
      <c r="M14" s="35"/>
      <c r="O14" s="73"/>
      <c r="P14" s="30"/>
      <c r="R14" s="73"/>
      <c r="S14" s="30"/>
    </row>
    <row r="15" spans="2:19" x14ac:dyDescent="0.25">
      <c r="B15" s="18" t="s">
        <v>24</v>
      </c>
      <c r="C15" s="18" t="s">
        <v>25</v>
      </c>
      <c r="D15" s="16">
        <f>'Central Discretionary Fees'!Q14</f>
        <v>78357.66</v>
      </c>
      <c r="E15" s="16">
        <f>'North Discretionary Fees'!Q14</f>
        <v>35036.06</v>
      </c>
      <c r="F15" s="16">
        <f>D15+E15</f>
        <v>113393.72</v>
      </c>
      <c r="H15" s="40" t="s">
        <v>51</v>
      </c>
      <c r="I15" s="44" t="s">
        <v>52</v>
      </c>
      <c r="J15" s="36">
        <f>F15</f>
        <v>113393.72</v>
      </c>
      <c r="L15" s="73">
        <f>J15-F15</f>
        <v>0</v>
      </c>
      <c r="M15" s="35"/>
      <c r="O15" s="73">
        <f>'Central Discretionary Fees'!V14</f>
        <v>0</v>
      </c>
      <c r="P15" s="30"/>
      <c r="R15" s="73"/>
      <c r="S15" s="30"/>
    </row>
    <row r="16" spans="2:19" x14ac:dyDescent="0.25">
      <c r="B16" s="18" t="s">
        <v>26</v>
      </c>
      <c r="C16" s="18" t="s">
        <v>27</v>
      </c>
      <c r="D16" s="16">
        <f>'Central Discretionary Fees'!Q15</f>
        <v>0</v>
      </c>
      <c r="E16" s="16">
        <f>'North Discretionary Fees'!Q15</f>
        <v>0</v>
      </c>
      <c r="F16" s="16">
        <f>D16+E16</f>
        <v>0</v>
      </c>
      <c r="H16" s="40" t="s">
        <v>51</v>
      </c>
      <c r="I16" s="44" t="s">
        <v>52</v>
      </c>
      <c r="J16" s="36">
        <f>F16</f>
        <v>0</v>
      </c>
      <c r="L16" s="73">
        <f>J16-F16</f>
        <v>0</v>
      </c>
      <c r="M16" s="35"/>
      <c r="O16" s="73">
        <f>'Central Discretionary Fees'!V15</f>
        <v>0</v>
      </c>
      <c r="P16" s="30"/>
      <c r="R16" s="73"/>
      <c r="S16" s="30"/>
    </row>
    <row r="17" spans="2:19" x14ac:dyDescent="0.25">
      <c r="B17" s="18" t="s">
        <v>28</v>
      </c>
      <c r="C17" s="18" t="s">
        <v>86</v>
      </c>
      <c r="D17" s="16">
        <f>'Central Discretionary Fees'!Q16</f>
        <v>20064</v>
      </c>
      <c r="E17" s="16">
        <f>'North Discretionary Fees'!Q16</f>
        <v>11304</v>
      </c>
      <c r="F17" s="16">
        <f>D17+E17</f>
        <v>31368</v>
      </c>
      <c r="H17" s="31">
        <v>40</v>
      </c>
      <c r="I17" s="29">
        <f>'Central Discretionary Fees'!S16+'North Discretionary Fees'!S16</f>
        <v>1370</v>
      </c>
      <c r="J17" s="36">
        <f>ROUND(I17*H17,2)</f>
        <v>54800</v>
      </c>
      <c r="L17" s="46"/>
      <c r="M17" s="30">
        <f>J17-F17</f>
        <v>23432</v>
      </c>
      <c r="O17" s="73"/>
      <c r="P17" s="30">
        <f>'Central Discretionary Fees'!V16</f>
        <v>22176</v>
      </c>
      <c r="R17" s="73"/>
      <c r="S17" s="30">
        <f>'North Discretionary Fees'!V16</f>
        <v>1256</v>
      </c>
    </row>
    <row r="18" spans="2:19" x14ac:dyDescent="0.25">
      <c r="D18" s="16"/>
      <c r="E18" s="16"/>
      <c r="F18" s="16"/>
      <c r="H18" s="31"/>
      <c r="I18" s="29"/>
      <c r="J18" s="36"/>
      <c r="L18" s="46"/>
      <c r="M18" s="35"/>
      <c r="O18" s="73"/>
      <c r="P18" s="30"/>
      <c r="R18" s="73"/>
      <c r="S18" s="30"/>
    </row>
    <row r="19" spans="2:19" x14ac:dyDescent="0.25">
      <c r="B19" s="45" t="s">
        <v>29</v>
      </c>
      <c r="C19" s="25" t="s">
        <v>30</v>
      </c>
      <c r="D19" s="22">
        <f>'Central Discretionary Fees'!Q17</f>
        <v>192720</v>
      </c>
      <c r="E19" s="22">
        <f>'North Discretionary Fees'!Q17</f>
        <v>38546</v>
      </c>
      <c r="F19" s="22">
        <f>D19+E19</f>
        <v>231266</v>
      </c>
      <c r="G19" s="25"/>
      <c r="H19" s="26"/>
      <c r="I19" s="27"/>
      <c r="J19" s="28"/>
      <c r="L19" s="46"/>
      <c r="M19" s="35"/>
      <c r="O19" s="73"/>
      <c r="P19" s="30"/>
      <c r="R19" s="73"/>
      <c r="S19" s="30"/>
    </row>
    <row r="20" spans="2:19" x14ac:dyDescent="0.25">
      <c r="B20" s="46"/>
      <c r="C20" s="41" t="s">
        <v>60</v>
      </c>
      <c r="D20" s="23"/>
      <c r="E20" s="23"/>
      <c r="F20" s="23"/>
      <c r="H20" s="31">
        <v>32</v>
      </c>
      <c r="I20" s="29">
        <f>'Central Discretionary Fees'!S18+'North Discretionary Fees'!S18</f>
        <v>4507</v>
      </c>
      <c r="J20" s="30">
        <f>ROUND(I20*H20,2)</f>
        <v>144224</v>
      </c>
      <c r="L20" s="46"/>
      <c r="M20" s="35"/>
      <c r="O20" s="73"/>
      <c r="P20" s="30"/>
      <c r="R20" s="73"/>
      <c r="S20" s="30"/>
    </row>
    <row r="21" spans="2:19" x14ac:dyDescent="0.25">
      <c r="B21" s="46"/>
      <c r="C21" s="41" t="s">
        <v>61</v>
      </c>
      <c r="D21" s="23"/>
      <c r="E21" s="23"/>
      <c r="F21" s="23"/>
      <c r="H21" s="31">
        <v>72</v>
      </c>
      <c r="I21" s="29">
        <f>'Central Discretionary Fees'!S19+'North Discretionary Fees'!S19</f>
        <v>270</v>
      </c>
      <c r="J21" s="30">
        <f>ROUND(I21*H21,2)</f>
        <v>19440</v>
      </c>
      <c r="L21" s="46"/>
      <c r="M21" s="35"/>
      <c r="O21" s="73"/>
      <c r="P21" s="30"/>
      <c r="R21" s="73"/>
      <c r="S21" s="30"/>
    </row>
    <row r="22" spans="2:19" x14ac:dyDescent="0.25">
      <c r="B22" s="47"/>
      <c r="C22" s="70" t="s">
        <v>62</v>
      </c>
      <c r="D22" s="24"/>
      <c r="E22" s="24"/>
      <c r="F22" s="24"/>
      <c r="G22" s="8"/>
      <c r="H22" s="32">
        <v>72</v>
      </c>
      <c r="I22" s="33">
        <f>'Central Discretionary Fees'!S20+'North Discretionary Fees'!S20</f>
        <v>2224</v>
      </c>
      <c r="J22" s="34">
        <f>ROUND(I22*H22,2)</f>
        <v>160128</v>
      </c>
      <c r="L22" s="73">
        <f>(J20+J21+J22)-F19</f>
        <v>92526</v>
      </c>
      <c r="M22" s="35"/>
      <c r="O22" s="98">
        <f>SUM('Central Discretionary Fees'!V18:V20)</f>
        <v>80276</v>
      </c>
      <c r="P22" s="99"/>
      <c r="Q22" s="100"/>
      <c r="R22" s="98">
        <f>SUM('North Discretionary Fees'!V18:V20)</f>
        <v>12246</v>
      </c>
      <c r="S22" s="30"/>
    </row>
    <row r="23" spans="2:19" x14ac:dyDescent="0.25">
      <c r="D23" s="16"/>
      <c r="E23" s="16"/>
      <c r="F23" s="16"/>
      <c r="H23" s="31"/>
      <c r="I23" s="29"/>
      <c r="L23" s="46"/>
      <c r="M23" s="35"/>
      <c r="O23" s="73"/>
      <c r="P23" s="30"/>
      <c r="R23" s="73"/>
      <c r="S23" s="30"/>
    </row>
    <row r="24" spans="2:19" x14ac:dyDescent="0.25">
      <c r="B24" s="45" t="s">
        <v>31</v>
      </c>
      <c r="C24" s="25" t="s">
        <v>32</v>
      </c>
      <c r="D24" s="22">
        <f>'Central Discretionary Fees'!Q21</f>
        <v>111507</v>
      </c>
      <c r="E24" s="22">
        <f>'North Discretionary Fees'!Q21</f>
        <v>14678</v>
      </c>
      <c r="F24" s="22">
        <f>D24+E24</f>
        <v>126185</v>
      </c>
      <c r="G24" s="25"/>
      <c r="H24" s="26"/>
      <c r="I24" s="27"/>
      <c r="J24" s="28"/>
      <c r="L24" s="46"/>
      <c r="M24" s="35"/>
      <c r="O24" s="73"/>
      <c r="P24" s="30"/>
      <c r="R24" s="73"/>
      <c r="S24" s="30"/>
    </row>
    <row r="25" spans="2:19" x14ac:dyDescent="0.25">
      <c r="B25" s="46"/>
      <c r="C25" s="18" t="s">
        <v>96</v>
      </c>
      <c r="D25" s="16"/>
      <c r="E25" s="16"/>
      <c r="F25" s="16"/>
      <c r="H25" s="31"/>
      <c r="I25" s="29"/>
      <c r="J25" s="35"/>
      <c r="L25" s="46"/>
      <c r="M25" s="35"/>
      <c r="O25" s="73"/>
      <c r="P25" s="30"/>
      <c r="R25" s="73"/>
      <c r="S25" s="30"/>
    </row>
    <row r="26" spans="2:19" x14ac:dyDescent="0.25">
      <c r="B26" s="46"/>
      <c r="C26" s="41" t="s">
        <v>97</v>
      </c>
      <c r="D26" s="23"/>
      <c r="E26" s="23"/>
      <c r="F26" s="23"/>
      <c r="H26" s="31">
        <v>49</v>
      </c>
      <c r="I26" s="29">
        <f>'Central Discretionary Fees'!S23+'North Discretionary Fees'!S23</f>
        <v>2646</v>
      </c>
      <c r="J26" s="30">
        <f>ROUND(I26*H26,2)</f>
        <v>129654</v>
      </c>
      <c r="L26" s="46"/>
      <c r="M26" s="35"/>
      <c r="O26" s="73"/>
      <c r="P26" s="30"/>
      <c r="R26" s="73"/>
      <c r="S26" s="30"/>
    </row>
    <row r="27" spans="2:19" x14ac:dyDescent="0.25">
      <c r="B27" s="46"/>
      <c r="C27" s="41" t="s">
        <v>98</v>
      </c>
      <c r="D27" s="23"/>
      <c r="E27" s="23"/>
      <c r="F27" s="23"/>
      <c r="H27" s="31">
        <v>69</v>
      </c>
      <c r="I27" s="29">
        <f>'Central Discretionary Fees'!S24+'North Discretionary Fees'!S24</f>
        <v>369</v>
      </c>
      <c r="J27" s="30">
        <f>ROUND(I27*H27,2)</f>
        <v>25461</v>
      </c>
      <c r="L27" s="46"/>
      <c r="M27" s="35"/>
      <c r="O27" s="73"/>
      <c r="P27" s="30"/>
      <c r="R27" s="73"/>
      <c r="S27" s="30"/>
    </row>
    <row r="28" spans="2:19" x14ac:dyDescent="0.25">
      <c r="B28" s="46"/>
      <c r="C28" s="41" t="s">
        <v>99</v>
      </c>
      <c r="D28" s="23"/>
      <c r="E28" s="23"/>
      <c r="F28" s="23"/>
      <c r="H28" s="31">
        <v>86</v>
      </c>
      <c r="I28" s="29">
        <f>'Central Discretionary Fees'!S25+'North Discretionary Fees'!S25</f>
        <v>121</v>
      </c>
      <c r="J28" s="30">
        <f>ROUND(I28*H28,2)</f>
        <v>10406</v>
      </c>
      <c r="L28" s="46"/>
      <c r="M28" s="35"/>
      <c r="O28" s="73"/>
      <c r="P28" s="30"/>
      <c r="R28" s="73"/>
      <c r="S28" s="30"/>
    </row>
    <row r="29" spans="2:19" x14ac:dyDescent="0.25">
      <c r="B29" s="46"/>
      <c r="C29" s="41" t="s">
        <v>100</v>
      </c>
      <c r="D29" s="23"/>
      <c r="E29" s="23"/>
      <c r="F29" s="23"/>
      <c r="H29" s="31">
        <v>125</v>
      </c>
      <c r="I29" s="29">
        <f>'Central Discretionary Fees'!S26+'North Discretionary Fees'!S26</f>
        <v>0</v>
      </c>
      <c r="J29" s="30">
        <f>ROUND(I29*H29,2)</f>
        <v>0</v>
      </c>
      <c r="L29" s="46"/>
      <c r="M29" s="35"/>
      <c r="O29" s="73"/>
      <c r="P29" s="30"/>
      <c r="R29" s="73"/>
      <c r="S29" s="30"/>
    </row>
    <row r="30" spans="2:19" x14ac:dyDescent="0.25">
      <c r="B30" s="46"/>
      <c r="C30" s="18" t="s">
        <v>101</v>
      </c>
      <c r="D30" s="23"/>
      <c r="E30" s="23"/>
      <c r="F30" s="23"/>
      <c r="H30" s="31"/>
      <c r="I30" s="29"/>
      <c r="J30" s="35"/>
      <c r="L30" s="74"/>
      <c r="M30" s="35"/>
      <c r="O30" s="73"/>
      <c r="P30" s="30"/>
      <c r="R30" s="73"/>
      <c r="S30" s="30"/>
    </row>
    <row r="31" spans="2:19" x14ac:dyDescent="0.25">
      <c r="B31" s="46"/>
      <c r="C31" s="41" t="s">
        <v>97</v>
      </c>
      <c r="D31" s="23"/>
      <c r="E31" s="23"/>
      <c r="F31" s="23"/>
      <c r="H31" s="31">
        <v>98</v>
      </c>
      <c r="I31" s="29">
        <f>'Central Discretionary Fees'!S28+'North Discretionary Fees'!S28</f>
        <v>909</v>
      </c>
      <c r="J31" s="30">
        <f>ROUND(I31*H31,2)</f>
        <v>89082</v>
      </c>
      <c r="L31" s="74"/>
      <c r="M31" s="35"/>
      <c r="O31" s="73"/>
      <c r="P31" s="30"/>
      <c r="R31" s="73"/>
      <c r="S31" s="30"/>
    </row>
    <row r="32" spans="2:19" x14ac:dyDescent="0.25">
      <c r="B32" s="46"/>
      <c r="C32" s="41" t="s">
        <v>98</v>
      </c>
      <c r="D32" s="23"/>
      <c r="E32" s="23"/>
      <c r="F32" s="23"/>
      <c r="H32" s="31">
        <v>134</v>
      </c>
      <c r="I32" s="29">
        <f>'Central Discretionary Fees'!S29+'North Discretionary Fees'!S29</f>
        <v>40</v>
      </c>
      <c r="J32" s="30">
        <f>ROUND(I32*H32,2)</f>
        <v>5360</v>
      </c>
      <c r="L32" s="74"/>
      <c r="M32" s="35"/>
      <c r="O32" s="73"/>
      <c r="P32" s="30"/>
      <c r="R32" s="73"/>
      <c r="S32" s="30"/>
    </row>
    <row r="33" spans="2:19" x14ac:dyDescent="0.25">
      <c r="B33" s="46"/>
      <c r="C33" s="41" t="s">
        <v>99</v>
      </c>
      <c r="D33" s="23"/>
      <c r="E33" s="23"/>
      <c r="F33" s="23"/>
      <c r="H33" s="31">
        <v>134</v>
      </c>
      <c r="I33" s="29">
        <f>'Central Discretionary Fees'!S30+'North Discretionary Fees'!S30</f>
        <v>0</v>
      </c>
      <c r="J33" s="30">
        <f>ROUND(I33*H33,2)</f>
        <v>0</v>
      </c>
      <c r="L33" s="74"/>
      <c r="M33" s="35"/>
      <c r="O33" s="73"/>
      <c r="P33" s="30"/>
      <c r="R33" s="73"/>
      <c r="S33" s="30"/>
    </row>
    <row r="34" spans="2:19" x14ac:dyDescent="0.25">
      <c r="B34" s="47"/>
      <c r="C34" s="70" t="s">
        <v>100</v>
      </c>
      <c r="D34" s="24"/>
      <c r="E34" s="24"/>
      <c r="F34" s="24"/>
      <c r="G34" s="8"/>
      <c r="H34" s="32">
        <v>170</v>
      </c>
      <c r="I34" s="33">
        <f>'Central Discretionary Fees'!S31+'North Discretionary Fees'!S31</f>
        <v>1</v>
      </c>
      <c r="J34" s="34">
        <f>ROUND(I34*H34,2)</f>
        <v>170</v>
      </c>
      <c r="L34" s="73">
        <f>SUM(J26:J34)-F24</f>
        <v>133948</v>
      </c>
      <c r="M34" s="35"/>
      <c r="O34" s="73">
        <f>SUM('Central Discretionary Fees'!V23:V31)</f>
        <v>116561</v>
      </c>
      <c r="P34" s="30"/>
      <c r="R34" s="73">
        <f>SUM('North Discretionary Fees'!V23:V31)</f>
        <v>17403</v>
      </c>
      <c r="S34" s="30"/>
    </row>
    <row r="35" spans="2:19" x14ac:dyDescent="0.25">
      <c r="D35" s="16"/>
      <c r="E35" s="16"/>
      <c r="F35" s="16"/>
      <c r="H35" s="31"/>
      <c r="I35" s="29"/>
      <c r="L35" s="46"/>
      <c r="M35" s="35"/>
      <c r="O35" s="73"/>
      <c r="P35" s="30"/>
      <c r="R35" s="73"/>
      <c r="S35" s="30"/>
    </row>
    <row r="36" spans="2:19" x14ac:dyDescent="0.25">
      <c r="B36" s="18" t="s">
        <v>33</v>
      </c>
      <c r="C36" s="18" t="s">
        <v>77</v>
      </c>
      <c r="D36" s="16">
        <f>'Central Discretionary Fees'!Q33</f>
        <v>29840.34</v>
      </c>
      <c r="E36" s="16">
        <f>'North Discretionary Fees'!Q33</f>
        <v>5497</v>
      </c>
      <c r="F36" s="16">
        <f>D36+E36</f>
        <v>35337.339999999997</v>
      </c>
      <c r="H36" s="41" t="s">
        <v>51</v>
      </c>
      <c r="I36" s="44" t="s">
        <v>52</v>
      </c>
      <c r="J36" s="36">
        <f>F36</f>
        <v>35337.339999999997</v>
      </c>
      <c r="L36" s="73">
        <f>J36-F36</f>
        <v>0</v>
      </c>
      <c r="M36" s="35"/>
      <c r="O36" s="73">
        <f>'Central Discretionary Fees'!V33</f>
        <v>0</v>
      </c>
      <c r="P36" s="30"/>
      <c r="R36" s="73">
        <f>'North Discretionary Fees'!V33</f>
        <v>0</v>
      </c>
      <c r="S36" s="30"/>
    </row>
    <row r="37" spans="2:19" x14ac:dyDescent="0.25">
      <c r="B37" s="18" t="s">
        <v>35</v>
      </c>
      <c r="C37" s="18" t="s">
        <v>36</v>
      </c>
      <c r="D37" s="16">
        <f>'Central Discretionary Fees'!Q34</f>
        <v>2106.17</v>
      </c>
      <c r="E37" s="16">
        <f>'North Discretionary Fees'!Q34</f>
        <v>705</v>
      </c>
      <c r="F37" s="16">
        <f>D37+E37</f>
        <v>2811.17</v>
      </c>
      <c r="H37" s="41" t="s">
        <v>51</v>
      </c>
      <c r="I37" s="44" t="s">
        <v>52</v>
      </c>
      <c r="J37" s="36">
        <f>F37</f>
        <v>2811.17</v>
      </c>
      <c r="L37" s="73">
        <f>J37-F37</f>
        <v>0</v>
      </c>
      <c r="M37" s="35"/>
      <c r="O37" s="73">
        <f>'Central Discretionary Fees'!V34</f>
        <v>0</v>
      </c>
      <c r="P37" s="30"/>
      <c r="R37" s="73">
        <f>'North Discretionary Fees'!V34</f>
        <v>0</v>
      </c>
      <c r="S37" s="30"/>
    </row>
    <row r="38" spans="2:19" x14ac:dyDescent="0.25">
      <c r="B38" s="18" t="s">
        <v>37</v>
      </c>
      <c r="C38" s="18" t="s">
        <v>38</v>
      </c>
      <c r="D38" s="16">
        <f>'Central Discretionary Fees'!Q35</f>
        <v>48</v>
      </c>
      <c r="E38" s="16">
        <f>'North Discretionary Fees'!Q35</f>
        <v>16</v>
      </c>
      <c r="F38" s="16">
        <f>D38+E38</f>
        <v>64</v>
      </c>
      <c r="H38" s="31">
        <v>40</v>
      </c>
      <c r="I38" s="29">
        <f>'Central Discretionary Fees'!S35+'North Discretionary Fees'!S35</f>
        <v>4</v>
      </c>
      <c r="J38" s="36">
        <f>ROUND(I38*H38,2)</f>
        <v>160</v>
      </c>
      <c r="L38" s="46"/>
      <c r="M38" s="30">
        <f>J38-F38</f>
        <v>96</v>
      </c>
      <c r="O38" s="73"/>
      <c r="P38" s="30">
        <f>'Central Discretionary Fees'!V35</f>
        <v>72</v>
      </c>
      <c r="R38" s="73"/>
      <c r="S38" s="30">
        <f>'North Discretionary Fees'!V35</f>
        <v>24</v>
      </c>
    </row>
    <row r="39" spans="2:19" x14ac:dyDescent="0.25">
      <c r="D39" s="16"/>
      <c r="E39" s="16"/>
      <c r="F39" s="16"/>
      <c r="H39" s="31"/>
      <c r="I39" s="29"/>
      <c r="J39" s="36"/>
      <c r="L39" s="46"/>
      <c r="M39" s="35"/>
      <c r="O39" s="73"/>
      <c r="P39" s="30"/>
      <c r="R39" s="73"/>
      <c r="S39" s="30"/>
    </row>
    <row r="40" spans="2:19" x14ac:dyDescent="0.25">
      <c r="B40" s="45" t="s">
        <v>39</v>
      </c>
      <c r="C40" s="25" t="s">
        <v>40</v>
      </c>
      <c r="D40" s="22">
        <f>'Central Discretionary Fees'!Q36</f>
        <v>94752</v>
      </c>
      <c r="E40" s="22">
        <f>'North Discretionary Fees'!Q36</f>
        <v>11058</v>
      </c>
      <c r="F40" s="22">
        <f>D40+E40</f>
        <v>105810</v>
      </c>
      <c r="G40" s="25"/>
      <c r="H40" s="26"/>
      <c r="I40" s="27"/>
      <c r="J40" s="28"/>
      <c r="L40" s="74"/>
      <c r="M40" s="35"/>
      <c r="O40" s="73"/>
      <c r="P40" s="30"/>
      <c r="R40" s="73"/>
      <c r="S40" s="30"/>
    </row>
    <row r="41" spans="2:19" x14ac:dyDescent="0.25">
      <c r="B41" s="46"/>
      <c r="C41" s="41" t="s">
        <v>103</v>
      </c>
      <c r="D41" s="23"/>
      <c r="E41" s="23"/>
      <c r="F41" s="23"/>
      <c r="H41" s="31">
        <v>81</v>
      </c>
      <c r="I41" s="29">
        <f>'Central Discretionary Fees'!S37+'North Discretionary Fees'!S37</f>
        <v>598</v>
      </c>
      <c r="J41" s="30">
        <f>ROUND(I41*H41,2)</f>
        <v>48438</v>
      </c>
      <c r="L41" s="74"/>
      <c r="M41" s="35"/>
      <c r="O41" s="73"/>
      <c r="P41" s="30"/>
      <c r="R41" s="73"/>
      <c r="S41" s="30"/>
    </row>
    <row r="42" spans="2:19" x14ac:dyDescent="0.25">
      <c r="B42" s="46"/>
      <c r="C42" s="41" t="s">
        <v>102</v>
      </c>
      <c r="D42" s="23"/>
      <c r="E42" s="23"/>
      <c r="F42" s="23"/>
      <c r="H42" s="31">
        <v>110</v>
      </c>
      <c r="I42" s="29">
        <f>'Central Discretionary Fees'!S38+'North Discretionary Fees'!S38</f>
        <v>450</v>
      </c>
      <c r="J42" s="30">
        <f>ROUND(I42*H42,2)</f>
        <v>49500</v>
      </c>
      <c r="L42" s="46"/>
      <c r="M42" s="35"/>
      <c r="O42" s="73"/>
      <c r="P42" s="30"/>
      <c r="R42" s="73"/>
      <c r="S42" s="30"/>
    </row>
    <row r="43" spans="2:19" x14ac:dyDescent="0.25">
      <c r="B43" s="46"/>
      <c r="C43" s="41" t="s">
        <v>99</v>
      </c>
      <c r="D43" s="23"/>
      <c r="E43" s="23"/>
      <c r="F43" s="23"/>
      <c r="H43" s="31">
        <v>110</v>
      </c>
      <c r="I43" s="29">
        <f>'Central Discretionary Fees'!S39+'North Discretionary Fees'!S39</f>
        <v>0</v>
      </c>
      <c r="J43" s="30">
        <f>ROUND(I43*H43,2)</f>
        <v>0</v>
      </c>
      <c r="L43" s="46"/>
      <c r="M43" s="35"/>
      <c r="O43" s="73"/>
      <c r="P43" s="30"/>
      <c r="R43" s="73"/>
      <c r="S43" s="30"/>
    </row>
    <row r="44" spans="2:19" x14ac:dyDescent="0.25">
      <c r="B44" s="47"/>
      <c r="C44" s="70" t="s">
        <v>100</v>
      </c>
      <c r="D44" s="24"/>
      <c r="E44" s="24"/>
      <c r="F44" s="24"/>
      <c r="G44" s="8"/>
      <c r="H44" s="32">
        <v>140</v>
      </c>
      <c r="I44" s="33">
        <f>'Central Discretionary Fees'!S40+'North Discretionary Fees'!S40</f>
        <v>20</v>
      </c>
      <c r="J44" s="34">
        <f>ROUND(I44*H44,2)</f>
        <v>2800</v>
      </c>
      <c r="L44" s="73">
        <f>SUM(J41:J44)-F40</f>
        <v>-5072</v>
      </c>
      <c r="M44" s="35"/>
      <c r="O44" s="98">
        <f>SUM('Central Discretionary Fees'!V37:V40)</f>
        <v>-4661</v>
      </c>
      <c r="P44" s="99"/>
      <c r="Q44" s="100"/>
      <c r="R44" s="98">
        <f>SUM('North Discretionary Fees'!V37:V40)</f>
        <v>-411</v>
      </c>
      <c r="S44" s="30"/>
    </row>
    <row r="45" spans="2:19" x14ac:dyDescent="0.25">
      <c r="D45" s="37"/>
      <c r="E45" s="37"/>
      <c r="F45" s="37"/>
      <c r="H45" s="31"/>
      <c r="I45" s="29"/>
      <c r="J45" s="36"/>
      <c r="L45" s="46"/>
      <c r="M45" s="35"/>
      <c r="O45" s="73"/>
      <c r="P45" s="30"/>
      <c r="R45" s="73"/>
      <c r="S45" s="30"/>
    </row>
    <row r="46" spans="2:19" x14ac:dyDescent="0.25">
      <c r="B46" s="45" t="s">
        <v>41</v>
      </c>
      <c r="C46" s="25" t="s">
        <v>42</v>
      </c>
      <c r="D46" s="22">
        <f>'Central Discretionary Fees'!Q41</f>
        <v>1094266</v>
      </c>
      <c r="E46" s="22">
        <f>'North Discretionary Fees'!Q41</f>
        <v>284805</v>
      </c>
      <c r="F46" s="22">
        <f>D46+E46</f>
        <v>1379071</v>
      </c>
      <c r="G46" s="25"/>
      <c r="H46" s="26"/>
      <c r="I46" s="27"/>
      <c r="J46" s="28"/>
      <c r="L46" s="46"/>
      <c r="M46" s="35"/>
      <c r="O46" s="73"/>
      <c r="P46" s="30"/>
      <c r="R46" s="73"/>
      <c r="S46" s="30"/>
    </row>
    <row r="47" spans="2:19" x14ac:dyDescent="0.25">
      <c r="B47" s="46"/>
      <c r="C47" s="41" t="s">
        <v>92</v>
      </c>
      <c r="D47" s="23"/>
      <c r="E47" s="23"/>
      <c r="F47" s="23"/>
      <c r="H47" s="31">
        <v>287</v>
      </c>
      <c r="I47" s="29">
        <f>'Central Discretionary Fees'!S42+'North Discretionary Fees'!S42</f>
        <v>477</v>
      </c>
      <c r="J47" s="30">
        <f>ROUND(I47*H47,2)</f>
        <v>136899</v>
      </c>
      <c r="L47" s="46"/>
      <c r="M47" s="35"/>
      <c r="O47" s="73"/>
      <c r="P47" s="30"/>
      <c r="R47" s="73"/>
      <c r="S47" s="30"/>
    </row>
    <row r="48" spans="2:19" x14ac:dyDescent="0.25">
      <c r="B48" s="46"/>
      <c r="C48" s="41" t="s">
        <v>93</v>
      </c>
      <c r="D48" s="23"/>
      <c r="E48" s="23"/>
      <c r="F48" s="23"/>
      <c r="H48" s="31">
        <v>134</v>
      </c>
      <c r="I48" s="29">
        <f>'Central Discretionary Fees'!S43+'North Discretionary Fees'!S43</f>
        <v>779</v>
      </c>
      <c r="J48" s="30">
        <f>ROUND(I48*H48,2)</f>
        <v>104386</v>
      </c>
      <c r="L48" s="46"/>
      <c r="M48" s="35"/>
      <c r="O48" s="73"/>
      <c r="P48" s="30"/>
      <c r="R48" s="73"/>
      <c r="S48" s="30"/>
    </row>
    <row r="49" spans="2:19" x14ac:dyDescent="0.25">
      <c r="B49" s="46"/>
      <c r="C49" s="41" t="s">
        <v>94</v>
      </c>
      <c r="D49" s="23"/>
      <c r="E49" s="23"/>
      <c r="F49" s="23"/>
      <c r="H49" s="31">
        <v>171</v>
      </c>
      <c r="I49" s="29">
        <f>'Central Discretionary Fees'!S44+'North Discretionary Fees'!S44</f>
        <v>444</v>
      </c>
      <c r="J49" s="30">
        <f>ROUND(I49*H49,2)</f>
        <v>75924</v>
      </c>
      <c r="L49" s="46"/>
      <c r="M49" s="35"/>
      <c r="O49" s="73"/>
      <c r="P49" s="30"/>
      <c r="R49" s="73"/>
      <c r="S49" s="30"/>
    </row>
    <row r="50" spans="2:19" x14ac:dyDescent="0.25">
      <c r="B50" s="47"/>
      <c r="C50" s="70" t="s">
        <v>95</v>
      </c>
      <c r="D50" s="24"/>
      <c r="E50" s="24"/>
      <c r="F50" s="24"/>
      <c r="G50" s="8"/>
      <c r="H50" s="32">
        <v>50</v>
      </c>
      <c r="I50" s="33">
        <f>'Central Discretionary Fees'!S45+'North Discretionary Fees'!S45</f>
        <v>22743</v>
      </c>
      <c r="J50" s="34">
        <f>ROUND(I50*H50,2)</f>
        <v>1137150</v>
      </c>
      <c r="L50" s="73">
        <f>SUM(J47:J50)-F46</f>
        <v>75288</v>
      </c>
      <c r="M50" s="35"/>
      <c r="O50" s="98">
        <f>SUM('Central Discretionary Fees'!V42:V45)</f>
        <v>78072</v>
      </c>
      <c r="P50" s="99"/>
      <c r="Q50" s="100"/>
      <c r="R50" s="98">
        <f>SUM('North Discretionary Fees'!V42:V45)</f>
        <v>-2797</v>
      </c>
      <c r="S50" s="30"/>
    </row>
    <row r="51" spans="2:19" x14ac:dyDescent="0.25">
      <c r="D51" s="37"/>
      <c r="E51" s="37"/>
      <c r="F51" s="37"/>
      <c r="H51" s="31"/>
      <c r="I51" s="29"/>
      <c r="J51" s="36"/>
      <c r="L51" s="46"/>
      <c r="M51" s="35"/>
      <c r="O51" s="73"/>
      <c r="P51" s="30"/>
      <c r="R51" s="73"/>
      <c r="S51" s="30"/>
    </row>
    <row r="52" spans="2:19" x14ac:dyDescent="0.25">
      <c r="B52" s="18" t="s">
        <v>43</v>
      </c>
      <c r="C52" s="18" t="s">
        <v>44</v>
      </c>
      <c r="D52" s="16">
        <f>'Central Discretionary Fees'!Q47</f>
        <v>5382</v>
      </c>
      <c r="E52" s="16">
        <f>'North Discretionary Fees'!Q46</f>
        <v>636</v>
      </c>
      <c r="F52" s="16">
        <f>D52+E52</f>
        <v>6018</v>
      </c>
      <c r="H52" s="41" t="s">
        <v>50</v>
      </c>
      <c r="J52" s="18">
        <v>0</v>
      </c>
      <c r="L52" s="73">
        <f>J52-F52</f>
        <v>-6018</v>
      </c>
      <c r="M52" s="35"/>
      <c r="O52" s="73">
        <f>'Central Discretionary Fees'!V47</f>
        <v>-5382</v>
      </c>
      <c r="P52" s="30"/>
      <c r="R52" s="73">
        <f>'North Discretionary Fees'!V46</f>
        <v>-636</v>
      </c>
      <c r="S52" s="30"/>
    </row>
    <row r="53" spans="2:19" x14ac:dyDescent="0.25">
      <c r="C53" s="8" t="s">
        <v>71</v>
      </c>
      <c r="D53" s="77" t="s">
        <v>72</v>
      </c>
      <c r="E53" s="77" t="s">
        <v>72</v>
      </c>
      <c r="F53" s="77" t="s">
        <v>72</v>
      </c>
      <c r="G53" s="8"/>
      <c r="H53" s="32">
        <v>27</v>
      </c>
      <c r="I53" s="33">
        <f>350*12</f>
        <v>4200</v>
      </c>
      <c r="J53" s="78">
        <f>ROUND(I53*H53,2)</f>
        <v>113400</v>
      </c>
      <c r="L53" s="75">
        <f>J53</f>
        <v>113400</v>
      </c>
      <c r="M53" s="76"/>
      <c r="O53" s="75">
        <f>'Central Discretionary Fees'!V48</f>
        <v>102060</v>
      </c>
      <c r="P53" s="34"/>
      <c r="R53" s="75">
        <f>'North Discretionary Fees'!V47</f>
        <v>11340</v>
      </c>
      <c r="S53" s="34"/>
    </row>
    <row r="54" spans="2:19" x14ac:dyDescent="0.25">
      <c r="C54" s="18" t="s">
        <v>49</v>
      </c>
      <c r="D54" s="16">
        <f>SUM(D4:D52)</f>
        <v>1902282.17</v>
      </c>
      <c r="E54" s="16">
        <f>SUM(E4:E52)</f>
        <v>458486.06</v>
      </c>
      <c r="F54" s="16">
        <f>SUM(F4:F52)</f>
        <v>2360768.23</v>
      </c>
      <c r="H54" s="31"/>
      <c r="J54" s="16">
        <f>SUM(J4:J53)</f>
        <v>2565591.23</v>
      </c>
    </row>
    <row r="55" spans="2:19" x14ac:dyDescent="0.25">
      <c r="D55" s="16"/>
      <c r="E55" s="16"/>
      <c r="F55" s="16"/>
      <c r="H55" s="31"/>
      <c r="J55" s="16"/>
    </row>
    <row r="56" spans="2:19" x14ac:dyDescent="0.25">
      <c r="J56" s="42" t="s">
        <v>49</v>
      </c>
      <c r="L56" s="42" t="s">
        <v>106</v>
      </c>
      <c r="M56" s="42" t="s">
        <v>107</v>
      </c>
      <c r="O56" s="42" t="s">
        <v>106</v>
      </c>
      <c r="P56" s="42" t="s">
        <v>107</v>
      </c>
      <c r="R56" s="42" t="s">
        <v>106</v>
      </c>
      <c r="S56" s="42" t="s">
        <v>107</v>
      </c>
    </row>
    <row r="57" spans="2:19" x14ac:dyDescent="0.25">
      <c r="C57" s="48" t="s">
        <v>108</v>
      </c>
      <c r="D57" s="38"/>
      <c r="E57" s="38"/>
      <c r="F57" s="38"/>
      <c r="G57" s="38"/>
      <c r="H57" s="38"/>
      <c r="I57" s="38"/>
      <c r="J57" s="39">
        <f>J54-F54</f>
        <v>204823</v>
      </c>
      <c r="L57" s="71">
        <f>SUM(L5:L53)</f>
        <v>202271</v>
      </c>
      <c r="M57" s="39">
        <f>SUM(M5:M53)</f>
        <v>2552</v>
      </c>
      <c r="O57" s="71">
        <f>SUM(O4:O53)</f>
        <v>203939</v>
      </c>
      <c r="P57" s="85">
        <f>SUM(P4:P53)</f>
        <v>7464</v>
      </c>
      <c r="R57" s="71">
        <f>SUM(R4:R53)</f>
        <v>-1670</v>
      </c>
      <c r="S57" s="85">
        <f>SUM(S4:S53)</f>
        <v>-4912</v>
      </c>
    </row>
    <row r="59" spans="2:19" x14ac:dyDescent="0.25">
      <c r="J59" s="36"/>
    </row>
    <row r="60" spans="2:19" x14ac:dyDescent="0.25">
      <c r="J60" s="36"/>
    </row>
    <row r="61" spans="2:19" x14ac:dyDescent="0.25">
      <c r="I61" s="93"/>
    </row>
    <row r="62" spans="2:19" x14ac:dyDescent="0.25">
      <c r="I62" s="93"/>
    </row>
  </sheetData>
  <mergeCells count="3">
    <mergeCell ref="L2:M2"/>
    <mergeCell ref="O2:P2"/>
    <mergeCell ref="R2:S2"/>
  </mergeCells>
  <printOptions horizontalCentered="1"/>
  <pageMargins left="0.7" right="0.7" top="0.75" bottom="0.75" header="0.3" footer="0.3"/>
  <pageSetup scale="38" orientation="portrait" r:id="rId1"/>
  <headerFooter>
    <oddHeader xml:space="preserve">&amp;CPUBLIC UTILITY COMMISSION OF TEXAS
AEP TEXAS INC
PROPOSED CHARGES FOR DISCRETIONARY SERVICES AND OTHER SERVICES
TEST YEAR ENDING 12/31/2018&amp;RSCHEDULE IV-J-2
ACCOUNT 451 PRO FORMA ADJUSTMENT
PAGE &amp;P OF &amp;N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51"/>
  <sheetViews>
    <sheetView showGridLines="0" workbookViewId="0">
      <pane xSplit="4" ySplit="4" topLeftCell="Q26" activePane="bottomRight" state="frozen"/>
      <selection pane="topRight" activeCell="E1" sqref="E1"/>
      <selection pane="bottomLeft" activeCell="A5" sqref="A5"/>
      <selection pane="bottomRight" activeCell="Y53" sqref="Y53"/>
    </sheetView>
  </sheetViews>
  <sheetFormatPr defaultRowHeight="15" x14ac:dyDescent="0.25"/>
  <cols>
    <col min="1" max="1" width="1" customWidth="1"/>
    <col min="2" max="2" width="5.5703125" customWidth="1"/>
    <col min="3" max="3" width="9.85546875" customWidth="1"/>
    <col min="4" max="4" width="42.85546875" customWidth="1"/>
    <col min="5" max="16" width="14.7109375" hidden="1" customWidth="1"/>
    <col min="17" max="17" width="14.7109375" style="5" customWidth="1"/>
    <col min="18" max="18" width="7.5703125" style="10" bestFit="1" customWidth="1"/>
    <col min="19" max="19" width="15.140625" style="11" customWidth="1"/>
    <col min="20" max="20" width="12.85546875" style="5" bestFit="1" customWidth="1"/>
    <col min="21" max="21" width="12.28515625" customWidth="1"/>
  </cols>
  <sheetData>
    <row r="1" spans="2:26" s="1" customFormat="1" ht="12.75" x14ac:dyDescent="0.2">
      <c r="B1" s="4"/>
      <c r="C1" s="4"/>
      <c r="D1" s="8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1"/>
      <c r="R1" s="50"/>
      <c r="S1" s="15"/>
      <c r="T1" s="51"/>
    </row>
    <row r="2" spans="2:26" s="1" customFormat="1" ht="12.75" x14ac:dyDescent="0.2">
      <c r="B2" s="4"/>
      <c r="C2" s="4"/>
      <c r="D2" s="4" t="s">
        <v>74</v>
      </c>
      <c r="E2" s="4" t="s">
        <v>45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1"/>
      <c r="R2" s="50"/>
      <c r="S2" s="15"/>
      <c r="T2" s="51"/>
    </row>
    <row r="3" spans="2:26" s="1" customFormat="1" ht="12.75" x14ac:dyDescent="0.2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1"/>
      <c r="R3" s="50"/>
      <c r="S3" s="15"/>
      <c r="T3" s="51"/>
    </row>
    <row r="4" spans="2:26" s="1" customFormat="1" ht="22.5" customHeight="1" x14ac:dyDescent="0.25">
      <c r="B4" s="20" t="s">
        <v>90</v>
      </c>
      <c r="C4" s="20" t="s">
        <v>78</v>
      </c>
      <c r="D4" s="20" t="s">
        <v>73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67" t="s">
        <v>13</v>
      </c>
      <c r="R4" s="68" t="s">
        <v>91</v>
      </c>
      <c r="S4" s="69" t="s">
        <v>89</v>
      </c>
      <c r="T4" s="69" t="s">
        <v>114</v>
      </c>
      <c r="U4" s="81" t="s">
        <v>110</v>
      </c>
      <c r="V4" s="81" t="s">
        <v>111</v>
      </c>
    </row>
    <row r="5" spans="2:26" s="1" customFormat="1" ht="12.75" x14ac:dyDescent="0.2">
      <c r="B5" s="2" t="s">
        <v>46</v>
      </c>
      <c r="C5" s="2" t="s">
        <v>47</v>
      </c>
      <c r="D5" s="2" t="s">
        <v>48</v>
      </c>
      <c r="E5" s="3">
        <v>848</v>
      </c>
      <c r="F5" s="3">
        <v>424</v>
      </c>
      <c r="G5" s="3" t="s">
        <v>21</v>
      </c>
      <c r="H5" s="3">
        <v>570</v>
      </c>
      <c r="I5" s="3">
        <v>-570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21</v>
      </c>
      <c r="Q5" s="51">
        <v>1272</v>
      </c>
      <c r="R5" s="50"/>
      <c r="S5" s="15">
        <v>2</v>
      </c>
      <c r="T5" s="51">
        <f>Q5</f>
        <v>1272</v>
      </c>
      <c r="U5" s="4" t="s">
        <v>52</v>
      </c>
      <c r="V5" s="51">
        <f>T5-Q5</f>
        <v>0</v>
      </c>
      <c r="W5" s="4"/>
    </row>
    <row r="6" spans="2:26" s="1" customFormat="1" ht="12.75" x14ac:dyDescent="0.2">
      <c r="B6" s="2" t="s">
        <v>46</v>
      </c>
      <c r="C6" s="2" t="s">
        <v>15</v>
      </c>
      <c r="D6" s="2" t="s">
        <v>16</v>
      </c>
      <c r="E6" s="3">
        <v>7654</v>
      </c>
      <c r="F6" s="3">
        <v>10062</v>
      </c>
      <c r="G6" s="3">
        <v>8428</v>
      </c>
      <c r="H6" s="3">
        <v>10191</v>
      </c>
      <c r="I6" s="3">
        <v>10492</v>
      </c>
      <c r="J6" s="3">
        <v>9632</v>
      </c>
      <c r="K6" s="3">
        <v>8643</v>
      </c>
      <c r="L6" s="3">
        <v>10062</v>
      </c>
      <c r="M6" s="3">
        <v>6493</v>
      </c>
      <c r="N6" s="3">
        <v>7826</v>
      </c>
      <c r="O6" s="3">
        <v>7998</v>
      </c>
      <c r="P6" s="3">
        <v>7138</v>
      </c>
      <c r="Q6" s="51">
        <v>104619</v>
      </c>
      <c r="R6" s="50">
        <v>43</v>
      </c>
      <c r="S6" s="15">
        <v>2433</v>
      </c>
      <c r="T6" s="51">
        <f>R6*S6</f>
        <v>104619</v>
      </c>
      <c r="U6" s="4" t="str">
        <f>'AEP TX 451 Pro forma'!H5</f>
        <v>removed</v>
      </c>
      <c r="V6" s="51">
        <f>-T6</f>
        <v>-104619</v>
      </c>
      <c r="W6" s="4"/>
    </row>
    <row r="7" spans="2:26" s="1" customFormat="1" ht="12.75" x14ac:dyDescent="0.2">
      <c r="B7" s="2" t="s">
        <v>46</v>
      </c>
      <c r="C7" s="2" t="s">
        <v>17</v>
      </c>
      <c r="D7" s="2" t="s">
        <v>18</v>
      </c>
      <c r="E7" s="3">
        <v>2852</v>
      </c>
      <c r="F7" s="3">
        <v>2542</v>
      </c>
      <c r="G7" s="3">
        <v>2170</v>
      </c>
      <c r="H7" s="3">
        <v>1736</v>
      </c>
      <c r="I7" s="3">
        <v>2046</v>
      </c>
      <c r="J7" s="3">
        <v>2728</v>
      </c>
      <c r="K7" s="3">
        <v>2356</v>
      </c>
      <c r="L7" s="3">
        <v>2666</v>
      </c>
      <c r="M7" s="3">
        <v>2418</v>
      </c>
      <c r="N7" s="3">
        <v>2294</v>
      </c>
      <c r="O7" s="3">
        <v>1798</v>
      </c>
      <c r="P7" s="3">
        <v>2170</v>
      </c>
      <c r="Q7" s="51">
        <v>27776</v>
      </c>
      <c r="R7" s="50">
        <v>62</v>
      </c>
      <c r="S7" s="15">
        <v>448</v>
      </c>
      <c r="T7" s="51">
        <f>R7*S7</f>
        <v>27776</v>
      </c>
      <c r="U7" s="50">
        <f>'AEP TX 451 Pro forma'!H6</f>
        <v>29</v>
      </c>
      <c r="V7" s="51">
        <f>(U7*S7)-T7</f>
        <v>-14784</v>
      </c>
      <c r="W7" s="4"/>
    </row>
    <row r="8" spans="2:26" s="1" customFormat="1" ht="12.75" x14ac:dyDescent="0.2">
      <c r="B8" s="2" t="s">
        <v>46</v>
      </c>
      <c r="C8" s="2" t="s">
        <v>19</v>
      </c>
      <c r="D8" s="2" t="s">
        <v>20</v>
      </c>
      <c r="E8" s="3">
        <v>0</v>
      </c>
      <c r="F8" s="3">
        <v>336</v>
      </c>
      <c r="G8" s="3">
        <v>0</v>
      </c>
      <c r="H8" s="3">
        <v>224</v>
      </c>
      <c r="I8" s="3">
        <v>168</v>
      </c>
      <c r="J8" s="3">
        <v>112</v>
      </c>
      <c r="K8" s="3" t="s">
        <v>21</v>
      </c>
      <c r="L8" s="3">
        <v>0</v>
      </c>
      <c r="M8" s="3">
        <v>224</v>
      </c>
      <c r="N8" s="3">
        <v>224</v>
      </c>
      <c r="O8" s="3">
        <v>62</v>
      </c>
      <c r="P8" s="3">
        <v>112</v>
      </c>
      <c r="Q8" s="51">
        <v>1462</v>
      </c>
      <c r="R8" s="50">
        <v>56</v>
      </c>
      <c r="S8" s="15">
        <v>30</v>
      </c>
      <c r="T8" s="51">
        <f>Q8</f>
        <v>1462</v>
      </c>
      <c r="U8" s="50">
        <f>'AEP TX 451 Pro forma'!H7</f>
        <v>100</v>
      </c>
      <c r="V8" s="51">
        <v>0</v>
      </c>
      <c r="W8" s="4"/>
    </row>
    <row r="9" spans="2:26" s="1" customFormat="1" ht="12.75" x14ac:dyDescent="0.2">
      <c r="B9" s="2" t="s">
        <v>46</v>
      </c>
      <c r="C9" s="2" t="s">
        <v>22</v>
      </c>
      <c r="D9" s="2" t="s">
        <v>23</v>
      </c>
      <c r="E9" s="3">
        <v>12380</v>
      </c>
      <c r="F9" s="3">
        <v>10648</v>
      </c>
      <c r="G9" s="3">
        <v>11461</v>
      </c>
      <c r="H9" s="3">
        <v>11958</v>
      </c>
      <c r="I9" s="3">
        <v>10155</v>
      </c>
      <c r="J9" s="3">
        <v>11593</v>
      </c>
      <c r="K9" s="3">
        <v>9728</v>
      </c>
      <c r="L9" s="3">
        <v>11585</v>
      </c>
      <c r="M9" s="3">
        <v>12016</v>
      </c>
      <c r="N9" s="3">
        <v>15396</v>
      </c>
      <c r="O9" s="3">
        <v>12025</v>
      </c>
      <c r="P9" s="3">
        <v>9165</v>
      </c>
      <c r="Q9" s="51">
        <v>138110</v>
      </c>
      <c r="R9" s="50"/>
      <c r="S9" s="15"/>
      <c r="T9" s="51"/>
      <c r="U9" s="4"/>
      <c r="V9" s="51"/>
      <c r="W9" s="4"/>
    </row>
    <row r="10" spans="2:26" s="1" customFormat="1" ht="12.75" x14ac:dyDescent="0.2">
      <c r="B10" s="2"/>
      <c r="C10" s="2"/>
      <c r="D10" s="9" t="s">
        <v>53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1"/>
      <c r="R10" s="50">
        <v>13</v>
      </c>
      <c r="S10" s="15">
        <f>2833+526+526+85+181+181+181+19+19+86+86+86+86+14+36+36+36+36+36+4+34+34+34+34+34+16+2+126+3+6+7+64+19+63+18+8+60+1+11+13+3+13+2</f>
        <v>5698</v>
      </c>
      <c r="T10" s="51">
        <f>R10*S10</f>
        <v>74074</v>
      </c>
      <c r="U10" s="4" t="str">
        <f>'AEP TX 451 Pro forma'!H10</f>
        <v>removed</v>
      </c>
      <c r="V10" s="51">
        <f>-T10</f>
        <v>-74074</v>
      </c>
      <c r="W10" s="4"/>
    </row>
    <row r="11" spans="2:26" s="1" customFormat="1" ht="12.75" x14ac:dyDescent="0.2">
      <c r="B11" s="2"/>
      <c r="C11" s="2"/>
      <c r="D11" s="9" t="s">
        <v>54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1"/>
      <c r="R11" s="50">
        <v>22</v>
      </c>
      <c r="S11" s="15">
        <v>6</v>
      </c>
      <c r="T11" s="51">
        <f>R11*S11</f>
        <v>132</v>
      </c>
      <c r="U11" s="4" t="str">
        <f>'AEP TX 451 Pro forma'!H11</f>
        <v>removed</v>
      </c>
      <c r="V11" s="51">
        <f>-T11</f>
        <v>-132</v>
      </c>
      <c r="W11" s="4"/>
    </row>
    <row r="12" spans="2:26" s="1" customFormat="1" ht="12.75" x14ac:dyDescent="0.2">
      <c r="B12" s="2"/>
      <c r="C12" s="2"/>
      <c r="D12" s="9" t="s">
        <v>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1"/>
      <c r="R12" s="50">
        <v>20</v>
      </c>
      <c r="S12" s="15">
        <f>2584+85+76+76+19+14+14+11+11+11+4+4+3+36+11+1+20+6+11+6+8+6+18+20+6+7+6+24+9+46+5</f>
        <v>3158</v>
      </c>
      <c r="T12" s="51">
        <f>R12*S12</f>
        <v>63160</v>
      </c>
      <c r="U12" s="50">
        <f>'AEP TX 451 Pro forma'!H12</f>
        <v>25</v>
      </c>
      <c r="V12" s="51">
        <f>(U12*S12)-T12</f>
        <v>15790</v>
      </c>
      <c r="W12" s="4"/>
    </row>
    <row r="13" spans="2:26" s="1" customFormat="1" ht="12.75" x14ac:dyDescent="0.2">
      <c r="B13" s="2"/>
      <c r="C13" s="2"/>
      <c r="D13" s="9" t="s">
        <v>56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1"/>
      <c r="R13" s="50">
        <v>31</v>
      </c>
      <c r="S13" s="15">
        <f>14+10</f>
        <v>24</v>
      </c>
      <c r="T13" s="51">
        <f>R13*S13</f>
        <v>744</v>
      </c>
      <c r="U13" s="50">
        <f>'AEP TX 451 Pro forma'!H13</f>
        <v>33</v>
      </c>
      <c r="V13" s="51">
        <f>(U13*S13)-T13</f>
        <v>48</v>
      </c>
      <c r="W13" s="4"/>
      <c r="X13" s="7"/>
      <c r="Y13" s="7"/>
      <c r="Z13" s="101"/>
    </row>
    <row r="14" spans="2:26" s="1" customFormat="1" ht="12.75" x14ac:dyDescent="0.2">
      <c r="B14" s="2" t="s">
        <v>46</v>
      </c>
      <c r="C14" s="2" t="s">
        <v>24</v>
      </c>
      <c r="D14" s="2" t="s">
        <v>25</v>
      </c>
      <c r="E14" s="3">
        <v>9323.57</v>
      </c>
      <c r="F14" s="3">
        <v>5851.06</v>
      </c>
      <c r="G14" s="3">
        <v>4310.55</v>
      </c>
      <c r="H14" s="3">
        <v>5066.72</v>
      </c>
      <c r="I14" s="3">
        <v>5798.17</v>
      </c>
      <c r="J14" s="3">
        <v>6641.52</v>
      </c>
      <c r="K14" s="3">
        <v>6169.77</v>
      </c>
      <c r="L14" s="3">
        <v>8998.01</v>
      </c>
      <c r="M14" s="3">
        <v>7343.29</v>
      </c>
      <c r="N14" s="3">
        <v>7551.59</v>
      </c>
      <c r="O14" s="3">
        <v>5752.85</v>
      </c>
      <c r="P14" s="3">
        <v>5550.56</v>
      </c>
      <c r="Q14" s="51">
        <v>78357.66</v>
      </c>
      <c r="R14" s="50"/>
      <c r="S14" s="15">
        <v>235</v>
      </c>
      <c r="T14" s="51">
        <f>Q14</f>
        <v>78357.66</v>
      </c>
      <c r="U14" s="4" t="str">
        <f>'AEP TX 451 Pro forma'!H15</f>
        <v>as calculated</v>
      </c>
      <c r="V14" s="51">
        <v>0</v>
      </c>
      <c r="W14" s="4"/>
    </row>
    <row r="15" spans="2:26" s="1" customFormat="1" ht="12.75" x14ac:dyDescent="0.2">
      <c r="B15" s="2" t="s">
        <v>46</v>
      </c>
      <c r="C15" s="2" t="s">
        <v>26</v>
      </c>
      <c r="D15" s="2" t="s">
        <v>27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51">
        <v>0</v>
      </c>
      <c r="R15" s="50"/>
      <c r="S15" s="15">
        <v>0</v>
      </c>
      <c r="T15" s="51"/>
      <c r="U15" s="4" t="str">
        <f>'AEP TX 451 Pro forma'!H16</f>
        <v>as calculated</v>
      </c>
      <c r="V15" s="51">
        <v>0</v>
      </c>
      <c r="W15" s="4"/>
      <c r="Z15" s="7"/>
    </row>
    <row r="16" spans="2:26" s="1" customFormat="1" ht="12.75" x14ac:dyDescent="0.2">
      <c r="B16" s="2" t="s">
        <v>46</v>
      </c>
      <c r="C16" s="2" t="s">
        <v>28</v>
      </c>
      <c r="D16" s="2" t="s">
        <v>85</v>
      </c>
      <c r="E16" s="3">
        <v>1653</v>
      </c>
      <c r="F16" s="3">
        <v>1615</v>
      </c>
      <c r="G16" s="3">
        <v>1672</v>
      </c>
      <c r="H16" s="3">
        <v>1672</v>
      </c>
      <c r="I16" s="3">
        <v>1653</v>
      </c>
      <c r="J16" s="3">
        <v>1672</v>
      </c>
      <c r="K16" s="3">
        <v>1615</v>
      </c>
      <c r="L16" s="3">
        <v>1710</v>
      </c>
      <c r="M16" s="3">
        <v>1672</v>
      </c>
      <c r="N16" s="3">
        <v>1672</v>
      </c>
      <c r="O16" s="3">
        <v>1710</v>
      </c>
      <c r="P16" s="3">
        <v>1748</v>
      </c>
      <c r="Q16" s="51">
        <v>20064</v>
      </c>
      <c r="R16" s="50">
        <v>19</v>
      </c>
      <c r="S16" s="15">
        <v>1056</v>
      </c>
      <c r="T16" s="51">
        <f>R16*S16</f>
        <v>20064</v>
      </c>
      <c r="U16" s="50">
        <f>'AEP TX 451 Pro forma'!H17</f>
        <v>40</v>
      </c>
      <c r="V16" s="51">
        <f>(U16*S16)-T16</f>
        <v>22176</v>
      </c>
      <c r="W16" s="4"/>
    </row>
    <row r="17" spans="2:26" s="1" customFormat="1" ht="12.75" x14ac:dyDescent="0.2">
      <c r="B17" s="2" t="s">
        <v>46</v>
      </c>
      <c r="C17" s="2" t="s">
        <v>29</v>
      </c>
      <c r="D17" s="2" t="s">
        <v>30</v>
      </c>
      <c r="E17" s="3">
        <v>19404</v>
      </c>
      <c r="F17" s="3">
        <v>15040</v>
      </c>
      <c r="G17" s="3">
        <v>17052</v>
      </c>
      <c r="H17" s="3">
        <v>15280</v>
      </c>
      <c r="I17" s="3">
        <v>15256</v>
      </c>
      <c r="J17" s="3">
        <v>13828</v>
      </c>
      <c r="K17" s="3">
        <v>14300</v>
      </c>
      <c r="L17" s="3">
        <v>16488</v>
      </c>
      <c r="M17" s="3">
        <v>16340</v>
      </c>
      <c r="N17" s="3">
        <v>19440</v>
      </c>
      <c r="O17" s="3">
        <v>16968</v>
      </c>
      <c r="P17" s="3">
        <v>13324</v>
      </c>
      <c r="Q17" s="51">
        <v>192720</v>
      </c>
      <c r="R17" s="50"/>
      <c r="S17" s="15"/>
      <c r="T17" s="51"/>
      <c r="U17" s="4"/>
      <c r="V17" s="51"/>
      <c r="W17" s="4"/>
    </row>
    <row r="18" spans="2:26" s="1" customFormat="1" ht="12.75" x14ac:dyDescent="0.2">
      <c r="B18" s="2"/>
      <c r="C18" s="2"/>
      <c r="D18" s="9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1"/>
      <c r="R18" s="50">
        <v>20</v>
      </c>
      <c r="S18" s="15">
        <f>4038-27</f>
        <v>4011</v>
      </c>
      <c r="T18" s="51">
        <f>R18*S18</f>
        <v>80220</v>
      </c>
      <c r="U18" s="50">
        <f>'AEP TX 451 Pro forma'!H20</f>
        <v>32</v>
      </c>
      <c r="V18" s="51">
        <f>(U18*S18)-T18</f>
        <v>48132</v>
      </c>
      <c r="W18" s="4"/>
    </row>
    <row r="19" spans="2:26" s="1" customFormat="1" ht="12.75" x14ac:dyDescent="0.2">
      <c r="B19" s="2"/>
      <c r="C19" s="2"/>
      <c r="D19" s="9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1"/>
      <c r="R19" s="50">
        <v>56</v>
      </c>
      <c r="S19" s="15">
        <v>209</v>
      </c>
      <c r="T19" s="51">
        <f>R19*S19</f>
        <v>11704</v>
      </c>
      <c r="U19" s="50">
        <f>'AEP TX 451 Pro forma'!H21</f>
        <v>72</v>
      </c>
      <c r="V19" s="51">
        <f>(U19*S19)-T19</f>
        <v>3344</v>
      </c>
      <c r="W19" s="4"/>
    </row>
    <row r="20" spans="2:26" s="1" customFormat="1" ht="12.75" x14ac:dyDescent="0.2">
      <c r="B20" s="2"/>
      <c r="C20" s="2"/>
      <c r="D20" s="9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1"/>
      <c r="R20" s="50">
        <v>56</v>
      </c>
      <c r="S20" s="15">
        <v>1800</v>
      </c>
      <c r="T20" s="51">
        <f>R20*S20</f>
        <v>100800</v>
      </c>
      <c r="U20" s="50">
        <f>'AEP TX 451 Pro forma'!H22</f>
        <v>72</v>
      </c>
      <c r="V20" s="51">
        <f>(U20*S20)-T20</f>
        <v>28800</v>
      </c>
      <c r="W20" s="4"/>
      <c r="X20" s="7"/>
      <c r="Y20" s="7"/>
      <c r="Z20" s="101"/>
    </row>
    <row r="21" spans="2:26" s="1" customFormat="1" ht="12.75" x14ac:dyDescent="0.2">
      <c r="B21" s="2" t="s">
        <v>46</v>
      </c>
      <c r="C21" s="2" t="s">
        <v>31</v>
      </c>
      <c r="D21" s="2" t="s">
        <v>32</v>
      </c>
      <c r="E21" s="3">
        <v>11955</v>
      </c>
      <c r="F21" s="3">
        <v>9405</v>
      </c>
      <c r="G21" s="3">
        <v>9862</v>
      </c>
      <c r="H21" s="3">
        <v>8939</v>
      </c>
      <c r="I21" s="3">
        <v>8480</v>
      </c>
      <c r="J21" s="3">
        <v>8070</v>
      </c>
      <c r="K21" s="3">
        <v>7085</v>
      </c>
      <c r="L21" s="3">
        <v>10046</v>
      </c>
      <c r="M21" s="3">
        <v>8998</v>
      </c>
      <c r="N21" s="3">
        <v>11822</v>
      </c>
      <c r="O21" s="3">
        <v>9322</v>
      </c>
      <c r="P21" s="3">
        <v>7523</v>
      </c>
      <c r="Q21" s="51">
        <v>111507</v>
      </c>
      <c r="R21" s="50"/>
      <c r="S21" s="15"/>
      <c r="T21" s="51"/>
      <c r="U21" s="4"/>
      <c r="V21" s="51"/>
      <c r="W21" s="4"/>
    </row>
    <row r="22" spans="2:26" s="1" customFormat="1" x14ac:dyDescent="0.25">
      <c r="B22" s="2"/>
      <c r="C22" s="2"/>
      <c r="D22" s="12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1"/>
      <c r="R22" s="50"/>
      <c r="S22" s="15"/>
      <c r="T22" s="51"/>
      <c r="U22" s="4"/>
      <c r="V22" s="51"/>
      <c r="W22" s="4"/>
    </row>
    <row r="23" spans="2:26" s="1" customFormat="1" ht="12.75" x14ac:dyDescent="0.2">
      <c r="B23" s="2"/>
      <c r="C23" s="2"/>
      <c r="D23" s="1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1"/>
      <c r="R23" s="50">
        <v>20</v>
      </c>
      <c r="S23" s="15">
        <f>1121+256+256+32+246+23+6+14+152+26+1+35+9+16+4+24+6+8+11+21+1+8+8+2+1+5+6+3+84</f>
        <v>2385</v>
      </c>
      <c r="T23" s="51">
        <f>R23*S23</f>
        <v>47700</v>
      </c>
      <c r="U23" s="50">
        <f>'AEP TX 451 Pro forma'!H26</f>
        <v>49</v>
      </c>
      <c r="V23" s="51">
        <f>(U23*S23)-T23</f>
        <v>69165</v>
      </c>
      <c r="W23" s="4"/>
    </row>
    <row r="24" spans="2:26" s="1" customFormat="1" ht="12.75" x14ac:dyDescent="0.2">
      <c r="B24" s="2"/>
      <c r="C24" s="2"/>
      <c r="D24" s="1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1"/>
      <c r="R24" s="50">
        <v>38</v>
      </c>
      <c r="S24" s="15">
        <f>160+32+30+7+12+18+6+1+3+5+2+4+2+4+8+12+3+2+37+5</f>
        <v>353</v>
      </c>
      <c r="T24" s="51">
        <f>R24*S24</f>
        <v>13414</v>
      </c>
      <c r="U24" s="50">
        <f>'AEP TX 451 Pro forma'!H27</f>
        <v>69</v>
      </c>
      <c r="V24" s="51">
        <f>(U24*S24)-T24</f>
        <v>10943</v>
      </c>
      <c r="W24" s="4"/>
    </row>
    <row r="25" spans="2:26" s="1" customFormat="1" ht="12.75" x14ac:dyDescent="0.2">
      <c r="B25" s="2"/>
      <c r="C25" s="2"/>
      <c r="D25" s="13" t="s">
        <v>65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1"/>
      <c r="R25" s="50">
        <v>48</v>
      </c>
      <c r="S25" s="15">
        <f>54+24+10+3+2+1+2+1+1+1+2+1</f>
        <v>102</v>
      </c>
      <c r="T25" s="51">
        <f>R25*S25</f>
        <v>4896</v>
      </c>
      <c r="U25" s="50">
        <f>'AEP TX 451 Pro forma'!H28</f>
        <v>86</v>
      </c>
      <c r="V25" s="51">
        <f>(U25*S25)-T25</f>
        <v>3876</v>
      </c>
      <c r="W25" s="4"/>
    </row>
    <row r="26" spans="2:26" s="1" customFormat="1" ht="12.75" x14ac:dyDescent="0.2">
      <c r="B26" s="2"/>
      <c r="C26" s="2"/>
      <c r="D26" s="1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1"/>
      <c r="R26" s="50">
        <v>60</v>
      </c>
      <c r="S26" s="15"/>
      <c r="T26" s="51">
        <f>R26*S26</f>
        <v>0</v>
      </c>
      <c r="U26" s="50">
        <f>'AEP TX 451 Pro forma'!H29</f>
        <v>125</v>
      </c>
      <c r="V26" s="51">
        <v>0</v>
      </c>
      <c r="W26" s="4"/>
    </row>
    <row r="27" spans="2:26" s="1" customFormat="1" x14ac:dyDescent="0.25">
      <c r="B27" s="2"/>
      <c r="C27" s="2"/>
      <c r="D27" s="14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1"/>
      <c r="R27" s="50"/>
      <c r="S27" s="15"/>
      <c r="T27" s="51"/>
      <c r="U27" s="4"/>
      <c r="V27" s="51"/>
      <c r="W27" s="4"/>
    </row>
    <row r="28" spans="2:26" s="1" customFormat="1" ht="12.75" x14ac:dyDescent="0.2">
      <c r="B28" s="2"/>
      <c r="C28" s="2"/>
      <c r="D28" s="1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1"/>
      <c r="R28" s="50">
        <v>56</v>
      </c>
      <c r="S28" s="15">
        <f>510+7+2+74+74+3+2+48+20+13+4</f>
        <v>757</v>
      </c>
      <c r="T28" s="51">
        <f>R28*S28</f>
        <v>42392</v>
      </c>
      <c r="U28" s="50">
        <f>'AEP TX 451 Pro forma'!H31</f>
        <v>98</v>
      </c>
      <c r="V28" s="51">
        <f>(U28*S28)-T28</f>
        <v>31794</v>
      </c>
      <c r="W28" s="4"/>
    </row>
    <row r="29" spans="2:26" s="1" customFormat="1" ht="12.75" x14ac:dyDescent="0.2">
      <c r="B29" s="2"/>
      <c r="C29" s="2"/>
      <c r="D29" s="1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1"/>
      <c r="R29" s="50">
        <v>107</v>
      </c>
      <c r="S29" s="15">
        <f>19+2+5+1+2</f>
        <v>29</v>
      </c>
      <c r="T29" s="51">
        <f>R29*S29</f>
        <v>3103</v>
      </c>
      <c r="U29" s="50">
        <f>'AEP TX 451 Pro forma'!H32</f>
        <v>134</v>
      </c>
      <c r="V29" s="51">
        <f>(U29*S29)-T29</f>
        <v>783</v>
      </c>
      <c r="W29" s="4"/>
    </row>
    <row r="30" spans="2:26" s="1" customFormat="1" ht="12.75" x14ac:dyDescent="0.2">
      <c r="B30" s="2"/>
      <c r="C30" s="2"/>
      <c r="D30" s="13" t="s">
        <v>65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1"/>
      <c r="R30" s="50">
        <v>107</v>
      </c>
      <c r="S30" s="15"/>
      <c r="T30" s="51">
        <f>R30*S30</f>
        <v>0</v>
      </c>
      <c r="U30" s="50">
        <f>'AEP TX 451 Pro forma'!H33</f>
        <v>134</v>
      </c>
      <c r="V30" s="51">
        <v>0</v>
      </c>
      <c r="W30" s="4"/>
    </row>
    <row r="31" spans="2:26" s="1" customFormat="1" ht="12.75" x14ac:dyDescent="0.2">
      <c r="B31" s="2"/>
      <c r="C31" s="2"/>
      <c r="D31" s="1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1"/>
      <c r="R31" s="50">
        <v>133</v>
      </c>
      <c r="S31" s="15"/>
      <c r="T31" s="51">
        <f>R31*S31</f>
        <v>0</v>
      </c>
      <c r="U31" s="50">
        <f>'AEP TX 451 Pro forma'!H34</f>
        <v>170</v>
      </c>
      <c r="V31" s="51">
        <v>0</v>
      </c>
      <c r="W31" s="4"/>
      <c r="X31" s="7"/>
      <c r="Y31" s="7"/>
      <c r="Z31" s="101"/>
    </row>
    <row r="32" spans="2:26" s="1" customFormat="1" ht="12.75" x14ac:dyDescent="0.2"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1"/>
      <c r="R32" s="50"/>
      <c r="S32" s="15"/>
      <c r="T32" s="51"/>
      <c r="U32" s="4"/>
      <c r="V32" s="51"/>
      <c r="W32" s="4"/>
    </row>
    <row r="33" spans="2:26" s="1" customFormat="1" ht="12.75" x14ac:dyDescent="0.2">
      <c r="B33" s="2" t="s">
        <v>46</v>
      </c>
      <c r="C33" s="2" t="s">
        <v>33</v>
      </c>
      <c r="D33" s="2" t="s">
        <v>34</v>
      </c>
      <c r="E33" s="3">
        <v>-75</v>
      </c>
      <c r="F33" s="3">
        <v>2427.35</v>
      </c>
      <c r="G33" s="3">
        <v>6750</v>
      </c>
      <c r="H33" s="3">
        <v>3825</v>
      </c>
      <c r="I33" s="3">
        <v>150</v>
      </c>
      <c r="J33" s="3">
        <v>300</v>
      </c>
      <c r="K33" s="3">
        <v>4336.8500000000004</v>
      </c>
      <c r="L33" s="3">
        <v>3300</v>
      </c>
      <c r="M33" s="3">
        <v>2775</v>
      </c>
      <c r="N33" s="3">
        <v>2451.21</v>
      </c>
      <c r="O33" s="3">
        <v>2549.9299999999998</v>
      </c>
      <c r="P33" s="3">
        <v>1050</v>
      </c>
      <c r="Q33" s="51">
        <v>29840.34</v>
      </c>
      <c r="R33" s="50" t="s">
        <v>83</v>
      </c>
      <c r="S33" s="15"/>
      <c r="T33" s="51">
        <f>Q33</f>
        <v>29840.34</v>
      </c>
      <c r="U33" s="4" t="str">
        <f>'AEP TX 451 Pro forma'!H36</f>
        <v>as calculated</v>
      </c>
      <c r="V33" s="51">
        <v>0</v>
      </c>
      <c r="W33" s="4"/>
      <c r="Z33" s="7"/>
    </row>
    <row r="34" spans="2:26" s="1" customFormat="1" ht="12.75" x14ac:dyDescent="0.2">
      <c r="B34" s="2" t="s">
        <v>46</v>
      </c>
      <c r="C34" s="2" t="s">
        <v>35</v>
      </c>
      <c r="D34" s="2" t="s">
        <v>36</v>
      </c>
      <c r="E34" s="3">
        <v>106</v>
      </c>
      <c r="F34" s="3">
        <v>76</v>
      </c>
      <c r="G34" s="3">
        <v>1075.17</v>
      </c>
      <c r="H34" s="3">
        <v>106</v>
      </c>
      <c r="I34" s="3">
        <v>61</v>
      </c>
      <c r="J34" s="3">
        <v>121</v>
      </c>
      <c r="K34" s="3">
        <v>46</v>
      </c>
      <c r="L34" s="3">
        <v>61</v>
      </c>
      <c r="M34" s="3">
        <v>136</v>
      </c>
      <c r="N34" s="3">
        <v>76</v>
      </c>
      <c r="O34" s="3">
        <v>107</v>
      </c>
      <c r="P34" s="3">
        <v>135</v>
      </c>
      <c r="Q34" s="51">
        <v>2106.17</v>
      </c>
      <c r="R34" s="50" t="s">
        <v>83</v>
      </c>
      <c r="S34" s="15"/>
      <c r="T34" s="51">
        <f>Q34</f>
        <v>2106.17</v>
      </c>
      <c r="U34" s="4" t="str">
        <f>'AEP TX 451 Pro forma'!H37</f>
        <v>as calculated</v>
      </c>
      <c r="V34" s="51">
        <v>0</v>
      </c>
      <c r="W34" s="4"/>
      <c r="Z34" s="101"/>
    </row>
    <row r="35" spans="2:26" s="1" customFormat="1" ht="12.75" x14ac:dyDescent="0.2">
      <c r="B35" s="2" t="s">
        <v>46</v>
      </c>
      <c r="C35" s="2" t="s">
        <v>37</v>
      </c>
      <c r="D35" s="2" t="s">
        <v>38</v>
      </c>
      <c r="E35" s="3" t="s">
        <v>21</v>
      </c>
      <c r="F35" s="3" t="s">
        <v>21</v>
      </c>
      <c r="G35" s="3" t="s">
        <v>21</v>
      </c>
      <c r="H35" s="3">
        <v>16</v>
      </c>
      <c r="I35" s="3" t="s">
        <v>21</v>
      </c>
      <c r="J35" s="3">
        <v>0</v>
      </c>
      <c r="K35" s="3">
        <v>0</v>
      </c>
      <c r="L35" s="3">
        <v>0</v>
      </c>
      <c r="M35" s="3">
        <v>16</v>
      </c>
      <c r="N35" s="3" t="s">
        <v>21</v>
      </c>
      <c r="O35" s="3" t="s">
        <v>21</v>
      </c>
      <c r="P35" s="3">
        <v>16</v>
      </c>
      <c r="Q35" s="51">
        <v>48</v>
      </c>
      <c r="R35" s="50">
        <v>16</v>
      </c>
      <c r="S35" s="15">
        <v>3</v>
      </c>
      <c r="T35" s="51">
        <f>R35*S35</f>
        <v>48</v>
      </c>
      <c r="U35" s="50">
        <f>'AEP TX 451 Pro forma'!H38</f>
        <v>40</v>
      </c>
      <c r="V35" s="51">
        <f>(U35*S35)-T35</f>
        <v>72</v>
      </c>
      <c r="W35" s="4"/>
    </row>
    <row r="36" spans="2:26" s="1" customFormat="1" ht="12.75" x14ac:dyDescent="0.2">
      <c r="B36" s="2" t="s">
        <v>46</v>
      </c>
      <c r="C36" s="2" t="s">
        <v>39</v>
      </c>
      <c r="D36" s="2" t="s">
        <v>40</v>
      </c>
      <c r="E36" s="3">
        <v>13898</v>
      </c>
      <c r="F36" s="3">
        <v>6972</v>
      </c>
      <c r="G36" s="3">
        <v>8964</v>
      </c>
      <c r="H36" s="3">
        <v>6981</v>
      </c>
      <c r="I36" s="3">
        <v>7663</v>
      </c>
      <c r="J36" s="3">
        <v>8516</v>
      </c>
      <c r="K36" s="3">
        <v>10075</v>
      </c>
      <c r="L36" s="3">
        <v>5328</v>
      </c>
      <c r="M36" s="3">
        <v>7630</v>
      </c>
      <c r="N36" s="3">
        <v>7024</v>
      </c>
      <c r="O36" s="3">
        <v>8005</v>
      </c>
      <c r="P36" s="3">
        <v>3696</v>
      </c>
      <c r="Q36" s="51">
        <v>94752</v>
      </c>
      <c r="R36" s="50"/>
      <c r="S36" s="15"/>
      <c r="T36" s="51"/>
      <c r="U36" s="4"/>
      <c r="V36" s="51"/>
      <c r="W36" s="4"/>
    </row>
    <row r="37" spans="2:26" s="1" customFormat="1" ht="12.75" x14ac:dyDescent="0.2">
      <c r="B37" s="2"/>
      <c r="C37" s="2"/>
      <c r="D37" s="13" t="s">
        <v>70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1"/>
      <c r="R37" s="50">
        <v>70</v>
      </c>
      <c r="S37" s="15">
        <f>514+12+5-12+2</f>
        <v>521</v>
      </c>
      <c r="T37" s="51">
        <f>R37*S37</f>
        <v>36470</v>
      </c>
      <c r="U37" s="50">
        <f>'AEP TX 451 Pro forma'!H41</f>
        <v>81</v>
      </c>
      <c r="V37" s="51">
        <f>(U37*S37)-T37</f>
        <v>5731</v>
      </c>
      <c r="W37" s="4"/>
    </row>
    <row r="38" spans="2:26" s="1" customFormat="1" ht="12.75" x14ac:dyDescent="0.2">
      <c r="B38" s="2"/>
      <c r="C38" s="2"/>
      <c r="D38" s="13" t="s">
        <v>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1"/>
      <c r="R38" s="50">
        <v>134</v>
      </c>
      <c r="S38" s="15">
        <f>408+10-3</f>
        <v>415</v>
      </c>
      <c r="T38" s="51">
        <f>R38*S38</f>
        <v>55610</v>
      </c>
      <c r="U38" s="50">
        <f>'AEP TX 451 Pro forma'!H42</f>
        <v>110</v>
      </c>
      <c r="V38" s="51">
        <f>(U38*S38)-T38</f>
        <v>-9960</v>
      </c>
      <c r="W38" s="4"/>
    </row>
    <row r="39" spans="2:26" s="1" customFormat="1" ht="12.75" x14ac:dyDescent="0.2">
      <c r="B39" s="2"/>
      <c r="C39" s="2"/>
      <c r="D39" s="13" t="s">
        <v>65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1"/>
      <c r="R39" s="50">
        <v>134</v>
      </c>
      <c r="S39" s="15"/>
      <c r="T39" s="51"/>
      <c r="U39" s="50">
        <f>'AEP TX 451 Pro forma'!H43</f>
        <v>110</v>
      </c>
      <c r="V39" s="51">
        <v>0</v>
      </c>
      <c r="W39" s="4"/>
    </row>
    <row r="40" spans="2:26" s="1" customFormat="1" ht="12.75" x14ac:dyDescent="0.2">
      <c r="B40" s="2"/>
      <c r="C40" s="2"/>
      <c r="D40" s="1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1"/>
      <c r="R40" s="50">
        <v>167</v>
      </c>
      <c r="S40" s="15">
        <f>17-1</f>
        <v>16</v>
      </c>
      <c r="T40" s="51">
        <f>R40*S40</f>
        <v>2672</v>
      </c>
      <c r="U40" s="50">
        <f>'AEP TX 451 Pro forma'!H44</f>
        <v>140</v>
      </c>
      <c r="V40" s="51">
        <f>(U40*S40)-T40</f>
        <v>-432</v>
      </c>
      <c r="W40" s="4"/>
      <c r="X40" s="7"/>
      <c r="Y40" s="7"/>
    </row>
    <row r="41" spans="2:26" s="1" customFormat="1" ht="12.75" x14ac:dyDescent="0.2">
      <c r="B41" s="2" t="s">
        <v>46</v>
      </c>
      <c r="C41" s="2" t="s">
        <v>41</v>
      </c>
      <c r="D41" s="2" t="s">
        <v>42</v>
      </c>
      <c r="E41" s="3">
        <v>82496</v>
      </c>
      <c r="F41" s="3">
        <v>102782</v>
      </c>
      <c r="G41" s="3">
        <v>101821</v>
      </c>
      <c r="H41" s="3">
        <v>100738</v>
      </c>
      <c r="I41" s="3">
        <v>101798</v>
      </c>
      <c r="J41" s="3">
        <v>88064</v>
      </c>
      <c r="K41" s="3">
        <v>90396</v>
      </c>
      <c r="L41" s="3">
        <v>100787</v>
      </c>
      <c r="M41" s="3">
        <v>78192</v>
      </c>
      <c r="N41" s="3">
        <v>85937</v>
      </c>
      <c r="O41" s="3">
        <v>79810</v>
      </c>
      <c r="P41" s="3">
        <v>81445</v>
      </c>
      <c r="Q41" s="51">
        <v>1094266</v>
      </c>
      <c r="R41" s="50"/>
      <c r="S41" s="15"/>
      <c r="T41" s="51"/>
      <c r="U41" s="4"/>
      <c r="V41" s="51"/>
      <c r="W41" s="4"/>
    </row>
    <row r="42" spans="2:26" s="1" customFormat="1" ht="12.75" x14ac:dyDescent="0.2">
      <c r="B42" s="2"/>
      <c r="C42" s="2"/>
      <c r="D42" s="9" t="s">
        <v>57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1"/>
      <c r="R42" s="50">
        <v>301</v>
      </c>
      <c r="S42" s="15">
        <v>354</v>
      </c>
      <c r="T42" s="51">
        <f>R42*S42</f>
        <v>106554</v>
      </c>
      <c r="U42" s="50">
        <f>'AEP TX 451 Pro forma'!H47</f>
        <v>287</v>
      </c>
      <c r="V42" s="51">
        <f>(U42*S42)-T42</f>
        <v>-4956</v>
      </c>
      <c r="W42" s="4"/>
    </row>
    <row r="43" spans="2:26" s="1" customFormat="1" ht="12.75" x14ac:dyDescent="0.2">
      <c r="B43" s="2"/>
      <c r="C43" s="2"/>
      <c r="D43" s="9" t="s">
        <v>58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1"/>
      <c r="R43" s="50">
        <v>102</v>
      </c>
      <c r="S43" s="15">
        <f>24+633</f>
        <v>657</v>
      </c>
      <c r="T43" s="51">
        <f>R43*S43</f>
        <v>67014</v>
      </c>
      <c r="U43" s="50">
        <f>'AEP TX 451 Pro forma'!H48</f>
        <v>134</v>
      </c>
      <c r="V43" s="51">
        <f>(U43*S43)-T43</f>
        <v>21024</v>
      </c>
      <c r="W43" s="4"/>
    </row>
    <row r="44" spans="2:26" s="1" customFormat="1" ht="12.75" x14ac:dyDescent="0.2">
      <c r="B44" s="2"/>
      <c r="C44" s="2"/>
      <c r="D44" s="9" t="s">
        <v>59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1"/>
      <c r="R44" s="50">
        <v>152</v>
      </c>
      <c r="S44" s="15">
        <f>24+324</f>
        <v>348</v>
      </c>
      <c r="T44" s="51">
        <f>R44*S44</f>
        <v>52896</v>
      </c>
      <c r="U44" s="50">
        <f>'AEP TX 451 Pro forma'!H49</f>
        <v>171</v>
      </c>
      <c r="V44" s="51">
        <f>(U44*S44)-T44</f>
        <v>6612</v>
      </c>
      <c r="W44" s="4"/>
    </row>
    <row r="45" spans="2:26" s="1" customFormat="1" ht="12.75" x14ac:dyDescent="0.2">
      <c r="B45" s="2"/>
      <c r="C45" s="2"/>
      <c r="D45" s="19" t="s">
        <v>76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1"/>
      <c r="R45" s="50">
        <v>47</v>
      </c>
      <c r="S45" s="15">
        <f>17654+807+3</f>
        <v>18464</v>
      </c>
      <c r="T45" s="51">
        <f>R45*S45</f>
        <v>867808</v>
      </c>
      <c r="U45" s="50">
        <f>'AEP TX 451 Pro forma'!H50</f>
        <v>50</v>
      </c>
      <c r="V45" s="51">
        <f>(U45*S45)-T45</f>
        <v>55392</v>
      </c>
      <c r="W45" s="4"/>
      <c r="Y45" s="97"/>
      <c r="Z45" s="97"/>
    </row>
    <row r="46" spans="2:26" s="1" customFormat="1" ht="12.75" x14ac:dyDescent="0.2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51"/>
      <c r="W46" s="19"/>
    </row>
    <row r="47" spans="2:26" s="1" customFormat="1" ht="12.75" x14ac:dyDescent="0.2">
      <c r="B47" s="2" t="s">
        <v>46</v>
      </c>
      <c r="C47" s="19" t="s">
        <v>43</v>
      </c>
      <c r="D47" s="19" t="s">
        <v>44</v>
      </c>
      <c r="E47" s="19">
        <v>0</v>
      </c>
      <c r="F47" s="19">
        <v>207</v>
      </c>
      <c r="G47" s="19">
        <v>0</v>
      </c>
      <c r="H47" s="19">
        <v>1863</v>
      </c>
      <c r="I47" s="19">
        <v>0</v>
      </c>
      <c r="J47" s="19">
        <v>1242</v>
      </c>
      <c r="K47" s="19">
        <v>0</v>
      </c>
      <c r="L47" s="19">
        <v>207</v>
      </c>
      <c r="M47" s="19">
        <v>0</v>
      </c>
      <c r="N47" s="19">
        <v>207</v>
      </c>
      <c r="O47" s="19">
        <v>414</v>
      </c>
      <c r="P47" s="19">
        <v>1242</v>
      </c>
      <c r="Q47" s="51">
        <v>5382</v>
      </c>
      <c r="R47" s="50">
        <v>207</v>
      </c>
      <c r="S47" s="19"/>
      <c r="T47" s="51">
        <f>Q47</f>
        <v>5382</v>
      </c>
      <c r="U47" s="4" t="str">
        <f>'AEP TX 451 Pro forma'!H52</f>
        <v>removed</v>
      </c>
      <c r="V47" s="51">
        <f>-T47</f>
        <v>-5382</v>
      </c>
    </row>
    <row r="48" spans="2:26" s="1" customFormat="1" x14ac:dyDescent="0.25">
      <c r="B48" s="2" t="s">
        <v>46</v>
      </c>
      <c r="C48" s="19" t="s">
        <v>113</v>
      </c>
      <c r="D48" s="21" t="s">
        <v>71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 t="s">
        <v>72</v>
      </c>
      <c r="S48" s="15">
        <f>315*12</f>
        <v>3780</v>
      </c>
      <c r="T48" s="82" t="s">
        <v>112</v>
      </c>
      <c r="U48" s="50">
        <f>'AEP TX 451 Pro forma'!H53</f>
        <v>27</v>
      </c>
      <c r="V48" s="51">
        <f>(U48*S48)-T48</f>
        <v>102060</v>
      </c>
    </row>
    <row r="49" spans="2:23" s="1" customFormat="1" ht="12.75" x14ac:dyDescent="0.2">
      <c r="B49" s="19"/>
      <c r="C49" s="19"/>
      <c r="D49" s="19" t="s">
        <v>13</v>
      </c>
      <c r="E49" s="19">
        <v>162494.57</v>
      </c>
      <c r="F49" s="19">
        <v>168387.41</v>
      </c>
      <c r="G49" s="19">
        <v>173565.72</v>
      </c>
      <c r="H49" s="19">
        <v>169165.72</v>
      </c>
      <c r="I49" s="19">
        <v>163150.17000000001</v>
      </c>
      <c r="J49" s="19">
        <v>152519.51999999999</v>
      </c>
      <c r="K49" s="19">
        <v>154750.62</v>
      </c>
      <c r="L49" s="19">
        <v>171238.01</v>
      </c>
      <c r="M49" s="19">
        <v>144253.29</v>
      </c>
      <c r="N49" s="19">
        <v>161920.79999999999</v>
      </c>
      <c r="O49" s="19">
        <v>146521.78</v>
      </c>
      <c r="P49" s="19">
        <v>134314.56</v>
      </c>
      <c r="Q49" s="51">
        <v>1902282.17</v>
      </c>
      <c r="R49" s="51"/>
      <c r="S49" s="51"/>
      <c r="T49" s="51">
        <f>SUM(T5:T47)</f>
        <v>1902290.17</v>
      </c>
      <c r="U49" s="19"/>
      <c r="V49" s="51">
        <f>SUM(V5:V48)</f>
        <v>211403</v>
      </c>
      <c r="W49" s="7"/>
    </row>
    <row r="50" spans="2:23" s="1" customFormat="1" ht="12.75" x14ac:dyDescent="0.2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51"/>
    </row>
    <row r="51" spans="2:23" x14ac:dyDescent="0.25">
      <c r="R51" s="50"/>
      <c r="S51" s="15"/>
      <c r="T51" s="51"/>
      <c r="U51" s="4"/>
    </row>
  </sheetData>
  <printOptions horizontalCentered="1"/>
  <pageMargins left="0.7" right="0.7" top="0.75" bottom="0.75" header="0.3" footer="0.3"/>
  <pageSetup scale="54" orientation="portrait" r:id="rId1"/>
  <headerFooter>
    <oddHeader xml:space="preserve">&amp;CPUBLIC UTILITY COMMISSION OF TEXAS
AEP TEXAS INC
PROPOSED CHARGES FOR DISCRETIONARY SERVICES AND OTHER SERVICES
TEST YEAR ENDING 12/31/2018&amp;RSCHEDULE IV-J-2
ACCOUNT 451 PRO FORMA ADJUSTMENT
PAGE &amp;P OF &amp;N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48"/>
  <sheetViews>
    <sheetView showRowColHeaders="0" topLeftCell="A13" zoomScaleNormal="100" workbookViewId="0">
      <selection activeCell="Q4" sqref="Q4:V4"/>
    </sheetView>
  </sheetViews>
  <sheetFormatPr defaultRowHeight="15" x14ac:dyDescent="0.25"/>
  <cols>
    <col min="1" max="1" width="1" customWidth="1"/>
    <col min="2" max="2" width="5.5703125" customWidth="1"/>
    <col min="3" max="3" width="9.85546875" customWidth="1"/>
    <col min="4" max="4" width="42.85546875" customWidth="1"/>
    <col min="5" max="16" width="14.7109375" hidden="1" customWidth="1"/>
    <col min="17" max="17" width="14.7109375" style="52" customWidth="1"/>
    <col min="18" max="18" width="7.5703125" style="54" bestFit="1" customWidth="1"/>
    <col min="19" max="19" width="13.140625" style="11" customWidth="1"/>
    <col min="20" max="20" width="10.85546875" style="52" bestFit="1" customWidth="1"/>
  </cols>
  <sheetData>
    <row r="1" spans="2:23" s="1" customFormat="1" ht="12.75" x14ac:dyDescent="0.2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55"/>
      <c r="R1" s="53"/>
      <c r="S1" s="56"/>
      <c r="T1" s="55"/>
    </row>
    <row r="2" spans="2:23" s="1" customFormat="1" ht="12.75" x14ac:dyDescent="0.2">
      <c r="B2" s="9"/>
      <c r="C2" s="9"/>
      <c r="D2" s="9" t="s">
        <v>75</v>
      </c>
      <c r="E2" s="9" t="s">
        <v>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55"/>
      <c r="R2" s="53"/>
      <c r="S2" s="56"/>
      <c r="T2" s="55"/>
    </row>
    <row r="3" spans="2:23" s="1" customFormat="1" ht="12.75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55"/>
      <c r="R3" s="53"/>
      <c r="S3" s="56"/>
      <c r="T3" s="55"/>
    </row>
    <row r="4" spans="2:23" s="1" customFormat="1" ht="27.75" customHeight="1" x14ac:dyDescent="0.25">
      <c r="B4" s="20" t="s">
        <v>90</v>
      </c>
      <c r="C4" s="20" t="s">
        <v>78</v>
      </c>
      <c r="D4" s="20" t="s">
        <v>73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10</v>
      </c>
      <c r="O4" s="9" t="s">
        <v>11</v>
      </c>
      <c r="P4" s="9" t="s">
        <v>12</v>
      </c>
      <c r="Q4" s="103" t="s">
        <v>13</v>
      </c>
      <c r="R4" s="104" t="s">
        <v>91</v>
      </c>
      <c r="S4" s="105" t="s">
        <v>89</v>
      </c>
      <c r="T4" s="61"/>
      <c r="U4" s="106" t="s">
        <v>110</v>
      </c>
      <c r="V4" s="106" t="s">
        <v>111</v>
      </c>
    </row>
    <row r="5" spans="2:23" s="1" customFormat="1" ht="12.75" x14ac:dyDescent="0.2">
      <c r="B5" s="9" t="s">
        <v>14</v>
      </c>
      <c r="C5" s="9" t="s">
        <v>15</v>
      </c>
      <c r="D5" s="9" t="s">
        <v>16</v>
      </c>
      <c r="E5" s="9">
        <v>2068</v>
      </c>
      <c r="F5" s="9">
        <v>2244</v>
      </c>
      <c r="G5" s="9">
        <v>2376</v>
      </c>
      <c r="H5" s="9">
        <v>2244</v>
      </c>
      <c r="I5" s="9">
        <v>2156</v>
      </c>
      <c r="J5" s="9">
        <v>2112</v>
      </c>
      <c r="K5" s="9">
        <v>1848</v>
      </c>
      <c r="L5" s="9">
        <v>2816</v>
      </c>
      <c r="M5" s="9">
        <v>1188</v>
      </c>
      <c r="N5" s="9">
        <v>1892</v>
      </c>
      <c r="O5" s="9">
        <v>1979</v>
      </c>
      <c r="P5" s="9">
        <v>1936</v>
      </c>
      <c r="Q5" s="58">
        <v>24859</v>
      </c>
      <c r="R5" s="59">
        <v>44</v>
      </c>
      <c r="S5" s="60">
        <v>565</v>
      </c>
      <c r="T5" s="58">
        <f>R5*S5</f>
        <v>24860</v>
      </c>
      <c r="U5" s="62" t="str">
        <f>'AEP TX 451 Pro forma'!H5</f>
        <v>removed</v>
      </c>
      <c r="V5" s="63">
        <f>-T5</f>
        <v>-24860</v>
      </c>
    </row>
    <row r="6" spans="2:23" s="1" customFormat="1" ht="12.75" x14ac:dyDescent="0.2">
      <c r="B6" s="9" t="s">
        <v>14</v>
      </c>
      <c r="C6" s="9" t="s">
        <v>17</v>
      </c>
      <c r="D6" s="9" t="s">
        <v>18</v>
      </c>
      <c r="E6" s="9">
        <v>585</v>
      </c>
      <c r="F6" s="9">
        <v>975</v>
      </c>
      <c r="G6" s="9">
        <v>1235</v>
      </c>
      <c r="H6" s="9">
        <v>650</v>
      </c>
      <c r="I6" s="9">
        <v>910</v>
      </c>
      <c r="J6" s="9">
        <v>1040</v>
      </c>
      <c r="K6" s="9">
        <v>910</v>
      </c>
      <c r="L6" s="9">
        <v>1235</v>
      </c>
      <c r="M6" s="9">
        <v>1235</v>
      </c>
      <c r="N6" s="9">
        <v>975</v>
      </c>
      <c r="O6" s="9">
        <v>585</v>
      </c>
      <c r="P6" s="9">
        <v>845</v>
      </c>
      <c r="Q6" s="55">
        <v>11180</v>
      </c>
      <c r="R6" s="53">
        <v>65</v>
      </c>
      <c r="S6" s="56">
        <v>172</v>
      </c>
      <c r="T6" s="55">
        <f>R6*S6</f>
        <v>11180</v>
      </c>
      <c r="U6" s="53">
        <f>'AEP TX 451 Pro forma'!H6</f>
        <v>29</v>
      </c>
      <c r="V6" s="51">
        <f>(U6*S6)-T6</f>
        <v>-6192</v>
      </c>
    </row>
    <row r="7" spans="2:23" s="1" customFormat="1" ht="12.75" x14ac:dyDescent="0.2">
      <c r="B7" s="9" t="s">
        <v>14</v>
      </c>
      <c r="C7" s="9" t="s">
        <v>19</v>
      </c>
      <c r="D7" s="9" t="s">
        <v>20</v>
      </c>
      <c r="E7" s="9" t="s">
        <v>21</v>
      </c>
      <c r="F7" s="9">
        <v>0</v>
      </c>
      <c r="G7" s="9" t="s">
        <v>21</v>
      </c>
      <c r="H7" s="9" t="s">
        <v>21</v>
      </c>
      <c r="I7" s="9">
        <v>62</v>
      </c>
      <c r="J7" s="9" t="s">
        <v>21</v>
      </c>
      <c r="K7" s="9" t="s">
        <v>21</v>
      </c>
      <c r="L7" s="9" t="s">
        <v>21</v>
      </c>
      <c r="M7" s="9" t="s">
        <v>21</v>
      </c>
      <c r="N7" s="9">
        <v>174</v>
      </c>
      <c r="O7" s="9" t="s">
        <v>21</v>
      </c>
      <c r="P7" s="9" t="s">
        <v>21</v>
      </c>
      <c r="Q7" s="55">
        <v>236</v>
      </c>
      <c r="R7" s="53" t="s">
        <v>83</v>
      </c>
      <c r="S7" s="56">
        <v>4</v>
      </c>
      <c r="T7" s="55">
        <f>Q7</f>
        <v>236</v>
      </c>
      <c r="U7" s="53">
        <v>0</v>
      </c>
      <c r="V7" s="51">
        <v>0</v>
      </c>
    </row>
    <row r="8" spans="2:23" s="1" customFormat="1" ht="12.75" x14ac:dyDescent="0.2">
      <c r="B8" s="9" t="s">
        <v>14</v>
      </c>
      <c r="C8" s="9" t="s">
        <v>22</v>
      </c>
      <c r="D8" s="9" t="s">
        <v>23</v>
      </c>
      <c r="E8" s="9">
        <v>1672</v>
      </c>
      <c r="F8" s="9">
        <v>1658</v>
      </c>
      <c r="G8" s="9">
        <v>1648</v>
      </c>
      <c r="H8" s="9">
        <v>2024</v>
      </c>
      <c r="I8" s="9">
        <v>1258</v>
      </c>
      <c r="J8" s="9">
        <v>1229</v>
      </c>
      <c r="K8" s="9">
        <v>1659</v>
      </c>
      <c r="L8" s="9">
        <v>1816</v>
      </c>
      <c r="M8" s="9">
        <v>1616</v>
      </c>
      <c r="N8" s="9">
        <v>1932</v>
      </c>
      <c r="O8" s="9">
        <v>1865</v>
      </c>
      <c r="P8" s="9">
        <v>1553</v>
      </c>
      <c r="Q8" s="55">
        <v>19930</v>
      </c>
      <c r="R8" s="53"/>
      <c r="S8" s="56"/>
      <c r="T8" s="55"/>
      <c r="U8" s="4"/>
    </row>
    <row r="9" spans="2:23" s="1" customFormat="1" ht="12.75" x14ac:dyDescent="0.2">
      <c r="B9" s="9"/>
      <c r="C9" s="9"/>
      <c r="D9" s="9" t="s">
        <v>53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55"/>
      <c r="R9" s="53">
        <v>13</v>
      </c>
      <c r="S9" s="56">
        <f>524+128+128+2+120+4+124+1+1+55+30+14+16+10+5</f>
        <v>1162</v>
      </c>
      <c r="T9" s="55">
        <f>R9*S9</f>
        <v>15106</v>
      </c>
      <c r="U9" s="4" t="str">
        <f>'AEP TX 451 Pro forma'!H10</f>
        <v>removed</v>
      </c>
      <c r="V9" s="7">
        <f>-T9</f>
        <v>-15106</v>
      </c>
    </row>
    <row r="10" spans="2:23" s="1" customFormat="1" ht="12.75" x14ac:dyDescent="0.2">
      <c r="B10" s="9"/>
      <c r="C10" s="9"/>
      <c r="D10" s="9" t="s">
        <v>54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55"/>
      <c r="R10" s="53">
        <v>22</v>
      </c>
      <c r="S10" s="56">
        <v>2</v>
      </c>
      <c r="T10" s="55">
        <f>R10*S10</f>
        <v>44</v>
      </c>
      <c r="U10" s="4" t="str">
        <f>'AEP TX 451 Pro forma'!H11</f>
        <v>removed</v>
      </c>
      <c r="V10" s="7">
        <f>-T10</f>
        <v>-44</v>
      </c>
    </row>
    <row r="11" spans="2:23" s="1" customFormat="1" ht="12.75" x14ac:dyDescent="0.2">
      <c r="B11" s="9"/>
      <c r="C11" s="9"/>
      <c r="D11" s="9" t="s">
        <v>55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55"/>
      <c r="R11" s="53">
        <v>20</v>
      </c>
      <c r="S11" s="56">
        <f>221+2+6+2+1+3+4</f>
        <v>239</v>
      </c>
      <c r="T11" s="55">
        <f>R11*S11</f>
        <v>4780</v>
      </c>
      <c r="U11" s="53">
        <f>'AEP TX 451 Pro forma'!H12</f>
        <v>25</v>
      </c>
      <c r="V11" s="51">
        <f>(U11*S11)-T11</f>
        <v>1195</v>
      </c>
    </row>
    <row r="12" spans="2:23" s="1" customFormat="1" ht="12.75" x14ac:dyDescent="0.2">
      <c r="B12" s="9"/>
      <c r="C12" s="9"/>
      <c r="D12" s="9" t="s">
        <v>56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55"/>
      <c r="R12" s="53">
        <v>32</v>
      </c>
      <c r="S12" s="56"/>
      <c r="T12" s="55">
        <f>R12*S12</f>
        <v>0</v>
      </c>
      <c r="U12" s="53">
        <f>'AEP TX 451 Pro forma'!H13</f>
        <v>33</v>
      </c>
      <c r="V12" s="51">
        <f>(U12*S12)-T12</f>
        <v>0</v>
      </c>
      <c r="W12" s="7"/>
    </row>
    <row r="13" spans="2:23" s="1" customFormat="1" ht="12.75" x14ac:dyDescent="0.2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55"/>
      <c r="R13" s="53"/>
      <c r="S13" s="56"/>
      <c r="T13" s="55"/>
      <c r="U13" s="4"/>
    </row>
    <row r="14" spans="2:23" s="1" customFormat="1" ht="12.75" x14ac:dyDescent="0.2">
      <c r="B14" s="9" t="s">
        <v>14</v>
      </c>
      <c r="C14" s="9" t="s">
        <v>24</v>
      </c>
      <c r="D14" s="9" t="s">
        <v>25</v>
      </c>
      <c r="E14" s="9">
        <v>2627.43</v>
      </c>
      <c r="F14" s="9">
        <v>3824.12</v>
      </c>
      <c r="G14" s="9">
        <v>2878.71</v>
      </c>
      <c r="H14" s="9">
        <v>2144.67</v>
      </c>
      <c r="I14" s="9">
        <v>2405.1799999999998</v>
      </c>
      <c r="J14" s="9">
        <v>3650.81</v>
      </c>
      <c r="K14" s="9">
        <v>3052.17</v>
      </c>
      <c r="L14" s="9">
        <v>5079.26</v>
      </c>
      <c r="M14" s="9">
        <v>2051.85</v>
      </c>
      <c r="N14" s="9">
        <v>3491.38</v>
      </c>
      <c r="O14" s="9">
        <v>1387.24</v>
      </c>
      <c r="P14" s="9">
        <v>2443.2399999999998</v>
      </c>
      <c r="Q14" s="55">
        <v>35036.06</v>
      </c>
      <c r="R14" s="53" t="s">
        <v>52</v>
      </c>
      <c r="S14" s="56">
        <v>84</v>
      </c>
      <c r="T14" s="55">
        <f>Q14</f>
        <v>35036.06</v>
      </c>
      <c r="U14" s="4" t="str">
        <f>'AEP TX 451 Pro forma'!H15</f>
        <v>as calculated</v>
      </c>
      <c r="V14" s="51">
        <v>0</v>
      </c>
    </row>
    <row r="15" spans="2:23" s="1" customFormat="1" ht="12.75" x14ac:dyDescent="0.2">
      <c r="B15" s="9" t="s">
        <v>14</v>
      </c>
      <c r="C15" s="9" t="s">
        <v>26</v>
      </c>
      <c r="D15" s="9" t="s">
        <v>27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55">
        <v>0</v>
      </c>
      <c r="R15" s="53" t="s">
        <v>52</v>
      </c>
      <c r="S15" s="56"/>
      <c r="T15" s="55">
        <f>Q15</f>
        <v>0</v>
      </c>
      <c r="U15" s="4" t="str">
        <f>'AEP TX 451 Pro forma'!H16</f>
        <v>as calculated</v>
      </c>
      <c r="V15" s="51">
        <v>0</v>
      </c>
    </row>
    <row r="16" spans="2:23" s="1" customFormat="1" ht="12.75" x14ac:dyDescent="0.2">
      <c r="B16" s="9" t="s">
        <v>14</v>
      </c>
      <c r="C16" s="9" t="s">
        <v>28</v>
      </c>
      <c r="D16" s="9" t="s">
        <v>84</v>
      </c>
      <c r="E16" s="9">
        <v>972</v>
      </c>
      <c r="F16" s="9">
        <v>972</v>
      </c>
      <c r="G16" s="9">
        <v>936</v>
      </c>
      <c r="H16" s="9">
        <v>936</v>
      </c>
      <c r="I16" s="9">
        <v>936</v>
      </c>
      <c r="J16" s="9">
        <v>936</v>
      </c>
      <c r="K16" s="9">
        <v>936</v>
      </c>
      <c r="L16" s="9">
        <v>1008</v>
      </c>
      <c r="M16" s="9">
        <v>936</v>
      </c>
      <c r="N16" s="9">
        <v>900</v>
      </c>
      <c r="O16" s="9">
        <v>936</v>
      </c>
      <c r="P16" s="9">
        <v>900</v>
      </c>
      <c r="Q16" s="55">
        <v>11304</v>
      </c>
      <c r="R16" s="53">
        <v>36</v>
      </c>
      <c r="S16" s="56">
        <v>314</v>
      </c>
      <c r="T16" s="55">
        <f>R16*S16</f>
        <v>11304</v>
      </c>
      <c r="U16" s="53">
        <f>'AEP TX 451 Pro forma'!H17</f>
        <v>40</v>
      </c>
      <c r="V16" s="51">
        <f>(U16*S16)-T16</f>
        <v>1256</v>
      </c>
    </row>
    <row r="17" spans="2:25" s="1" customFormat="1" ht="12.75" x14ac:dyDescent="0.2">
      <c r="B17" s="9" t="s">
        <v>14</v>
      </c>
      <c r="C17" s="9" t="s">
        <v>29</v>
      </c>
      <c r="D17" s="9" t="s">
        <v>30</v>
      </c>
      <c r="E17" s="9">
        <v>3728</v>
      </c>
      <c r="F17" s="9">
        <v>3619</v>
      </c>
      <c r="G17" s="9">
        <v>3825</v>
      </c>
      <c r="H17" s="9">
        <v>2542</v>
      </c>
      <c r="I17" s="9">
        <v>2449</v>
      </c>
      <c r="J17" s="9">
        <v>2317</v>
      </c>
      <c r="K17" s="9">
        <v>3339</v>
      </c>
      <c r="L17" s="9">
        <v>3411</v>
      </c>
      <c r="M17" s="9">
        <v>3624</v>
      </c>
      <c r="N17" s="9">
        <v>4621</v>
      </c>
      <c r="O17" s="9">
        <v>2643</v>
      </c>
      <c r="P17" s="9">
        <v>2428</v>
      </c>
      <c r="Q17" s="55">
        <v>38546</v>
      </c>
      <c r="R17" s="53"/>
      <c r="S17" s="56"/>
      <c r="T17" s="55"/>
      <c r="U17" s="53"/>
    </row>
    <row r="18" spans="2:25" s="1" customFormat="1" ht="12.75" x14ac:dyDescent="0.2">
      <c r="B18" s="9"/>
      <c r="C18" s="9"/>
      <c r="D18" s="9" t="s">
        <v>60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5"/>
      <c r="R18" s="53">
        <v>21</v>
      </c>
      <c r="S18" s="56">
        <v>496</v>
      </c>
      <c r="T18" s="55">
        <f>R18*S18</f>
        <v>10416</v>
      </c>
      <c r="U18" s="50">
        <f>'AEP TX 451 Pro forma'!H20</f>
        <v>32</v>
      </c>
      <c r="V18" s="51">
        <f>(U18*S18)-T18</f>
        <v>5456</v>
      </c>
    </row>
    <row r="19" spans="2:25" s="1" customFormat="1" ht="12.75" x14ac:dyDescent="0.2">
      <c r="B19" s="9"/>
      <c r="C19" s="9"/>
      <c r="D19" s="9" t="s">
        <v>61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55"/>
      <c r="R19" s="53">
        <v>58</v>
      </c>
      <c r="S19" s="56">
        <v>61</v>
      </c>
      <c r="T19" s="55">
        <f>R19*S19</f>
        <v>3538</v>
      </c>
      <c r="U19" s="50">
        <f>'AEP TX 451 Pro forma'!H21</f>
        <v>72</v>
      </c>
      <c r="V19" s="51">
        <f>(U19*S19)-T19</f>
        <v>854</v>
      </c>
    </row>
    <row r="20" spans="2:25" s="1" customFormat="1" ht="12.75" x14ac:dyDescent="0.2">
      <c r="B20" s="9"/>
      <c r="C20" s="9"/>
      <c r="D20" s="9" t="s">
        <v>62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55"/>
      <c r="R20" s="53">
        <v>58</v>
      </c>
      <c r="S20" s="56">
        <v>424</v>
      </c>
      <c r="T20" s="55">
        <f>R20*S20</f>
        <v>24592</v>
      </c>
      <c r="U20" s="50">
        <f>'AEP TX 451 Pro forma'!H22</f>
        <v>72</v>
      </c>
      <c r="V20" s="51">
        <f>(U20*S20)-T20</f>
        <v>5936</v>
      </c>
      <c r="X20" s="7"/>
      <c r="Y20" s="7"/>
    </row>
    <row r="21" spans="2:25" s="1" customFormat="1" ht="12.75" x14ac:dyDescent="0.2">
      <c r="B21" s="9" t="s">
        <v>14</v>
      </c>
      <c r="C21" s="9" t="s">
        <v>31</v>
      </c>
      <c r="D21" s="9" t="s">
        <v>32</v>
      </c>
      <c r="E21" s="9">
        <v>1265</v>
      </c>
      <c r="F21" s="9">
        <v>1838</v>
      </c>
      <c r="G21" s="9">
        <v>1286</v>
      </c>
      <c r="H21" s="9">
        <v>793</v>
      </c>
      <c r="I21" s="9">
        <v>731</v>
      </c>
      <c r="J21" s="9">
        <v>878</v>
      </c>
      <c r="K21" s="9">
        <v>1439</v>
      </c>
      <c r="L21" s="9">
        <v>1210</v>
      </c>
      <c r="M21" s="9">
        <v>1081</v>
      </c>
      <c r="N21" s="9">
        <v>1358</v>
      </c>
      <c r="O21" s="9">
        <v>1306</v>
      </c>
      <c r="P21" s="9">
        <v>1493</v>
      </c>
      <c r="Q21" s="55">
        <v>14678</v>
      </c>
      <c r="R21" s="53"/>
      <c r="S21" s="56"/>
      <c r="T21" s="55"/>
      <c r="U21" s="4"/>
    </row>
    <row r="22" spans="2:25" s="1" customFormat="1" ht="12.75" x14ac:dyDescent="0.2">
      <c r="B22" s="9"/>
      <c r="C22" s="9"/>
      <c r="D22" s="2" t="s">
        <v>67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55"/>
      <c r="R22" s="53"/>
      <c r="S22" s="56"/>
      <c r="T22" s="55"/>
      <c r="U22" s="50"/>
    </row>
    <row r="23" spans="2:25" s="1" customFormat="1" ht="12.75" x14ac:dyDescent="0.2">
      <c r="B23" s="9"/>
      <c r="C23" s="9"/>
      <c r="D23" s="9" t="s">
        <v>63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55"/>
      <c r="R23" s="53">
        <v>11</v>
      </c>
      <c r="S23" s="56">
        <f>127+28+28+18+12+2+5+4+3+11+1+1+21</f>
        <v>261</v>
      </c>
      <c r="T23" s="55">
        <f>R23*S23</f>
        <v>2871</v>
      </c>
      <c r="U23" s="50">
        <f>'Central Discretionary Fees'!U23</f>
        <v>49</v>
      </c>
      <c r="V23" s="51">
        <f>(U23*S23)-T23</f>
        <v>9918</v>
      </c>
    </row>
    <row r="24" spans="2:25" s="1" customFormat="1" ht="12.75" x14ac:dyDescent="0.2">
      <c r="B24" s="9"/>
      <c r="C24" s="9"/>
      <c r="D24" s="9" t="s">
        <v>64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5"/>
      <c r="R24" s="53">
        <v>39</v>
      </c>
      <c r="S24" s="56">
        <f>11+2+3</f>
        <v>16</v>
      </c>
      <c r="T24" s="55">
        <f>R24*S24</f>
        <v>624</v>
      </c>
      <c r="U24" s="50">
        <f>'Central Discretionary Fees'!U24</f>
        <v>69</v>
      </c>
      <c r="V24" s="51">
        <f>(U24*S24)-T24</f>
        <v>480</v>
      </c>
    </row>
    <row r="25" spans="2:25" s="1" customFormat="1" ht="12.75" x14ac:dyDescent="0.2">
      <c r="B25" s="9"/>
      <c r="C25" s="9"/>
      <c r="D25" s="9" t="s">
        <v>65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55"/>
      <c r="R25" s="53">
        <v>53</v>
      </c>
      <c r="S25" s="56">
        <f>13+4+2</f>
        <v>19</v>
      </c>
      <c r="T25" s="55">
        <f>R25*S25</f>
        <v>1007</v>
      </c>
      <c r="U25" s="50">
        <f>'Central Discretionary Fees'!U25</f>
        <v>86</v>
      </c>
      <c r="V25" s="51">
        <f>(U25*S25)-T25</f>
        <v>627</v>
      </c>
    </row>
    <row r="26" spans="2:25" s="1" customFormat="1" ht="12.75" x14ac:dyDescent="0.2">
      <c r="B26" s="9"/>
      <c r="C26" s="9"/>
      <c r="D26" s="9" t="s">
        <v>66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55"/>
      <c r="R26" s="53">
        <v>66</v>
      </c>
      <c r="S26" s="56"/>
      <c r="T26" s="55">
        <f>R26*S26</f>
        <v>0</v>
      </c>
      <c r="U26" s="50">
        <f>'Central Discretionary Fees'!U26</f>
        <v>125</v>
      </c>
      <c r="V26" s="51">
        <f>(U26*S26)-T26</f>
        <v>0</v>
      </c>
    </row>
    <row r="27" spans="2:25" s="1" customFormat="1" ht="12.75" x14ac:dyDescent="0.2">
      <c r="B27" s="9"/>
      <c r="C27" s="9"/>
      <c r="D27" s="9" t="s">
        <v>68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55"/>
      <c r="R27" s="53"/>
      <c r="S27" s="56"/>
      <c r="T27" s="55"/>
      <c r="U27" s="50"/>
    </row>
    <row r="28" spans="2:25" s="1" customFormat="1" ht="12.75" x14ac:dyDescent="0.2">
      <c r="B28" s="9"/>
      <c r="C28" s="9"/>
      <c r="D28" s="9" t="s">
        <v>63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55"/>
      <c r="R28" s="53">
        <v>58</v>
      </c>
      <c r="S28" s="56">
        <f>114+3+2+22+9+2</f>
        <v>152</v>
      </c>
      <c r="T28" s="55">
        <f>R28*S28</f>
        <v>8816</v>
      </c>
      <c r="U28" s="50">
        <f>'Central Discretionary Fees'!U28</f>
        <v>98</v>
      </c>
      <c r="V28" s="51">
        <f>(U28*S28)-T28</f>
        <v>6080</v>
      </c>
    </row>
    <row r="29" spans="2:25" s="1" customFormat="1" ht="12.75" x14ac:dyDescent="0.2">
      <c r="B29" s="9"/>
      <c r="C29" s="9"/>
      <c r="D29" s="9" t="s">
        <v>64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5"/>
      <c r="R29" s="53">
        <v>110</v>
      </c>
      <c r="S29" s="56">
        <f>8+3</f>
        <v>11</v>
      </c>
      <c r="T29" s="55">
        <f>R29*S29</f>
        <v>1210</v>
      </c>
      <c r="U29" s="50">
        <f>'Central Discretionary Fees'!U29</f>
        <v>134</v>
      </c>
      <c r="V29" s="51">
        <f>(U29*S29)-T29</f>
        <v>264</v>
      </c>
    </row>
    <row r="30" spans="2:25" s="1" customFormat="1" ht="12.75" x14ac:dyDescent="0.2">
      <c r="B30" s="9"/>
      <c r="C30" s="9"/>
      <c r="D30" s="9" t="s">
        <v>65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55"/>
      <c r="R30" s="53">
        <v>110</v>
      </c>
      <c r="S30" s="56"/>
      <c r="T30" s="55">
        <f>R30*S30</f>
        <v>0</v>
      </c>
      <c r="U30" s="50">
        <f>'Central Discretionary Fees'!U30</f>
        <v>134</v>
      </c>
      <c r="V30" s="51">
        <f>(U30*S30)-T30</f>
        <v>0</v>
      </c>
    </row>
    <row r="31" spans="2:25" s="1" customFormat="1" ht="12.75" x14ac:dyDescent="0.2">
      <c r="B31" s="9"/>
      <c r="C31" s="9"/>
      <c r="D31" s="9" t="s">
        <v>66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55"/>
      <c r="R31" s="53">
        <v>136</v>
      </c>
      <c r="S31" s="56">
        <v>1</v>
      </c>
      <c r="T31" s="55">
        <f>R31*S31</f>
        <v>136</v>
      </c>
      <c r="U31" s="50">
        <f>'Central Discretionary Fees'!U31</f>
        <v>170</v>
      </c>
      <c r="V31" s="51">
        <f>(U31*S31)-T31</f>
        <v>34</v>
      </c>
      <c r="W31" s="7"/>
      <c r="X31" s="7"/>
      <c r="Y31" s="102"/>
    </row>
    <row r="32" spans="2:25" s="1" customFormat="1" ht="12.75" x14ac:dyDescent="0.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55"/>
      <c r="R32" s="53"/>
      <c r="S32" s="56"/>
      <c r="T32" s="55"/>
      <c r="U32" s="4"/>
    </row>
    <row r="33" spans="2:25" s="1" customFormat="1" ht="12.75" x14ac:dyDescent="0.2">
      <c r="B33" s="9" t="s">
        <v>14</v>
      </c>
      <c r="C33" s="9" t="s">
        <v>33</v>
      </c>
      <c r="D33" s="9" t="s">
        <v>34</v>
      </c>
      <c r="E33" s="9" t="s">
        <v>21</v>
      </c>
      <c r="F33" s="9">
        <v>150</v>
      </c>
      <c r="G33" s="9">
        <v>1050</v>
      </c>
      <c r="H33" s="9">
        <v>825</v>
      </c>
      <c r="I33" s="9" t="s">
        <v>21</v>
      </c>
      <c r="J33" s="9" t="s">
        <v>21</v>
      </c>
      <c r="K33" s="9">
        <v>750</v>
      </c>
      <c r="L33" s="9">
        <v>525</v>
      </c>
      <c r="M33" s="9">
        <v>525</v>
      </c>
      <c r="N33" s="9">
        <v>697</v>
      </c>
      <c r="O33" s="9">
        <v>825</v>
      </c>
      <c r="P33" s="9">
        <v>150</v>
      </c>
      <c r="Q33" s="55">
        <v>5497</v>
      </c>
      <c r="R33" s="53" t="s">
        <v>83</v>
      </c>
      <c r="S33" s="56">
        <v>72</v>
      </c>
      <c r="T33" s="55">
        <f>Q33</f>
        <v>5497</v>
      </c>
      <c r="U33" s="4" t="str">
        <f>'AEP TX 451 Pro forma'!H36</f>
        <v>as calculated</v>
      </c>
      <c r="V33" s="1">
        <v>0</v>
      </c>
    </row>
    <row r="34" spans="2:25" s="1" customFormat="1" ht="12.75" x14ac:dyDescent="0.2">
      <c r="B34" s="9" t="s">
        <v>14</v>
      </c>
      <c r="C34" s="9" t="s">
        <v>35</v>
      </c>
      <c r="D34" s="9" t="s">
        <v>36</v>
      </c>
      <c r="E34" s="9">
        <v>15</v>
      </c>
      <c r="F34" s="9" t="s">
        <v>21</v>
      </c>
      <c r="G34" s="9">
        <v>30</v>
      </c>
      <c r="H34" s="9">
        <v>45</v>
      </c>
      <c r="I34" s="9">
        <v>120</v>
      </c>
      <c r="J34" s="9">
        <v>30</v>
      </c>
      <c r="K34" s="9">
        <v>45</v>
      </c>
      <c r="L34" s="9">
        <v>105</v>
      </c>
      <c r="M34" s="9">
        <v>105</v>
      </c>
      <c r="N34" s="9">
        <v>75</v>
      </c>
      <c r="O34" s="9">
        <v>75</v>
      </c>
      <c r="P34" s="9">
        <v>60</v>
      </c>
      <c r="Q34" s="55">
        <v>705</v>
      </c>
      <c r="R34" s="53" t="s">
        <v>83</v>
      </c>
      <c r="S34" s="56">
        <v>39</v>
      </c>
      <c r="T34" s="55">
        <f>Q34</f>
        <v>705</v>
      </c>
      <c r="U34" s="4" t="str">
        <f>'AEP TX 451 Pro forma'!H37</f>
        <v>as calculated</v>
      </c>
      <c r="V34" s="1">
        <v>0</v>
      </c>
    </row>
    <row r="35" spans="2:25" s="1" customFormat="1" ht="12.75" x14ac:dyDescent="0.2">
      <c r="B35" s="9" t="s">
        <v>14</v>
      </c>
      <c r="C35" s="9" t="s">
        <v>37</v>
      </c>
      <c r="D35" s="9" t="s">
        <v>38</v>
      </c>
      <c r="E35" s="9" t="s">
        <v>21</v>
      </c>
      <c r="F35" s="9" t="s">
        <v>21</v>
      </c>
      <c r="G35" s="9" t="s">
        <v>21</v>
      </c>
      <c r="H35" s="9" t="s">
        <v>21</v>
      </c>
      <c r="I35" s="9" t="s">
        <v>21</v>
      </c>
      <c r="J35" s="9" t="s">
        <v>21</v>
      </c>
      <c r="K35" s="9">
        <v>0</v>
      </c>
      <c r="L35" s="9" t="s">
        <v>21</v>
      </c>
      <c r="M35" s="9" t="s">
        <v>21</v>
      </c>
      <c r="N35" s="9" t="s">
        <v>21</v>
      </c>
      <c r="O35" s="9">
        <v>16</v>
      </c>
      <c r="P35" s="9">
        <v>0</v>
      </c>
      <c r="Q35" s="55">
        <v>16</v>
      </c>
      <c r="R35" s="53">
        <v>16</v>
      </c>
      <c r="S35" s="56">
        <v>1</v>
      </c>
      <c r="T35" s="55">
        <f>Q35</f>
        <v>16</v>
      </c>
      <c r="U35" s="50">
        <f>'AEP TX 451 Pro forma'!H38</f>
        <v>40</v>
      </c>
      <c r="V35" s="51">
        <f>(U35*S35)-T35</f>
        <v>24</v>
      </c>
    </row>
    <row r="36" spans="2:25" s="1" customFormat="1" ht="12.75" x14ac:dyDescent="0.2">
      <c r="B36" s="9" t="s">
        <v>14</v>
      </c>
      <c r="C36" s="9" t="s">
        <v>39</v>
      </c>
      <c r="D36" s="9" t="s">
        <v>40</v>
      </c>
      <c r="E36" s="9">
        <v>951</v>
      </c>
      <c r="F36" s="9">
        <v>1260</v>
      </c>
      <c r="G36" s="9">
        <v>360</v>
      </c>
      <c r="H36" s="9">
        <v>990</v>
      </c>
      <c r="I36" s="9">
        <v>1398</v>
      </c>
      <c r="J36" s="9">
        <v>1272</v>
      </c>
      <c r="K36" s="9">
        <v>1647</v>
      </c>
      <c r="L36" s="9">
        <v>642</v>
      </c>
      <c r="M36" s="9">
        <v>702</v>
      </c>
      <c r="N36" s="9">
        <v>498</v>
      </c>
      <c r="O36" s="9">
        <v>846</v>
      </c>
      <c r="P36" s="9">
        <v>492</v>
      </c>
      <c r="Q36" s="55">
        <v>11058</v>
      </c>
      <c r="R36" s="53"/>
      <c r="S36" s="56"/>
      <c r="T36" s="55"/>
      <c r="U36" s="4"/>
    </row>
    <row r="37" spans="2:25" s="1" customFormat="1" ht="12.75" x14ac:dyDescent="0.2">
      <c r="B37" s="9"/>
      <c r="C37" s="9"/>
      <c r="D37" s="9" t="s">
        <v>70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55"/>
      <c r="R37" s="53">
        <v>72</v>
      </c>
      <c r="S37" s="56">
        <f>75+2</f>
        <v>77</v>
      </c>
      <c r="T37" s="55">
        <f>R37*S37</f>
        <v>5544</v>
      </c>
      <c r="U37" s="50">
        <f>'AEP TX 451 Pro forma'!H41</f>
        <v>81</v>
      </c>
      <c r="V37" s="51">
        <f>(U37*S37)-T37</f>
        <v>693</v>
      </c>
    </row>
    <row r="38" spans="2:25" s="1" customFormat="1" ht="12.75" x14ac:dyDescent="0.2">
      <c r="B38" s="9"/>
      <c r="C38" s="9"/>
      <c r="D38" s="9" t="s">
        <v>69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55"/>
      <c r="R38" s="53">
        <v>138</v>
      </c>
      <c r="S38" s="56">
        <v>35</v>
      </c>
      <c r="T38" s="55">
        <f>R38*S38</f>
        <v>4830</v>
      </c>
      <c r="U38" s="50">
        <f>'AEP TX 451 Pro forma'!H42</f>
        <v>110</v>
      </c>
      <c r="V38" s="51">
        <f>(U38*S38)-T38</f>
        <v>-980</v>
      </c>
    </row>
    <row r="39" spans="2:25" s="1" customFormat="1" ht="12.75" x14ac:dyDescent="0.2">
      <c r="B39" s="9"/>
      <c r="C39" s="9"/>
      <c r="D39" s="9" t="s">
        <v>65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5"/>
      <c r="R39" s="53">
        <v>138</v>
      </c>
      <c r="S39" s="56"/>
      <c r="T39" s="55">
        <f>R39*S39</f>
        <v>0</v>
      </c>
      <c r="U39" s="50">
        <f>'AEP TX 451 Pro forma'!H43</f>
        <v>110</v>
      </c>
      <c r="V39" s="51">
        <f>(U39*S39)-T39</f>
        <v>0</v>
      </c>
    </row>
    <row r="40" spans="2:25" s="1" customFormat="1" ht="12.75" x14ac:dyDescent="0.2">
      <c r="B40" s="9"/>
      <c r="C40" s="9"/>
      <c r="D40" s="9" t="s">
        <v>66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55"/>
      <c r="R40" s="53">
        <v>171</v>
      </c>
      <c r="S40" s="56">
        <v>4</v>
      </c>
      <c r="T40" s="55">
        <f>R40*S40</f>
        <v>684</v>
      </c>
      <c r="U40" s="50">
        <f>'AEP TX 451 Pro forma'!H44</f>
        <v>140</v>
      </c>
      <c r="V40" s="51">
        <f>(U40*S40)-T40</f>
        <v>-124</v>
      </c>
      <c r="W40" s="7"/>
    </row>
    <row r="41" spans="2:25" s="1" customFormat="1" ht="12.75" x14ac:dyDescent="0.2">
      <c r="B41" s="9" t="s">
        <v>14</v>
      </c>
      <c r="C41" s="9" t="s">
        <v>41</v>
      </c>
      <c r="D41" s="9" t="s">
        <v>42</v>
      </c>
      <c r="E41" s="9">
        <v>18283</v>
      </c>
      <c r="F41" s="9">
        <v>19637</v>
      </c>
      <c r="G41" s="9">
        <v>26856</v>
      </c>
      <c r="H41" s="9">
        <v>23211</v>
      </c>
      <c r="I41" s="9">
        <v>31049</v>
      </c>
      <c r="J41" s="9">
        <v>23430</v>
      </c>
      <c r="K41" s="9">
        <v>24696</v>
      </c>
      <c r="L41" s="9">
        <v>27977</v>
      </c>
      <c r="M41" s="9">
        <v>30265</v>
      </c>
      <c r="N41" s="9">
        <v>19803</v>
      </c>
      <c r="O41" s="9">
        <v>18128</v>
      </c>
      <c r="P41" s="9">
        <v>21470</v>
      </c>
      <c r="Q41" s="55">
        <v>284805</v>
      </c>
      <c r="R41" s="53"/>
      <c r="S41" s="56"/>
      <c r="T41" s="55"/>
      <c r="U41" s="50"/>
    </row>
    <row r="42" spans="2:25" s="1" customFormat="1" ht="12.75" x14ac:dyDescent="0.2">
      <c r="B42" s="9"/>
      <c r="C42" s="9"/>
      <c r="D42" s="9" t="s">
        <v>57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55"/>
      <c r="R42" s="53">
        <v>305</v>
      </c>
      <c r="S42" s="56">
        <v>123</v>
      </c>
      <c r="T42" s="55">
        <f>R42*S42</f>
        <v>37515</v>
      </c>
      <c r="U42" s="50">
        <f>'AEP TX 451 Pro forma'!H47</f>
        <v>287</v>
      </c>
      <c r="V42" s="51">
        <f>(U42*S42)-T42</f>
        <v>-2214</v>
      </c>
    </row>
    <row r="43" spans="2:25" s="1" customFormat="1" ht="12.75" x14ac:dyDescent="0.2">
      <c r="B43" s="9"/>
      <c r="C43" s="9"/>
      <c r="D43" s="9" t="s">
        <v>58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55"/>
      <c r="R43" s="53">
        <v>110</v>
      </c>
      <c r="S43" s="56">
        <v>122</v>
      </c>
      <c r="T43" s="55">
        <f>R43*S43</f>
        <v>13420</v>
      </c>
      <c r="U43" s="50">
        <f>'AEP TX 451 Pro forma'!H48</f>
        <v>134</v>
      </c>
      <c r="V43" s="51">
        <f>(U43*S43)-T43</f>
        <v>2928</v>
      </c>
    </row>
    <row r="44" spans="2:25" s="1" customFormat="1" ht="12.75" x14ac:dyDescent="0.2">
      <c r="B44" s="9"/>
      <c r="C44" s="9"/>
      <c r="D44" s="9" t="s">
        <v>59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55"/>
      <c r="R44" s="53">
        <v>163</v>
      </c>
      <c r="S44" s="56">
        <v>96</v>
      </c>
      <c r="T44" s="55">
        <f>R44*S44</f>
        <v>15648</v>
      </c>
      <c r="U44" s="50">
        <f>'AEP TX 451 Pro forma'!H49</f>
        <v>171</v>
      </c>
      <c r="V44" s="51">
        <f>(U44*S44)-T44</f>
        <v>768</v>
      </c>
    </row>
    <row r="45" spans="2:25" s="1" customFormat="1" ht="12.75" x14ac:dyDescent="0.2">
      <c r="B45" s="19"/>
      <c r="C45" s="19"/>
      <c r="D45" s="19" t="s">
        <v>76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86"/>
      <c r="R45" s="87">
        <v>51</v>
      </c>
      <c r="S45" s="88">
        <f>4215+64</f>
        <v>4279</v>
      </c>
      <c r="T45" s="86">
        <f>R45*S45</f>
        <v>218229</v>
      </c>
      <c r="U45" s="79">
        <f>'AEP TX 451 Pro forma'!H50</f>
        <v>50</v>
      </c>
      <c r="V45" s="51">
        <f>(U45*S45)-T45</f>
        <v>-4279</v>
      </c>
      <c r="X45" s="7"/>
      <c r="Y45" s="6"/>
    </row>
    <row r="46" spans="2:25" s="1" customFormat="1" ht="12.75" x14ac:dyDescent="0.2">
      <c r="B46" s="89" t="s">
        <v>14</v>
      </c>
      <c r="C46" s="89" t="s">
        <v>43</v>
      </c>
      <c r="D46" s="89" t="s">
        <v>44</v>
      </c>
      <c r="E46" s="89">
        <v>-424</v>
      </c>
      <c r="F46" s="89">
        <v>0</v>
      </c>
      <c r="G46" s="89">
        <v>424</v>
      </c>
      <c r="H46" s="89">
        <v>-424</v>
      </c>
      <c r="I46" s="89">
        <v>212</v>
      </c>
      <c r="J46" s="89">
        <v>0</v>
      </c>
      <c r="K46" s="89">
        <v>212</v>
      </c>
      <c r="L46" s="89">
        <v>212</v>
      </c>
      <c r="M46" s="89">
        <v>424</v>
      </c>
      <c r="N46" s="89">
        <v>0</v>
      </c>
      <c r="O46" s="89">
        <v>0</v>
      </c>
      <c r="P46" s="89">
        <v>0</v>
      </c>
      <c r="Q46" s="90">
        <v>636</v>
      </c>
      <c r="R46" s="91">
        <v>212</v>
      </c>
      <c r="S46" s="92">
        <v>3</v>
      </c>
      <c r="T46" s="90">
        <f>R46*S46</f>
        <v>636</v>
      </c>
      <c r="U46" s="80">
        <f>'AEP TX 451 Pro forma'!H51</f>
        <v>0</v>
      </c>
      <c r="V46" s="7">
        <f>-T46</f>
        <v>-636</v>
      </c>
    </row>
    <row r="47" spans="2:25" s="1" customFormat="1" x14ac:dyDescent="0.25">
      <c r="B47" s="89" t="s">
        <v>14</v>
      </c>
      <c r="C47" s="19" t="s">
        <v>113</v>
      </c>
      <c r="D47" s="21" t="s">
        <v>71</v>
      </c>
      <c r="Q47" s="94"/>
      <c r="R47" s="95" t="s">
        <v>72</v>
      </c>
      <c r="S47" s="96">
        <f>35*12</f>
        <v>420</v>
      </c>
      <c r="T47" s="94">
        <v>0</v>
      </c>
      <c r="U47" s="66">
        <v>27</v>
      </c>
      <c r="V47" s="65">
        <f>(U47*S47)-T47</f>
        <v>11340</v>
      </c>
    </row>
    <row r="48" spans="2:25" s="1" customFormat="1" ht="12.75" x14ac:dyDescent="0.2">
      <c r="B48" s="57"/>
      <c r="C48" s="57"/>
      <c r="D48" s="57" t="s">
        <v>13</v>
      </c>
      <c r="E48" s="57">
        <v>31742.43</v>
      </c>
      <c r="F48" s="57">
        <v>36177.120000000003</v>
      </c>
      <c r="G48" s="57">
        <v>42904.71</v>
      </c>
      <c r="H48" s="57">
        <v>35980.67</v>
      </c>
      <c r="I48" s="57">
        <v>43686.18</v>
      </c>
      <c r="J48" s="57">
        <v>36894.81</v>
      </c>
      <c r="K48" s="57">
        <v>40533.17</v>
      </c>
      <c r="L48" s="57">
        <v>46036.26</v>
      </c>
      <c r="M48" s="57">
        <v>43752.85</v>
      </c>
      <c r="N48" s="57">
        <v>36416.379999999997</v>
      </c>
      <c r="O48" s="57">
        <v>30591.24</v>
      </c>
      <c r="P48" s="57">
        <v>33770.239999999998</v>
      </c>
      <c r="Q48" s="58">
        <v>458486.06</v>
      </c>
      <c r="R48" s="59"/>
      <c r="S48" s="60"/>
      <c r="T48" s="58">
        <f>SUM(T5:T46)</f>
        <v>458480.06</v>
      </c>
      <c r="U48" s="64"/>
      <c r="V48" s="58">
        <f>SUM(V5:V47)</f>
        <v>-6582</v>
      </c>
    </row>
  </sheetData>
  <printOptions horizontalCentered="1"/>
  <pageMargins left="0.7" right="0.7" top="0.75" bottom="0.75" header="0.3" footer="0.3"/>
  <pageSetup scale="60" orientation="portrait" r:id="rId1"/>
  <headerFooter>
    <oddHeader xml:space="preserve">&amp;CPUBLIC UTILITY COMMISSION OF TEXAS
AEP TEXAS INC
PROPOSED CHARGES FOR DISCRETIONARY SERVICES AND OTHER SERVICES
TEST YEAR ENDING 12/31/2018&amp;RSCHEDULE IV-J-2
ACCOUNT 451 PRO FORMA ADJUSTMENT
PAGE &amp;P OF &amp;N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51443773-5565-4E27-9F54-224CF8362908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3C40180-5AA6-4EF4-8ACF-86E70171FD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F0C067-32B3-4288-882F-C282EB0CEE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CB78337-4EDA-4D88-8761-DBB6DADC206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AEP TX 451 Pro forma</vt:lpstr>
      <vt:lpstr>Central Discretionary Fees</vt:lpstr>
      <vt:lpstr>North Discretionary Fees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d000298</cp:lastModifiedBy>
  <cp:lastPrinted>2019-04-24T12:45:43Z</cp:lastPrinted>
  <dcterms:created xsi:type="dcterms:W3CDTF">2019-04-12T14:26:16Z</dcterms:created>
  <dcterms:modified xsi:type="dcterms:W3CDTF">2019-04-24T12:50:11Z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02dd84e5-a1ce-423f-97a8-48d9bb7f353a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