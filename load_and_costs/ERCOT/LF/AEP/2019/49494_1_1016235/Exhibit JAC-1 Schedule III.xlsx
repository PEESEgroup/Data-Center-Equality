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TCC\Schedules - TCC\"/>
    </mc:Choice>
  </mc:AlternateContent>
  <bookViews>
    <workbookView xWindow="-15" yWindow="-15" windowWidth="9570" windowHeight="12870"/>
  </bookViews>
  <sheets>
    <sheet name="Schedule III" sheetId="1" r:id="rId1"/>
  </sheets>
  <definedNames>
    <definedName name="_xlnm.Print_Area" localSheetId="0">'Schedule III'!$A$1:$H$70</definedName>
    <definedName name="_xlnm.Print_Titles" localSheetId="0">'Schedule III'!$1:$9</definedName>
  </definedNames>
  <calcPr calcId="162913"/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50" i="1" l="1"/>
  <c r="E50" i="1"/>
  <c r="E21" i="1"/>
  <c r="E20" i="1"/>
  <c r="H20" i="1" s="1"/>
  <c r="C56" i="1"/>
  <c r="G53" i="1"/>
  <c r="E53" i="1"/>
  <c r="G37" i="1"/>
  <c r="E37" i="1"/>
  <c r="G54" i="1"/>
  <c r="G52" i="1"/>
  <c r="G51" i="1"/>
  <c r="G49" i="1"/>
  <c r="G48" i="1"/>
  <c r="G47" i="1"/>
  <c r="G46" i="1"/>
  <c r="G45" i="1"/>
  <c r="G39" i="1"/>
  <c r="G38" i="1"/>
  <c r="G36" i="1"/>
  <c r="G35" i="1"/>
  <c r="G34" i="1"/>
  <c r="G33" i="1"/>
  <c r="G32" i="1"/>
  <c r="H32" i="1" s="1"/>
  <c r="G31" i="1"/>
  <c r="G30" i="1"/>
  <c r="G29" i="1"/>
  <c r="G28" i="1"/>
  <c r="G27" i="1"/>
  <c r="C23" i="1"/>
  <c r="C41" i="1"/>
  <c r="E27" i="1"/>
  <c r="E28" i="1"/>
  <c r="E29" i="1"/>
  <c r="E30" i="1"/>
  <c r="E31" i="1"/>
  <c r="H31" i="1" s="1"/>
  <c r="E33" i="1"/>
  <c r="E34" i="1"/>
  <c r="E35" i="1"/>
  <c r="E36" i="1"/>
  <c r="H36" i="1" s="1"/>
  <c r="E38" i="1"/>
  <c r="E39" i="1"/>
  <c r="E32" i="1"/>
  <c r="E13" i="1"/>
  <c r="H13" i="1" s="1"/>
  <c r="E14" i="1"/>
  <c r="E15" i="1"/>
  <c r="H15" i="1" s="1"/>
  <c r="E16" i="1"/>
  <c r="E17" i="1"/>
  <c r="H17" i="1" s="1"/>
  <c r="E18" i="1"/>
  <c r="H18" i="1" s="1"/>
  <c r="E19" i="1"/>
  <c r="H19" i="1" s="1"/>
  <c r="E45" i="1"/>
  <c r="E46" i="1"/>
  <c r="H46" i="1" s="1"/>
  <c r="E47" i="1"/>
  <c r="E48" i="1"/>
  <c r="E49" i="1"/>
  <c r="E51" i="1"/>
  <c r="E52" i="1"/>
  <c r="E54" i="1"/>
  <c r="H33" i="1" l="1"/>
  <c r="G56" i="1"/>
  <c r="F56" i="1" s="1"/>
  <c r="H34" i="1"/>
  <c r="H48" i="1"/>
  <c r="E56" i="1"/>
  <c r="D56" i="1" s="1"/>
  <c r="H35" i="1"/>
  <c r="H28" i="1"/>
  <c r="H37" i="1"/>
  <c r="H51" i="1"/>
  <c r="H53" i="1"/>
  <c r="H45" i="1"/>
  <c r="H54" i="1"/>
  <c r="H39" i="1"/>
  <c r="H47" i="1"/>
  <c r="H49" i="1"/>
  <c r="H52" i="1"/>
  <c r="H50" i="1"/>
  <c r="H29" i="1"/>
  <c r="H38" i="1"/>
  <c r="H30" i="1"/>
  <c r="G41" i="1"/>
  <c r="F41" i="1" s="1"/>
  <c r="C59" i="1"/>
  <c r="H27" i="1"/>
  <c r="E23" i="1"/>
  <c r="D23" i="1" s="1"/>
  <c r="G23" i="1"/>
  <c r="F23" i="1" s="1"/>
  <c r="H16" i="1"/>
  <c r="H21" i="1"/>
  <c r="E41" i="1"/>
  <c r="D41" i="1" s="1"/>
  <c r="H14" i="1"/>
  <c r="H56" i="1" l="1"/>
  <c r="H41" i="1"/>
  <c r="G59" i="1"/>
  <c r="F59" i="1" s="1"/>
  <c r="H23" i="1"/>
  <c r="H59" i="1" s="1"/>
  <c r="E59" i="1"/>
  <c r="D59" i="1" s="1"/>
</calcChain>
</file>

<file path=xl/sharedStrings.xml><?xml version="1.0" encoding="utf-8"?>
<sst xmlns="http://schemas.openxmlformats.org/spreadsheetml/2006/main" count="97" uniqueCount="87">
  <si>
    <t>ANNUAL DEPRECIATION RATES AND ACCRUALS BY THE REMAINNG LIFE METHOD</t>
  </si>
  <si>
    <t>CURRENT</t>
  </si>
  <si>
    <t>APPROVED</t>
  </si>
  <si>
    <t>ANNUAL</t>
  </si>
  <si>
    <t>STUDY</t>
  </si>
  <si>
    <t>DIFFERENCE</t>
  </si>
  <si>
    <t xml:space="preserve"> NO.</t>
  </si>
  <si>
    <t xml:space="preserve"> TITLE</t>
  </si>
  <si>
    <t>RATE</t>
  </si>
  <si>
    <t>ACCRUAL</t>
  </si>
  <si>
    <t>(DECREASE)</t>
  </si>
  <si>
    <t>(1)</t>
  </si>
  <si>
    <t>(2)</t>
  </si>
  <si>
    <t>(3)</t>
  </si>
  <si>
    <t xml:space="preserve"> (4)</t>
  </si>
  <si>
    <t>(5)</t>
  </si>
  <si>
    <t>(6)</t>
  </si>
  <si>
    <t>(7)</t>
  </si>
  <si>
    <t>(8)</t>
  </si>
  <si>
    <t xml:space="preserve"> </t>
  </si>
  <si>
    <t>Land Rights</t>
  </si>
  <si>
    <t>352.0</t>
  </si>
  <si>
    <t>Structures &amp; Improvements</t>
  </si>
  <si>
    <t>353.0</t>
  </si>
  <si>
    <t>Station Equipment</t>
  </si>
  <si>
    <t>354.0</t>
  </si>
  <si>
    <t xml:space="preserve">Towers &amp; Fixtures  </t>
  </si>
  <si>
    <t>355.0</t>
  </si>
  <si>
    <t>Poles &amp; Fixtures</t>
  </si>
  <si>
    <t>356.0</t>
  </si>
  <si>
    <t>OH Conductor &amp; Devices</t>
  </si>
  <si>
    <t>Underground Conductor</t>
  </si>
  <si>
    <t>Total Transmission Plant</t>
  </si>
  <si>
    <t>361.0</t>
  </si>
  <si>
    <t>362.0</t>
  </si>
  <si>
    <t>364.0</t>
  </si>
  <si>
    <t>Poles, Towers, &amp; Fixtures</t>
  </si>
  <si>
    <t>365.0</t>
  </si>
  <si>
    <t>Overhead Conductor &amp; Devices</t>
  </si>
  <si>
    <t>366.0</t>
  </si>
  <si>
    <t>Underground Conduit</t>
  </si>
  <si>
    <t>367.0</t>
  </si>
  <si>
    <t>368.0</t>
  </si>
  <si>
    <t>Line Transformers</t>
  </si>
  <si>
    <t>369.0</t>
  </si>
  <si>
    <t>Services</t>
  </si>
  <si>
    <t>370.0</t>
  </si>
  <si>
    <t>Meters</t>
  </si>
  <si>
    <t>Installations on Custs. Prem.</t>
  </si>
  <si>
    <t>373.0</t>
  </si>
  <si>
    <t>Street Lighting &amp; Signal Sys.</t>
  </si>
  <si>
    <t>Total Distribution Plant</t>
  </si>
  <si>
    <t>390.0</t>
  </si>
  <si>
    <t>391.0</t>
  </si>
  <si>
    <t>Office Furniture &amp; Equipment</t>
  </si>
  <si>
    <t>Transportation Equipment</t>
  </si>
  <si>
    <t>393.0</t>
  </si>
  <si>
    <t>Stores Equipment</t>
  </si>
  <si>
    <t>394.0</t>
  </si>
  <si>
    <t>Tools Shop &amp; Garage Equipment</t>
  </si>
  <si>
    <t>396.0</t>
  </si>
  <si>
    <t>Power Operated Equipment</t>
  </si>
  <si>
    <t>397.0</t>
  </si>
  <si>
    <t>Communication Equipment</t>
  </si>
  <si>
    <t>398.0</t>
  </si>
  <si>
    <t>Miscellaneous Equipment</t>
  </si>
  <si>
    <t>Total General Plant</t>
  </si>
  <si>
    <t xml:space="preserve">Total Depreciable Plant </t>
  </si>
  <si>
    <t>COST</t>
  </si>
  <si>
    <t>ORIGINAL</t>
  </si>
  <si>
    <t>BASED ON PLANT IN SERVICE AT DECEMBER 31, 2018</t>
  </si>
  <si>
    <t>358.0</t>
  </si>
  <si>
    <t>Underground Conductor &amp; Devices</t>
  </si>
  <si>
    <t>Roads and Trails</t>
  </si>
  <si>
    <t>395.0</t>
  </si>
  <si>
    <t>Laboratory Equipment</t>
  </si>
  <si>
    <t>Notes:</t>
  </si>
  <si>
    <t>AMI Meters (1)</t>
  </si>
  <si>
    <t>AMI Communication Equipment (1)</t>
  </si>
  <si>
    <t>TRANSMISSION PLANT</t>
  </si>
  <si>
    <t xml:space="preserve">DISTRIBUTION PLANT </t>
  </si>
  <si>
    <t xml:space="preserve">GENERAL PLANT      </t>
  </si>
  <si>
    <t>SCHEDULE III - COMPARE DEPRECIATION EXPENSE USING CURRENT AND STUDY RATES</t>
  </si>
  <si>
    <t>AEP TEXAS CENTRAL DIVISION</t>
  </si>
  <si>
    <t>(1)  A useful life of 7 years was approved for AMI meters in Docket No. 36928 and AEP Texas Central Division is using a rate of 14.29% (1 divided by 7) for AMI meters in account 370.16 and the related communication equipment in account 397.16.</t>
  </si>
  <si>
    <t>(2)  The depreciation rate calculated for account 396.0 in this study did not produce a rate that was reasonable.  This depreciation study recommends continued use of the 0.94% depreciation rate that was approved in Case No. 33309 for account 396.0.</t>
  </si>
  <si>
    <t>(3)  Original Cost and Accumulated Depreciation amounts updated to remove Hurricane Harvey assets to be securitized (reduction of plant in service; increase of accumulated depreciation).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</si>
</sst>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u/>
      <sz val="12"/>
      <name val="Arial"/>
      <family val="2"/>
    </font>
    <font>
      <sz val="8"/>
      <name val="Arial"/>
      <family val="2"/>
    </font>
    <font>
      <b/>
      <u val="double"/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49" fontId="4" fillId="0" borderId="0" xfId="0" applyNumberFormat="1" applyFont="1" applyAlignment="1">
      <alignment horizontal="center"/>
    </xf>
    <xf numFmtId="3" fontId="2" fillId="0" borderId="0" xfId="0" applyNumberFormat="1" applyFont="1"/>
    <xf numFmtId="3" fontId="5" fillId="0" borderId="0" xfId="0" applyNumberFormat="1" applyFont="1"/>
    <xf numFmtId="3" fontId="4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37" fontId="2" fillId="0" borderId="0" xfId="0" applyNumberFormat="1" applyFont="1"/>
    <xf numFmtId="37" fontId="5" fillId="0" borderId="0" xfId="0" applyNumberFormat="1" applyFont="1"/>
    <xf numFmtId="37" fontId="0" fillId="0" borderId="0" xfId="0" applyNumberFormat="1"/>
    <xf numFmtId="37" fontId="4" fillId="0" borderId="0" xfId="0" applyNumberFormat="1" applyFont="1"/>
    <xf numFmtId="10" fontId="1" fillId="0" borderId="0" xfId="0" applyNumberFormat="1" applyFont="1" applyAlignment="1">
      <alignment horizontal="center"/>
    </xf>
    <xf numFmtId="3" fontId="7" fillId="0" borderId="0" xfId="0" applyNumberFormat="1" applyFont="1"/>
    <xf numFmtId="37" fontId="7" fillId="0" borderId="0" xfId="0" applyNumberFormat="1" applyFont="1"/>
    <xf numFmtId="3" fontId="8" fillId="0" borderId="0" xfId="0" applyNumberFormat="1" applyFont="1"/>
    <xf numFmtId="37" fontId="8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3" fontId="2" fillId="0" borderId="0" xfId="0" applyNumberFormat="1" applyFont="1" applyFill="1"/>
    <xf numFmtId="10" fontId="2" fillId="0" borderId="0" xfId="0" applyNumberFormat="1" applyFont="1" applyFill="1" applyAlignment="1">
      <alignment horizontal="center"/>
    </xf>
    <xf numFmtId="10" fontId="2" fillId="0" borderId="0" xfId="1" applyNumberFormat="1" applyFont="1" applyFill="1" applyAlignment="1">
      <alignment horizontal="center"/>
    </xf>
    <xf numFmtId="37" fontId="2" fillId="0" borderId="0" xfId="0" applyNumberFormat="1" applyFont="1" applyFill="1"/>
    <xf numFmtId="0" fontId="1" fillId="0" borderId="0" xfId="0" applyFont="1" applyAlignment="1">
      <alignment horizontal="left" indent="2"/>
    </xf>
    <xf numFmtId="0" fontId="0" fillId="0" borderId="0" xfId="0" applyFill="1" applyAlignment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 vertical="center" wrapText="1" indent="2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 indent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77"/>
  <sheetViews>
    <sheetView tabSelected="1" zoomScale="75" zoomScaleNormal="75" workbookViewId="0">
      <pane xSplit="2" ySplit="9" topLeftCell="C10" activePane="bottomRight" state="frozen"/>
      <selection pane="topRight" activeCell="C1" sqref="C1"/>
      <selection pane="bottomLeft" activeCell="A15" sqref="A15"/>
      <selection pane="bottomRight" sqref="A1:H1"/>
    </sheetView>
  </sheetViews>
  <sheetFormatPr defaultColWidth="12.42578125" defaultRowHeight="12.75" x14ac:dyDescent="0.2"/>
  <cols>
    <col min="1" max="1" width="13.42578125" style="1" customWidth="1"/>
    <col min="2" max="2" width="38.5703125" style="1" bestFit="1" customWidth="1"/>
    <col min="3" max="3" width="18.7109375" style="1" customWidth="1"/>
    <col min="4" max="4" width="15.7109375" style="1" customWidth="1"/>
    <col min="5" max="5" width="15.7109375" style="2" customWidth="1"/>
    <col min="6" max="6" width="12.42578125" style="1" customWidth="1"/>
    <col min="7" max="7" width="16.28515625" style="1" customWidth="1"/>
    <col min="8" max="8" width="17.28515625" style="1" customWidth="1"/>
    <col min="9" max="16384" width="12.42578125" style="1"/>
  </cols>
  <sheetData>
    <row r="1" spans="1:8" ht="15.75" x14ac:dyDescent="0.25">
      <c r="A1" s="36" t="s">
        <v>83</v>
      </c>
      <c r="B1" s="36"/>
      <c r="C1" s="36"/>
      <c r="D1" s="36"/>
      <c r="E1" s="36"/>
      <c r="F1" s="36"/>
      <c r="G1" s="36"/>
      <c r="H1" s="36"/>
    </row>
    <row r="2" spans="1:8" ht="15.75" x14ac:dyDescent="0.25">
      <c r="A2" s="36" t="s">
        <v>0</v>
      </c>
      <c r="B2" s="36"/>
      <c r="C2" s="36"/>
      <c r="D2" s="36"/>
      <c r="E2" s="36"/>
      <c r="F2" s="36"/>
      <c r="G2" s="36"/>
      <c r="H2" s="36"/>
    </row>
    <row r="3" spans="1:8" ht="15.75" x14ac:dyDescent="0.25">
      <c r="A3" s="36" t="s">
        <v>82</v>
      </c>
      <c r="B3" s="36"/>
      <c r="C3" s="36"/>
      <c r="D3" s="36"/>
      <c r="E3" s="36"/>
      <c r="F3" s="36"/>
      <c r="G3" s="36"/>
      <c r="H3" s="36"/>
    </row>
    <row r="4" spans="1:8" ht="15.75" x14ac:dyDescent="0.25">
      <c r="A4" s="36" t="s">
        <v>70</v>
      </c>
      <c r="B4" s="36"/>
      <c r="C4" s="36"/>
      <c r="D4" s="36"/>
      <c r="E4" s="36"/>
      <c r="F4" s="36"/>
      <c r="G4" s="36"/>
      <c r="H4" s="36"/>
    </row>
    <row r="5" spans="1:8" ht="15.75" x14ac:dyDescent="0.25">
      <c r="A5" s="4"/>
      <c r="B5" s="4"/>
      <c r="C5" s="4"/>
      <c r="D5" s="4"/>
      <c r="E5" s="4"/>
      <c r="F5" s="4"/>
      <c r="G5" s="4"/>
      <c r="H5" s="4"/>
    </row>
    <row r="6" spans="1:8" ht="15" x14ac:dyDescent="0.2">
      <c r="A6" s="5"/>
      <c r="B6" s="5"/>
      <c r="D6" s="6" t="s">
        <v>1</v>
      </c>
      <c r="E6" s="6"/>
      <c r="F6" s="5"/>
      <c r="G6" s="6"/>
      <c r="H6" s="6"/>
    </row>
    <row r="7" spans="1:8" ht="15" x14ac:dyDescent="0.2">
      <c r="C7" s="6" t="s">
        <v>69</v>
      </c>
      <c r="D7" s="6" t="s">
        <v>2</v>
      </c>
      <c r="E7" s="6" t="s">
        <v>3</v>
      </c>
      <c r="F7" s="6" t="s">
        <v>4</v>
      </c>
      <c r="G7" s="6" t="s">
        <v>4</v>
      </c>
      <c r="H7" s="7" t="s">
        <v>5</v>
      </c>
    </row>
    <row r="8" spans="1:8" ht="15" x14ac:dyDescent="0.2">
      <c r="A8" s="6" t="s">
        <v>6</v>
      </c>
      <c r="B8" s="6" t="s">
        <v>7</v>
      </c>
      <c r="C8" s="6" t="s">
        <v>68</v>
      </c>
      <c r="D8" s="6" t="s">
        <v>8</v>
      </c>
      <c r="E8" s="6" t="s">
        <v>9</v>
      </c>
      <c r="F8" s="6" t="s">
        <v>8</v>
      </c>
      <c r="G8" s="6" t="s">
        <v>9</v>
      </c>
      <c r="H8" s="8" t="s">
        <v>10</v>
      </c>
    </row>
    <row r="9" spans="1:8" ht="15" x14ac:dyDescent="0.2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9" t="s">
        <v>16</v>
      </c>
      <c r="G9" s="9" t="s">
        <v>17</v>
      </c>
      <c r="H9" s="9" t="s">
        <v>18</v>
      </c>
    </row>
    <row r="10" spans="1:8" ht="15" x14ac:dyDescent="0.2">
      <c r="A10" s="9"/>
      <c r="B10" s="9"/>
      <c r="C10" s="9"/>
      <c r="D10" s="9"/>
      <c r="E10" s="9"/>
      <c r="F10" s="9"/>
      <c r="G10" s="9"/>
      <c r="H10" s="9"/>
    </row>
    <row r="11" spans="1:8" ht="15.75" x14ac:dyDescent="0.25">
      <c r="A11" s="32" t="s">
        <v>79</v>
      </c>
      <c r="D11"/>
      <c r="E11"/>
      <c r="F11"/>
      <c r="G11" s="10"/>
      <c r="H11"/>
    </row>
    <row r="12" spans="1:8" ht="15" x14ac:dyDescent="0.2">
      <c r="A12" s="5" t="s">
        <v>19</v>
      </c>
      <c r="B12" s="5" t="s">
        <v>19</v>
      </c>
      <c r="D12"/>
      <c r="E12"/>
      <c r="F12"/>
      <c r="G12"/>
      <c r="H12"/>
    </row>
    <row r="13" spans="1:8" ht="15" x14ac:dyDescent="0.2">
      <c r="A13" s="15">
        <v>350.1</v>
      </c>
      <c r="B13" s="5" t="s">
        <v>20</v>
      </c>
      <c r="C13" s="10">
        <v>60036747</v>
      </c>
      <c r="D13" s="14">
        <v>1.0200000000000001E-2</v>
      </c>
      <c r="E13" s="10">
        <f t="shared" ref="E13:E21" si="0">ROUND(C13*D13,0)</f>
        <v>612375</v>
      </c>
      <c r="F13" s="16">
        <v>1.2004164715986362E-2</v>
      </c>
      <c r="G13" s="10">
        <f t="shared" ref="G13:G21" si="1">ROUND(C13*F13,0)</f>
        <v>720691</v>
      </c>
      <c r="H13" s="17">
        <f>G13-E13</f>
        <v>108316</v>
      </c>
    </row>
    <row r="14" spans="1:8" ht="15" x14ac:dyDescent="0.2">
      <c r="A14" s="15" t="s">
        <v>21</v>
      </c>
      <c r="B14" s="5" t="s">
        <v>22</v>
      </c>
      <c r="C14" s="10">
        <v>35979785</v>
      </c>
      <c r="D14" s="14">
        <v>1.3299999999999999E-2</v>
      </c>
      <c r="E14" s="10">
        <f t="shared" si="0"/>
        <v>478531</v>
      </c>
      <c r="F14" s="16">
        <v>1.5124881930228321E-2</v>
      </c>
      <c r="G14" s="10">
        <f t="shared" si="1"/>
        <v>544190</v>
      </c>
      <c r="H14" s="17">
        <f t="shared" ref="H14:H21" si="2">G14-E14</f>
        <v>65659</v>
      </c>
    </row>
    <row r="15" spans="1:8" ht="15" x14ac:dyDescent="0.2">
      <c r="A15" s="15" t="s">
        <v>23</v>
      </c>
      <c r="B15" s="5" t="s">
        <v>24</v>
      </c>
      <c r="C15" s="10">
        <v>1249597777</v>
      </c>
      <c r="D15" s="14">
        <v>1.38E-2</v>
      </c>
      <c r="E15" s="10">
        <f t="shared" si="0"/>
        <v>17244449</v>
      </c>
      <c r="F15" s="16">
        <v>2.0154386846352401E-2</v>
      </c>
      <c r="G15" s="10">
        <f t="shared" si="1"/>
        <v>25184877</v>
      </c>
      <c r="H15" s="17">
        <f t="shared" si="2"/>
        <v>7940428</v>
      </c>
    </row>
    <row r="16" spans="1:8" ht="15" x14ac:dyDescent="0.2">
      <c r="A16" s="15" t="s">
        <v>25</v>
      </c>
      <c r="B16" s="5" t="s">
        <v>26</v>
      </c>
      <c r="C16" s="10">
        <v>46640647</v>
      </c>
      <c r="D16" s="14">
        <v>8.0000000000000002E-3</v>
      </c>
      <c r="E16" s="10">
        <f t="shared" si="0"/>
        <v>373125</v>
      </c>
      <c r="F16" s="16">
        <v>1.6525778469582551E-2</v>
      </c>
      <c r="G16" s="10">
        <f t="shared" si="1"/>
        <v>770773</v>
      </c>
      <c r="H16" s="17">
        <f t="shared" si="2"/>
        <v>397648</v>
      </c>
    </row>
    <row r="17" spans="1:8" ht="15" x14ac:dyDescent="0.2">
      <c r="A17" s="15" t="s">
        <v>27</v>
      </c>
      <c r="B17" s="5" t="s">
        <v>28</v>
      </c>
      <c r="C17" s="10">
        <v>562498025</v>
      </c>
      <c r="D17" s="14">
        <v>2.18E-2</v>
      </c>
      <c r="E17" s="10">
        <f t="shared" si="0"/>
        <v>12262457</v>
      </c>
      <c r="F17" s="16">
        <v>2.4045885316664E-2</v>
      </c>
      <c r="G17" s="10">
        <f t="shared" si="1"/>
        <v>13525763</v>
      </c>
      <c r="H17" s="17">
        <f t="shared" si="2"/>
        <v>1263306</v>
      </c>
    </row>
    <row r="18" spans="1:8" ht="15" x14ac:dyDescent="0.2">
      <c r="A18" s="15" t="s">
        <v>29</v>
      </c>
      <c r="B18" s="5" t="s">
        <v>30</v>
      </c>
      <c r="C18" s="10">
        <v>499084207</v>
      </c>
      <c r="D18" s="14">
        <v>1.52E-2</v>
      </c>
      <c r="E18" s="10">
        <f t="shared" si="0"/>
        <v>7586080</v>
      </c>
      <c r="F18" s="16">
        <v>2.0608720644209846E-2</v>
      </c>
      <c r="G18" s="10">
        <f t="shared" si="1"/>
        <v>10285487</v>
      </c>
      <c r="H18" s="17">
        <f t="shared" si="2"/>
        <v>2699407</v>
      </c>
    </row>
    <row r="19" spans="1:8" ht="15" x14ac:dyDescent="0.2">
      <c r="A19" s="15">
        <v>357</v>
      </c>
      <c r="B19" s="5" t="s">
        <v>40</v>
      </c>
      <c r="C19" s="10">
        <v>2640151</v>
      </c>
      <c r="D19" s="14">
        <v>5.8999999999999999E-3</v>
      </c>
      <c r="E19" s="10">
        <f t="shared" si="0"/>
        <v>15577</v>
      </c>
      <c r="F19" s="16">
        <v>1.6167257100067382E-2</v>
      </c>
      <c r="G19" s="10">
        <f t="shared" si="1"/>
        <v>42684</v>
      </c>
      <c r="H19" s="17">
        <f t="shared" si="2"/>
        <v>27107</v>
      </c>
    </row>
    <row r="20" spans="1:8" ht="15" x14ac:dyDescent="0.2">
      <c r="A20" s="15" t="s">
        <v>71</v>
      </c>
      <c r="B20" s="5" t="s">
        <v>72</v>
      </c>
      <c r="C20" s="10">
        <v>25028080</v>
      </c>
      <c r="D20" s="14">
        <v>1.66E-2</v>
      </c>
      <c r="E20" s="10">
        <f t="shared" si="0"/>
        <v>415466</v>
      </c>
      <c r="F20" s="16">
        <v>2.4679400097810139E-2</v>
      </c>
      <c r="G20" s="10">
        <f t="shared" si="1"/>
        <v>617678</v>
      </c>
      <c r="H20" s="17">
        <f t="shared" si="2"/>
        <v>202212</v>
      </c>
    </row>
    <row r="21" spans="1:8" ht="15" x14ac:dyDescent="0.2">
      <c r="A21" s="15">
        <v>359</v>
      </c>
      <c r="B21" s="5" t="s">
        <v>73</v>
      </c>
      <c r="C21" s="12">
        <v>54376</v>
      </c>
      <c r="D21" s="14">
        <v>1.15E-2</v>
      </c>
      <c r="E21" s="12">
        <f t="shared" si="0"/>
        <v>625</v>
      </c>
      <c r="F21" s="16">
        <v>5.4803589819037808E-3</v>
      </c>
      <c r="G21" s="12">
        <f t="shared" si="1"/>
        <v>298</v>
      </c>
      <c r="H21" s="20">
        <f t="shared" si="2"/>
        <v>-327</v>
      </c>
    </row>
    <row r="22" spans="1:8" ht="15" x14ac:dyDescent="0.2">
      <c r="C22" s="13"/>
      <c r="D22" s="2"/>
      <c r="E22"/>
      <c r="F22" s="2"/>
      <c r="G22"/>
      <c r="H22" s="19"/>
    </row>
    <row r="23" spans="1:8" ht="15.75" x14ac:dyDescent="0.25">
      <c r="B23" s="3" t="s">
        <v>32</v>
      </c>
      <c r="C23" s="24">
        <f>SUM(C13:C22)</f>
        <v>2481559795</v>
      </c>
      <c r="D23" s="21">
        <f>ROUND(E23/C23,4)</f>
        <v>1.5699999999999999E-2</v>
      </c>
      <c r="E23" s="24">
        <f>SUM(E13:E22)</f>
        <v>38988685</v>
      </c>
      <c r="F23" s="21">
        <f>ROUND(G23/C23,4)</f>
        <v>2.0799999999999999E-2</v>
      </c>
      <c r="G23" s="24">
        <f>SUM(G13:G22)</f>
        <v>51692441</v>
      </c>
      <c r="H23" s="25">
        <f>SUM(H13:H22)</f>
        <v>12703756</v>
      </c>
    </row>
    <row r="24" spans="1:8" ht="15" x14ac:dyDescent="0.2">
      <c r="C24" s="13"/>
      <c r="D24" s="2"/>
      <c r="E24"/>
      <c r="F24" s="2"/>
      <c r="G24"/>
      <c r="H24"/>
    </row>
    <row r="25" spans="1:8" ht="15.75" x14ac:dyDescent="0.25">
      <c r="A25" s="32" t="s">
        <v>80</v>
      </c>
      <c r="D25" s="2"/>
      <c r="E25"/>
      <c r="F25" s="2"/>
      <c r="G25"/>
      <c r="H25"/>
    </row>
    <row r="26" spans="1:8" ht="15" x14ac:dyDescent="0.2">
      <c r="A26" s="5" t="s">
        <v>19</v>
      </c>
      <c r="D26" s="2"/>
      <c r="E26"/>
      <c r="F26" s="2"/>
      <c r="G26"/>
      <c r="H26"/>
    </row>
    <row r="27" spans="1:8" ht="15" x14ac:dyDescent="0.2">
      <c r="A27" s="6">
        <v>360.1</v>
      </c>
      <c r="B27" s="5" t="s">
        <v>20</v>
      </c>
      <c r="C27" s="10">
        <v>1318356</v>
      </c>
      <c r="D27" s="14">
        <v>1.44E-2</v>
      </c>
      <c r="E27" s="10">
        <f t="shared" ref="E27:E39" si="3">ROUND(C27*D27,0)</f>
        <v>18984</v>
      </c>
      <c r="F27" s="16">
        <v>1.6056361104284426E-2</v>
      </c>
      <c r="G27" s="10">
        <f t="shared" ref="G27:G39" si="4">ROUND(C27*F27,0)</f>
        <v>21168</v>
      </c>
      <c r="H27" s="17">
        <f t="shared" ref="H27:H39" si="5">G27-E27</f>
        <v>2184</v>
      </c>
    </row>
    <row r="28" spans="1:8" ht="15" x14ac:dyDescent="0.2">
      <c r="A28" s="26" t="s">
        <v>33</v>
      </c>
      <c r="B28" s="27" t="s">
        <v>22</v>
      </c>
      <c r="C28" s="28">
        <v>12120569</v>
      </c>
      <c r="D28" s="29">
        <v>8.8000000000000005E-3</v>
      </c>
      <c r="E28" s="28">
        <f t="shared" si="3"/>
        <v>106661</v>
      </c>
      <c r="F28" s="30">
        <v>1.2909377439293485E-2</v>
      </c>
      <c r="G28" s="28">
        <f t="shared" si="4"/>
        <v>156469</v>
      </c>
      <c r="H28" s="31">
        <f t="shared" si="5"/>
        <v>49808</v>
      </c>
    </row>
    <row r="29" spans="1:8" ht="15" x14ac:dyDescent="0.2">
      <c r="A29" s="6" t="s">
        <v>34</v>
      </c>
      <c r="B29" s="5" t="s">
        <v>24</v>
      </c>
      <c r="C29" s="10">
        <v>396652656</v>
      </c>
      <c r="D29" s="14">
        <v>1.0699999999999999E-2</v>
      </c>
      <c r="E29" s="10">
        <f t="shared" si="3"/>
        <v>4244183</v>
      </c>
      <c r="F29" s="16">
        <v>1.6970192681629238E-2</v>
      </c>
      <c r="G29" s="10">
        <f t="shared" si="4"/>
        <v>6731272</v>
      </c>
      <c r="H29" s="17">
        <f t="shared" si="5"/>
        <v>2487089</v>
      </c>
    </row>
    <row r="30" spans="1:8" ht="15" x14ac:dyDescent="0.2">
      <c r="A30" s="6" t="s">
        <v>35</v>
      </c>
      <c r="B30" s="5" t="s">
        <v>36</v>
      </c>
      <c r="C30" s="10">
        <v>612325516</v>
      </c>
      <c r="D30" s="14">
        <v>3.6700000000000003E-2</v>
      </c>
      <c r="E30" s="10">
        <f t="shared" si="3"/>
        <v>22472346</v>
      </c>
      <c r="F30" s="16">
        <v>2.9367136482354266E-2</v>
      </c>
      <c r="G30" s="10">
        <f t="shared" si="4"/>
        <v>17982247</v>
      </c>
      <c r="H30" s="17">
        <f t="shared" si="5"/>
        <v>-4490099</v>
      </c>
    </row>
    <row r="31" spans="1:8" ht="15" x14ac:dyDescent="0.2">
      <c r="A31" s="6" t="s">
        <v>37</v>
      </c>
      <c r="B31" s="5" t="s">
        <v>38</v>
      </c>
      <c r="C31" s="10">
        <v>573222951</v>
      </c>
      <c r="D31" s="14">
        <v>3.3700000000000001E-2</v>
      </c>
      <c r="E31" s="10">
        <f t="shared" si="3"/>
        <v>19317613</v>
      </c>
      <c r="F31" s="16">
        <v>3.4454644507072432E-2</v>
      </c>
      <c r="G31" s="10">
        <f t="shared" si="4"/>
        <v>19750193</v>
      </c>
      <c r="H31" s="17">
        <f t="shared" si="5"/>
        <v>432580</v>
      </c>
    </row>
    <row r="32" spans="1:8" ht="15" x14ac:dyDescent="0.2">
      <c r="A32" s="6" t="s">
        <v>39</v>
      </c>
      <c r="B32" s="5" t="s">
        <v>40</v>
      </c>
      <c r="C32" s="10">
        <v>57378067</v>
      </c>
      <c r="D32" s="14">
        <v>2.5100000000000001E-2</v>
      </c>
      <c r="E32" s="10">
        <f t="shared" si="3"/>
        <v>1440189</v>
      </c>
      <c r="F32" s="16">
        <v>1.182057945590952E-2</v>
      </c>
      <c r="G32" s="10">
        <f t="shared" si="4"/>
        <v>678242</v>
      </c>
      <c r="H32" s="17">
        <f t="shared" si="5"/>
        <v>-761947</v>
      </c>
    </row>
    <row r="33" spans="1:8" ht="15" x14ac:dyDescent="0.2">
      <c r="A33" s="6" t="s">
        <v>41</v>
      </c>
      <c r="B33" s="5" t="s">
        <v>31</v>
      </c>
      <c r="C33" s="10">
        <v>285650353</v>
      </c>
      <c r="D33" s="14">
        <v>2.5999999999999999E-2</v>
      </c>
      <c r="E33" s="10">
        <f t="shared" si="3"/>
        <v>7426909</v>
      </c>
      <c r="F33" s="16">
        <v>2.694907924724322E-2</v>
      </c>
      <c r="G33" s="10">
        <f t="shared" si="4"/>
        <v>7698014</v>
      </c>
      <c r="H33" s="17">
        <f t="shared" si="5"/>
        <v>271105</v>
      </c>
    </row>
    <row r="34" spans="1:8" ht="15" x14ac:dyDescent="0.2">
      <c r="A34" s="6" t="s">
        <v>42</v>
      </c>
      <c r="B34" s="5" t="s">
        <v>43</v>
      </c>
      <c r="C34" s="10">
        <v>540974797</v>
      </c>
      <c r="D34" s="14">
        <v>2.5499999999999998E-2</v>
      </c>
      <c r="E34" s="10">
        <f t="shared" si="3"/>
        <v>13794857</v>
      </c>
      <c r="F34" s="16">
        <v>3.6091335693037838E-2</v>
      </c>
      <c r="G34" s="10">
        <f t="shared" si="4"/>
        <v>19524503</v>
      </c>
      <c r="H34" s="17">
        <f t="shared" si="5"/>
        <v>5729646</v>
      </c>
    </row>
    <row r="35" spans="1:8" ht="15" x14ac:dyDescent="0.2">
      <c r="A35" s="6" t="s">
        <v>44</v>
      </c>
      <c r="B35" s="5" t="s">
        <v>45</v>
      </c>
      <c r="C35" s="10">
        <v>217507781</v>
      </c>
      <c r="D35" s="14">
        <v>3.8300000000000001E-2</v>
      </c>
      <c r="E35" s="10">
        <f t="shared" si="3"/>
        <v>8330548</v>
      </c>
      <c r="F35" s="16">
        <v>2.294433779359829E-2</v>
      </c>
      <c r="G35" s="10">
        <f t="shared" si="4"/>
        <v>4990572</v>
      </c>
      <c r="H35" s="17">
        <f t="shared" si="5"/>
        <v>-3339976</v>
      </c>
    </row>
    <row r="36" spans="1:8" ht="15" x14ac:dyDescent="0.2">
      <c r="A36" s="6" t="s">
        <v>46</v>
      </c>
      <c r="B36" s="5" t="s">
        <v>47</v>
      </c>
      <c r="C36" s="10">
        <v>31791183</v>
      </c>
      <c r="D36" s="14">
        <v>5.5599999999999997E-2</v>
      </c>
      <c r="E36" s="10">
        <f t="shared" si="3"/>
        <v>1767590</v>
      </c>
      <c r="F36" s="16">
        <v>6.4668905211863303E-2</v>
      </c>
      <c r="G36" s="10">
        <f t="shared" si="4"/>
        <v>2055901</v>
      </c>
      <c r="H36" s="17">
        <f t="shared" si="5"/>
        <v>288311</v>
      </c>
    </row>
    <row r="37" spans="1:8" s="33" customFormat="1" ht="15" x14ac:dyDescent="0.2">
      <c r="A37" s="26">
        <v>370.16</v>
      </c>
      <c r="B37" s="27" t="s">
        <v>77</v>
      </c>
      <c r="C37" s="28">
        <v>147966156</v>
      </c>
      <c r="D37" s="29">
        <v>0.1429</v>
      </c>
      <c r="E37" s="28">
        <f>ROUND(C37*D37,0)</f>
        <v>21144364</v>
      </c>
      <c r="F37" s="30">
        <v>0.1429</v>
      </c>
      <c r="G37" s="28">
        <f>ROUND(C37*F37,0)</f>
        <v>21144364</v>
      </c>
      <c r="H37" s="31">
        <f>G37-E37</f>
        <v>0</v>
      </c>
    </row>
    <row r="38" spans="1:8" ht="15" x14ac:dyDescent="0.2">
      <c r="A38" s="15">
        <v>371</v>
      </c>
      <c r="B38" s="5" t="s">
        <v>48</v>
      </c>
      <c r="C38" s="10">
        <v>55071768</v>
      </c>
      <c r="D38" s="14">
        <v>2.1899999999999999E-2</v>
      </c>
      <c r="E38" s="10">
        <f t="shared" si="3"/>
        <v>1206072</v>
      </c>
      <c r="F38" s="16">
        <v>2.5657157039156615E-2</v>
      </c>
      <c r="G38" s="10">
        <f t="shared" si="4"/>
        <v>1412985</v>
      </c>
      <c r="H38" s="17">
        <f t="shared" si="5"/>
        <v>206913</v>
      </c>
    </row>
    <row r="39" spans="1:8" ht="15" x14ac:dyDescent="0.2">
      <c r="A39" s="6" t="s">
        <v>49</v>
      </c>
      <c r="B39" s="5" t="s">
        <v>50</v>
      </c>
      <c r="C39" s="12">
        <v>81090148</v>
      </c>
      <c r="D39" s="14">
        <v>3.2199999999999999E-2</v>
      </c>
      <c r="E39" s="11">
        <f t="shared" si="3"/>
        <v>2611103</v>
      </c>
      <c r="F39" s="16">
        <v>3.0631637273618E-2</v>
      </c>
      <c r="G39" s="11">
        <f t="shared" si="4"/>
        <v>2483924</v>
      </c>
      <c r="H39" s="18">
        <f t="shared" si="5"/>
        <v>-127179</v>
      </c>
    </row>
    <row r="40" spans="1:8" ht="15" x14ac:dyDescent="0.2">
      <c r="C40" s="13"/>
      <c r="D40" s="2"/>
      <c r="E40"/>
      <c r="F40" s="2"/>
      <c r="G40"/>
      <c r="H40" s="19"/>
    </row>
    <row r="41" spans="1:8" ht="15.75" x14ac:dyDescent="0.25">
      <c r="B41" s="3" t="s">
        <v>51</v>
      </c>
      <c r="C41" s="24">
        <f>SUM(C27:C40)</f>
        <v>3013070301</v>
      </c>
      <c r="D41" s="21">
        <f>ROUND(E41/C41,4)</f>
        <v>3.4500000000000003E-2</v>
      </c>
      <c r="E41" s="24">
        <f>SUM(E27:E40)</f>
        <v>103881419</v>
      </c>
      <c r="F41" s="21">
        <f>ROUND(G41/C41,4)</f>
        <v>3.4700000000000002E-2</v>
      </c>
      <c r="G41" s="24">
        <f>SUM(G27:G40)</f>
        <v>104629854</v>
      </c>
      <c r="H41" s="25">
        <f>SUM(H27:H40)</f>
        <v>748435</v>
      </c>
    </row>
    <row r="42" spans="1:8" ht="15" x14ac:dyDescent="0.2">
      <c r="C42" s="13"/>
      <c r="D42" s="2"/>
      <c r="E42"/>
      <c r="F42" s="2"/>
      <c r="G42"/>
      <c r="H42"/>
    </row>
    <row r="43" spans="1:8" ht="15.75" x14ac:dyDescent="0.25">
      <c r="A43" s="32" t="s">
        <v>81</v>
      </c>
      <c r="D43" s="2"/>
      <c r="E43"/>
      <c r="F43" s="2"/>
      <c r="G43"/>
      <c r="H43"/>
    </row>
    <row r="44" spans="1:8" x14ac:dyDescent="0.2">
      <c r="D44" s="2"/>
      <c r="E44"/>
      <c r="F44" s="2"/>
      <c r="G44"/>
      <c r="H44"/>
    </row>
    <row r="45" spans="1:8" ht="15" x14ac:dyDescent="0.2">
      <c r="A45" s="6" t="s">
        <v>52</v>
      </c>
      <c r="B45" s="5" t="s">
        <v>22</v>
      </c>
      <c r="C45" s="10">
        <v>281634140</v>
      </c>
      <c r="D45" s="14">
        <v>1.0999999999999999E-2</v>
      </c>
      <c r="E45" s="10">
        <f t="shared" ref="E45:E54" si="6">ROUND(C45*D45,0)</f>
        <v>3097976</v>
      </c>
      <c r="F45" s="16">
        <v>1.5283310467970964E-2</v>
      </c>
      <c r="G45" s="10">
        <f t="shared" ref="G45:G54" si="7">ROUND(C45*F45,0)</f>
        <v>4304302</v>
      </c>
      <c r="H45" s="17">
        <f t="shared" ref="H45:H54" si="8">G45-E45</f>
        <v>1206326</v>
      </c>
    </row>
    <row r="46" spans="1:8" ht="15" x14ac:dyDescent="0.2">
      <c r="A46" s="6" t="s">
        <v>53</v>
      </c>
      <c r="B46" s="5" t="s">
        <v>54</v>
      </c>
      <c r="C46" s="10">
        <v>4077464</v>
      </c>
      <c r="D46" s="14">
        <v>2.7699999999999999E-2</v>
      </c>
      <c r="E46" s="10">
        <f t="shared" si="6"/>
        <v>112946</v>
      </c>
      <c r="F46" s="16">
        <v>8.9393799675484567E-2</v>
      </c>
      <c r="G46" s="10">
        <f t="shared" si="7"/>
        <v>364500</v>
      </c>
      <c r="H46" s="17">
        <f t="shared" si="8"/>
        <v>251554</v>
      </c>
    </row>
    <row r="47" spans="1:8" ht="15" x14ac:dyDescent="0.2">
      <c r="A47" s="15">
        <v>392</v>
      </c>
      <c r="B47" s="5" t="s">
        <v>55</v>
      </c>
      <c r="C47" s="10">
        <v>185606</v>
      </c>
      <c r="D47" s="14">
        <v>0.1333</v>
      </c>
      <c r="E47" s="10">
        <f t="shared" si="6"/>
        <v>24741</v>
      </c>
      <c r="F47" s="16">
        <v>9.5040031033479522E-2</v>
      </c>
      <c r="G47" s="10">
        <f t="shared" si="7"/>
        <v>17640</v>
      </c>
      <c r="H47" s="17">
        <f t="shared" si="8"/>
        <v>-7101</v>
      </c>
    </row>
    <row r="48" spans="1:8" ht="15" x14ac:dyDescent="0.2">
      <c r="A48" s="6" t="s">
        <v>56</v>
      </c>
      <c r="B48" s="5" t="s">
        <v>57</v>
      </c>
      <c r="C48" s="10">
        <v>1140695</v>
      </c>
      <c r="D48" s="14">
        <v>8.5199999999999998E-2</v>
      </c>
      <c r="E48" s="10">
        <f t="shared" si="6"/>
        <v>97187</v>
      </c>
      <c r="F48" s="16">
        <v>4.1961260459632069E-2</v>
      </c>
      <c r="G48" s="10">
        <f t="shared" si="7"/>
        <v>47865</v>
      </c>
      <c r="H48" s="17">
        <f t="shared" si="8"/>
        <v>-49322</v>
      </c>
    </row>
    <row r="49" spans="1:8" ht="15" x14ac:dyDescent="0.2">
      <c r="A49" s="6" t="s">
        <v>58</v>
      </c>
      <c r="B49" s="5" t="s">
        <v>59</v>
      </c>
      <c r="C49" s="10">
        <v>32277620</v>
      </c>
      <c r="D49" s="14">
        <v>3.3099999999999997E-2</v>
      </c>
      <c r="E49" s="10">
        <f t="shared" si="6"/>
        <v>1068389</v>
      </c>
      <c r="F49" s="16">
        <v>2.9415520723027288E-2</v>
      </c>
      <c r="G49" s="10">
        <f t="shared" si="7"/>
        <v>949463</v>
      </c>
      <c r="H49" s="17">
        <f t="shared" si="8"/>
        <v>-118926</v>
      </c>
    </row>
    <row r="50" spans="1:8" ht="15" x14ac:dyDescent="0.2">
      <c r="A50" s="8" t="s">
        <v>74</v>
      </c>
      <c r="B50" s="5" t="s">
        <v>75</v>
      </c>
      <c r="C50" s="10">
        <v>440894</v>
      </c>
      <c r="D50" s="14">
        <v>5.7999999999999996E-3</v>
      </c>
      <c r="E50" s="10">
        <f t="shared" si="6"/>
        <v>2557</v>
      </c>
      <c r="F50" s="16">
        <v>3.602906821140682E-2</v>
      </c>
      <c r="G50" s="10">
        <f t="shared" si="7"/>
        <v>15885</v>
      </c>
      <c r="H50" s="17">
        <f t="shared" si="8"/>
        <v>13328</v>
      </c>
    </row>
    <row r="51" spans="1:8" s="33" customFormat="1" ht="15" x14ac:dyDescent="0.2">
      <c r="A51" s="34" t="s">
        <v>60</v>
      </c>
      <c r="B51" s="27" t="s">
        <v>61</v>
      </c>
      <c r="C51" s="28">
        <v>192198</v>
      </c>
      <c r="D51" s="29">
        <v>9.4000000000000004E-3</v>
      </c>
      <c r="E51" s="28">
        <f t="shared" si="6"/>
        <v>1807</v>
      </c>
      <c r="F51" s="30">
        <v>9.4000000000000004E-3</v>
      </c>
      <c r="G51" s="28">
        <f t="shared" si="7"/>
        <v>1807</v>
      </c>
      <c r="H51" s="31">
        <f t="shared" si="8"/>
        <v>0</v>
      </c>
    </row>
    <row r="52" spans="1:8" ht="15" x14ac:dyDescent="0.2">
      <c r="A52" s="6" t="s">
        <v>62</v>
      </c>
      <c r="B52" s="5" t="s">
        <v>63</v>
      </c>
      <c r="C52" s="10">
        <v>65292628</v>
      </c>
      <c r="D52" s="14">
        <v>6.4899999999999999E-2</v>
      </c>
      <c r="E52" s="10">
        <f t="shared" si="6"/>
        <v>4237492</v>
      </c>
      <c r="F52" s="16">
        <v>4.9207086594829662E-2</v>
      </c>
      <c r="G52" s="10">
        <f t="shared" si="7"/>
        <v>3212860</v>
      </c>
      <c r="H52" s="17">
        <f t="shared" si="8"/>
        <v>-1024632</v>
      </c>
    </row>
    <row r="53" spans="1:8" s="33" customFormat="1" ht="15" x14ac:dyDescent="0.2">
      <c r="A53" s="26">
        <v>397.16</v>
      </c>
      <c r="B53" s="27" t="s">
        <v>78</v>
      </c>
      <c r="C53" s="28">
        <v>21769785</v>
      </c>
      <c r="D53" s="29">
        <v>0.1429</v>
      </c>
      <c r="E53" s="28">
        <f>ROUND(C53*D53,0)</f>
        <v>3110902</v>
      </c>
      <c r="F53" s="30">
        <v>0.1429</v>
      </c>
      <c r="G53" s="28">
        <f>ROUND(C53*F53,0)</f>
        <v>3110902</v>
      </c>
      <c r="H53" s="31">
        <f>G53-E53</f>
        <v>0</v>
      </c>
    </row>
    <row r="54" spans="1:8" ht="15" x14ac:dyDescent="0.2">
      <c r="A54" s="6" t="s">
        <v>64</v>
      </c>
      <c r="B54" s="5" t="s">
        <v>65</v>
      </c>
      <c r="C54" s="12">
        <v>3112238</v>
      </c>
      <c r="D54" s="14">
        <v>8.6199999999999999E-2</v>
      </c>
      <c r="E54" s="11">
        <f t="shared" si="6"/>
        <v>268275</v>
      </c>
      <c r="F54" s="16">
        <v>3.6749117516076853E-2</v>
      </c>
      <c r="G54" s="11">
        <f t="shared" si="7"/>
        <v>114372</v>
      </c>
      <c r="H54" s="18">
        <f t="shared" si="8"/>
        <v>-153903</v>
      </c>
    </row>
    <row r="55" spans="1:8" ht="15" x14ac:dyDescent="0.2">
      <c r="C55" s="13"/>
      <c r="D55" s="2"/>
      <c r="E55"/>
      <c r="F55" s="2"/>
      <c r="G55"/>
      <c r="H55" s="19"/>
    </row>
    <row r="56" spans="1:8" ht="15.75" x14ac:dyDescent="0.25">
      <c r="B56" s="3" t="s">
        <v>66</v>
      </c>
      <c r="C56" s="24">
        <f>SUM(C45:C55)</f>
        <v>410123268</v>
      </c>
      <c r="D56" s="21">
        <f>ROUND(E56/C56,4)</f>
        <v>2.93E-2</v>
      </c>
      <c r="E56" s="24">
        <f>SUM(E45:E55)</f>
        <v>12022272</v>
      </c>
      <c r="F56" s="21">
        <f>ROUND(G56/C56,4)</f>
        <v>2.9600000000000001E-2</v>
      </c>
      <c r="G56" s="24">
        <f>SUM(G45:G55)</f>
        <v>12139596</v>
      </c>
      <c r="H56" s="25">
        <f>SUM(H45:H55)</f>
        <v>117324</v>
      </c>
    </row>
    <row r="57" spans="1:8" ht="15" x14ac:dyDescent="0.2">
      <c r="B57" s="5"/>
      <c r="C57" s="12"/>
      <c r="D57" s="2"/>
      <c r="E57"/>
      <c r="F57" s="2"/>
      <c r="G57"/>
      <c r="H57" s="19"/>
    </row>
    <row r="58" spans="1:8" ht="15" x14ac:dyDescent="0.2">
      <c r="C58" s="13"/>
      <c r="D58" s="2"/>
      <c r="E58"/>
      <c r="F58" s="2"/>
      <c r="G58"/>
      <c r="H58" s="19"/>
    </row>
    <row r="59" spans="1:8" ht="15.75" x14ac:dyDescent="0.25">
      <c r="B59" s="3" t="s">
        <v>67</v>
      </c>
      <c r="C59" s="22">
        <f>C23+C41+C56</f>
        <v>5904753364</v>
      </c>
      <c r="D59" s="21">
        <f>ROUND(E59/C59,4)</f>
        <v>2.6200000000000001E-2</v>
      </c>
      <c r="E59" s="22">
        <f>E23+E41+E56</f>
        <v>154892376</v>
      </c>
      <c r="F59" s="21">
        <f>ROUND(G59/C59,4)</f>
        <v>2.8500000000000001E-2</v>
      </c>
      <c r="G59" s="22">
        <f>G23+G41+G56</f>
        <v>168461891</v>
      </c>
      <c r="H59" s="23">
        <f>H23+H41+H56</f>
        <v>13569515</v>
      </c>
    </row>
    <row r="60" spans="1:8" x14ac:dyDescent="0.2">
      <c r="D60"/>
      <c r="E60"/>
      <c r="F60"/>
      <c r="G60"/>
      <c r="H60"/>
    </row>
    <row r="61" spans="1:8" ht="15.75" x14ac:dyDescent="0.25">
      <c r="A61" s="3" t="s">
        <v>76</v>
      </c>
      <c r="D61"/>
      <c r="E61"/>
      <c r="F61"/>
      <c r="G61"/>
      <c r="H61"/>
    </row>
    <row r="62" spans="1:8" x14ac:dyDescent="0.2">
      <c r="A62" s="37" t="s">
        <v>84</v>
      </c>
      <c r="B62" s="37"/>
      <c r="C62" s="37"/>
      <c r="D62" s="37"/>
      <c r="E62" s="37"/>
      <c r="F62" s="37"/>
      <c r="G62" s="37"/>
      <c r="H62" s="37"/>
    </row>
    <row r="63" spans="1:8" x14ac:dyDescent="0.2">
      <c r="A63" s="37"/>
      <c r="B63" s="37"/>
      <c r="C63" s="37"/>
      <c r="D63" s="37"/>
      <c r="E63" s="37"/>
      <c r="F63" s="37"/>
      <c r="G63" s="37"/>
      <c r="H63" s="37"/>
    </row>
    <row r="64" spans="1:8" ht="12.75" customHeight="1" x14ac:dyDescent="0.2">
      <c r="A64" s="37"/>
      <c r="B64" s="37"/>
      <c r="C64" s="37"/>
      <c r="D64" s="37"/>
      <c r="E64" s="37"/>
      <c r="F64" s="37"/>
      <c r="G64" s="37"/>
      <c r="H64" s="37"/>
    </row>
    <row r="65" spans="1:8" x14ac:dyDescent="0.2">
      <c r="A65" s="35" t="s">
        <v>85</v>
      </c>
      <c r="B65" s="35"/>
      <c r="C65" s="35"/>
      <c r="D65" s="35"/>
      <c r="E65" s="35"/>
      <c r="F65" s="35"/>
      <c r="G65" s="35"/>
      <c r="H65" s="35"/>
    </row>
    <row r="66" spans="1:8" x14ac:dyDescent="0.2">
      <c r="A66" s="35"/>
      <c r="B66" s="35"/>
      <c r="C66" s="35"/>
      <c r="D66" s="35"/>
      <c r="E66" s="35"/>
      <c r="F66" s="35"/>
      <c r="G66" s="35"/>
      <c r="H66" s="35"/>
    </row>
    <row r="67" spans="1:8" s="33" customFormat="1" x14ac:dyDescent="0.2">
      <c r="A67" s="35"/>
      <c r="B67" s="35"/>
      <c r="C67" s="35"/>
      <c r="D67" s="35"/>
      <c r="E67" s="35"/>
      <c r="F67" s="35"/>
      <c r="G67" s="35"/>
      <c r="H67" s="35"/>
    </row>
    <row r="68" spans="1:8" ht="12.75" customHeight="1" x14ac:dyDescent="0.2">
      <c r="A68" s="35" t="s">
        <v>86</v>
      </c>
      <c r="B68" s="35"/>
      <c r="C68" s="35"/>
      <c r="D68" s="35"/>
      <c r="E68" s="35"/>
      <c r="F68" s="35"/>
      <c r="G68" s="35"/>
      <c r="H68" s="35"/>
    </row>
    <row r="69" spans="1:8" ht="12.75" customHeight="1" x14ac:dyDescent="0.2">
      <c r="A69" s="35"/>
      <c r="B69" s="35"/>
      <c r="C69" s="35"/>
      <c r="D69" s="35"/>
      <c r="E69" s="35"/>
      <c r="F69" s="35"/>
      <c r="G69" s="35"/>
      <c r="H69" s="35"/>
    </row>
    <row r="70" spans="1:8" ht="12.75" customHeight="1" x14ac:dyDescent="0.2">
      <c r="A70" s="35"/>
      <c r="B70" s="35"/>
      <c r="C70" s="35"/>
      <c r="D70" s="35"/>
      <c r="E70" s="35"/>
      <c r="F70" s="35"/>
      <c r="G70" s="35"/>
      <c r="H70" s="35"/>
    </row>
    <row r="71" spans="1:8" x14ac:dyDescent="0.2">
      <c r="D71"/>
      <c r="E71"/>
      <c r="F71"/>
      <c r="G71"/>
      <c r="H71"/>
    </row>
    <row r="72" spans="1:8" x14ac:dyDescent="0.2">
      <c r="D72"/>
      <c r="E72"/>
      <c r="F72"/>
      <c r="G72"/>
      <c r="H72"/>
    </row>
    <row r="73" spans="1:8" x14ac:dyDescent="0.2">
      <c r="D73"/>
      <c r="E73"/>
      <c r="F73"/>
      <c r="G73"/>
      <c r="H73"/>
    </row>
    <row r="74" spans="1:8" x14ac:dyDescent="0.2">
      <c r="D74"/>
      <c r="E74"/>
      <c r="F74"/>
      <c r="G74"/>
      <c r="H74"/>
    </row>
    <row r="75" spans="1:8" x14ac:dyDescent="0.2">
      <c r="D75"/>
      <c r="E75"/>
      <c r="F75"/>
      <c r="G75"/>
      <c r="H75"/>
    </row>
    <row r="76" spans="1:8" x14ac:dyDescent="0.2">
      <c r="D76"/>
      <c r="E76"/>
      <c r="F76"/>
      <c r="G76"/>
      <c r="H76"/>
    </row>
    <row r="77" spans="1:8" x14ac:dyDescent="0.2">
      <c r="D77"/>
      <c r="E77"/>
      <c r="F77"/>
      <c r="G77"/>
      <c r="H77"/>
    </row>
  </sheetData>
  <mergeCells count="7">
    <mergeCell ref="A65:H67"/>
    <mergeCell ref="A68:H70"/>
    <mergeCell ref="A1:H1"/>
    <mergeCell ref="A2:H2"/>
    <mergeCell ref="A3:H3"/>
    <mergeCell ref="A4:H4"/>
    <mergeCell ref="A62:H64"/>
  </mergeCells>
  <phoneticPr fontId="6" type="noConversion"/>
  <printOptions horizontalCentered="1"/>
  <pageMargins left="0.5" right="0.5" top="1.25" bottom="1" header="0.5" footer="0.5"/>
  <pageSetup firstPageNumber="17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1f6a98d5-4e6a-406f-8258-3f07b61a1b98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B6BFFD-5BDC-41E5-8B54-1CBD613CD4A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EAB905C-B4CC-46FD-A815-5F042835086E}"/>
</file>

<file path=customXml/itemProps3.xml><?xml version="1.0" encoding="utf-8"?>
<ds:datastoreItem xmlns:ds="http://schemas.openxmlformats.org/officeDocument/2006/customXml" ds:itemID="{175655E3-FF26-441C-9B38-92B14A2011DF}"/>
</file>

<file path=customXml/itemProps4.xml><?xml version="1.0" encoding="utf-8"?>
<ds:datastoreItem xmlns:ds="http://schemas.openxmlformats.org/officeDocument/2006/customXml" ds:itemID="{41A5FEAF-DA8C-43FB-B47C-75726FB31B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 III</vt:lpstr>
      <vt:lpstr>'Schedule III'!Print_Area</vt:lpstr>
      <vt:lpstr>'Schedule III'!Print_Titles</vt:lpstr>
    </vt:vector>
  </TitlesOfParts>
  <Company>AEP-IT-CPS 4/30/3-(8-835-3050)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AEP</dc:creator>
  <cp:keywords>AEP Confidential</cp:keywords>
  <cp:lastModifiedBy>s998130</cp:lastModifiedBy>
  <cp:lastPrinted>2019-04-05T12:58:25Z</cp:lastPrinted>
  <dcterms:created xsi:type="dcterms:W3CDTF">2008-05-14T14:07:07Z</dcterms:created>
  <dcterms:modified xsi:type="dcterms:W3CDTF">2019-04-05T12:58:36Z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957d4ace-cbd6-4d40-a07b-f94391a25cbd</vt:lpwstr>
  </property>
  <property fmtid="{D5CDD505-2E9C-101B-9397-08002B2CF9AE}" pid="3" name="bjSaver">
    <vt:lpwstr>MSLcv1Deu+j/oxKLp9zJIfjP3BgDQ2g+</vt:lpwstr>
  </property>
  <property fmtid="{D5CDD505-2E9C-101B-9397-08002B2CF9AE}" pid="4" name="bjDocumentSecurityLabel">
    <vt:lpwstr>AEP Confidential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uid="1f6a98d5-4e6a-406f-8258-3f07b61a1b98" value="" /&gt;&lt;/sisl&gt;</vt:lpwstr>
  </property>
  <property fmtid="{D5CDD505-2E9C-101B-9397-08002B2CF9AE}" pid="8" name="ContentTypeId">
    <vt:lpwstr>0x01010068D7645638A6BA4A903C04B5C9F7EDEE</vt:lpwstr>
  </property>
</Properties>
</file>