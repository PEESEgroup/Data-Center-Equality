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harenow.sp.aepsc.com/shsvcs/regsvcs/aeptexas/2018 Base Rate Case/Schedules/Combined/"/>
    </mc:Choice>
  </mc:AlternateContent>
  <bookViews>
    <workbookView xWindow="0" yWindow="0" windowWidth="28800" windowHeight="12000"/>
  </bookViews>
  <sheets>
    <sheet name="IV-J-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calcPr calcId="162913" calcMode="manual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E18" i="1"/>
  <c r="E17" i="1"/>
  <c r="K31" i="1" l="1"/>
  <c r="J31" i="1"/>
  <c r="I31" i="1"/>
  <c r="H31" i="1"/>
  <c r="G31" i="1"/>
  <c r="F31" i="1"/>
  <c r="E31" i="1"/>
  <c r="L31" i="1" l="1"/>
  <c r="K30" i="1"/>
  <c r="J30" i="1"/>
  <c r="I30" i="1"/>
  <c r="H30" i="1"/>
  <c r="G30" i="1"/>
  <c r="F30" i="1"/>
  <c r="E30" i="1"/>
  <c r="L30" i="1" l="1"/>
  <c r="K37" i="1"/>
  <c r="J37" i="1"/>
  <c r="I37" i="1"/>
  <c r="H37" i="1"/>
  <c r="G37" i="1"/>
  <c r="F37" i="1"/>
  <c r="E37" i="1"/>
  <c r="K39" i="1"/>
  <c r="J39" i="1"/>
  <c r="I39" i="1"/>
  <c r="H39" i="1"/>
  <c r="G39" i="1"/>
  <c r="F39" i="1"/>
  <c r="E39" i="1"/>
  <c r="L37" i="1" l="1"/>
  <c r="L39" i="1"/>
  <c r="K38" i="1"/>
  <c r="J38" i="1"/>
  <c r="I38" i="1"/>
  <c r="H38" i="1"/>
  <c r="G38" i="1"/>
  <c r="F38" i="1"/>
  <c r="E38" i="1"/>
  <c r="E36" i="1"/>
  <c r="K36" i="1"/>
  <c r="J36" i="1"/>
  <c r="I36" i="1"/>
  <c r="H36" i="1"/>
  <c r="G36" i="1"/>
  <c r="K35" i="1"/>
  <c r="E35" i="1"/>
  <c r="J35" i="1"/>
  <c r="I35" i="1"/>
  <c r="H35" i="1"/>
  <c r="G35" i="1"/>
  <c r="F36" i="1"/>
  <c r="F35" i="1"/>
  <c r="L36" i="1" l="1"/>
  <c r="L38" i="1"/>
  <c r="L35" i="1"/>
  <c r="L29" i="1"/>
  <c r="L28" i="1"/>
  <c r="L27" i="1"/>
  <c r="K16" i="1"/>
  <c r="J16" i="1"/>
  <c r="I16" i="1"/>
  <c r="H16" i="1"/>
  <c r="G16" i="1"/>
  <c r="F16" i="1"/>
  <c r="E16" i="1"/>
  <c r="L16" i="1" l="1"/>
  <c r="K26" i="1"/>
  <c r="J26" i="1"/>
  <c r="I26" i="1"/>
  <c r="H26" i="1"/>
  <c r="G26" i="1"/>
  <c r="F26" i="1"/>
  <c r="E26" i="1"/>
  <c r="L26" i="1" l="1"/>
  <c r="E21" i="1" l="1"/>
  <c r="H19" i="1" l="1"/>
  <c r="I19" i="1"/>
  <c r="F19" i="1"/>
  <c r="K19" i="1"/>
  <c r="H18" i="1"/>
  <c r="I17" i="1"/>
  <c r="G19" i="1"/>
  <c r="I18" i="1"/>
  <c r="H17" i="1"/>
  <c r="K18" i="1"/>
  <c r="J19" i="1"/>
  <c r="G18" i="1"/>
  <c r="F18" i="1"/>
  <c r="G17" i="1"/>
  <c r="J18" i="1"/>
  <c r="F17" i="1"/>
  <c r="J17" i="1"/>
  <c r="K17" i="1"/>
  <c r="K21" i="1" l="1"/>
  <c r="G21" i="1"/>
  <c r="H21" i="1"/>
  <c r="L19" i="1"/>
  <c r="I21" i="1"/>
  <c r="J21" i="1"/>
  <c r="L18" i="1"/>
  <c r="F21" i="1"/>
  <c r="L17" i="1"/>
  <c r="L21" i="1" l="1"/>
</calcChain>
</file>

<file path=xl/sharedStrings.xml><?xml version="1.0" encoding="utf-8"?>
<sst xmlns="http://schemas.openxmlformats.org/spreadsheetml/2006/main" count="41" uniqueCount="39">
  <si>
    <t>PUBLIC UTILITY COMMISSION OF TEXAS</t>
  </si>
  <si>
    <t>AEP TEXAS INC</t>
  </si>
  <si>
    <t>TEST YEAR ENDING 12/31/2018</t>
  </si>
  <si>
    <t>Test Year</t>
  </si>
  <si>
    <t>Description</t>
  </si>
  <si>
    <t>Revenue</t>
  </si>
  <si>
    <t>Residential</t>
  </si>
  <si>
    <t>Secondary</t>
  </si>
  <si>
    <t>Primary</t>
  </si>
  <si>
    <t>Transmission</t>
  </si>
  <si>
    <t>Lighting</t>
  </si>
  <si>
    <t>Total</t>
  </si>
  <si>
    <t>Line</t>
  </si>
  <si>
    <t>Requirement</t>
  </si>
  <si>
    <t>=&lt; 10 kW</t>
  </si>
  <si>
    <t>&gt; 10 kW</t>
  </si>
  <si>
    <t>TX Retail</t>
  </si>
  <si>
    <t>No.</t>
  </si>
  <si>
    <t>IV-J-1 REVENUE SUMMARY</t>
  </si>
  <si>
    <t>Income Tax Refund Rider - Annual</t>
  </si>
  <si>
    <t>Docket - TBD</t>
  </si>
  <si>
    <t>Transmission (TRAN)</t>
  </si>
  <si>
    <t>Distribution (DIST)</t>
  </si>
  <si>
    <t>Metering (MET)</t>
  </si>
  <si>
    <t>Customer - Billing (TBIL) - T&amp;D Customer Service (TDCS)</t>
  </si>
  <si>
    <t>DIST + TRAN + MET + TBILL + TDCS</t>
  </si>
  <si>
    <t>Distribution Cost Recovery Factor (DCRF)</t>
  </si>
  <si>
    <t>Advanced Metering System Cost Recovery Factor (AMSCRF)</t>
  </si>
  <si>
    <t>System Benefit Fund (SBF)</t>
  </si>
  <si>
    <t>Merger Savings - Central</t>
  </si>
  <si>
    <t>Merger Savings - North</t>
  </si>
  <si>
    <t>Nuclear Decommissioning Charge (NDC) Central Only Docket 49163</t>
  </si>
  <si>
    <t>Transmission Cost Recovery Factor (TCRF) see TRAN</t>
  </si>
  <si>
    <t>Revenue Approved in Other Dockets</t>
  </si>
  <si>
    <t>Enegery Efficiency Cost Recovery Factor (EECRF) Central + Base</t>
  </si>
  <si>
    <t>Enegery Efficiency Cost Recovery Factor (EECRF) North + Base</t>
  </si>
  <si>
    <t>Revenues Relating to This Rate Case</t>
  </si>
  <si>
    <t>Transition Cost TC2 Central Only (Test Year)</t>
  </si>
  <si>
    <t>Transition Cost TC3 Central Only (Test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</si>
</sst>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00000"/>
    <numFmt numFmtId="167" formatCode="_(* #,##0.000000_);_(* \(#,##0.000000\);_(* &quot;-&quot;??_);_(@_)"/>
    <numFmt numFmtId="168" formatCode="&quot;$&quot;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u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2" applyFont="1" applyFill="1" applyBorder="1"/>
    <xf numFmtId="0" fontId="3" fillId="0" borderId="0" xfId="2" applyFont="1" applyFill="1" applyBorder="1" applyAlignment="1">
      <alignment horizontal="center"/>
    </xf>
    <xf numFmtId="0" fontId="4" fillId="0" borderId="0" xfId="0" applyFont="1"/>
    <xf numFmtId="0" fontId="5" fillId="0" borderId="1" xfId="2" applyFont="1" applyFill="1" applyBorder="1" applyAlignment="1">
      <alignment horizontal="left"/>
    </xf>
    <xf numFmtId="0" fontId="3" fillId="0" borderId="0" xfId="2" quotePrefix="1" applyFont="1" applyFill="1" applyBorder="1"/>
    <xf numFmtId="0" fontId="5" fillId="0" borderId="2" xfId="2" applyFont="1" applyFill="1" applyBorder="1"/>
    <xf numFmtId="0" fontId="5" fillId="0" borderId="2" xfId="2" applyFont="1" applyFill="1" applyBorder="1" applyAlignment="1">
      <alignment horizontal="left"/>
    </xf>
    <xf numFmtId="0" fontId="5" fillId="0" borderId="3" xfId="2" applyFont="1" applyFill="1" applyBorder="1" applyAlignment="1">
      <alignment horizontal="left"/>
    </xf>
    <xf numFmtId="0" fontId="3" fillId="0" borderId="0" xfId="2" quotePrefix="1" applyFont="1" applyFill="1" applyBorder="1" applyAlignment="1">
      <alignment horizontal="center"/>
    </xf>
    <xf numFmtId="0" fontId="3" fillId="0" borderId="1" xfId="2" applyFont="1" applyFill="1" applyBorder="1"/>
    <xf numFmtId="0" fontId="3" fillId="0" borderId="1" xfId="2" applyFont="1" applyFill="1" applyBorder="1" applyAlignment="1">
      <alignment horizontal="center"/>
    </xf>
    <xf numFmtId="0" fontId="3" fillId="0" borderId="2" xfId="2" applyFont="1" applyFill="1" applyBorder="1" applyAlignment="1">
      <alignment horizontal="center"/>
    </xf>
    <xf numFmtId="0" fontId="3" fillId="0" borderId="2" xfId="2" quotePrefix="1" applyFont="1" applyFill="1" applyBorder="1" applyAlignment="1">
      <alignment horizontal="center"/>
    </xf>
    <xf numFmtId="0" fontId="3" fillId="0" borderId="3" xfId="2" applyFont="1" applyFill="1" applyBorder="1" applyAlignment="1">
      <alignment horizontal="center"/>
    </xf>
    <xf numFmtId="0" fontId="3" fillId="0" borderId="3" xfId="2" quotePrefix="1" applyFont="1" applyFill="1" applyBorder="1" applyAlignment="1">
      <alignment horizontal="center"/>
    </xf>
    <xf numFmtId="0" fontId="3" fillId="0" borderId="4" xfId="2" applyFont="1" applyFill="1" applyBorder="1"/>
    <xf numFmtId="0" fontId="3" fillId="0" borderId="4" xfId="2" quotePrefix="1" applyFont="1" applyFill="1" applyBorder="1" applyAlignment="1">
      <alignment horizontal="center"/>
    </xf>
    <xf numFmtId="0" fontId="3" fillId="0" borderId="4" xfId="2" applyFont="1" applyFill="1" applyBorder="1" applyAlignment="1">
      <alignment horizontal="center"/>
    </xf>
    <xf numFmtId="164" fontId="3" fillId="0" borderId="0" xfId="3" applyNumberFormat="1" applyFont="1" applyFill="1" applyBorder="1"/>
    <xf numFmtId="165" fontId="3" fillId="0" borderId="0" xfId="1" applyNumberFormat="1" applyFont="1" applyFill="1" applyBorder="1"/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horizontal="center"/>
    </xf>
    <xf numFmtId="164" fontId="3" fillId="0" borderId="0" xfId="1" applyNumberFormat="1" applyFont="1" applyFill="1" applyBorder="1" applyAlignment="1">
      <alignment horizontal="right"/>
    </xf>
    <xf numFmtId="0" fontId="3" fillId="0" borderId="0" xfId="2" applyFont="1" applyFill="1" applyBorder="1" applyAlignment="1">
      <alignment horizontal="left"/>
    </xf>
    <xf numFmtId="166" fontId="3" fillId="0" borderId="0" xfId="2" applyNumberFormat="1" applyFont="1" applyFill="1" applyBorder="1" applyAlignment="1">
      <alignment horizontal="center"/>
    </xf>
    <xf numFmtId="37" fontId="3" fillId="0" borderId="0" xfId="2" applyNumberFormat="1" applyFont="1" applyFill="1" applyBorder="1" applyAlignment="1">
      <alignment horizontal="right"/>
    </xf>
    <xf numFmtId="164" fontId="3" fillId="0" borderId="0" xfId="3" applyNumberFormat="1" applyFont="1" applyFill="1" applyBorder="1" applyAlignment="1">
      <alignment horizontal="center"/>
    </xf>
    <xf numFmtId="0" fontId="5" fillId="0" borderId="5" xfId="2" applyFont="1" applyFill="1" applyBorder="1" applyAlignment="1">
      <alignment horizontal="center"/>
    </xf>
    <xf numFmtId="0" fontId="6" fillId="0" borderId="0" xfId="0" applyFont="1"/>
    <xf numFmtId="43" fontId="4" fillId="0" borderId="0" xfId="0" applyNumberFormat="1" applyFont="1"/>
    <xf numFmtId="164" fontId="4" fillId="0" borderId="0" xfId="1" applyNumberFormat="1" applyFont="1"/>
    <xf numFmtId="165" fontId="5" fillId="0" borderId="6" xfId="3" applyNumberFormat="1" applyFont="1" applyFill="1" applyBorder="1"/>
    <xf numFmtId="164" fontId="5" fillId="0" borderId="7" xfId="3" applyNumberFormat="1" applyFont="1" applyFill="1" applyBorder="1"/>
    <xf numFmtId="37" fontId="4" fillId="0" borderId="0" xfId="0" applyNumberFormat="1" applyFont="1"/>
    <xf numFmtId="0" fontId="4" fillId="0" borderId="0" xfId="0" applyFont="1" applyAlignment="1">
      <alignment horizontal="center"/>
    </xf>
    <xf numFmtId="167" fontId="4" fillId="0" borderId="0" xfId="1" applyNumberFormat="1" applyFont="1"/>
    <xf numFmtId="0" fontId="7" fillId="0" borderId="0" xfId="2" applyFont="1" applyFill="1" applyBorder="1" applyAlignment="1">
      <alignment horizontal="left"/>
    </xf>
    <xf numFmtId="168" fontId="4" fillId="0" borderId="0" xfId="0" applyNumberFormat="1" applyFont="1"/>
    <xf numFmtId="43" fontId="4" fillId="0" borderId="0" xfId="1" applyFont="1"/>
  </cellXfs>
  <cellStyles count="4">
    <cellStyle name="Comma" xfId="1" builtinId="3"/>
    <cellStyle name="Comma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Combined\Rate%20Design\AEPTX%20Transmission%20TCRF%20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Combined\COS\Sch%20II-I-1%20AEP%20Texas%20COS%20STUDY%2012_2018%20File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Combined\Rate%20Design\ITR%20Alloc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\Documents\TXunbdl\EECRF%20TX\2018%20Filings\Central%20Division%202018%20SchC-E-G-H-I-Q-WPA-WPC-WPE-WPG%202019%20Rates%20Settlemen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\Documents\TXunbdl\EECRF%20TX\2018%20Filings\North%20Division%202018%20SchC-E-G-H-I-Q-WPA-WPC-WPE-WPG%202019%20Rates%20Settlem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TCC\Schedules\Central%20H%20-1%20Schedules%20tye%2012-2018%20Fina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AEP%20TX%20Filings\Central%20NDC\NDC%20Filing%20Exhibits%20Final%20201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TNC\Schedules\North%20H-1%20Schedules%20tye%2012-2018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tral TCRF"/>
      <sheetName val="North TCRF"/>
      <sheetName val="AEPTX ERCOT Matrix 2018"/>
    </sheetNames>
    <sheetDataSet>
      <sheetData sheetId="0" refreshError="1"/>
      <sheetData sheetId="1"/>
      <sheetData sheetId="2">
        <row r="9">
          <cell r="E9">
            <v>155238632.99699557</v>
          </cell>
        </row>
        <row r="10">
          <cell r="E10">
            <v>6396087.8686562618</v>
          </cell>
        </row>
        <row r="11">
          <cell r="E11">
            <v>10009840.670870321</v>
          </cell>
        </row>
        <row r="12">
          <cell r="E12">
            <v>90904363.058380216</v>
          </cell>
        </row>
        <row r="13">
          <cell r="E13">
            <v>31711960.220803816</v>
          </cell>
        </row>
        <row r="14">
          <cell r="E14">
            <v>2523794.913358639</v>
          </cell>
        </row>
        <row r="15">
          <cell r="E15">
            <v>30604049.270935219</v>
          </cell>
        </row>
        <row r="16">
          <cell r="E16">
            <v>0</v>
          </cell>
        </row>
        <row r="24">
          <cell r="C24">
            <v>327388729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COMPANY 10-02"/>
      <sheetName val="Total Retail by Class"/>
      <sheetName val="Generation"/>
      <sheetName val="II-I-1"/>
      <sheetName val="II-I-2"/>
      <sheetName val="II-I-2.c"/>
      <sheetName val="II-I-2.f"/>
      <sheetName val="II-I TOTAL COMPANY"/>
      <sheetName val="Retail Summary Proposed"/>
      <sheetName val="Juris Alloc Split"/>
      <sheetName val="Transmission"/>
      <sheetName val="Distribution"/>
      <sheetName val="Meter"/>
      <sheetName val="TDCustSvc"/>
      <sheetName val="ComEngySvc"/>
      <sheetName val="Other"/>
      <sheetName val="Sch II-I-1 AEP Texas COS STUDY "/>
    </sheetNames>
    <sheetDataSet>
      <sheetData sheetId="0"/>
      <sheetData sheetId="1"/>
      <sheetData sheetId="2"/>
      <sheetData sheetId="3">
        <row r="15">
          <cell r="D15">
            <v>530037302.3614347</v>
          </cell>
          <cell r="E15">
            <v>277250469.29045224</v>
          </cell>
          <cell r="F15">
            <v>13165914.661174802</v>
          </cell>
          <cell r="G15">
            <v>172447518.64182019</v>
          </cell>
          <cell r="H15">
            <v>38671232.418644793</v>
          </cell>
          <cell r="I15">
            <v>4196817.7520137504</v>
          </cell>
          <cell r="J15">
            <v>24305348.775266699</v>
          </cell>
        </row>
        <row r="16">
          <cell r="D16">
            <v>69836702.442219093</v>
          </cell>
          <cell r="E16">
            <v>46309180.275673166</v>
          </cell>
          <cell r="F16">
            <v>6100793.093945032</v>
          </cell>
          <cell r="G16">
            <v>14365528.622946717</v>
          </cell>
          <cell r="H16">
            <v>2041695.2715644371</v>
          </cell>
          <cell r="I16">
            <v>1019505.1780897417</v>
          </cell>
          <cell r="J16">
            <v>0</v>
          </cell>
        </row>
        <row r="17">
          <cell r="D17">
            <v>19281511.520981599</v>
          </cell>
          <cell r="E17">
            <v>16211653.637192376</v>
          </cell>
          <cell r="F17">
            <v>1651296.786871291</v>
          </cell>
          <cell r="G17">
            <v>1353924.8706182996</v>
          </cell>
          <cell r="H17">
            <v>20249.740118764199</v>
          </cell>
          <cell r="I17">
            <v>1775.3967892897176</v>
          </cell>
          <cell r="J17">
            <v>42611.089391575151</v>
          </cell>
        </row>
      </sheetData>
      <sheetData sheetId="4"/>
      <sheetData sheetId="5"/>
      <sheetData sheetId="6"/>
      <sheetData sheetId="7"/>
      <sheetData sheetId="8">
        <row r="57">
          <cell r="G57">
            <v>254006153.96418467</v>
          </cell>
        </row>
      </sheetData>
      <sheetData sheetId="9"/>
      <sheetData sheetId="10"/>
      <sheetData sheetId="11">
        <row r="28">
          <cell r="H28">
            <v>2856462392</v>
          </cell>
        </row>
      </sheetData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EP TX"/>
      <sheetName val="Central"/>
      <sheetName val="North"/>
    </sheetNames>
    <sheetDataSet>
      <sheetData sheetId="0">
        <row r="22">
          <cell r="D22">
            <v>20741598.222450942</v>
          </cell>
          <cell r="E22">
            <v>11382277.67</v>
          </cell>
          <cell r="F22">
            <v>700748.67</v>
          </cell>
          <cell r="G22">
            <v>6303560.4500000002</v>
          </cell>
          <cell r="H22">
            <v>1364554.49</v>
          </cell>
          <cell r="I22">
            <v>174806.04</v>
          </cell>
          <cell r="J22">
            <v>815652.98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C 2017"/>
      <sheetName val="Schedule E (Factors)"/>
      <sheetName val="Schedule G (Cap)"/>
      <sheetName val="Schedule H (Projected kWh)"/>
      <sheetName val="Schedule I (Base Rate)"/>
      <sheetName val="Schedule Q (Losses)"/>
      <sheetName val="Wrkp Schedule A (2019)"/>
      <sheetName val="WP Schedule C (Summary)"/>
      <sheetName val="WP Schedule C (2017 Costs)"/>
      <sheetName val="WP Schedule C (2017 Rev)"/>
      <sheetName val="WP Schedule E (2019)"/>
      <sheetName val="WP Schedule E (EMV)"/>
      <sheetName val="WP Schedule E (Bonus)"/>
      <sheetName val="WP Schedule E (Muni Exp)"/>
      <sheetName val="WP Schedule E (Adj Allocators)"/>
      <sheetName val="WP Schedule G (CPI)"/>
    </sheetNames>
    <sheetDataSet>
      <sheetData sheetId="0">
        <row r="28">
          <cell r="C28">
            <v>-646367.3899999999</v>
          </cell>
        </row>
      </sheetData>
      <sheetData sheetId="1">
        <row r="27">
          <cell r="H27">
            <v>10141921516</v>
          </cell>
          <cell r="M27">
            <v>9161986.4100000001</v>
          </cell>
        </row>
        <row r="28">
          <cell r="M28">
            <v>185947.83</v>
          </cell>
        </row>
        <row r="29">
          <cell r="M29">
            <v>5049787.0600000005</v>
          </cell>
        </row>
        <row r="30">
          <cell r="M30">
            <v>1805061.1300000001</v>
          </cell>
        </row>
        <row r="31">
          <cell r="M31">
            <v>-5466.4899999999907</v>
          </cell>
        </row>
        <row r="32">
          <cell r="M32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5">
          <cell r="G35">
            <v>14391348.380000001</v>
          </cell>
          <cell r="I35">
            <v>133198.26000000004</v>
          </cell>
        </row>
      </sheetData>
      <sheetData sheetId="11">
        <row r="17">
          <cell r="C17">
            <v>180197.75</v>
          </cell>
        </row>
      </sheetData>
      <sheetData sheetId="12">
        <row r="15">
          <cell r="C15">
            <v>2395662</v>
          </cell>
        </row>
      </sheetData>
      <sheetData sheetId="13">
        <row r="17">
          <cell r="C17">
            <v>9673.4600000000009</v>
          </cell>
        </row>
      </sheetData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C 2017 (actuals)"/>
      <sheetName val="Schedule E (factors)"/>
      <sheetName val="Schedule G (Cap)"/>
      <sheetName val="Schedule H (proj kWh)"/>
      <sheetName val="Schedule I (base rate)"/>
      <sheetName val="Schedule Q (losses)"/>
      <sheetName val="WP Schedule A 2019"/>
      <sheetName val="WP Schedule C (Summary)"/>
      <sheetName val="WP Schedule C (2017 Costs)"/>
      <sheetName val="WP Schedule C (2017 Rev)"/>
      <sheetName val="WP Schedule E (2019)"/>
      <sheetName val="WP Schedule E (EMV)"/>
      <sheetName val="WP Schedule E (2017 Bonus)"/>
      <sheetName val="WP Schedule E (Muni Exp)"/>
      <sheetName val="WP Schedule E (Adj Allocators)"/>
      <sheetName val="WP Schedule G (CPI)"/>
    </sheetNames>
    <sheetDataSet>
      <sheetData sheetId="0">
        <row r="27">
          <cell r="C27">
            <v>-46178.909999999967</v>
          </cell>
        </row>
      </sheetData>
      <sheetData sheetId="1">
        <row r="26">
          <cell r="H26">
            <v>1741937215</v>
          </cell>
          <cell r="M26">
            <v>1900450.9300000002</v>
          </cell>
        </row>
        <row r="27">
          <cell r="M27">
            <v>62148.9</v>
          </cell>
        </row>
        <row r="28">
          <cell r="M28">
            <v>1701870.45</v>
          </cell>
        </row>
        <row r="29">
          <cell r="M29">
            <v>175000.72</v>
          </cell>
        </row>
        <row r="30">
          <cell r="M30">
            <v>2817.74</v>
          </cell>
        </row>
        <row r="31">
          <cell r="M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8">
          <cell r="E18">
            <v>3388100.41</v>
          </cell>
        </row>
        <row r="35">
          <cell r="I35">
            <v>7378.1400000000576</v>
          </cell>
        </row>
      </sheetData>
      <sheetData sheetId="11"/>
      <sheetData sheetId="12">
        <row r="17">
          <cell r="C17">
            <v>505327.00000000006</v>
          </cell>
        </row>
      </sheetData>
      <sheetData sheetId="13">
        <row r="6">
          <cell r="C6">
            <v>2418.37</v>
          </cell>
        </row>
      </sheetData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I-H-1"/>
      <sheetName val="II-H-1.1"/>
      <sheetName val="II-H-1.2"/>
      <sheetName val="II-H-1.6 Dist"/>
      <sheetName val="II-H-1.6 Tran"/>
      <sheetName val="II-H-3.1"/>
      <sheetName val="II-H-1.9"/>
      <sheetName val="II-H-4.1 Monthly"/>
      <sheetName val="II-H-4.1 Functions"/>
      <sheetName val="Riders"/>
    </sheetNames>
    <sheetDataSet>
      <sheetData sheetId="0"/>
      <sheetData sheetId="1"/>
      <sheetData sheetId="2">
        <row r="8">
          <cell r="D8">
            <v>985630893</v>
          </cell>
        </row>
      </sheetData>
      <sheetData sheetId="3">
        <row r="14">
          <cell r="D14">
            <v>2477222.6</v>
          </cell>
        </row>
      </sheetData>
      <sheetData sheetId="4">
        <row r="12">
          <cell r="D12">
            <v>2095527</v>
          </cell>
        </row>
      </sheetData>
      <sheetData sheetId="5">
        <row r="8">
          <cell r="L8">
            <v>724302</v>
          </cell>
        </row>
      </sheetData>
      <sheetData sheetId="6"/>
      <sheetData sheetId="7">
        <row r="30">
          <cell r="P30">
            <v>997769886.76999998</v>
          </cell>
        </row>
      </sheetData>
      <sheetData sheetId="8">
        <row r="75">
          <cell r="D75">
            <v>152239.56</v>
          </cell>
        </row>
      </sheetData>
      <sheetData sheetId="9">
        <row r="8">
          <cell r="D8">
            <v>1624445.51</v>
          </cell>
        </row>
        <row r="63">
          <cell r="P63">
            <v>-424795.42</v>
          </cell>
        </row>
        <row r="65">
          <cell r="P65">
            <v>-21763.11</v>
          </cell>
        </row>
        <row r="69">
          <cell r="P69">
            <v>-236701.62000000002</v>
          </cell>
        </row>
        <row r="73">
          <cell r="P73">
            <v>-51885.920000000006</v>
          </cell>
        </row>
        <row r="75">
          <cell r="P75">
            <v>-22084.720000000001</v>
          </cell>
        </row>
        <row r="77">
          <cell r="P77">
            <v>-24052.99</v>
          </cell>
        </row>
        <row r="85">
          <cell r="P85">
            <v>-781283.78</v>
          </cell>
        </row>
        <row r="120">
          <cell r="P120">
            <v>84352111.410000011</v>
          </cell>
        </row>
        <row r="122">
          <cell r="P122">
            <v>7444061.0200000005</v>
          </cell>
        </row>
        <row r="126">
          <cell r="P126">
            <v>75815220.889999986</v>
          </cell>
        </row>
        <row r="130">
          <cell r="P130">
            <v>16216983.890000001</v>
          </cell>
        </row>
        <row r="132">
          <cell r="P132">
            <v>14734819.649999999</v>
          </cell>
        </row>
        <row r="134">
          <cell r="P134">
            <v>3115428.98</v>
          </cell>
        </row>
        <row r="136">
          <cell r="P136">
            <v>201678625.83999997</v>
          </cell>
        </row>
        <row r="148">
          <cell r="P148">
            <v>30395095.18</v>
          </cell>
        </row>
        <row r="150">
          <cell r="P150">
            <v>3425540.2</v>
          </cell>
        </row>
        <row r="154">
          <cell r="P154">
            <v>30267422.639999997</v>
          </cell>
        </row>
        <row r="158">
          <cell r="P158">
            <v>5948999.3900000006</v>
          </cell>
        </row>
        <row r="160">
          <cell r="P160">
            <v>4199815.0999999987</v>
          </cell>
        </row>
        <row r="162">
          <cell r="P162">
            <v>1289202.3299999998</v>
          </cell>
        </row>
        <row r="164">
          <cell r="P164">
            <v>75526074.840000004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HIBIT JLJ-1"/>
      <sheetName val="EXHIBIT JLJ-2"/>
      <sheetName val="EXHIBIT JLJ-3"/>
      <sheetName val="EXHIBIT JLJ-4"/>
      <sheetName val="EXHIBIT JLJ-5"/>
      <sheetName val="wp1"/>
    </sheetNames>
    <sheetDataSet>
      <sheetData sheetId="0"/>
      <sheetData sheetId="1"/>
      <sheetData sheetId="2"/>
      <sheetData sheetId="3">
        <row r="11">
          <cell r="D11">
            <v>30699.1</v>
          </cell>
        </row>
        <row r="13">
          <cell r="D13">
            <v>1151.5899999999999</v>
          </cell>
        </row>
        <row r="14">
          <cell r="D14">
            <v>951.66</v>
          </cell>
        </row>
        <row r="19">
          <cell r="D19">
            <v>20150.18</v>
          </cell>
        </row>
        <row r="23">
          <cell r="D23">
            <v>6924.21</v>
          </cell>
        </row>
        <row r="25">
          <cell r="D25">
            <v>6766.26</v>
          </cell>
        </row>
        <row r="27">
          <cell r="D27">
            <v>66643</v>
          </cell>
        </row>
      </sheetData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I-H-1"/>
      <sheetName val="II-H-1.1"/>
      <sheetName val="II-H-1.2"/>
      <sheetName val="II-H-1.6 Dist"/>
      <sheetName val="II-H-1.6 Tran"/>
      <sheetName val="II-H-3.1"/>
      <sheetName val="II-H-1.9"/>
      <sheetName val="II-H-4.1 Monthly"/>
      <sheetName val="II-H-4.1 Functions"/>
      <sheetName val="Riders"/>
    </sheetNames>
    <sheetDataSet>
      <sheetData sheetId="0"/>
      <sheetData sheetId="1"/>
      <sheetData sheetId="2">
        <row r="8">
          <cell r="D8">
            <v>202134354</v>
          </cell>
        </row>
      </sheetData>
      <sheetData sheetId="3">
        <row r="12">
          <cell r="D12">
            <v>530521.19999999995</v>
          </cell>
        </row>
      </sheetData>
      <sheetData sheetId="4">
        <row r="12">
          <cell r="D12">
            <v>441393.3</v>
          </cell>
        </row>
      </sheetData>
      <sheetData sheetId="5">
        <row r="8">
          <cell r="D8">
            <v>149576</v>
          </cell>
        </row>
      </sheetData>
      <sheetData sheetId="6"/>
      <sheetData sheetId="7">
        <row r="8">
          <cell r="D8">
            <v>9902171.6500000004</v>
          </cell>
        </row>
      </sheetData>
      <sheetData sheetId="8">
        <row r="8">
          <cell r="D8">
            <v>5307714.91</v>
          </cell>
        </row>
      </sheetData>
      <sheetData sheetId="9">
        <row r="8">
          <cell r="D8">
            <v>352482.24</v>
          </cell>
        </row>
        <row r="118">
          <cell r="P118">
            <v>-100165.22</v>
          </cell>
        </row>
        <row r="120">
          <cell r="P120">
            <v>-14490.92</v>
          </cell>
        </row>
        <row r="124">
          <cell r="P124">
            <v>-61051.7</v>
          </cell>
        </row>
        <row r="128">
          <cell r="P128">
            <v>-25360.63</v>
          </cell>
        </row>
        <row r="130">
          <cell r="P130">
            <v>-910.49</v>
          </cell>
        </row>
        <row r="132">
          <cell r="P132">
            <v>-6633.52</v>
          </cell>
        </row>
        <row r="134">
          <cell r="P134">
            <v>-208612.47999999998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M45"/>
  <sheetViews>
    <sheetView tabSelected="1" workbookViewId="0">
      <selection activeCell="D10" sqref="D10"/>
    </sheetView>
  </sheetViews>
  <sheetFormatPr defaultColWidth="9.1796875" defaultRowHeight="15.5" x14ac:dyDescent="0.35"/>
  <cols>
    <col min="1" max="1" width="9.1796875" style="3"/>
    <col min="2" max="2" width="5.7265625" style="3" customWidth="1"/>
    <col min="3" max="3" width="5.1796875" style="3" bestFit="1" customWidth="1"/>
    <col min="4" max="4" width="62.1796875" style="3" customWidth="1"/>
    <col min="5" max="5" width="18.26953125" style="3" bestFit="1" customWidth="1"/>
    <col min="6" max="6" width="23.7265625" style="3" bestFit="1" customWidth="1"/>
    <col min="7" max="7" width="16.81640625" style="3" bestFit="1" customWidth="1"/>
    <col min="8" max="8" width="17.26953125" style="3" bestFit="1" customWidth="1"/>
    <col min="9" max="9" width="16.1796875" style="3" bestFit="1" customWidth="1"/>
    <col min="10" max="10" width="16.81640625" style="3" bestFit="1" customWidth="1"/>
    <col min="11" max="11" width="15.54296875" style="3" bestFit="1" customWidth="1"/>
    <col min="12" max="12" width="16.81640625" style="3" bestFit="1" customWidth="1"/>
    <col min="13" max="13" width="11.26953125" style="3" bestFit="1" customWidth="1"/>
    <col min="14" max="16384" width="9.1796875" style="3"/>
  </cols>
  <sheetData>
    <row r="3" spans="2:12" ht="16" thickBot="1" x14ac:dyDescent="0.4">
      <c r="B3" s="1"/>
      <c r="C3" s="1"/>
      <c r="D3" s="1"/>
      <c r="E3" s="1"/>
      <c r="F3" s="1"/>
      <c r="G3" s="1"/>
      <c r="H3" s="1"/>
      <c r="I3" s="1"/>
      <c r="J3" s="1"/>
      <c r="K3" s="1"/>
      <c r="L3" s="2"/>
    </row>
    <row r="4" spans="2:12" x14ac:dyDescent="0.35">
      <c r="B4" s="1"/>
      <c r="C4" s="1"/>
      <c r="D4" s="4" t="s">
        <v>0</v>
      </c>
      <c r="E4" s="1"/>
      <c r="F4" s="5"/>
      <c r="G4" s="1"/>
      <c r="H4" s="1"/>
      <c r="I4" s="1"/>
      <c r="J4" s="1"/>
      <c r="K4" s="1"/>
      <c r="L4" s="2"/>
    </row>
    <row r="5" spans="2:12" x14ac:dyDescent="0.35">
      <c r="B5" s="1"/>
      <c r="C5" s="1"/>
      <c r="D5" s="6" t="s">
        <v>1</v>
      </c>
      <c r="E5" s="1"/>
      <c r="F5" s="5"/>
      <c r="G5" s="1"/>
      <c r="H5" s="1"/>
      <c r="I5" s="1"/>
      <c r="J5" s="1"/>
      <c r="K5" s="1"/>
      <c r="L5" s="2"/>
    </row>
    <row r="6" spans="2:12" x14ac:dyDescent="0.35">
      <c r="B6" s="1"/>
      <c r="C6" s="1"/>
      <c r="D6" s="7" t="s">
        <v>18</v>
      </c>
      <c r="E6" s="1"/>
      <c r="F6" s="1"/>
      <c r="G6" s="1"/>
      <c r="H6" s="1"/>
      <c r="I6" s="1"/>
      <c r="J6" s="1"/>
      <c r="K6" s="1"/>
      <c r="L6" s="2"/>
    </row>
    <row r="7" spans="2:12" x14ac:dyDescent="0.35">
      <c r="B7" s="1"/>
      <c r="C7" s="1"/>
      <c r="D7" s="7" t="s">
        <v>2</v>
      </c>
      <c r="E7" s="1"/>
      <c r="F7" s="1"/>
      <c r="G7" s="1"/>
      <c r="H7" s="1"/>
      <c r="I7" s="1"/>
      <c r="J7" s="1"/>
      <c r="K7" s="1"/>
      <c r="L7" s="2"/>
    </row>
    <row r="8" spans="2:12" ht="16" thickBot="1" x14ac:dyDescent="0.4">
      <c r="B8" s="1"/>
      <c r="C8" s="1"/>
      <c r="D8" s="8" t="s">
        <v>20</v>
      </c>
      <c r="E8" s="1"/>
      <c r="F8" s="1"/>
      <c r="G8" s="1"/>
      <c r="H8" s="1"/>
      <c r="I8" s="1"/>
      <c r="J8" s="1"/>
      <c r="K8" s="1"/>
      <c r="L8" s="2"/>
    </row>
    <row r="9" spans="2:12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2"/>
    </row>
    <row r="10" spans="2:12" ht="16" thickBot="1" x14ac:dyDescent="0.4">
      <c r="B10" s="1"/>
      <c r="C10" s="1"/>
      <c r="D10" s="1"/>
      <c r="E10" s="9">
        <v>1</v>
      </c>
      <c r="F10" s="9">
        <v>2</v>
      </c>
      <c r="G10" s="9">
        <v>3</v>
      </c>
      <c r="H10" s="9">
        <v>4</v>
      </c>
      <c r="I10" s="9">
        <v>5</v>
      </c>
      <c r="J10" s="9">
        <v>6</v>
      </c>
      <c r="K10" s="9">
        <v>7</v>
      </c>
      <c r="L10" s="9">
        <v>8</v>
      </c>
    </row>
    <row r="11" spans="2:12" x14ac:dyDescent="0.35">
      <c r="B11" s="10"/>
      <c r="C11" s="10"/>
      <c r="D11" s="10"/>
      <c r="E11" s="11" t="s">
        <v>3</v>
      </c>
      <c r="F11" s="10"/>
      <c r="G11" s="10"/>
      <c r="H11" s="11"/>
      <c r="I11" s="11"/>
      <c r="J11" s="11"/>
      <c r="K11" s="10"/>
      <c r="L11" s="10"/>
    </row>
    <row r="12" spans="2:12" x14ac:dyDescent="0.35">
      <c r="B12" s="12"/>
      <c r="C12" s="12"/>
      <c r="D12" s="12" t="s">
        <v>4</v>
      </c>
      <c r="E12" s="13" t="s">
        <v>5</v>
      </c>
      <c r="F12" s="12" t="s">
        <v>6</v>
      </c>
      <c r="G12" s="12" t="s">
        <v>7</v>
      </c>
      <c r="H12" s="12" t="s">
        <v>7</v>
      </c>
      <c r="I12" s="12" t="s">
        <v>8</v>
      </c>
      <c r="J12" s="12" t="s">
        <v>9</v>
      </c>
      <c r="K12" s="12" t="s">
        <v>10</v>
      </c>
      <c r="L12" s="12" t="s">
        <v>11</v>
      </c>
    </row>
    <row r="13" spans="2:12" x14ac:dyDescent="0.35">
      <c r="B13" s="12" t="s">
        <v>12</v>
      </c>
      <c r="C13" s="12"/>
      <c r="D13" s="12"/>
      <c r="E13" s="13" t="s">
        <v>13</v>
      </c>
      <c r="F13" s="12"/>
      <c r="G13" s="13" t="s">
        <v>14</v>
      </c>
      <c r="H13" s="13" t="s">
        <v>15</v>
      </c>
      <c r="I13" s="12"/>
      <c r="J13" s="12"/>
      <c r="K13" s="12"/>
      <c r="L13" s="12" t="s">
        <v>16</v>
      </c>
    </row>
    <row r="14" spans="2:12" ht="16" thickBot="1" x14ac:dyDescent="0.4">
      <c r="B14" s="14" t="s">
        <v>17</v>
      </c>
      <c r="C14" s="14"/>
      <c r="D14" s="14"/>
      <c r="E14" s="15" t="s">
        <v>11</v>
      </c>
      <c r="F14" s="14"/>
      <c r="G14" s="14"/>
      <c r="H14" s="14"/>
      <c r="I14" s="14"/>
      <c r="J14" s="14"/>
      <c r="K14" s="14"/>
      <c r="L14" s="14"/>
    </row>
    <row r="15" spans="2:12" x14ac:dyDescent="0.35">
      <c r="B15" s="1"/>
      <c r="C15" s="1"/>
      <c r="D15" s="16"/>
      <c r="E15" s="17"/>
      <c r="F15" s="17"/>
      <c r="G15" s="17"/>
      <c r="H15" s="17"/>
      <c r="I15" s="17"/>
      <c r="J15" s="17"/>
      <c r="K15" s="17"/>
      <c r="L15" s="18"/>
    </row>
    <row r="16" spans="2:12" x14ac:dyDescent="0.35">
      <c r="B16" s="2">
        <v>1</v>
      </c>
      <c r="C16" s="2"/>
      <c r="D16" s="1" t="s">
        <v>21</v>
      </c>
      <c r="E16" s="20">
        <f>'[1]AEPTX ERCOT Matrix 2018'!$C$24</f>
        <v>327388729</v>
      </c>
      <c r="F16" s="21">
        <f>'[1]AEPTX ERCOT Matrix 2018'!$E$9</f>
        <v>155238632.99699557</v>
      </c>
      <c r="G16" s="21">
        <f>'[1]AEPTX ERCOT Matrix 2018'!$E$10</f>
        <v>6396087.8686562618</v>
      </c>
      <c r="H16" s="21">
        <f>'[1]AEPTX ERCOT Matrix 2018'!$E$11+'[1]AEPTX ERCOT Matrix 2018'!$E$12</f>
        <v>100914203.72925054</v>
      </c>
      <c r="I16" s="21">
        <f>'[1]AEPTX ERCOT Matrix 2018'!$E$13+'[1]AEPTX ERCOT Matrix 2018'!$E$14</f>
        <v>34235755.134162456</v>
      </c>
      <c r="J16" s="21">
        <f>'[1]AEPTX ERCOT Matrix 2018'!$E$15</f>
        <v>30604049.270935219</v>
      </c>
      <c r="K16" s="21">
        <f>'[1]AEPTX ERCOT Matrix 2018'!$E$16</f>
        <v>0</v>
      </c>
      <c r="L16" s="21">
        <f>SUM(F16:K16)</f>
        <v>327388729.00000006</v>
      </c>
    </row>
    <row r="17" spans="2:13" x14ac:dyDescent="0.35">
      <c r="B17" s="2">
        <v>2</v>
      </c>
      <c r="C17" s="2"/>
      <c r="D17" s="1" t="s">
        <v>22</v>
      </c>
      <c r="E17" s="21">
        <f>'[2]II-I-1'!$D$15</f>
        <v>530037302.3614347</v>
      </c>
      <c r="F17" s="21">
        <f>'[2]II-I-1'!$E$15</f>
        <v>277250469.29045224</v>
      </c>
      <c r="G17" s="21">
        <f>'[2]II-I-1'!$F$15</f>
        <v>13165914.661174802</v>
      </c>
      <c r="H17" s="21">
        <f>'[2]II-I-1'!$G$15</f>
        <v>172447518.64182019</v>
      </c>
      <c r="I17" s="21">
        <f>'[2]II-I-1'!$H$15</f>
        <v>38671232.418644793</v>
      </c>
      <c r="J17" s="21">
        <f>'[2]II-I-1'!$I$15</f>
        <v>4196817.7520137504</v>
      </c>
      <c r="K17" s="21">
        <f>'[2]II-I-1'!$J$15</f>
        <v>24305348.775266699</v>
      </c>
      <c r="L17" s="22">
        <f>SUM(F17:K17)</f>
        <v>530037301.53937244</v>
      </c>
    </row>
    <row r="18" spans="2:13" x14ac:dyDescent="0.35">
      <c r="B18" s="2">
        <v>3</v>
      </c>
      <c r="C18" s="2"/>
      <c r="D18" s="1" t="s">
        <v>23</v>
      </c>
      <c r="E18" s="21">
        <f>'[2]II-I-1'!$D$16</f>
        <v>69836702.442219093</v>
      </c>
      <c r="F18" s="21">
        <f>'[2]II-I-1'!$E$16</f>
        <v>46309180.275673166</v>
      </c>
      <c r="G18" s="21">
        <f>'[2]II-I-1'!$F$16</f>
        <v>6100793.093945032</v>
      </c>
      <c r="H18" s="21">
        <f>'[2]II-I-1'!$G$16</f>
        <v>14365528.622946717</v>
      </c>
      <c r="I18" s="21">
        <f>'[2]II-I-1'!$H$16</f>
        <v>2041695.2715644371</v>
      </c>
      <c r="J18" s="23">
        <f>'[2]II-I-1'!$I$16</f>
        <v>1019505.1780897417</v>
      </c>
      <c r="K18" s="21">
        <f>'[2]II-I-1'!$J$16</f>
        <v>0</v>
      </c>
      <c r="L18" s="22">
        <f>SUM(F18:K18)</f>
        <v>69836702.442219093</v>
      </c>
    </row>
    <row r="19" spans="2:13" x14ac:dyDescent="0.35">
      <c r="B19" s="2">
        <v>4</v>
      </c>
      <c r="C19" s="2"/>
      <c r="D19" s="24" t="s">
        <v>24</v>
      </c>
      <c r="E19" s="21">
        <f>'[2]II-I-1'!$D$17</f>
        <v>19281511.520981599</v>
      </c>
      <c r="F19" s="21">
        <f>'[2]II-I-1'!$E$17</f>
        <v>16211653.637192376</v>
      </c>
      <c r="G19" s="21">
        <f>'[2]II-I-1'!$F$17</f>
        <v>1651296.786871291</v>
      </c>
      <c r="H19" s="21">
        <f>'[2]II-I-1'!$G$17</f>
        <v>1353924.8706182996</v>
      </c>
      <c r="I19" s="21">
        <f>'[2]II-I-1'!$H$17</f>
        <v>20249.740118764199</v>
      </c>
      <c r="J19" s="23">
        <f>'[2]II-I-1'!$I$17</f>
        <v>1775.3967892897176</v>
      </c>
      <c r="K19" s="22">
        <f>'[2]II-I-1'!$J$17</f>
        <v>42611.089391575151</v>
      </c>
      <c r="L19" s="22">
        <f>SUM(F19:K19)</f>
        <v>19281511.520981595</v>
      </c>
    </row>
    <row r="20" spans="2:13" ht="16" thickBot="1" x14ac:dyDescent="0.4">
      <c r="B20" s="2">
        <v>5</v>
      </c>
      <c r="C20" s="2"/>
      <c r="D20" s="1"/>
      <c r="E20" s="19"/>
      <c r="F20" s="19"/>
      <c r="G20" s="19"/>
      <c r="H20" s="19"/>
      <c r="I20" s="25"/>
      <c r="J20" s="26"/>
      <c r="K20" s="27"/>
      <c r="L20" s="2"/>
    </row>
    <row r="21" spans="2:13" ht="22.5" customHeight="1" thickBot="1" x14ac:dyDescent="0.4">
      <c r="B21" s="2">
        <v>6</v>
      </c>
      <c r="C21" s="2"/>
      <c r="D21" s="28" t="s">
        <v>25</v>
      </c>
      <c r="E21" s="32">
        <f t="shared" ref="E21:L21" si="0">SUM(E16:E19)</f>
        <v>946544245.32463539</v>
      </c>
      <c r="F21" s="32">
        <f t="shared" si="0"/>
        <v>495009936.20031333</v>
      </c>
      <c r="G21" s="32">
        <f t="shared" si="0"/>
        <v>27314092.410647385</v>
      </c>
      <c r="H21" s="32">
        <f t="shared" si="0"/>
        <v>289081175.86463577</v>
      </c>
      <c r="I21" s="32">
        <f t="shared" si="0"/>
        <v>74968932.564490438</v>
      </c>
      <c r="J21" s="32">
        <f t="shared" si="0"/>
        <v>35822147.597828001</v>
      </c>
      <c r="K21" s="32">
        <f t="shared" si="0"/>
        <v>24347959.864658274</v>
      </c>
      <c r="L21" s="33">
        <f t="shared" si="0"/>
        <v>946544244.50257313</v>
      </c>
    </row>
    <row r="22" spans="2:13" x14ac:dyDescent="0.35">
      <c r="B22" s="35">
        <v>7</v>
      </c>
      <c r="E22" s="21"/>
      <c r="F22" s="31"/>
      <c r="G22" s="31"/>
      <c r="H22" s="31"/>
      <c r="I22" s="31"/>
      <c r="J22" s="31"/>
      <c r="K22" s="31"/>
      <c r="L22" s="31"/>
      <c r="M22" s="38"/>
    </row>
    <row r="23" spans="2:13" x14ac:dyDescent="0.35">
      <c r="B23" s="35">
        <v>8</v>
      </c>
      <c r="E23" s="38"/>
      <c r="F23" s="38"/>
      <c r="G23" s="38"/>
      <c r="H23" s="38"/>
      <c r="I23" s="38"/>
      <c r="J23" s="38"/>
      <c r="K23" s="38"/>
      <c r="L23" s="38"/>
    </row>
    <row r="24" spans="2:13" x14ac:dyDescent="0.35">
      <c r="B24" s="35">
        <v>9</v>
      </c>
      <c r="D24" s="29"/>
      <c r="E24" s="21"/>
      <c r="F24" s="21"/>
      <c r="G24" s="21"/>
      <c r="H24" s="21"/>
      <c r="I24" s="21"/>
      <c r="J24" s="21"/>
      <c r="K24" s="21"/>
      <c r="L24" s="21"/>
      <c r="M24" s="38"/>
    </row>
    <row r="25" spans="2:13" x14ac:dyDescent="0.35">
      <c r="B25" s="35">
        <v>10</v>
      </c>
      <c r="D25" s="37" t="s">
        <v>36</v>
      </c>
      <c r="E25" s="20"/>
      <c r="F25" s="21"/>
      <c r="G25" s="21"/>
      <c r="H25" s="21"/>
      <c r="I25" s="21"/>
      <c r="J25" s="21"/>
      <c r="K25" s="21"/>
      <c r="L25" s="21"/>
    </row>
    <row r="26" spans="2:13" x14ac:dyDescent="0.35">
      <c r="B26" s="35">
        <v>11</v>
      </c>
      <c r="D26" s="24" t="s">
        <v>19</v>
      </c>
      <c r="E26" s="21">
        <f>-'[3]AEP TX'!$D$22</f>
        <v>-20741598.222450942</v>
      </c>
      <c r="F26" s="21">
        <f>-'[3]AEP TX'!$E$22</f>
        <v>-11382277.67</v>
      </c>
      <c r="G26" s="21">
        <f>-'[3]AEP TX'!$F$22</f>
        <v>-700748.67</v>
      </c>
      <c r="H26" s="21">
        <f>-'[3]AEP TX'!$G$22</f>
        <v>-6303560.4500000002</v>
      </c>
      <c r="I26" s="21">
        <f>-'[3]AEP TX'!$H$22</f>
        <v>-1364554.49</v>
      </c>
      <c r="J26" s="21">
        <f>-'[3]AEP TX'!$I$22</f>
        <v>-174806.04</v>
      </c>
      <c r="K26" s="21">
        <f>-'[3]AEP TX'!$J$22</f>
        <v>-815652.98</v>
      </c>
      <c r="L26" s="21">
        <f t="shared" ref="L26:L31" si="1">SUM(F26:K26)</f>
        <v>-20741600.299999997</v>
      </c>
    </row>
    <row r="27" spans="2:13" x14ac:dyDescent="0.35">
      <c r="B27" s="35">
        <v>12</v>
      </c>
      <c r="D27" s="24" t="s">
        <v>26</v>
      </c>
      <c r="E27" s="21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f t="shared" si="1"/>
        <v>0</v>
      </c>
    </row>
    <row r="28" spans="2:13" x14ac:dyDescent="0.35">
      <c r="B28" s="35">
        <v>13</v>
      </c>
      <c r="D28" s="24" t="s">
        <v>27</v>
      </c>
      <c r="E28" s="21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f t="shared" si="1"/>
        <v>0</v>
      </c>
    </row>
    <row r="29" spans="2:13" x14ac:dyDescent="0.35">
      <c r="B29" s="35">
        <v>14</v>
      </c>
      <c r="D29" s="24" t="s">
        <v>28</v>
      </c>
      <c r="E29" s="21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f t="shared" si="1"/>
        <v>0</v>
      </c>
    </row>
    <row r="30" spans="2:13" x14ac:dyDescent="0.35">
      <c r="B30" s="35">
        <v>15</v>
      </c>
      <c r="D30" s="24" t="s">
        <v>34</v>
      </c>
      <c r="E30" s="21">
        <f>'[4]WP Schedule E (2019)'!$G$35+'[4]WP Schedule E (EMV)'!$C$17+'[4]WP Schedule E (Bonus)'!$C$15+'[4]WP Schedule E (Muni Exp)'!$C$17+'[4]Schedule C 2017'!$C$28-'[4]WP Schedule E (2019)'!$I$35</f>
        <v>16197315.940000003</v>
      </c>
      <c r="F30" s="31">
        <f>'[4]Schedule E (Factors)'!$M$27</f>
        <v>9161986.4100000001</v>
      </c>
      <c r="G30" s="31">
        <f>'[4]Schedule E (Factors)'!$M$28</f>
        <v>185947.83</v>
      </c>
      <c r="H30" s="31">
        <f>'[4]Schedule E (Factors)'!$M$29</f>
        <v>5049787.0600000005</v>
      </c>
      <c r="I30" s="31">
        <f>'[4]Schedule E (Factors)'!$M$30</f>
        <v>1805061.1300000001</v>
      </c>
      <c r="J30" s="31">
        <f>'[4]Schedule E (Factors)'!$M$31</f>
        <v>-5466.4899999999907</v>
      </c>
      <c r="K30" s="31">
        <f>'[4]Schedule E (Factors)'!$M$32</f>
        <v>0</v>
      </c>
      <c r="L30" s="22">
        <f t="shared" si="1"/>
        <v>16197315.940000001</v>
      </c>
    </row>
    <row r="31" spans="2:13" x14ac:dyDescent="0.35">
      <c r="B31" s="35">
        <v>16</v>
      </c>
      <c r="D31" s="24" t="s">
        <v>35</v>
      </c>
      <c r="E31" s="21">
        <f>'[5]WP Schedule E (2019)'!$E$18-'[5]WP Schedule E (2019)'!$I$35+'[5]WP Schedule E (2017 Bonus)'!$C$17+'[5]WP Schedule E (Muni Exp)'!$C$6+'[5]Schedule C 2017 (actuals)'!$C$27</f>
        <v>3842288.73</v>
      </c>
      <c r="F31" s="21">
        <f>'[5]Schedule E (factors)'!$M$26</f>
        <v>1900450.9300000002</v>
      </c>
      <c r="G31" s="21">
        <f>'[5]Schedule E (factors)'!$M$27</f>
        <v>62148.9</v>
      </c>
      <c r="H31" s="21">
        <f>'[5]Schedule E (factors)'!$M$28</f>
        <v>1701870.45</v>
      </c>
      <c r="I31" s="21">
        <f>'[5]Schedule E (factors)'!$M$29</f>
        <v>175000.72</v>
      </c>
      <c r="J31" s="21">
        <f>'[5]Schedule E (factors)'!$M$30</f>
        <v>2817.74</v>
      </c>
      <c r="K31" s="21">
        <f>'[5]Schedule E (factors)'!$M$31</f>
        <v>0</v>
      </c>
      <c r="L31" s="21">
        <f t="shared" si="1"/>
        <v>3842288.7400000007</v>
      </c>
    </row>
    <row r="32" spans="2:13" x14ac:dyDescent="0.35">
      <c r="B32" s="35">
        <v>17</v>
      </c>
      <c r="D32" s="24" t="s">
        <v>32</v>
      </c>
      <c r="E32" s="21"/>
      <c r="F32" s="36"/>
      <c r="G32" s="36"/>
      <c r="H32" s="36"/>
      <c r="I32" s="36"/>
      <c r="J32" s="36"/>
      <c r="K32" s="31"/>
      <c r="L32" s="31"/>
    </row>
    <row r="33" spans="2:12" x14ac:dyDescent="0.35">
      <c r="B33" s="35">
        <v>18</v>
      </c>
      <c r="D33" s="24"/>
      <c r="E33" s="21"/>
      <c r="F33" s="36"/>
      <c r="G33" s="31"/>
      <c r="H33" s="31"/>
      <c r="I33" s="31"/>
      <c r="J33" s="31"/>
      <c r="K33" s="31"/>
      <c r="L33" s="31"/>
    </row>
    <row r="34" spans="2:12" x14ac:dyDescent="0.35">
      <c r="B34" s="35">
        <v>19</v>
      </c>
      <c r="D34" s="37" t="s">
        <v>33</v>
      </c>
      <c r="E34" s="21"/>
      <c r="F34" s="31"/>
      <c r="G34" s="31"/>
      <c r="H34" s="31"/>
      <c r="I34" s="31"/>
      <c r="J34" s="31"/>
      <c r="K34" s="31"/>
      <c r="L34" s="31"/>
    </row>
    <row r="35" spans="2:12" x14ac:dyDescent="0.35">
      <c r="B35" s="35">
        <v>20</v>
      </c>
      <c r="D35" s="24" t="s">
        <v>37</v>
      </c>
      <c r="E35" s="21">
        <f>[6]Riders!$P$136</f>
        <v>201678625.83999997</v>
      </c>
      <c r="F35" s="21">
        <f>[6]Riders!$P$120</f>
        <v>84352111.410000011</v>
      </c>
      <c r="G35" s="21">
        <f>[6]Riders!$P$122</f>
        <v>7444061.0200000005</v>
      </c>
      <c r="H35" s="21">
        <f>[6]Riders!$P$126</f>
        <v>75815220.889999986</v>
      </c>
      <c r="I35" s="21">
        <f>[6]Riders!$P$130</f>
        <v>16216983.890000001</v>
      </c>
      <c r="J35" s="21">
        <f>[6]Riders!$P$132</f>
        <v>14734819.649999999</v>
      </c>
      <c r="K35" s="21">
        <f>[6]Riders!$P$134</f>
        <v>3115428.98</v>
      </c>
      <c r="L35" s="21">
        <f>SUM(F35:K35)</f>
        <v>201678625.83999997</v>
      </c>
    </row>
    <row r="36" spans="2:12" x14ac:dyDescent="0.35">
      <c r="B36" s="35">
        <v>21</v>
      </c>
      <c r="D36" s="24" t="s">
        <v>38</v>
      </c>
      <c r="E36" s="21">
        <f>[6]Riders!$P$164</f>
        <v>75526074.840000004</v>
      </c>
      <c r="F36" s="21">
        <f>[6]Riders!$P$148</f>
        <v>30395095.18</v>
      </c>
      <c r="G36" s="21">
        <f>[6]Riders!$P$150</f>
        <v>3425540.2</v>
      </c>
      <c r="H36" s="21">
        <f>[6]Riders!$P$154</f>
        <v>30267422.639999997</v>
      </c>
      <c r="I36" s="21">
        <f>[6]Riders!$P$158</f>
        <v>5948999.3900000006</v>
      </c>
      <c r="J36" s="21">
        <f>[6]Riders!$P$160</f>
        <v>4199815.0999999987</v>
      </c>
      <c r="K36" s="21">
        <f>[6]Riders!$P$162</f>
        <v>1289202.3299999998</v>
      </c>
      <c r="L36" s="21">
        <f>SUM(F36:K36)</f>
        <v>75526074.839999989</v>
      </c>
    </row>
    <row r="37" spans="2:12" x14ac:dyDescent="0.35">
      <c r="B37" s="35">
        <v>22</v>
      </c>
      <c r="D37" s="24" t="s">
        <v>31</v>
      </c>
      <c r="E37" s="21">
        <f>'[7]EXHIBIT JLJ-4'!$D$27</f>
        <v>66643</v>
      </c>
      <c r="F37" s="21">
        <f>'[7]EXHIBIT JLJ-4'!$D$11</f>
        <v>30699.1</v>
      </c>
      <c r="G37" s="21">
        <f>'[7]EXHIBIT JLJ-4'!$D$13</f>
        <v>1151.5899999999999</v>
      </c>
      <c r="H37" s="21">
        <f>'[7]EXHIBIT JLJ-4'!$D$19</f>
        <v>20150.18</v>
      </c>
      <c r="I37" s="21">
        <f>'[7]EXHIBIT JLJ-4'!$D$23</f>
        <v>6924.21</v>
      </c>
      <c r="J37" s="21">
        <f>'[7]EXHIBIT JLJ-4'!$D$25</f>
        <v>6766.26</v>
      </c>
      <c r="K37" s="21">
        <f>'[7]EXHIBIT JLJ-4'!$D$14</f>
        <v>951.66</v>
      </c>
      <c r="L37" s="21">
        <f>SUM(F37:K37)</f>
        <v>66643</v>
      </c>
    </row>
    <row r="38" spans="2:12" x14ac:dyDescent="0.35">
      <c r="B38" s="35">
        <v>23</v>
      </c>
      <c r="D38" s="24" t="s">
        <v>29</v>
      </c>
      <c r="E38" s="34">
        <f>[6]Riders!$P$85</f>
        <v>-781283.78</v>
      </c>
      <c r="F38" s="34">
        <f>[6]Riders!$P$63</f>
        <v>-424795.42</v>
      </c>
      <c r="G38" s="34">
        <f>[6]Riders!$P$65</f>
        <v>-21763.11</v>
      </c>
      <c r="H38" s="34">
        <f>[6]Riders!$P$69</f>
        <v>-236701.62000000002</v>
      </c>
      <c r="I38" s="34">
        <f>[6]Riders!$P$73</f>
        <v>-51885.920000000006</v>
      </c>
      <c r="J38" s="34">
        <f>[6]Riders!$P$75</f>
        <v>-22084.720000000001</v>
      </c>
      <c r="K38" s="34">
        <f>[6]Riders!$P$77</f>
        <v>-24052.99</v>
      </c>
      <c r="L38" s="34">
        <f>SUM(F38:K38)</f>
        <v>-781283.78</v>
      </c>
    </row>
    <row r="39" spans="2:12" x14ac:dyDescent="0.35">
      <c r="B39" s="35">
        <v>24</v>
      </c>
      <c r="D39" s="24" t="s">
        <v>30</v>
      </c>
      <c r="E39" s="34">
        <f>[8]Riders!$P$134</f>
        <v>-208612.47999999998</v>
      </c>
      <c r="F39" s="34">
        <f>[8]Riders!$P$118</f>
        <v>-100165.22</v>
      </c>
      <c r="G39" s="34">
        <f>[8]Riders!$P$120</f>
        <v>-14490.92</v>
      </c>
      <c r="H39" s="34">
        <f>[8]Riders!$P$124</f>
        <v>-61051.7</v>
      </c>
      <c r="I39" s="34">
        <f>[8]Riders!$P$128</f>
        <v>-25360.63</v>
      </c>
      <c r="J39" s="34">
        <f>[8]Riders!$P$130</f>
        <v>-910.49</v>
      </c>
      <c r="K39" s="34">
        <f>[8]Riders!$P$132</f>
        <v>-6633.52</v>
      </c>
      <c r="L39" s="34">
        <f>SUM(F39:K39)</f>
        <v>-208612.47999999998</v>
      </c>
    </row>
    <row r="40" spans="2:12" x14ac:dyDescent="0.35">
      <c r="D40" s="24"/>
    </row>
    <row r="41" spans="2:12" x14ac:dyDescent="0.35">
      <c r="F41" s="39"/>
    </row>
    <row r="42" spans="2:12" x14ac:dyDescent="0.35">
      <c r="F42" s="39"/>
      <c r="G42" s="39"/>
      <c r="H42" s="39"/>
      <c r="J42" s="30"/>
    </row>
    <row r="43" spans="2:12" x14ac:dyDescent="0.35">
      <c r="F43" s="39"/>
      <c r="H43" s="30"/>
    </row>
    <row r="44" spans="2:12" x14ac:dyDescent="0.35">
      <c r="G44" s="39"/>
    </row>
    <row r="45" spans="2:12" x14ac:dyDescent="0.35">
      <c r="F45" s="30"/>
    </row>
  </sheetData>
  <printOptions horizontalCentered="1"/>
  <pageMargins left="0.7" right="0.7" top="0.75" bottom="0.75" header="0.3" footer="0.3"/>
  <pageSetup scale="55" orientation="landscape" r:id="rId1"/>
  <headerFooter>
    <oddHeader>&amp;LPUBL&amp;CPUBLIC UTILITY COMMISSION OF TEXAS
AEP TEXAS INC
SCHEDULE IV-J-1 REVENUE SUMMARY
TEST YEAR ENDING 12/31/2018&amp;RSCHEDULE IV-J-1 REVENUE SUMMARY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24D738-B386-46E7-9926-4B1AD2E1FE17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F4BD4AA1-6C6E-4E5C-AE06-A6E245EE59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40A5172-C991-497B-A853-FE9E6F29FB5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C25D774-AF04-472D-AC25-C6EFBCE339CF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IV-J-1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dtsoa12</dc:creator>
  <cp:lastModifiedBy>s254353</cp:lastModifiedBy>
  <cp:lastPrinted>2019-04-26T19:21:32Z</cp:lastPrinted>
  <dcterms:created xsi:type="dcterms:W3CDTF">2019-04-24T14:06:09Z</dcterms:created>
  <dcterms:modified xsi:type="dcterms:W3CDTF">2019-04-26T20:47:29Z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d0995dcd-3dfe-4130-82ff-f02fda032d80</vt:lpwstr>
  </property>
  <property fmtid="{D5CDD505-2E9C-101B-9397-08002B2CF9AE}" pid="3" name="bjDocumentSecurityLabel">
    <vt:lpwstr>Uncategorized</vt:lpwstr>
  </property>
  <property fmtid="{D5CDD505-2E9C-101B-9397-08002B2CF9AE}" pid="4" name="bjSaver">
    <vt:lpwstr>UhaBZRC4hf8PDNfVc3fDEeb6MeC3iUVD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7" name="Visual Markings Removed">
    <vt:lpwstr>No</vt:lpwstr>
  </property>
  <property fmtid="{D5CDD505-2E9C-101B-9397-08002B2CF9AE}" pid="8" name="ContentTypeId">
    <vt:lpwstr>0x01010068D7645638A6BA4A903C04B5C9F7EDEE</vt:lpwstr>
  </property>
</Properties>
</file>