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RegCaseMgmt\2019 AEPTX RATE CASE\SCHEDULES\For Filing\Combined\"/>
    </mc:Choice>
  </mc:AlternateContent>
  <bookViews>
    <workbookView xWindow="0" yWindow="0" windowWidth="28800" windowHeight="12300"/>
  </bookViews>
  <sheets>
    <sheet name="AMS" sheetId="3" r:id="rId1"/>
    <sheet name="DCRF" sheetId="4" r:id="rId2"/>
    <sheet name="EECR" sheetId="5" r:id="rId3"/>
    <sheet name="NDC" sheetId="1" r:id="rId4"/>
    <sheet name="TCRF" sheetId="2" r:id="rId5"/>
    <sheet name="TC2" sheetId="11" r:id="rId6"/>
    <sheet name="TC3" sheetId="1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123Graph_AScreenCrv" hidden="1">[1]screeningcurves!$F$16:$F$23</definedName>
    <definedName name="__123Graph_BScreenCrv" hidden="1">[1]screeningcurves!$G$16:$G$23</definedName>
    <definedName name="__123Graph_CScreenCrv" hidden="1">[1]screeningcurves!$K$19:$K$23</definedName>
    <definedName name="_int1">'[2]Tranche Flows'!$T$9</definedName>
    <definedName name="_int2">'[2]Tranche Flows'!$AH$9</definedName>
    <definedName name="_int3">'[2]Tranche Flows'!$AV$9</definedName>
    <definedName name="_int4">'[2]Tranche Flows'!$BJ$9</definedName>
    <definedName name="_int5">'[2]Tranche Flows'!$BX$9</definedName>
    <definedName name="_int6">'[2]Tranche Flows'!$CL$9</definedName>
    <definedName name="_int7">'[2]Tranche Flows'!$CZ$9</definedName>
    <definedName name="_IRR3">[2]Costs!$M$18</definedName>
    <definedName name="_IRR4">[2]Costs!$N$18</definedName>
    <definedName name="_IRR5">[2]Costs!$O$18</definedName>
    <definedName name="_Order1" hidden="1">255</definedName>
    <definedName name="_Order2" hidden="1">255</definedName>
    <definedName name="a" localSheetId="0">#REF!</definedName>
    <definedName name="a" localSheetId="1">#REF!</definedName>
    <definedName name="a" localSheetId="5">#REF!</definedName>
    <definedName name="a" localSheetId="6">#REF!</definedName>
    <definedName name="a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tualBillingsStart">'[2]Sales &amp; Curves'!$U$15</definedName>
    <definedName name="ActualCollectionsStart">'[2]Sales &amp; Curves'!$AB$15</definedName>
    <definedName name="ActualCurveRange">'[2]Sales &amp; Curves'!$V$18:$Z$29</definedName>
    <definedName name="b" localSheetId="5">[3]Summary!#REF!</definedName>
    <definedName name="b" localSheetId="6">[3]Summary!#REF!</definedName>
    <definedName name="b">[3]Summary!#REF!</definedName>
    <definedName name="BaseCaseCurve">[2]Stress!$D$57:$H$57</definedName>
    <definedName name="BillingHorizon" localSheetId="6">[4]ChargePerKh!#REF!</definedName>
    <definedName name="BillingHorizon">[4]ChargePerKh!#REF!</definedName>
    <definedName name="BRPullBegin">'[2]Collections &amp; Charges'!$AB$10</definedName>
    <definedName name="BRPullBegin2">'[2]Collections &amp; Charges'!$AB$43</definedName>
    <definedName name="ChargeMethodology">[2]Settings!$B$49</definedName>
    <definedName name="chargeoffs">[2]DSOs!$L$14</definedName>
    <definedName name="chargeoffs2">[2]DSOs!$AP$14</definedName>
    <definedName name="chargeoffs3">[2]DSOs!$BE$14</definedName>
    <definedName name="ChargeOffStress">[2]Stress!$D$67</definedName>
    <definedName name="ChargeRange">'[2]Sales &amp; Curves'!$E$14:$K$205</definedName>
    <definedName name="ChargeRatio">[2]Settings!$C$54</definedName>
    <definedName name="CheckDebtServiceStart">[2]Settings!$J$8</definedName>
    <definedName name="Class_1">[2]Settings!$C$39</definedName>
    <definedName name="Class_2">[2]Settings!$C$40</definedName>
    <definedName name="Class_3">[2]Settings!$C$41</definedName>
    <definedName name="Class_4">[2]Settings!$C$42</definedName>
    <definedName name="Class_5">[2]Settings!$C$43</definedName>
    <definedName name="Class_6">[2]Settings!$C$44</definedName>
    <definedName name="Class_7">[2]Settings!$C$45</definedName>
    <definedName name="Class_8">[2]Settings!$C$46</definedName>
    <definedName name="ClassNames">[2]Settings!$C$38</definedName>
    <definedName name="ClosingDate">[2]Settings!$C$11</definedName>
    <definedName name="CollectionsStart">'[2]Collections &amp; Charges'!$N$10</definedName>
    <definedName name="CollectionsStart2">'[2]Collections &amp; Charges'!$N$43</definedName>
    <definedName name="ComeOn">'[2]Tranche Flows'!$DP$44</definedName>
    <definedName name="ConsFloor">[2]Stress!$U$8</definedName>
    <definedName name="CostLockCheck">[2]Costs!$I$5</definedName>
    <definedName name="CostScenario">[2]Settings!$B$63</definedName>
    <definedName name="Coup1">'[2]Tranche Flows'!$J$22</definedName>
    <definedName name="CouponSet1">'[2]Tranche Flows'!$DN$22:$DN$48</definedName>
    <definedName name="CouponSet2">'[2]Tranche Flows'!$J$22:$J$48</definedName>
    <definedName name="_xlnm.Criteria" localSheetId="0">[5]DECAPAR!#REF!</definedName>
    <definedName name="_xlnm.Criteria" localSheetId="1">[5]DECAPAR!#REF!</definedName>
    <definedName name="_xlnm.Criteria" localSheetId="5">[5]DECAPAR!#REF!</definedName>
    <definedName name="_xlnm.Criteria" localSheetId="6">[5]DECAPAR!#REF!</definedName>
    <definedName name="_xlnm.Criteria">[5]DECAPAR!#REF!</definedName>
    <definedName name="_xlnm.Data_Form" localSheetId="0">[5]DECAPAR!#REF!</definedName>
    <definedName name="_xlnm.Data_Form" localSheetId="1">[5]DECAPAR!#REF!</definedName>
    <definedName name="_xlnm.Data_Form" localSheetId="6">[5]DECAPAR!#REF!</definedName>
    <definedName name="_xlnm.Data_Form">[5]DECAPAR!#REF!</definedName>
    <definedName name="DataBegin">[2]Data!$M$7</definedName>
    <definedName name="DataStartDate">[2]Data!$C$21</definedName>
    <definedName name="days_in_year">[2]DSOs!$K$4</definedName>
    <definedName name="dcrf" localSheetId="5">#REF!</definedName>
    <definedName name="dcrf" localSheetId="6">#REF!</definedName>
    <definedName name="dcrf">#REF!</definedName>
    <definedName name="DebtServiceGoal">[2]Settings!$M$4</definedName>
    <definedName name="DSBR">[2]Settings!$N$8</definedName>
    <definedName name="DSBRIntegrity">[2]Settings!$O$7</definedName>
    <definedName name="EndingBalance">[2]Settings!$K$8</definedName>
    <definedName name="ExpectedBillingsStart">'[2]Sales &amp; Curves'!$M$15</definedName>
    <definedName name="ExpectedCollectionsStart">'[2]Sales &amp; Curves'!$T$15</definedName>
    <definedName name="ExpectedFinal">[2]Waterfall!$BT$35</definedName>
    <definedName name="_xlnm.Extract" localSheetId="0">[5]DECAPAR!#REF!</definedName>
    <definedName name="_xlnm.Extract" localSheetId="1">[5]DECAPAR!#REF!</definedName>
    <definedName name="_xlnm.Extract" localSheetId="5">[5]DECAPAR!#REF!</definedName>
    <definedName name="_xlnm.Extract" localSheetId="6">[5]DECAPAR!#REF!</definedName>
    <definedName name="_xlnm.Extract">[5]DECAPAR!#REF!</definedName>
    <definedName name="FeeAmount">[2]Stress!$G$87</definedName>
    <definedName name="FeeStart">'[2]Tranche Flows'!$I$22</definedName>
    <definedName name="FeeSwitch">[2]Stress!$D$87</definedName>
    <definedName name="FinalPeriodCharge">'[2]Stress TBCs'!$E$32</definedName>
    <definedName name="FinalPosition">[2]Settings!$K$21</definedName>
    <definedName name="FirstMortgagePayment">[2]Settings!$C$15</definedName>
    <definedName name="FirstPastePBR">'[2]Exhibit DRM-1'!$E$31</definedName>
    <definedName name="FirstPaymentDate">[2]Settings!$C$12</definedName>
    <definedName name="FirstPrincipalPayment">[2]Settings!$C$14</definedName>
    <definedName name="FirstTC">'[2]HTCharges(1by2)'!$AN$3</definedName>
    <definedName name="FirstYearPrin">[2]Settings!$C$17</definedName>
    <definedName name="FlatCharge">[2]Settings!$C$16</definedName>
    <definedName name="FlatChargeSwitch">[2]Settings!$IJ$5</definedName>
    <definedName name="Floor">[2]Stress!$F$3</definedName>
    <definedName name="GoldenRatio">'[2]HTCharges(1by2)'!$D$5</definedName>
    <definedName name="GraphQuote">'[2]Display 1'!$B$4</definedName>
    <definedName name="GraphQuote1">[2]Stress!$M$2</definedName>
    <definedName name="GraphQuote2">[2]Stress!$M$3</definedName>
    <definedName name="GraphQuote3">[2]Stress!$M$4</definedName>
    <definedName name="HybridPrincipal">[2]Settings!$C$21</definedName>
    <definedName name="initbal">[2]Settings!$D$2</definedName>
    <definedName name="intA1">'[2]Tranche Flows'!$P$22</definedName>
    <definedName name="intA2">'[2]Tranche Flows'!$AD$22</definedName>
    <definedName name="intA3">'[2]Tranche Flows'!$AR$22</definedName>
    <definedName name="intA4">'[2]Tranche Flows'!$BF$22</definedName>
    <definedName name="intA5">'[2]Tranche Flows'!$BT$22</definedName>
    <definedName name="IRRIRR">[2]IRR!$J$11</definedName>
    <definedName name="IRRIssuanceSize">[2]IRR!$J$6</definedName>
    <definedName name="IRRRateAdjust">[2]Costs!$L$18</definedName>
    <definedName name="IRRSumTarget">[2]Costs!$L$11</definedName>
    <definedName name="IRRTargetSum">[2]IRR!$J$14</definedName>
    <definedName name="IssuanceSize">[2]Settings!$C$8</definedName>
    <definedName name="JanuarySales">[2]Data!$M$9</definedName>
    <definedName name="KeyStoneCharge2">'[2]HTCharges(1by2)'!$AO$3</definedName>
    <definedName name="LongFirstPeriod">[2]Settings!$C$36</definedName>
    <definedName name="MakeWhole">[2]Settings!$G$49</definedName>
    <definedName name="matursin">[2]Settings!$D$3</definedName>
    <definedName name="MonthsBetweenPayments">[2]Settings!$C$20</definedName>
    <definedName name="MortgageTailFirst">[2]Settings!$R$13</definedName>
    <definedName name="MortgageTailGoal">[2]Settings!$R$11</definedName>
    <definedName name="MortgageTailStart">[2]Settings!$R$14</definedName>
    <definedName name="MortgageTailSwitch">[2]Settings!$J$40</definedName>
    <definedName name="NumberofClasses">[2]IRR!$B$1</definedName>
    <definedName name="numpmts">[2]Settings!$D$4</definedName>
    <definedName name="OffPeriodStressCharge">'[2]Stress TBCs'!$E$7</definedName>
    <definedName name="OIDPasteLocation">[2]Costs!$D$20</definedName>
    <definedName name="page1" localSheetId="0">#REF!</definedName>
    <definedName name="page1" localSheetId="1">#REF!</definedName>
    <definedName name="page1" localSheetId="5">#REF!</definedName>
    <definedName name="page1" localSheetId="6">#REF!</definedName>
    <definedName name="page1">#REF!</definedName>
    <definedName name="page10" localSheetId="0">#REF!</definedName>
    <definedName name="page10" localSheetId="1">#REF!</definedName>
    <definedName name="page10" localSheetId="5">#REF!</definedName>
    <definedName name="page10" localSheetId="6">#REF!</definedName>
    <definedName name="page10">#REF!</definedName>
    <definedName name="page2" localSheetId="0">#REF!</definedName>
    <definedName name="page2" localSheetId="1">#REF!</definedName>
    <definedName name="page2" localSheetId="5">#REF!</definedName>
    <definedName name="page2" localSheetId="6">#REF!</definedName>
    <definedName name="page2">#REF!</definedName>
    <definedName name="page3" localSheetId="0">#REF!</definedName>
    <definedName name="page3" localSheetId="1">#REF!</definedName>
    <definedName name="page3" localSheetId="5">#REF!</definedName>
    <definedName name="page3" localSheetId="6">#REF!</definedName>
    <definedName name="page3">#REF!</definedName>
    <definedName name="page4" localSheetId="0">#REF!</definedName>
    <definedName name="page4" localSheetId="1">#REF!</definedName>
    <definedName name="page4" localSheetId="5">#REF!</definedName>
    <definedName name="page4" localSheetId="6">#REF!</definedName>
    <definedName name="page4">#REF!</definedName>
    <definedName name="page5" localSheetId="0">#REF!</definedName>
    <definedName name="page5" localSheetId="1">#REF!</definedName>
    <definedName name="page5" localSheetId="5">#REF!</definedName>
    <definedName name="page5" localSheetId="6">#REF!</definedName>
    <definedName name="page5">#REF!</definedName>
    <definedName name="page6" localSheetId="0">#REF!</definedName>
    <definedName name="page6" localSheetId="1">#REF!</definedName>
    <definedName name="page6" localSheetId="5">#REF!</definedName>
    <definedName name="page6" localSheetId="6">#REF!</definedName>
    <definedName name="page6">#REF!</definedName>
    <definedName name="page7" localSheetId="0">#REF!</definedName>
    <definedName name="page7" localSheetId="1">#REF!</definedName>
    <definedName name="page7" localSheetId="5">#REF!</definedName>
    <definedName name="page7" localSheetId="6">#REF!</definedName>
    <definedName name="page7">#REF!</definedName>
    <definedName name="page8" localSheetId="0">#REF!</definedName>
    <definedName name="page8" localSheetId="1">#REF!</definedName>
    <definedName name="page8" localSheetId="5">#REF!</definedName>
    <definedName name="page8" localSheetId="6">#REF!</definedName>
    <definedName name="page8">#REF!</definedName>
    <definedName name="page9" localSheetId="0">#REF!</definedName>
    <definedName name="page9" localSheetId="1">#REF!</definedName>
    <definedName name="page9" localSheetId="5">#REF!</definedName>
    <definedName name="page9" localSheetId="6">#REF!</definedName>
    <definedName name="page9">#REF!</definedName>
    <definedName name="PastePBRs">'[2]Exhibit DRM-1'!$E$31:$E$44</definedName>
    <definedName name="PasterCosts">[2]Costs!$D$9</definedName>
    <definedName name="PaymentsPerYear">[2]Settings!$C$9</definedName>
    <definedName name="PBRs">'[2]Exhibit DRM-1'!$D$31:$D$44</definedName>
    <definedName name="PlacedCurve">[2]Stress!$D$62:$H$62</definedName>
    <definedName name="prin1">'[2]Tranche Flows'!$L$22</definedName>
    <definedName name="prin2">'[2]Tranche Flows'!$L$23</definedName>
    <definedName name="prinA1">'[2]Tranche Flows'!$R$22</definedName>
    <definedName name="prinA2">'[2]Tranche Flows'!$AF$22</definedName>
    <definedName name="prinA3">'[2]Tranche Flows'!$AT$22</definedName>
    <definedName name="prinA4">'[2]Tranche Flows'!$BH$22</definedName>
    <definedName name="prinA5">'[2]Tranche Flows'!$BV$22</definedName>
    <definedName name="prina6">'[2]Tranche Flows'!$CJ$22</definedName>
    <definedName name="prinA7">'[2]Tranche Flows'!$CX$22</definedName>
    <definedName name="prinbal1">'[2]Tranche Flows'!$N$22</definedName>
    <definedName name="prinbal2">'[2]Tranche Flows'!$AB$22</definedName>
    <definedName name="prinbal3">'[2]Tranche Flows'!$AP$22</definedName>
    <definedName name="prinbal4">'[2]Tranche Flows'!$BD$22</definedName>
    <definedName name="prinbal5">'[2]Tranche Flows'!$BR$22</definedName>
    <definedName name="Prinbal6">'[2]Tranche Flows'!$CF$22</definedName>
    <definedName name="Prinbal7">'[2]Tranche Flows'!$CT$22</definedName>
    <definedName name="_xlnm.Print_Area" localSheetId="5">'TC2'!$A$1:$M$61</definedName>
    <definedName name="_xlnm.Print_Area" localSheetId="6">'TC3'!$A$1:$M$61</definedName>
    <definedName name="_xlnm.Print_Titles" localSheetId="0">AMS!$A:$A</definedName>
    <definedName name="_xlnm.Print_Titles" localSheetId="1">DCRF!$A:$A</definedName>
    <definedName name="_xlnm.Print_Titles" localSheetId="2">EECR!$A:$A</definedName>
    <definedName name="_xlnm.Print_Titles" localSheetId="4">TCRF!$A:$A</definedName>
    <definedName name="PrintArea1">'[2]Display 1'!$B$1:$R$35</definedName>
    <definedName name="PrintArea2">'[2]Display 1'!$B$47:$Q$96</definedName>
    <definedName name="PrintArea3">'[2]Display 2'!$A$1:$Q$40</definedName>
    <definedName name="PrintArea4">'[2]Display 2'!$A$47:$Q$78</definedName>
    <definedName name="PrintArea5">'[2]Display 3'!$A$1:$P$31</definedName>
    <definedName name="PrintArea6">'[2]Display 3'!$A$41:$T$75</definedName>
    <definedName name="PrinWatch">'[2]Tranche Flows'!$L$15</definedName>
    <definedName name="q" localSheetId="0">[6]Summary!#REF!</definedName>
    <definedName name="q" localSheetId="1">[6]Summary!#REF!</definedName>
    <definedName name="q" localSheetId="5">[6]Summary!#REF!</definedName>
    <definedName name="q" localSheetId="6">[6]Summary!#REF!</definedName>
    <definedName name="q">[6]Summary!#REF!</definedName>
    <definedName name="Range1">'[2]Tranche Flows'!$DN$22:$DN$43</definedName>
    <definedName name="Range2">'[2]Tranche Flows'!$J$22:$J$43</definedName>
    <definedName name="RangeGuess">[2]Settings!$R$5</definedName>
    <definedName name="ReferenceLock">[2]Stress!$T$13</definedName>
    <definedName name="ReferenceLockRange">[2]Stress!$T$13:$T$28</definedName>
    <definedName name="REPRange">[2]Stress!$D$35:$O$50</definedName>
    <definedName name="REPStressStart">[2]Stress!$D$35</definedName>
    <definedName name="REPX">[2]Stress!$D$33</definedName>
    <definedName name="ResBasic" localSheetId="0">[3]Summary!#REF!</definedName>
    <definedName name="ResBasic" localSheetId="1">[3]Summary!#REF!</definedName>
    <definedName name="ResBasic" localSheetId="5">[3]Summary!#REF!</definedName>
    <definedName name="ResBasic" localSheetId="6">[3]Summary!#REF!</definedName>
    <definedName name="ResBasic">[3]Summary!#REF!</definedName>
    <definedName name="ResEconomy1" localSheetId="0">[3]Summary!#REF!</definedName>
    <definedName name="ResEconomy1" localSheetId="1">[3]Summary!#REF!</definedName>
    <definedName name="ResEconomy1" localSheetId="5">[3]Summary!#REF!</definedName>
    <definedName name="ResEconomy1" localSheetId="6">[3]Summary!#REF!</definedName>
    <definedName name="ResEconomy1">[3]Summary!#REF!</definedName>
    <definedName name="ResEconomy2" localSheetId="0">[3]Summary!#REF!</definedName>
    <definedName name="ResEconomy2" localSheetId="1">[3]Summary!#REF!</definedName>
    <definedName name="ResEconomy2" localSheetId="5">[3]Summary!#REF!</definedName>
    <definedName name="ResEconomy2" localSheetId="6">[3]Summary!#REF!</definedName>
    <definedName name="ResEconomy2">[3]Summary!#REF!</definedName>
    <definedName name="ResWaterHeating" localSheetId="0">[3]Summary!#REF!</definedName>
    <definedName name="ResWaterHeating" localSheetId="1">[3]Summary!#REF!</definedName>
    <definedName name="ResWaterHeating" localSheetId="5">[3]Summary!#REF!</definedName>
    <definedName name="ResWaterHeating" localSheetId="6">[3]Summary!#REF!</definedName>
    <definedName name="ResWaterHeating">[3]Summary!#REF!</definedName>
    <definedName name="SalesStressStart">[2]Stress!$D$13</definedName>
    <definedName name="SampleCoupon">[2]Settings!$I$6</definedName>
    <definedName name="SCModuleWidth">'[2]Collections &amp; Charges'!$G$2</definedName>
    <definedName name="sec">[2]Costs!$B$71</definedName>
    <definedName name="ServiceSwitch">[2]Settings!$AY$31</definedName>
    <definedName name="SetTotalDays">[2]Settings!$D$19</definedName>
    <definedName name="ShortFallTrigger">[2]Waterfall!$AI$37</definedName>
    <definedName name="ShortGuess">[2]Settings!$R$9</definedName>
    <definedName name="SmallClassNames">[2]Settings!$D$38</definedName>
    <definedName name="StartPrincipalAdjust">[2]Settings!$L$8</definedName>
    <definedName name="StepDownAmount">[2]Stress!$F$2</definedName>
    <definedName name="StepDownAmount2">[2]Stress!$U$13</definedName>
    <definedName name="StressCharge">'[2]Stress TBCs'!$E$5</definedName>
    <definedName name="StressCurve">[2]Stress!$D$67:$H$67</definedName>
    <definedName name="StressCurveRange">[2]Stress!$D$67:$H$82</definedName>
    <definedName name="StressedFees">[2]Costs!$D$40</definedName>
    <definedName name="StressFormulas1">'[2]Stress TBCs'!$E$37:$L$64</definedName>
    <definedName name="StressFormulas2">'[2]Stress TBCs'!$E$6:$L$33</definedName>
    <definedName name="StressRange1">[2]Stress!$E$13:$E$27</definedName>
    <definedName name="StressRange2">[2]Stress!$G$13:$G$27</definedName>
    <definedName name="StressRange3">[2]Stress!$I$13:$I$27</definedName>
    <definedName name="StressRange4">[2]Stress!$K$13:$K$27</definedName>
    <definedName name="StressRange5">[2]Stress!$M$13:$M$27</definedName>
    <definedName name="StressRange6">[2]Stress!$O$13:$O$27</definedName>
    <definedName name="StressRange7">[2]Stress!$Q$13:$Q$27</definedName>
    <definedName name="StressRange8">[2]Stress!$S$13:$S$27</definedName>
    <definedName name="StressRow">'[2]Stress TBCs'!$E$5:$L$5</definedName>
    <definedName name="StressSwitch">[2]Settings!$IJ$8</definedName>
    <definedName name="StyleofPayment">[2]Settings!$C$13</definedName>
    <definedName name="SumCosts">[2]Costs!$D$27</definedName>
    <definedName name="T1Range">'[2]Display 3'!$D$49:$W$72</definedName>
    <definedName name="T2Range">'[2]Display 3'!$G$53:$X$75</definedName>
    <definedName name="T3Range">'[2]Display 3'!$J$57:$W$72</definedName>
    <definedName name="T4Range">'[2]Display 3'!$M$62:$W$72</definedName>
    <definedName name="T5Range">'[2]Display 3'!$P$67:$W$72</definedName>
    <definedName name="TailStress">[2]Stress!$F$4</definedName>
    <definedName name="TallGuess">[2]Settings!$R$7</definedName>
    <definedName name="test" localSheetId="0">[6]Summary!#REF!</definedName>
    <definedName name="test" localSheetId="1">[6]Summary!#REF!</definedName>
    <definedName name="test" localSheetId="5">[6]Summary!#REF!</definedName>
    <definedName name="test" localSheetId="6">[6]Summary!#REF!</definedName>
    <definedName name="test">[6]Summary!#REF!</definedName>
    <definedName name="test1" localSheetId="0">[6]Summary!#REF!</definedName>
    <definedName name="test1" localSheetId="1">[6]Summary!#REF!</definedName>
    <definedName name="test1" localSheetId="5">[6]Summary!#REF!</definedName>
    <definedName name="test1" localSheetId="6">[6]Summary!#REF!</definedName>
    <definedName name="test1">[6]Summary!#REF!</definedName>
    <definedName name="total" localSheetId="0">#REF!</definedName>
    <definedName name="total" localSheetId="1">#REF!</definedName>
    <definedName name="total" localSheetId="5">#REF!</definedName>
    <definedName name="total" localSheetId="6">#REF!</definedName>
    <definedName name="total">#REF!</definedName>
    <definedName name="tranche1">'[2]Tranche Flows'!$DN$22:$DN$45</definedName>
    <definedName name="tranche2">'[2]Tranche Flows'!$J$22:$J$45</definedName>
    <definedName name="TrancheModuleWidth">'[2]Tranche Flows'!$F$1</definedName>
    <definedName name="TRange">'[2]Display 3'!$A$49:$S$72</definedName>
    <definedName name="TransactionLength">[2]Settings!$C$10</definedName>
    <definedName name="tricktarg1">'[2]Tranche Flows'!$E$26</definedName>
    <definedName name="TrueUpFinal">[2]Waterfall!$CC$36</definedName>
    <definedName name="Variance_Trigger">[2]Stress!$F$5</definedName>
    <definedName name="VarianceCheck">'[2]Stress TBCs'!$AC$6</definedName>
    <definedName name="w" localSheetId="0">[6]Summary!#REF!</definedName>
    <definedName name="w" localSheetId="1">[6]Summary!#REF!</definedName>
    <definedName name="w" localSheetId="5">[6]Summary!#REF!</definedName>
    <definedName name="w" localSheetId="6">[6]Summary!#REF!</definedName>
    <definedName name="w">[6]Summary!#REF!</definedName>
    <definedName name="WALA1">'[2]Tranche Flows'!$T$15</definedName>
    <definedName name="WALA2">'[2]Tranche Flows'!$AH$15</definedName>
    <definedName name="WALA3">'[2]Tranche Flows'!$AV$15</definedName>
    <definedName name="WALA4">'[2]Tranche Flows'!$BJ$15</definedName>
    <definedName name="WALA5">'[2]Tranche Flows'!$BX$15</definedName>
    <definedName name="WALA6">'[2]Tranche Flows'!$CL$15</definedName>
    <definedName name="WALA7">'[2]Tranche Flows'!$CZ$15</definedName>
    <definedName name="Yr2BaseTBC">'[2]Stress TBCs'!$N$37</definedName>
    <definedName name="Yr2StressTBC">'[2]Stress TBCs'!$E$37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1" i="11" l="1"/>
  <c r="C61" i="13"/>
  <c r="G46" i="13"/>
  <c r="D34" i="13"/>
  <c r="E34" i="13"/>
  <c r="G34" i="13"/>
  <c r="H34" i="13"/>
  <c r="M39" i="13"/>
  <c r="D29" i="13"/>
  <c r="C29" i="13"/>
  <c r="G29" i="13"/>
  <c r="F29" i="13"/>
  <c r="C23" i="13"/>
  <c r="G23" i="13"/>
  <c r="H23" i="13"/>
  <c r="G46" i="11"/>
  <c r="D34" i="11"/>
  <c r="G34" i="11"/>
  <c r="F34" i="11"/>
  <c r="D29" i="11"/>
  <c r="C29" i="11"/>
  <c r="F29" i="11"/>
  <c r="M26" i="11"/>
  <c r="C23" i="11"/>
  <c r="G23" i="11"/>
  <c r="H23" i="11"/>
  <c r="G29" i="11" l="1"/>
  <c r="M39" i="11"/>
  <c r="E34" i="11"/>
  <c r="M45" i="11"/>
  <c r="D41" i="11"/>
  <c r="G48" i="11"/>
  <c r="M21" i="11"/>
  <c r="M40" i="11"/>
  <c r="M17" i="11"/>
  <c r="C41" i="11"/>
  <c r="M38" i="11"/>
  <c r="F46" i="11"/>
  <c r="G48" i="13"/>
  <c r="M21" i="13"/>
  <c r="M40" i="13"/>
  <c r="M45" i="13"/>
  <c r="F34" i="13"/>
  <c r="D41" i="13"/>
  <c r="M17" i="13"/>
  <c r="C41" i="13"/>
  <c r="M38" i="13"/>
  <c r="F46" i="13"/>
  <c r="M32" i="13"/>
  <c r="M36" i="13"/>
  <c r="M25" i="13"/>
  <c r="M27" i="13"/>
  <c r="E23" i="13"/>
  <c r="H29" i="13"/>
  <c r="C34" i="13"/>
  <c r="D23" i="13"/>
  <c r="D48" i="13" s="1"/>
  <c r="M37" i="13"/>
  <c r="M20" i="13"/>
  <c r="M22" i="13"/>
  <c r="F23" i="13"/>
  <c r="M26" i="13"/>
  <c r="M28" i="13"/>
  <c r="H46" i="13"/>
  <c r="E29" i="13"/>
  <c r="M25" i="11"/>
  <c r="M27" i="11"/>
  <c r="E23" i="11"/>
  <c r="H29" i="11"/>
  <c r="H34" i="11"/>
  <c r="C34" i="11"/>
  <c r="D23" i="11"/>
  <c r="D48" i="11" s="1"/>
  <c r="M37" i="11"/>
  <c r="M20" i="11"/>
  <c r="M22" i="11"/>
  <c r="F23" i="11"/>
  <c r="M28" i="11"/>
  <c r="H46" i="11"/>
  <c r="H48" i="11" s="1"/>
  <c r="P46" i="2"/>
  <c r="B46" i="2"/>
  <c r="B42" i="1"/>
  <c r="M23" i="11" l="1"/>
  <c r="E41" i="11"/>
  <c r="F48" i="11"/>
  <c r="C48" i="13"/>
  <c r="F48" i="13"/>
  <c r="E29" i="11"/>
  <c r="C48" i="11"/>
  <c r="E41" i="13"/>
  <c r="E48" i="13" s="1"/>
  <c r="H48" i="13"/>
  <c r="M43" i="13"/>
  <c r="M31" i="13"/>
  <c r="M33" i="13"/>
  <c r="M44" i="13"/>
  <c r="M41" i="13"/>
  <c r="M23" i="13"/>
  <c r="M29" i="13"/>
  <c r="M43" i="11"/>
  <c r="M31" i="11"/>
  <c r="E48" i="11"/>
  <c r="M36" i="11"/>
  <c r="M41" i="11" s="1"/>
  <c r="M32" i="11"/>
  <c r="M29" i="11"/>
  <c r="M33" i="11"/>
  <c r="M44" i="11"/>
  <c r="C27" i="4"/>
  <c r="G31" i="2"/>
  <c r="E31" i="2"/>
  <c r="C31" i="2"/>
  <c r="R31" i="2"/>
  <c r="P31" i="2"/>
  <c r="N31" i="2"/>
  <c r="Q30" i="2"/>
  <c r="Q28" i="2"/>
  <c r="Q27" i="2"/>
  <c r="Q24" i="2"/>
  <c r="Q23" i="2"/>
  <c r="O30" i="2"/>
  <c r="O28" i="2"/>
  <c r="O27" i="2"/>
  <c r="O24" i="2"/>
  <c r="O23" i="2"/>
  <c r="M30" i="2"/>
  <c r="M28" i="2"/>
  <c r="M27" i="2"/>
  <c r="M24" i="2"/>
  <c r="M23" i="2"/>
  <c r="R21" i="2"/>
  <c r="R18" i="2"/>
  <c r="P21" i="2"/>
  <c r="P18" i="2"/>
  <c r="N21" i="2"/>
  <c r="V21" i="2" s="1"/>
  <c r="N18" i="2"/>
  <c r="F30" i="2"/>
  <c r="F28" i="2"/>
  <c r="F27" i="2"/>
  <c r="F24" i="2"/>
  <c r="F23" i="2"/>
  <c r="D30" i="2"/>
  <c r="D28" i="2"/>
  <c r="D27" i="2"/>
  <c r="D24" i="2"/>
  <c r="D23" i="2"/>
  <c r="B30" i="2"/>
  <c r="B28" i="2"/>
  <c r="B27" i="2"/>
  <c r="B24" i="2"/>
  <c r="B23" i="2"/>
  <c r="G21" i="2"/>
  <c r="E21" i="2"/>
  <c r="C21" i="2"/>
  <c r="G18" i="2"/>
  <c r="E18" i="2"/>
  <c r="C18" i="2"/>
  <c r="M24" i="5"/>
  <c r="M22" i="5"/>
  <c r="M21" i="5"/>
  <c r="M18" i="5"/>
  <c r="K24" i="5"/>
  <c r="P24" i="5" s="1"/>
  <c r="K22" i="5"/>
  <c r="P22" i="5" s="1"/>
  <c r="K21" i="5"/>
  <c r="P21" i="5" s="1"/>
  <c r="K18" i="5"/>
  <c r="P18" i="5" s="1"/>
  <c r="L26" i="5"/>
  <c r="L31" i="5" s="1"/>
  <c r="J26" i="5"/>
  <c r="J31" i="5" s="1"/>
  <c r="D26" i="5"/>
  <c r="D31" i="5" s="1"/>
  <c r="B26" i="5"/>
  <c r="B31" i="5" s="1"/>
  <c r="E24" i="5"/>
  <c r="E22" i="5"/>
  <c r="E21" i="5"/>
  <c r="E18" i="5"/>
  <c r="C24" i="5"/>
  <c r="C22" i="5"/>
  <c r="C21" i="5"/>
  <c r="H21" i="5" s="1"/>
  <c r="C18" i="5"/>
  <c r="H18" i="5" s="1"/>
  <c r="E27" i="4"/>
  <c r="E21" i="4"/>
  <c r="C21" i="4"/>
  <c r="E18" i="4"/>
  <c r="C18" i="4"/>
  <c r="D26" i="4"/>
  <c r="D24" i="4"/>
  <c r="D22" i="4"/>
  <c r="B26" i="4"/>
  <c r="B24" i="4"/>
  <c r="B22" i="4"/>
  <c r="P18" i="4"/>
  <c r="L26" i="4"/>
  <c r="L24" i="4"/>
  <c r="P24" i="4" s="1"/>
  <c r="L22" i="4"/>
  <c r="J26" i="4"/>
  <c r="J24" i="4"/>
  <c r="J22" i="4"/>
  <c r="M27" i="4"/>
  <c r="K27" i="4"/>
  <c r="P27" i="4" s="1"/>
  <c r="M21" i="4"/>
  <c r="K21" i="4"/>
  <c r="P21" i="4" s="1"/>
  <c r="M18" i="4"/>
  <c r="K18" i="4"/>
  <c r="F22" i="3"/>
  <c r="H22" i="3" s="1"/>
  <c r="F24" i="3"/>
  <c r="H24" i="3" s="1"/>
  <c r="F21" i="3"/>
  <c r="H21" i="3" s="1"/>
  <c r="F18" i="3"/>
  <c r="H18" i="3" s="1"/>
  <c r="B22" i="1"/>
  <c r="E22" i="1" s="1"/>
  <c r="B24" i="1"/>
  <c r="E24" i="1" s="1"/>
  <c r="B26" i="1"/>
  <c r="M34" i="13" l="1"/>
  <c r="M46" i="13"/>
  <c r="M34" i="11"/>
  <c r="M46" i="11"/>
  <c r="K24" i="2"/>
  <c r="M35" i="2"/>
  <c r="V18" i="2"/>
  <c r="P26" i="4"/>
  <c r="H22" i="4"/>
  <c r="H21" i="4"/>
  <c r="K18" i="2"/>
  <c r="P35" i="2"/>
  <c r="V23" i="2"/>
  <c r="V24" i="2"/>
  <c r="R35" i="2"/>
  <c r="P22" i="4"/>
  <c r="H18" i="4"/>
  <c r="K31" i="2"/>
  <c r="H27" i="4"/>
  <c r="H26" i="5"/>
  <c r="V31" i="2"/>
  <c r="N35" i="2"/>
  <c r="V28" i="2"/>
  <c r="V27" i="2"/>
  <c r="V30" i="2"/>
  <c r="Q35" i="2"/>
  <c r="O35" i="2"/>
  <c r="K23" i="2"/>
  <c r="K30" i="2"/>
  <c r="K28" i="2"/>
  <c r="K27" i="2"/>
  <c r="K21" i="2"/>
  <c r="D35" i="2"/>
  <c r="F35" i="2"/>
  <c r="E35" i="2"/>
  <c r="G35" i="2"/>
  <c r="P26" i="5"/>
  <c r="P31" i="5" s="1"/>
  <c r="M31" i="5"/>
  <c r="K31" i="5"/>
  <c r="H22" i="5"/>
  <c r="H24" i="5"/>
  <c r="E31" i="5"/>
  <c r="E31" i="4"/>
  <c r="H26" i="4"/>
  <c r="H24" i="4"/>
  <c r="D31" i="4"/>
  <c r="L31" i="4"/>
  <c r="J31" i="4"/>
  <c r="M31" i="4"/>
  <c r="H31" i="3"/>
  <c r="F31" i="3"/>
  <c r="P31" i="4"/>
  <c r="K31" i="4"/>
  <c r="M48" i="13" l="1"/>
  <c r="M48" i="11"/>
  <c r="V35" i="2"/>
  <c r="K35" i="2"/>
  <c r="B24" i="3"/>
  <c r="D24" i="3" s="1"/>
  <c r="B22" i="3"/>
  <c r="D22" i="3" s="1"/>
  <c r="B21" i="3"/>
  <c r="D21" i="3" s="1"/>
  <c r="B18" i="3"/>
  <c r="E26" i="1"/>
  <c r="C31" i="5"/>
  <c r="C27" i="1"/>
  <c r="E27" i="1" s="1"/>
  <c r="C21" i="1"/>
  <c r="C18" i="1"/>
  <c r="E18" i="1" s="1"/>
  <c r="C30" i="1" l="1"/>
  <c r="E21" i="1"/>
  <c r="H31" i="4"/>
  <c r="B31" i="3"/>
  <c r="D18" i="3"/>
  <c r="D31" i="3" s="1"/>
  <c r="H31" i="5"/>
  <c r="E30" i="1"/>
  <c r="B30" i="1"/>
  <c r="B35" i="2"/>
  <c r="C35" i="2"/>
  <c r="B31" i="4"/>
  <c r="C31" i="4"/>
</calcChain>
</file>

<file path=xl/sharedStrings.xml><?xml version="1.0" encoding="utf-8"?>
<sst xmlns="http://schemas.openxmlformats.org/spreadsheetml/2006/main" count="409" uniqueCount="82">
  <si>
    <t>PROOF OF REVENUE STATEMENT</t>
  </si>
  <si>
    <t>FROM THE YEAR ENDING DECEMBER 31, 2018</t>
  </si>
  <si>
    <t>NUCLEAR DECOMMISSIONING FEE</t>
  </si>
  <si>
    <t>Class</t>
  </si>
  <si>
    <t>Estimated</t>
  </si>
  <si>
    <t>Billing Units</t>
  </si>
  <si>
    <t>KW</t>
  </si>
  <si>
    <t>KWH</t>
  </si>
  <si>
    <t>Charge</t>
  </si>
  <si>
    <t>$/KW or $/KWH</t>
  </si>
  <si>
    <t>$</t>
  </si>
  <si>
    <t>Residential</t>
  </si>
  <si>
    <t>Secondary</t>
  </si>
  <si>
    <t>=&lt;10 KW</t>
  </si>
  <si>
    <t>&gt;10 KW</t>
  </si>
  <si>
    <t>Primary</t>
  </si>
  <si>
    <t>Transmission Voltage</t>
  </si>
  <si>
    <t>Outdoor Lighting</t>
  </si>
  <si>
    <t>TOTAL</t>
  </si>
  <si>
    <t>Secondary - Small</t>
  </si>
  <si>
    <t>Secondary - Large</t>
  </si>
  <si>
    <t>Transmission Voltage Service</t>
  </si>
  <si>
    <t>Total</t>
  </si>
  <si>
    <t>Central</t>
  </si>
  <si>
    <t>North</t>
  </si>
  <si>
    <t>AUTOMATED METER SYSTEM</t>
  </si>
  <si>
    <t>DISTRIBUTION COST RECOVERY FACTOR</t>
  </si>
  <si>
    <t>TRANSMISSION COST RECOVERY FACTOR</t>
  </si>
  <si>
    <t>ENERGY EFFICIENCY COST RECOVERY</t>
  </si>
  <si>
    <t>TRANSITION COST 2</t>
  </si>
  <si>
    <t>TRANSITION COST 3</t>
  </si>
  <si>
    <t>Customer</t>
  </si>
  <si>
    <t>$/Cust</t>
  </si>
  <si>
    <t>4CP</t>
  </si>
  <si>
    <t>NCP</t>
  </si>
  <si>
    <t>Jan- Aug</t>
  </si>
  <si>
    <t>Sept - Dec</t>
  </si>
  <si>
    <t>Jan - Aug</t>
  </si>
  <si>
    <t>Jan-Aug</t>
  </si>
  <si>
    <t>Sept-Dec</t>
  </si>
  <si>
    <t>Jan-Feb</t>
  </si>
  <si>
    <t>Mar-Dec</t>
  </si>
  <si>
    <t>Mar-Aug</t>
  </si>
  <si>
    <t>PUBLIC UTILITY COMMISSION OF TEXAS</t>
  </si>
  <si>
    <t>AEP TEXAS INC</t>
  </si>
  <si>
    <t>TEST YEAR ENDING 12/31/2018</t>
  </si>
  <si>
    <t>DOCKET NUMBER (PENDING ASSIGNMENT)</t>
  </si>
  <si>
    <t>IV-J-7 PROOF OF REVENUE STATEMENT - RIDERS</t>
  </si>
  <si>
    <t>Jan - Aug 2018 TC2 Rate</t>
  </si>
  <si>
    <t>Sep - Dec 2018 TC2 Rate</t>
  </si>
  <si>
    <t>Jan- Aug 2018</t>
  </si>
  <si>
    <t>Sep - Dec 2018</t>
  </si>
  <si>
    <t>TC2 Total Charge $</t>
  </si>
  <si>
    <t>TC-2 Class</t>
  </si>
  <si>
    <t>Total KW</t>
  </si>
  <si>
    <t>Total KWH</t>
  </si>
  <si>
    <t>Commercial Energy</t>
  </si>
  <si>
    <t>Commercial Demand</t>
  </si>
  <si>
    <t>Muni &amp; Cotton Gin</t>
  </si>
  <si>
    <t>=&lt;10 KW Total</t>
  </si>
  <si>
    <t>Standby Firm</t>
  </si>
  <si>
    <t>&gt;10 KW Total</t>
  </si>
  <si>
    <t>Primary Total</t>
  </si>
  <si>
    <t>Large Industrial Firm</t>
  </si>
  <si>
    <t>Large Industrial NonFirm</t>
  </si>
  <si>
    <t>Standby NonFirm</t>
  </si>
  <si>
    <t>Transmission Voltage Total</t>
  </si>
  <si>
    <t>Outdoor Lighting Total</t>
  </si>
  <si>
    <t>Jan - Feb 2018 TC3 Rate</t>
  </si>
  <si>
    <t>Mar - Dec 2018 TC3 Rate</t>
  </si>
  <si>
    <t>Jan- Feb 2018</t>
  </si>
  <si>
    <t>Mar - Dec 2018</t>
  </si>
  <si>
    <t>TC3 Total Charge $</t>
  </si>
  <si>
    <t>TC-3 Class</t>
  </si>
  <si>
    <t>Muni &amp; Cotton Gin Energy</t>
  </si>
  <si>
    <t>Large Industrial Non-Firm</t>
  </si>
  <si>
    <t>Standby Non-Firm</t>
  </si>
  <si>
    <t>** The $75,746,986 was allocated to the classes based on the following order.</t>
  </si>
  <si>
    <t>** The $391,120 was allocated to the classes based on the following order.</t>
  </si>
  <si>
    <t>** The $165,571,835 was allocated to the classes based on the following order.</t>
  </si>
  <si>
    <t>** The $37,908,529 was allocated to the classes based on the following order.</t>
  </si>
  <si>
    <t>** The $202,349,722 was allocated to the classes based on the following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</si>
</sst>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_);\(0.00\)"/>
    <numFmt numFmtId="166" formatCode="0.000000_);\(0.000000\)"/>
    <numFmt numFmtId="167" formatCode="0.000%"/>
    <numFmt numFmtId="168" formatCode="_(&quot;$&quot;* #,##0.000000_);_(&quot;$&quot;* \(#,##0.000000\);_(&quot;$&quot;* &quot;-&quot;??_);_(@_)"/>
    <numFmt numFmtId="169" formatCode="_(&quot;$&quot;* #,##0_);_(&quot;$&quot;* \(#,##0\);_(&quot;$&quot;* &quot;-&quot;??_);_(@_)"/>
    <numFmt numFmtId="170" formatCode="0.0000%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4" fillId="0" borderId="0"/>
    <xf numFmtId="9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left" indent="3"/>
    </xf>
    <xf numFmtId="0" fontId="0" fillId="0" borderId="1" xfId="0" applyBorder="1"/>
    <xf numFmtId="0" fontId="0" fillId="0" borderId="0" xfId="0" applyAlignment="1">
      <alignment horizontal="left" indent="1"/>
    </xf>
    <xf numFmtId="37" fontId="0" fillId="0" borderId="0" xfId="0" applyNumberFormat="1"/>
    <xf numFmtId="164" fontId="0" fillId="0" borderId="0" xfId="1" applyNumberFormat="1" applyFont="1"/>
    <xf numFmtId="0" fontId="0" fillId="0" borderId="0" xfId="0" applyBorder="1"/>
    <xf numFmtId="164" fontId="0" fillId="0" borderId="1" xfId="1" applyNumberFormat="1" applyFont="1" applyBorder="1"/>
    <xf numFmtId="164" fontId="0" fillId="0" borderId="0" xfId="0" applyNumberFormat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3"/>
    </xf>
    <xf numFmtId="43" fontId="0" fillId="0" borderId="0" xfId="0" applyNumberFormat="1"/>
    <xf numFmtId="43" fontId="0" fillId="0" borderId="0" xfId="1" applyNumberFormat="1" applyFont="1"/>
    <xf numFmtId="166" fontId="0" fillId="0" borderId="0" xfId="0" applyNumberFormat="1"/>
    <xf numFmtId="2" fontId="0" fillId="0" borderId="0" xfId="0" applyNumberFormat="1"/>
    <xf numFmtId="0" fontId="0" fillId="0" borderId="0" xfId="0" applyFill="1" applyAlignment="1">
      <alignment horizontal="center"/>
    </xf>
    <xf numFmtId="0" fontId="5" fillId="0" borderId="3" xfId="2" applyFont="1" applyFill="1" applyBorder="1" applyAlignment="1">
      <alignment horizontal="left"/>
    </xf>
    <xf numFmtId="0" fontId="5" fillId="0" borderId="4" xfId="2" applyFont="1" applyFill="1" applyBorder="1"/>
    <xf numFmtId="0" fontId="5" fillId="0" borderId="4" xfId="2" applyFont="1" applyFill="1" applyBorder="1" applyAlignment="1">
      <alignment horizontal="left"/>
    </xf>
    <xf numFmtId="0" fontId="5" fillId="0" borderId="5" xfId="2" applyFont="1" applyFill="1" applyBorder="1" applyAlignment="1">
      <alignment horizontal="left"/>
    </xf>
    <xf numFmtId="167" fontId="0" fillId="0" borderId="0" xfId="3" applyNumberFormat="1" applyFont="1"/>
    <xf numFmtId="167" fontId="0" fillId="0" borderId="0" xfId="3" applyNumberFormat="1" applyFont="1" applyFill="1"/>
    <xf numFmtId="10" fontId="0" fillId="0" borderId="0" xfId="0" applyNumberFormat="1" applyFill="1"/>
    <xf numFmtId="167" fontId="0" fillId="0" borderId="0" xfId="0" applyNumberFormat="1" applyFill="1"/>
    <xf numFmtId="0" fontId="0" fillId="0" borderId="0" xfId="0" applyFill="1"/>
    <xf numFmtId="164" fontId="0" fillId="0" borderId="0" xfId="1" applyNumberFormat="1" applyFont="1" applyFill="1"/>
    <xf numFmtId="164" fontId="0" fillId="0" borderId="0" xfId="0" applyNumberFormat="1" applyFill="1"/>
    <xf numFmtId="164" fontId="0" fillId="0" borderId="0" xfId="4" applyNumberFormat="1" applyFont="1"/>
    <xf numFmtId="164" fontId="0" fillId="0" borderId="1" xfId="4" applyNumberFormat="1" applyFont="1" applyBorder="1"/>
    <xf numFmtId="0" fontId="4" fillId="0" borderId="0" xfId="2"/>
    <xf numFmtId="0" fontId="4" fillId="0" borderId="0" xfId="2" applyFill="1"/>
    <xf numFmtId="0" fontId="4" fillId="0" borderId="0" xfId="2" applyAlignment="1">
      <alignment horizontal="center"/>
    </xf>
    <xf numFmtId="0" fontId="4" fillId="0" borderId="1" xfId="2" applyBorder="1" applyAlignment="1">
      <alignment horizontal="center"/>
    </xf>
    <xf numFmtId="0" fontId="3" fillId="0" borderId="0" xfId="2" applyFont="1" applyAlignment="1">
      <alignment horizontal="center"/>
    </xf>
    <xf numFmtId="0" fontId="4" fillId="0" borderId="2" xfId="2" applyBorder="1" applyAlignment="1">
      <alignment horizontal="center"/>
    </xf>
    <xf numFmtId="168" fontId="0" fillId="0" borderId="0" xfId="5" applyNumberFormat="1" applyFont="1"/>
    <xf numFmtId="169" fontId="0" fillId="0" borderId="0" xfId="5" applyNumberFormat="1" applyFont="1"/>
    <xf numFmtId="0" fontId="4" fillId="0" borderId="0" xfId="2" quotePrefix="1" applyAlignment="1">
      <alignment horizontal="left" indent="3"/>
    </xf>
    <xf numFmtId="164" fontId="4" fillId="0" borderId="0" xfId="2" applyNumberFormat="1"/>
    <xf numFmtId="0" fontId="4" fillId="0" borderId="1" xfId="2" applyBorder="1"/>
    <xf numFmtId="169" fontId="0" fillId="0" borderId="1" xfId="5" applyNumberFormat="1" applyFont="1" applyBorder="1"/>
    <xf numFmtId="168" fontId="4" fillId="0" borderId="0" xfId="2" applyNumberFormat="1"/>
    <xf numFmtId="169" fontId="4" fillId="0" borderId="0" xfId="2" applyNumberFormat="1"/>
    <xf numFmtId="0" fontId="4" fillId="0" borderId="0" xfId="2" applyAlignment="1">
      <alignment horizontal="left" indent="1"/>
    </xf>
    <xf numFmtId="170" fontId="4" fillId="0" borderId="0" xfId="3" applyNumberFormat="1" applyFont="1" applyFill="1"/>
    <xf numFmtId="170" fontId="4" fillId="0" borderId="1" xfId="3" applyNumberFormat="1" applyFont="1" applyFill="1" applyBorder="1"/>
    <xf numFmtId="0" fontId="4" fillId="0" borderId="0" xfId="2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7" xfId="2" applyFont="1" applyBorder="1" applyAlignment="1">
      <alignment horizontal="center"/>
    </xf>
    <xf numFmtId="0" fontId="4" fillId="0" borderId="0" xfId="2" applyAlignment="1">
      <alignment horizontal="center"/>
    </xf>
  </cellXfs>
  <cellStyles count="6">
    <cellStyle name="Comma" xfId="1" builtinId="3"/>
    <cellStyle name="Comma 2" xfId="4"/>
    <cellStyle name="Currency 2" xfId="5"/>
    <cellStyle name="Normal" xfId="0" builtinId="0"/>
    <cellStyle name="Normal 2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internal\WPW\norrisscreening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CSW%20Feb%207%20close%20011126_finalbasejan15pricingv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EXCEL\CPL\CPL%20Rate%20Case\Sch&amp;WP\Q7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DFACT\Transition%20Funding%20-%202\TF-2%20Comparison%20With%20CSFB%20Model\CSFB%20Model%20-%20Original%20-%2010.11.20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EXCEL\SWEPCO\dryrun\RVCAPAK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TEMP\Q7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EP%20Texas\Rate%20Cases\AEP%20Texas%202019\TCC\Schedules\Central%20H%20-1%20Schedules%20tye%2012-2018%20Fin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EP%20Texas\Rate%20Cases\AEP%20Texas%202019\TNC\Schedules\North%20H-1%20Schedules%20tye%2012-2018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reeningcurves"/>
    </sheetNames>
    <sheetDataSet>
      <sheetData sheetId="0">
        <row r="16">
          <cell r="F16">
            <v>5813</v>
          </cell>
          <cell r="G16" t="str">
            <v>--</v>
          </cell>
        </row>
        <row r="17">
          <cell r="F17">
            <v>8.76</v>
          </cell>
          <cell r="G17" t="str">
            <v>--</v>
          </cell>
        </row>
        <row r="18">
          <cell r="F18">
            <v>100</v>
          </cell>
          <cell r="G18" t="str">
            <v>--</v>
          </cell>
        </row>
        <row r="19">
          <cell r="F19">
            <v>2</v>
          </cell>
          <cell r="G19">
            <v>2</v>
          </cell>
        </row>
        <row r="20">
          <cell r="F20">
            <v>10780</v>
          </cell>
          <cell r="G20">
            <v>7050</v>
          </cell>
        </row>
        <row r="21">
          <cell r="F21">
            <v>4</v>
          </cell>
          <cell r="G21">
            <v>4</v>
          </cell>
        </row>
        <row r="22">
          <cell r="F22">
            <v>0</v>
          </cell>
          <cell r="G2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SOs"/>
      <sheetName val="Exhibit DRM-1"/>
      <sheetName val="Settings"/>
      <sheetName val="Tranche Flows"/>
      <sheetName val="Design"/>
      <sheetName val="Stress TBCs"/>
      <sheetName val="Stress"/>
      <sheetName val="Sales &amp; Curves"/>
      <sheetName val="Waterfall"/>
      <sheetName val="Collections &amp; Charges"/>
      <sheetName val="Costs"/>
      <sheetName val="Data"/>
      <sheetName val="Display Design"/>
      <sheetName val="Display 1"/>
      <sheetName val="Display 2"/>
      <sheetName val="Display 3"/>
      <sheetName val="Display 4"/>
      <sheetName val="Display 6"/>
      <sheetName val="BR_PBR"/>
      <sheetName val="HTCharges(1by2)"/>
      <sheetName val="IRR"/>
      <sheetName val="AllInCosts"/>
      <sheetName val="Sheet1"/>
    </sheetNames>
    <sheetDataSet>
      <sheetData sheetId="0"/>
      <sheetData sheetId="1">
        <row r="4">
          <cell r="K4">
            <v>365.25</v>
          </cell>
        </row>
        <row r="14">
          <cell r="L14">
            <v>2.8999999999999998E-3</v>
          </cell>
          <cell r="AP14">
            <v>2.8999999999999998E-3</v>
          </cell>
          <cell r="BE14">
            <v>1.7999999999999999E-2</v>
          </cell>
        </row>
      </sheetData>
      <sheetData sheetId="2">
        <row r="31">
          <cell r="D31">
            <v>90166590.96485807</v>
          </cell>
          <cell r="E31">
            <v>90166590.96485807</v>
          </cell>
        </row>
        <row r="32">
          <cell r="D32">
            <v>90166590.986957967</v>
          </cell>
          <cell r="E32">
            <v>90166590.986957967</v>
          </cell>
        </row>
        <row r="33">
          <cell r="D33">
            <v>90166590.997714505</v>
          </cell>
          <cell r="E33">
            <v>90166590.997714505</v>
          </cell>
        </row>
        <row r="34">
          <cell r="D34">
            <v>90166590.992384031</v>
          </cell>
          <cell r="E34">
            <v>90166590.992384031</v>
          </cell>
        </row>
        <row r="35">
          <cell r="D35">
            <v>82003768.278997719</v>
          </cell>
          <cell r="E35">
            <v>82003768.278997719</v>
          </cell>
        </row>
        <row r="36">
          <cell r="D36">
            <v>83591844.10243845</v>
          </cell>
          <cell r="E36">
            <v>83591844.10243845</v>
          </cell>
        </row>
        <row r="37">
          <cell r="D37">
            <v>83303547.958838001</v>
          </cell>
          <cell r="E37">
            <v>83303547.958838001</v>
          </cell>
        </row>
        <row r="38">
          <cell r="D38">
            <v>83347417.243321493</v>
          </cell>
          <cell r="E38">
            <v>83347417.243321493</v>
          </cell>
        </row>
        <row r="39">
          <cell r="D39">
            <v>83132982.433755994</v>
          </cell>
          <cell r="E39">
            <v>83132982.433755994</v>
          </cell>
        </row>
        <row r="40">
          <cell r="D40">
            <v>83262642.230692297</v>
          </cell>
          <cell r="E40">
            <v>83262642.230692297</v>
          </cell>
        </row>
        <row r="41">
          <cell r="D41">
            <v>83383573.331749648</v>
          </cell>
          <cell r="E41">
            <v>83383573.331749648</v>
          </cell>
        </row>
        <row r="42">
          <cell r="D42">
            <v>83280511.179477558</v>
          </cell>
          <cell r="E42">
            <v>83280511.179477558</v>
          </cell>
        </row>
        <row r="43">
          <cell r="D43">
            <v>83328762.38207224</v>
          </cell>
          <cell r="E43">
            <v>83328762.38207224</v>
          </cell>
        </row>
        <row r="44">
          <cell r="D44">
            <v>0</v>
          </cell>
          <cell r="E44">
            <v>0</v>
          </cell>
        </row>
      </sheetData>
      <sheetData sheetId="3">
        <row r="5">
          <cell r="R5">
            <v>82243941.687823683</v>
          </cell>
          <cell r="IJ5">
            <v>1</v>
          </cell>
        </row>
        <row r="7">
          <cell r="O7">
            <v>0</v>
          </cell>
          <cell r="R7">
            <v>100000000</v>
          </cell>
        </row>
        <row r="8">
          <cell r="C8">
            <v>797334897</v>
          </cell>
          <cell r="J8">
            <v>72245969.656487629</v>
          </cell>
          <cell r="K8">
            <v>765518193.97379458</v>
          </cell>
          <cell r="L8">
            <v>31816703.026205435</v>
          </cell>
          <cell r="N8">
            <v>87778480.632739961</v>
          </cell>
          <cell r="IJ8">
            <v>2</v>
          </cell>
        </row>
        <row r="9">
          <cell r="C9">
            <v>2</v>
          </cell>
          <cell r="R9">
            <v>30000000</v>
          </cell>
        </row>
        <row r="10">
          <cell r="C10">
            <v>14</v>
          </cell>
        </row>
        <row r="11">
          <cell r="C11">
            <v>37294</v>
          </cell>
          <cell r="R11">
            <v>82243941.687823683</v>
          </cell>
        </row>
        <row r="12">
          <cell r="C12">
            <v>37636</v>
          </cell>
        </row>
        <row r="13">
          <cell r="C13">
            <v>2</v>
          </cell>
          <cell r="R13">
            <v>49523804.306056224</v>
          </cell>
        </row>
        <row r="14">
          <cell r="C14">
            <v>56952492.642857142</v>
          </cell>
          <cell r="R14">
            <v>52077830.151422828</v>
          </cell>
        </row>
        <row r="15">
          <cell r="C15">
            <v>60000000</v>
          </cell>
        </row>
        <row r="16">
          <cell r="C16">
            <v>0</v>
          </cell>
        </row>
        <row r="17">
          <cell r="C17">
            <v>56952492.642857142</v>
          </cell>
        </row>
        <row r="20">
          <cell r="C20">
            <v>6</v>
          </cell>
        </row>
        <row r="21">
          <cell r="C21">
            <v>1</v>
          </cell>
          <cell r="K21">
            <v>0.40412801504135132</v>
          </cell>
        </row>
        <row r="36">
          <cell r="C36" t="str">
            <v>Yes</v>
          </cell>
        </row>
        <row r="39">
          <cell r="C39" t="str">
            <v>Residential</v>
          </cell>
        </row>
        <row r="40">
          <cell r="C40" t="str">
            <v>Commercial and Small Industrial (Energy)</v>
          </cell>
          <cell r="J40" t="str">
            <v>On</v>
          </cell>
        </row>
        <row r="41">
          <cell r="C41" t="str">
            <v>Commercial and Small Industrial (Demand)</v>
          </cell>
        </row>
        <row r="42">
          <cell r="C42" t="str">
            <v>Large Industrial (Firm)</v>
          </cell>
        </row>
        <row r="43">
          <cell r="C43" t="str">
            <v>Large Industrial (Non-Firm)</v>
          </cell>
        </row>
        <row r="44">
          <cell r="C44" t="str">
            <v>Municipal and Cotton Gin</v>
          </cell>
        </row>
        <row r="45">
          <cell r="C45" t="str">
            <v>Firm Standby</v>
          </cell>
        </row>
        <row r="46">
          <cell r="C46" t="str">
            <v>Non-Firm Standby</v>
          </cell>
        </row>
        <row r="49">
          <cell r="B49">
            <v>2</v>
          </cell>
          <cell r="G49" t="str">
            <v>Off</v>
          </cell>
        </row>
        <row r="54">
          <cell r="C54">
            <v>1.65625</v>
          </cell>
        </row>
        <row r="63">
          <cell r="B63">
            <v>1</v>
          </cell>
        </row>
      </sheetData>
      <sheetData sheetId="4">
        <row r="1">
          <cell r="F1">
            <v>14</v>
          </cell>
        </row>
        <row r="9">
          <cell r="T9">
            <v>3.5400000000000001E-2</v>
          </cell>
          <cell r="AH9">
            <v>5.0099999999999999E-2</v>
          </cell>
          <cell r="AV9">
            <v>5.5599999999999997E-2</v>
          </cell>
          <cell r="BJ9">
            <v>5.96E-2</v>
          </cell>
          <cell r="BX9">
            <v>6.25E-2</v>
          </cell>
          <cell r="CL9">
            <v>0</v>
          </cell>
          <cell r="CZ9">
            <v>0</v>
          </cell>
        </row>
        <row r="15">
          <cell r="L15" t="str">
            <v>All OK!!!</v>
          </cell>
          <cell r="T15">
            <v>1.9221591202699453</v>
          </cell>
          <cell r="AH15">
            <v>4.7245242960039393</v>
          </cell>
          <cell r="AV15">
            <v>7.247534222112348</v>
          </cell>
          <cell r="BJ15">
            <v>9.9976179063920725</v>
          </cell>
          <cell r="BX15">
            <v>12.968346014197197</v>
          </cell>
          <cell r="CL15" t="e">
            <v>#DIV/0!</v>
          </cell>
          <cell r="CZ15" t="e">
            <v>#DIV/0!</v>
          </cell>
        </row>
        <row r="22">
          <cell r="I22">
            <v>803429.91171428573</v>
          </cell>
          <cell r="J22">
            <v>5.4005860673745243E-2</v>
          </cell>
          <cell r="L22">
            <v>31816703.026205435</v>
          </cell>
          <cell r="N22">
            <v>128950233.81</v>
          </cell>
          <cell r="P22">
            <v>4285875.9400000004</v>
          </cell>
          <cell r="R22">
            <v>31816703.030000001</v>
          </cell>
          <cell r="AB22">
            <v>154506809.61000001</v>
          </cell>
          <cell r="AD22">
            <v>7267742.8099999996</v>
          </cell>
          <cell r="AF22">
            <v>0</v>
          </cell>
          <cell r="AP22">
            <v>107094257.8</v>
          </cell>
          <cell r="AR22">
            <v>5590558.2400000002</v>
          </cell>
          <cell r="AT22">
            <v>0</v>
          </cell>
          <cell r="BD22">
            <v>214926737.61000001</v>
          </cell>
          <cell r="BF22">
            <v>12026822.619999999</v>
          </cell>
          <cell r="BH22">
            <v>0</v>
          </cell>
          <cell r="BR22">
            <v>191856857.75</v>
          </cell>
          <cell r="BT22">
            <v>11258267</v>
          </cell>
          <cell r="BV22">
            <v>0</v>
          </cell>
          <cell r="CF22">
            <v>0</v>
          </cell>
          <cell r="CJ22">
            <v>0</v>
          </cell>
          <cell r="CT22">
            <v>0</v>
          </cell>
          <cell r="CX22">
            <v>0</v>
          </cell>
          <cell r="DN22">
            <v>5.4005860675099902E-2</v>
          </cell>
        </row>
        <row r="23">
          <cell r="J23">
            <v>5.4779163176303367E-2</v>
          </cell>
          <cell r="L23">
            <v>19196075.85590411</v>
          </cell>
          <cell r="DN23">
            <v>5.4779163177734527E-2</v>
          </cell>
        </row>
        <row r="24">
          <cell r="J24">
            <v>5.5277612682889478E-2</v>
          </cell>
          <cell r="DN24">
            <v>5.5277612685111457E-2</v>
          </cell>
        </row>
        <row r="25">
          <cell r="J25">
            <v>5.6075723462446124E-2</v>
          </cell>
          <cell r="DN25">
            <v>5.6075723464009165E-2</v>
          </cell>
        </row>
        <row r="26">
          <cell r="E26">
            <v>697771114.44577122</v>
          </cell>
          <cell r="J26">
            <v>5.6660699539553563E-2</v>
          </cell>
          <cell r="DN26">
            <v>5.6660699541177612E-2</v>
          </cell>
        </row>
        <row r="27">
          <cell r="J27">
            <v>5.7595455436258353E-2</v>
          </cell>
          <cell r="DN27">
            <v>5.7595455437981759E-2</v>
          </cell>
        </row>
        <row r="28">
          <cell r="J28">
            <v>5.7833732310843142E-2</v>
          </cell>
          <cell r="DN28">
            <v>5.7833732312628706E-2</v>
          </cell>
        </row>
        <row r="29">
          <cell r="J29">
            <v>5.8217709884852149E-2</v>
          </cell>
          <cell r="DN29">
            <v>5.8217709885795485E-2</v>
          </cell>
        </row>
        <row r="30">
          <cell r="J30">
            <v>5.8512462131393779E-2</v>
          </cell>
          <cell r="DN30">
            <v>5.8512462132376312E-2</v>
          </cell>
        </row>
        <row r="31">
          <cell r="J31">
            <v>5.8992141858155045E-2</v>
          </cell>
          <cell r="DN31">
            <v>5.8992141858155045E-2</v>
          </cell>
        </row>
        <row r="32">
          <cell r="J32">
            <v>5.9329679756581905E-2</v>
          </cell>
          <cell r="DN32">
            <v>5.9329679756581905E-2</v>
          </cell>
        </row>
        <row r="33">
          <cell r="J33">
            <v>5.9849101709437059E-2</v>
          </cell>
          <cell r="DN33">
            <v>5.9849101709437059E-2</v>
          </cell>
        </row>
        <row r="34">
          <cell r="J34">
            <v>6.00318299776176E-2</v>
          </cell>
          <cell r="DN34">
            <v>6.00318299776176E-2</v>
          </cell>
        </row>
        <row r="35">
          <cell r="J35">
            <v>6.0328278805650906E-2</v>
          </cell>
          <cell r="DN35">
            <v>6.0328278804344534E-2</v>
          </cell>
        </row>
        <row r="36">
          <cell r="J36">
            <v>6.05731332145771E-2</v>
          </cell>
          <cell r="DN36">
            <v>6.05731332145771E-2</v>
          </cell>
        </row>
        <row r="37">
          <cell r="J37">
            <v>6.0967766259235709E-2</v>
          </cell>
          <cell r="DN37">
            <v>6.0967766259235709E-2</v>
          </cell>
        </row>
        <row r="38">
          <cell r="J38">
            <v>6.1054646850793613E-2</v>
          </cell>
          <cell r="DN38">
            <v>6.1054646850793613E-2</v>
          </cell>
        </row>
        <row r="39">
          <cell r="J39">
            <v>6.1195980562062859E-2</v>
          </cell>
          <cell r="DN39">
            <v>6.1195980562062859E-2</v>
          </cell>
        </row>
        <row r="40">
          <cell r="J40">
            <v>6.1325080400848012E-2</v>
          </cell>
          <cell r="DN40">
            <v>6.1325080400848012E-2</v>
          </cell>
        </row>
        <row r="41">
          <cell r="J41">
            <v>6.1539104012413984E-2</v>
          </cell>
          <cell r="DN41">
            <v>6.1539104012413984E-2</v>
          </cell>
        </row>
        <row r="42">
          <cell r="J42">
            <v>6.1747429449270766E-2</v>
          </cell>
          <cell r="DN42">
            <v>6.1747429449270766E-2</v>
          </cell>
        </row>
        <row r="43">
          <cell r="J43">
            <v>6.211175102233752E-2</v>
          </cell>
          <cell r="DN43">
            <v>6.211175102233752E-2</v>
          </cell>
        </row>
        <row r="44">
          <cell r="J44">
            <v>6.2499999951135442E-2</v>
          </cell>
          <cell r="DN44">
            <v>6.2499999951135442E-2</v>
          </cell>
          <cell r="DP44">
            <v>0</v>
          </cell>
        </row>
        <row r="45">
          <cell r="J45">
            <v>6.2500000016431856E-2</v>
          </cell>
          <cell r="DN45">
            <v>6.2500000012323878E-2</v>
          </cell>
        </row>
        <row r="46">
          <cell r="J46">
            <v>6.2499999958424306E-2</v>
          </cell>
          <cell r="DN46">
            <v>6.2499999953227352E-2</v>
          </cell>
        </row>
        <row r="47">
          <cell r="J47">
            <v>6.249999988841045E-2</v>
          </cell>
          <cell r="DN47">
            <v>6.249999988841045E-2</v>
          </cell>
        </row>
        <row r="48">
          <cell r="J48">
            <v>6.2499999915155056E-2</v>
          </cell>
          <cell r="DN48">
            <v>6.2499999915155056E-2</v>
          </cell>
        </row>
      </sheetData>
      <sheetData sheetId="5"/>
      <sheetData sheetId="6">
        <row r="5">
          <cell r="E5">
            <v>4.1920000000000004E-3</v>
          </cell>
          <cell r="F5">
            <v>6.9430000000000004E-3</v>
          </cell>
          <cell r="G5">
            <v>2.0558800000000002</v>
          </cell>
          <cell r="H5">
            <v>1.001069</v>
          </cell>
          <cell r="I5">
            <v>0.72169899999999998</v>
          </cell>
          <cell r="J5">
            <v>4.8399999999999997E-3</v>
          </cell>
          <cell r="K5">
            <v>7.5556999999999999E-2</v>
          </cell>
          <cell r="L5">
            <v>0.11909500000000001</v>
          </cell>
        </row>
        <row r="6">
          <cell r="E6">
            <v>4.0296971520318E-3</v>
          </cell>
          <cell r="F6">
            <v>6.5546426315768362E-3</v>
          </cell>
          <cell r="G6">
            <v>2.0667082971524282</v>
          </cell>
          <cell r="H6">
            <v>0.97762278806389824</v>
          </cell>
          <cell r="I6">
            <v>0.72007126579210357</v>
          </cell>
          <cell r="J6">
            <v>4.7204400303140874E-3</v>
          </cell>
          <cell r="K6">
            <v>7.3797438802446755E-2</v>
          </cell>
          <cell r="L6">
            <v>0.11613364510487384</v>
          </cell>
          <cell r="AC6">
            <v>1.2296122733871597E-11</v>
          </cell>
        </row>
        <row r="7">
          <cell r="E7">
            <v>4.0296971520318E-3</v>
          </cell>
          <cell r="F7">
            <v>6.5546426315768362E-3</v>
          </cell>
          <cell r="G7">
            <v>2.0667082971524282</v>
          </cell>
          <cell r="H7">
            <v>0.97762278806389824</v>
          </cell>
          <cell r="I7">
            <v>0.72007126579210357</v>
          </cell>
          <cell r="J7">
            <v>4.7204400303140874E-3</v>
          </cell>
          <cell r="K7">
            <v>7.3797438802446755E-2</v>
          </cell>
          <cell r="L7">
            <v>0.11613364510487384</v>
          </cell>
        </row>
        <row r="8">
          <cell r="E8">
            <v>3.8880688463823298E-3</v>
          </cell>
          <cell r="F8">
            <v>6.3498208092991381E-3</v>
          </cell>
          <cell r="G8">
            <v>2.0075045645649543</v>
          </cell>
          <cell r="H8">
            <v>0.95498277571204293</v>
          </cell>
          <cell r="I8">
            <v>0.718499926158506</v>
          </cell>
          <cell r="J8">
            <v>4.6243456763787241E-3</v>
          </cell>
          <cell r="K8">
            <v>7.2023897220515096E-2</v>
          </cell>
          <cell r="L8">
            <v>0.1132917653840971</v>
          </cell>
        </row>
        <row r="9">
          <cell r="E9">
            <v>3.8880688463823298E-3</v>
          </cell>
          <cell r="F9">
            <v>6.3498208092991381E-3</v>
          </cell>
          <cell r="G9">
            <v>2.0075045645649543</v>
          </cell>
          <cell r="H9">
            <v>0.95498277571204293</v>
          </cell>
          <cell r="I9">
            <v>0.718499926158506</v>
          </cell>
          <cell r="J9">
            <v>4.6243456763787241E-3</v>
          </cell>
          <cell r="K9">
            <v>7.2023897220515096E-2</v>
          </cell>
          <cell r="L9">
            <v>0.1132917653840971</v>
          </cell>
        </row>
        <row r="10">
          <cell r="E10">
            <v>3.7728419475304468E-3</v>
          </cell>
          <cell r="F10">
            <v>6.1984977161777394E-3</v>
          </cell>
          <cell r="G10">
            <v>1.9603364300148882</v>
          </cell>
          <cell r="H10">
            <v>0.93401701451900099</v>
          </cell>
          <cell r="I10">
            <v>0.71704478860619303</v>
          </cell>
          <cell r="J10">
            <v>4.5297981809242814E-3</v>
          </cell>
          <cell r="K10">
            <v>7.0518580621525495E-2</v>
          </cell>
          <cell r="L10">
            <v>0.11141541396502383</v>
          </cell>
        </row>
        <row r="11">
          <cell r="E11">
            <v>3.7728419475304468E-3</v>
          </cell>
          <cell r="F11">
            <v>6.1984977161777394E-3</v>
          </cell>
          <cell r="G11">
            <v>1.9603364300148882</v>
          </cell>
          <cell r="H11">
            <v>0.93401701451900099</v>
          </cell>
          <cell r="I11">
            <v>0.71704478860619303</v>
          </cell>
          <cell r="J11">
            <v>4.5297981809242814E-3</v>
          </cell>
          <cell r="K11">
            <v>7.0518580621525495E-2</v>
          </cell>
          <cell r="L11">
            <v>0.11141541396502383</v>
          </cell>
        </row>
        <row r="12">
          <cell r="E12">
            <v>3.6478458572049952E-3</v>
          </cell>
          <cell r="F12">
            <v>6.0170698678503713E-3</v>
          </cell>
          <cell r="G12">
            <v>1.906825386567212</v>
          </cell>
          <cell r="H12">
            <v>0.91399680536883976</v>
          </cell>
          <cell r="I12">
            <v>0.71565527732531609</v>
          </cell>
          <cell r="J12">
            <v>4.4437859773339338E-3</v>
          </cell>
          <cell r="K12">
            <v>6.9069029106824151E-2</v>
          </cell>
          <cell r="L12">
            <v>0.10912036093575724</v>
          </cell>
        </row>
        <row r="13">
          <cell r="E13">
            <v>3.6478458572049952E-3</v>
          </cell>
          <cell r="F13">
            <v>6.0170698678503713E-3</v>
          </cell>
          <cell r="G13">
            <v>1.906825386567212</v>
          </cell>
          <cell r="H13">
            <v>0.91399680536883976</v>
          </cell>
          <cell r="I13">
            <v>0.71565527732531609</v>
          </cell>
          <cell r="J13">
            <v>4.4437859773339338E-3</v>
          </cell>
          <cell r="K13">
            <v>6.9069029106824151E-2</v>
          </cell>
          <cell r="L13">
            <v>0.10912036093575724</v>
          </cell>
        </row>
        <row r="14">
          <cell r="E14">
            <v>3.2213366415863765E-3</v>
          </cell>
          <cell r="F14">
            <v>5.3336816810657835E-3</v>
          </cell>
          <cell r="G14">
            <v>1.6929007217169407</v>
          </cell>
          <cell r="H14">
            <v>0.81499870034698818</v>
          </cell>
          <cell r="I14">
            <v>0.64973860868258804</v>
          </cell>
          <cell r="J14">
            <v>3.9672015232029177E-3</v>
          </cell>
          <cell r="K14">
            <v>6.1549207126685906E-2</v>
          </cell>
          <cell r="L14">
            <v>9.7100544965137689E-2</v>
          </cell>
        </row>
        <row r="15">
          <cell r="E15">
            <v>3.2213366415863765E-3</v>
          </cell>
          <cell r="F15">
            <v>5.3336816810657835E-3</v>
          </cell>
          <cell r="G15">
            <v>1.6929007217169407</v>
          </cell>
          <cell r="H15">
            <v>0.81499870034698818</v>
          </cell>
          <cell r="I15">
            <v>0.64973860868258804</v>
          </cell>
          <cell r="J15">
            <v>3.9672015232029177E-3</v>
          </cell>
          <cell r="K15">
            <v>6.1549207126685906E-2</v>
          </cell>
          <cell r="L15">
            <v>9.7100544965137689E-2</v>
          </cell>
        </row>
        <row r="16">
          <cell r="E16">
            <v>3.1872493069968776E-3</v>
          </cell>
          <cell r="F16">
            <v>5.3001163953562309E-3</v>
          </cell>
          <cell r="G16">
            <v>1.6849776642046608</v>
          </cell>
          <cell r="H16">
            <v>0.81354817239021315</v>
          </cell>
          <cell r="I16">
            <v>0.66112528576136065</v>
          </cell>
          <cell r="J16">
            <v>3.9693612949584121E-3</v>
          </cell>
          <cell r="K16">
            <v>6.1365567856643814E-2</v>
          </cell>
          <cell r="L16">
            <v>9.6259060222543297E-2</v>
          </cell>
        </row>
        <row r="17">
          <cell r="E17">
            <v>3.1872493069968776E-3</v>
          </cell>
          <cell r="F17">
            <v>5.3001163953562309E-3</v>
          </cell>
          <cell r="G17">
            <v>1.6849776642046608</v>
          </cell>
          <cell r="H17">
            <v>0.81354817239021315</v>
          </cell>
          <cell r="I17">
            <v>0.66112528576136065</v>
          </cell>
          <cell r="J17">
            <v>3.9693612949584121E-3</v>
          </cell>
          <cell r="K17">
            <v>6.1365567856643814E-2</v>
          </cell>
          <cell r="L17">
            <v>9.6259060222543297E-2</v>
          </cell>
        </row>
        <row r="18">
          <cell r="E18">
            <v>3.0813666761157119E-3</v>
          </cell>
          <cell r="F18">
            <v>5.1435510663220274E-3</v>
          </cell>
          <cell r="G18">
            <v>1.6385102054194056</v>
          </cell>
          <cell r="H18">
            <v>0.79513359179744292</v>
          </cell>
          <cell r="I18">
            <v>0.65776181510069853</v>
          </cell>
          <cell r="J18">
            <v>3.8853969184592038E-3</v>
          </cell>
          <cell r="K18">
            <v>6.0013143471372425E-2</v>
          </cell>
          <cell r="L18">
            <v>9.4478919516018653E-2</v>
          </cell>
        </row>
        <row r="19">
          <cell r="E19">
            <v>3.0813666761157119E-3</v>
          </cell>
          <cell r="F19">
            <v>5.1435510663220274E-3</v>
          </cell>
          <cell r="G19">
            <v>1.6385102054194056</v>
          </cell>
          <cell r="H19">
            <v>0.79513359179744292</v>
          </cell>
          <cell r="I19">
            <v>0.65776181510069853</v>
          </cell>
          <cell r="J19">
            <v>3.8853969184592038E-3</v>
          </cell>
          <cell r="K19">
            <v>6.0013143471372425E-2</v>
          </cell>
          <cell r="L19">
            <v>9.4478919516018653E-2</v>
          </cell>
        </row>
        <row r="20">
          <cell r="E20">
            <v>2.9982318771859849E-3</v>
          </cell>
          <cell r="F20">
            <v>5.0185296757178271E-3</v>
          </cell>
          <cell r="G20">
            <v>1.6008196596926039</v>
          </cell>
          <cell r="H20">
            <v>0.77926497194804123</v>
          </cell>
          <cell r="I20">
            <v>0.65697776077948933</v>
          </cell>
          <cell r="J20">
            <v>3.8148543673020437E-3</v>
          </cell>
          <cell r="K20">
            <v>5.880493632701124E-2</v>
          </cell>
          <cell r="L20">
            <v>9.2733284436702951E-2</v>
          </cell>
        </row>
        <row r="21">
          <cell r="E21">
            <v>2.9982318771859849E-3</v>
          </cell>
          <cell r="F21">
            <v>5.0185296757178271E-3</v>
          </cell>
          <cell r="G21">
            <v>1.6008196596926039</v>
          </cell>
          <cell r="H21">
            <v>0.77926497194804123</v>
          </cell>
          <cell r="I21">
            <v>0.65697776077948933</v>
          </cell>
          <cell r="J21">
            <v>3.8148543673020437E-3</v>
          </cell>
          <cell r="K21">
            <v>5.880493632701124E-2</v>
          </cell>
          <cell r="L21">
            <v>9.2733284436702951E-2</v>
          </cell>
        </row>
        <row r="22">
          <cell r="E22">
            <v>2.9136276364233114E-3</v>
          </cell>
          <cell r="F22">
            <v>4.9009599366361617E-3</v>
          </cell>
          <cell r="G22">
            <v>1.5635630864729946</v>
          </cell>
          <cell r="H22">
            <v>0.76176624870881682</v>
          </cell>
          <cell r="I22">
            <v>0.65421208556788524</v>
          </cell>
          <cell r="J22">
            <v>3.7367435483216674E-3</v>
          </cell>
          <cell r="K22">
            <v>5.7515938515008434E-2</v>
          </cell>
          <cell r="L22">
            <v>9.0880483625336073E-2</v>
          </cell>
        </row>
        <row r="23">
          <cell r="E23">
            <v>2.9136276364233114E-3</v>
          </cell>
          <cell r="F23">
            <v>4.9009599366361617E-3</v>
          </cell>
          <cell r="G23">
            <v>1.5635630864729946</v>
          </cell>
          <cell r="H23">
            <v>0.76176624870881682</v>
          </cell>
          <cell r="I23">
            <v>0.65421208556788524</v>
          </cell>
          <cell r="J23">
            <v>3.7367435483216674E-3</v>
          </cell>
          <cell r="K23">
            <v>5.7515938515008434E-2</v>
          </cell>
          <cell r="L23">
            <v>9.0880483625336073E-2</v>
          </cell>
        </row>
        <row r="24">
          <cell r="E24">
            <v>2.8209974340138119E-3</v>
          </cell>
          <cell r="F24">
            <v>4.7684544384328179E-3</v>
          </cell>
          <cell r="G24">
            <v>1.5215884695174267</v>
          </cell>
          <cell r="H24">
            <v>0.74213456535761502</v>
          </cell>
          <cell r="I24">
            <v>0.65378745725958898</v>
          </cell>
          <cell r="J24">
            <v>3.6797870312225258E-3</v>
          </cell>
          <cell r="K24">
            <v>5.6007316584655395E-2</v>
          </cell>
          <cell r="L24">
            <v>8.807366825884666E-2</v>
          </cell>
        </row>
        <row r="25">
          <cell r="E25">
            <v>2.8209974340138119E-3</v>
          </cell>
          <cell r="F25">
            <v>4.7684544384328179E-3</v>
          </cell>
          <cell r="G25">
            <v>1.5215884695174267</v>
          </cell>
          <cell r="H25">
            <v>0.74213456535761502</v>
          </cell>
          <cell r="I25">
            <v>0.65378745725958898</v>
          </cell>
          <cell r="J25">
            <v>3.6797870312225258E-3</v>
          </cell>
          <cell r="K25">
            <v>5.6007316584655395E-2</v>
          </cell>
          <cell r="L25">
            <v>8.807366825884666E-2</v>
          </cell>
        </row>
        <row r="26">
          <cell r="E26">
            <v>2.742033547352161E-3</v>
          </cell>
          <cell r="F26">
            <v>4.6605446765585166E-3</v>
          </cell>
          <cell r="G26">
            <v>1.4872879510326622</v>
          </cell>
          <cell r="H26">
            <v>0.72552445419977707</v>
          </cell>
          <cell r="I26">
            <v>0.65350935672859345</v>
          </cell>
          <cell r="J26">
            <v>3.6267582501388756E-3</v>
          </cell>
          <cell r="K26">
            <v>5.4777027079702431E-2</v>
          </cell>
          <cell r="L26">
            <v>8.6374255364452146E-2</v>
          </cell>
        </row>
        <row r="27">
          <cell r="E27">
            <v>2.742033547352161E-3</v>
          </cell>
          <cell r="F27">
            <v>4.6605446765585166E-3</v>
          </cell>
          <cell r="G27">
            <v>1.4872879510326622</v>
          </cell>
          <cell r="H27">
            <v>0.72552445419977707</v>
          </cell>
          <cell r="I27">
            <v>0.65350935672859345</v>
          </cell>
          <cell r="J27">
            <v>3.6267582501388756E-3</v>
          </cell>
          <cell r="K27">
            <v>5.4777027079702431E-2</v>
          </cell>
          <cell r="L27">
            <v>8.6374255364452146E-2</v>
          </cell>
        </row>
        <row r="28">
          <cell r="E28">
            <v>2.6585130391578939E-3</v>
          </cell>
          <cell r="F28">
            <v>4.543769527798976E-3</v>
          </cell>
          <cell r="G28">
            <v>1.4500556015390464</v>
          </cell>
          <cell r="H28">
            <v>0.70713210046110286</v>
          </cell>
          <cell r="I28">
            <v>0.65148734064325864</v>
          </cell>
          <cell r="J28">
            <v>3.5654834470842758E-3</v>
          </cell>
          <cell r="K28">
            <v>5.3383574013874967E-2</v>
          </cell>
          <cell r="L28">
            <v>8.4024852913816575E-2</v>
          </cell>
        </row>
        <row r="29">
          <cell r="E29">
            <v>2.6585130391578939E-3</v>
          </cell>
          <cell r="F29">
            <v>4.543769527798976E-3</v>
          </cell>
          <cell r="G29">
            <v>1.4500556015390464</v>
          </cell>
          <cell r="H29">
            <v>0.70713210046110286</v>
          </cell>
          <cell r="I29">
            <v>0.65148734064325864</v>
          </cell>
          <cell r="J29">
            <v>3.5654834470842758E-3</v>
          </cell>
          <cell r="K29">
            <v>5.3383574013874967E-2</v>
          </cell>
          <cell r="L29">
            <v>8.4024852913816575E-2</v>
          </cell>
        </row>
        <row r="30">
          <cell r="E30">
            <v>2.5805846944610606E-3</v>
          </cell>
          <cell r="F30">
            <v>4.4316132341572691E-3</v>
          </cell>
          <cell r="G30">
            <v>1.4149056881481965</v>
          </cell>
          <cell r="H30">
            <v>0.69041569766983069</v>
          </cell>
          <cell r="I30">
            <v>0.65067616036023568</v>
          </cell>
          <cell r="J30">
            <v>3.5121887190434123E-3</v>
          </cell>
          <cell r="K30">
            <v>5.2111323635035255E-2</v>
          </cell>
          <cell r="L30">
            <v>8.2046318466812734E-2</v>
          </cell>
        </row>
        <row r="31">
          <cell r="E31">
            <v>2.5805846944610606E-3</v>
          </cell>
          <cell r="F31">
            <v>4.4316132341572691E-3</v>
          </cell>
          <cell r="G31">
            <v>1.4149056881481965</v>
          </cell>
          <cell r="H31">
            <v>0.69041569766983069</v>
          </cell>
          <cell r="I31">
            <v>0.65067616036023568</v>
          </cell>
          <cell r="J31">
            <v>3.5121887190434123E-3</v>
          </cell>
          <cell r="K31">
            <v>5.2111323635035255E-2</v>
          </cell>
          <cell r="L31">
            <v>8.2046318466812734E-2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7">
          <cell r="E37">
            <v>4.0296971520318E-3</v>
          </cell>
          <cell r="F37">
            <v>4.6798341893418188E-4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N37">
            <v>4.0296971520318E-3</v>
          </cell>
        </row>
        <row r="38">
          <cell r="E38">
            <v>4.0296971520318E-3</v>
          </cell>
          <cell r="F38">
            <v>4.6798341893418188E-4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E39">
            <v>3.8880688463823298E-3</v>
          </cell>
          <cell r="F39">
            <v>4.4048618354156397E-4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E40">
            <v>3.8880688463823298E-3</v>
          </cell>
          <cell r="F40">
            <v>4.4048618354156397E-4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E41">
            <v>3.7728419475304468E-3</v>
          </cell>
          <cell r="F41">
            <v>4.2035274740871145E-4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E42">
            <v>3.7728419475304468E-3</v>
          </cell>
          <cell r="F42">
            <v>4.2035274740871145E-4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E43">
            <v>3.6478458572049952E-3</v>
          </cell>
          <cell r="F43">
            <v>3.9805425657621585E-4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E44">
            <v>3.6478458572049952E-3</v>
          </cell>
          <cell r="F44">
            <v>3.9805425657621585E-4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E45">
            <v>3.2213366415863765E-3</v>
          </cell>
          <cell r="F45">
            <v>3.1279354341420357E-4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E46">
            <v>3.2213366415863765E-3</v>
          </cell>
          <cell r="F46">
            <v>3.1279354341420357E-4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E47">
            <v>3.1872493069968776E-3</v>
          </cell>
          <cell r="F47">
            <v>3.0680162298647181E-4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E48">
            <v>3.1872493069968776E-3</v>
          </cell>
          <cell r="F48">
            <v>3.0680162298647181E-4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E49">
            <v>3.0813666761157119E-3</v>
          </cell>
          <cell r="F49">
            <v>2.9112419419207824E-4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E50">
            <v>3.0813666761157119E-3</v>
          </cell>
          <cell r="F50">
            <v>2.9112419419207824E-4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E51">
            <v>2.9982318771859849E-3</v>
          </cell>
          <cell r="F51">
            <v>2.7803588947427775E-4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E52">
            <v>2.9982318771859849E-3</v>
          </cell>
          <cell r="F52">
            <v>2.7803588947427775E-4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E53">
            <v>2.9136276364233114E-3</v>
          </cell>
          <cell r="F53">
            <v>2.6479188870229541E-4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E54">
            <v>2.9136276364233114E-3</v>
          </cell>
          <cell r="F54">
            <v>2.6479188870229541E-4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E55">
            <v>2.8209974340138119E-3</v>
          </cell>
          <cell r="F55">
            <v>2.4845559216239016E-4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E56">
            <v>2.8209974340138119E-3</v>
          </cell>
          <cell r="F56">
            <v>2.4845559216239016E-4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E57">
            <v>2.742033547352161E-3</v>
          </cell>
          <cell r="F57">
            <v>2.3684110583689015E-4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E58">
            <v>2.742033547352161E-3</v>
          </cell>
          <cell r="F58">
            <v>2.3684110583689015E-4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E59">
            <v>2.6585130391578939E-3</v>
          </cell>
          <cell r="F59">
            <v>2.2338116708470551E-4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2.6585130391578939E-3</v>
          </cell>
          <cell r="F60">
            <v>2.2338116708470551E-4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E61">
            <v>2.5805846944610606E-3</v>
          </cell>
          <cell r="F61">
            <v>2.1172747367233482E-4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2.5805846944610606E-3</v>
          </cell>
          <cell r="F62">
            <v>2.1172747367233482E-4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</sheetData>
      <sheetData sheetId="7">
        <row r="2">
          <cell r="F2">
            <v>0.15</v>
          </cell>
          <cell r="M2" t="str">
            <v>$797.3 Million Issuance: Base Case</v>
          </cell>
        </row>
        <row r="3">
          <cell r="F3">
            <v>0.3</v>
          </cell>
          <cell r="M3" t="str">
            <v/>
          </cell>
        </row>
        <row r="4">
          <cell r="F4">
            <v>0.3</v>
          </cell>
          <cell r="M4" t="str">
            <v>Variance Trigger On</v>
          </cell>
        </row>
        <row r="5">
          <cell r="F5">
            <v>0.05</v>
          </cell>
        </row>
        <row r="8">
          <cell r="U8">
            <v>0.3</v>
          </cell>
        </row>
        <row r="13">
          <cell r="D13">
            <v>1</v>
          </cell>
          <cell r="E13">
            <v>1</v>
          </cell>
          <cell r="G13">
            <v>1</v>
          </cell>
          <cell r="I13">
            <v>1</v>
          </cell>
          <cell r="K13">
            <v>1</v>
          </cell>
          <cell r="M13">
            <v>1</v>
          </cell>
          <cell r="O13">
            <v>1</v>
          </cell>
          <cell r="Q13">
            <v>1</v>
          </cell>
          <cell r="S13">
            <v>1</v>
          </cell>
          <cell r="T13" t="str">
            <v>Not Locked</v>
          </cell>
          <cell r="U13">
            <v>0.86799999999999999</v>
          </cell>
        </row>
        <row r="14">
          <cell r="E14">
            <v>1</v>
          </cell>
          <cell r="G14">
            <v>1</v>
          </cell>
          <cell r="I14">
            <v>1</v>
          </cell>
          <cell r="K14">
            <v>1</v>
          </cell>
          <cell r="M14">
            <v>1</v>
          </cell>
          <cell r="O14">
            <v>1</v>
          </cell>
          <cell r="Q14">
            <v>1</v>
          </cell>
          <cell r="S14">
            <v>1</v>
          </cell>
          <cell r="T14" t="str">
            <v>Not Locked</v>
          </cell>
        </row>
        <row r="15">
          <cell r="E15">
            <v>1</v>
          </cell>
          <cell r="G15">
            <v>1</v>
          </cell>
          <cell r="I15">
            <v>1</v>
          </cell>
          <cell r="K15">
            <v>1</v>
          </cell>
          <cell r="M15">
            <v>1</v>
          </cell>
          <cell r="O15">
            <v>1</v>
          </cell>
          <cell r="Q15">
            <v>1</v>
          </cell>
          <cell r="S15">
            <v>1</v>
          </cell>
          <cell r="T15" t="str">
            <v>Not Locked</v>
          </cell>
        </row>
        <row r="16">
          <cell r="E16">
            <v>1</v>
          </cell>
          <cell r="G16">
            <v>1</v>
          </cell>
          <cell r="I16">
            <v>1</v>
          </cell>
          <cell r="K16">
            <v>1</v>
          </cell>
          <cell r="M16">
            <v>1</v>
          </cell>
          <cell r="O16">
            <v>1</v>
          </cell>
          <cell r="Q16">
            <v>1</v>
          </cell>
          <cell r="S16">
            <v>1</v>
          </cell>
          <cell r="T16" t="str">
            <v>Not Locked</v>
          </cell>
        </row>
        <row r="17">
          <cell r="E17">
            <v>1</v>
          </cell>
          <cell r="G17">
            <v>1</v>
          </cell>
          <cell r="I17">
            <v>1</v>
          </cell>
          <cell r="K17">
            <v>1</v>
          </cell>
          <cell r="M17">
            <v>1</v>
          </cell>
          <cell r="O17">
            <v>1</v>
          </cell>
          <cell r="Q17">
            <v>1</v>
          </cell>
          <cell r="S17">
            <v>1</v>
          </cell>
          <cell r="T17" t="str">
            <v>Not Locked</v>
          </cell>
        </row>
        <row r="18">
          <cell r="E18">
            <v>1</v>
          </cell>
          <cell r="G18">
            <v>1</v>
          </cell>
          <cell r="I18">
            <v>1</v>
          </cell>
          <cell r="K18">
            <v>1</v>
          </cell>
          <cell r="M18">
            <v>1</v>
          </cell>
          <cell r="O18">
            <v>1</v>
          </cell>
          <cell r="Q18">
            <v>1</v>
          </cell>
          <cell r="S18">
            <v>1</v>
          </cell>
          <cell r="T18" t="str">
            <v>Not Locked</v>
          </cell>
        </row>
        <row r="19">
          <cell r="E19">
            <v>1</v>
          </cell>
          <cell r="G19">
            <v>1</v>
          </cell>
          <cell r="I19">
            <v>1</v>
          </cell>
          <cell r="K19">
            <v>1</v>
          </cell>
          <cell r="M19">
            <v>1</v>
          </cell>
          <cell r="O19">
            <v>1</v>
          </cell>
          <cell r="Q19">
            <v>1</v>
          </cell>
          <cell r="S19">
            <v>1</v>
          </cell>
          <cell r="T19" t="str">
            <v>Not Locked</v>
          </cell>
        </row>
        <row r="20">
          <cell r="E20">
            <v>1</v>
          </cell>
          <cell r="G20">
            <v>1</v>
          </cell>
          <cell r="I20">
            <v>1</v>
          </cell>
          <cell r="K20">
            <v>1</v>
          </cell>
          <cell r="M20">
            <v>1</v>
          </cell>
          <cell r="O20">
            <v>1</v>
          </cell>
          <cell r="Q20">
            <v>1</v>
          </cell>
          <cell r="S20">
            <v>1</v>
          </cell>
          <cell r="T20" t="str">
            <v>Not Locked</v>
          </cell>
        </row>
        <row r="21">
          <cell r="E21">
            <v>1</v>
          </cell>
          <cell r="G21">
            <v>1</v>
          </cell>
          <cell r="I21">
            <v>1</v>
          </cell>
          <cell r="K21">
            <v>1</v>
          </cell>
          <cell r="M21">
            <v>1</v>
          </cell>
          <cell r="O21">
            <v>1</v>
          </cell>
          <cell r="Q21">
            <v>1</v>
          </cell>
          <cell r="S21">
            <v>1</v>
          </cell>
          <cell r="T21" t="str">
            <v>Not Locked</v>
          </cell>
        </row>
        <row r="22">
          <cell r="E22">
            <v>1</v>
          </cell>
          <cell r="G22">
            <v>1</v>
          </cell>
          <cell r="I22">
            <v>1</v>
          </cell>
          <cell r="K22">
            <v>1</v>
          </cell>
          <cell r="M22">
            <v>1</v>
          </cell>
          <cell r="O22">
            <v>1</v>
          </cell>
          <cell r="Q22">
            <v>1</v>
          </cell>
          <cell r="S22">
            <v>1</v>
          </cell>
          <cell r="T22" t="str">
            <v>Not Locked</v>
          </cell>
        </row>
        <row r="23">
          <cell r="E23">
            <v>1</v>
          </cell>
          <cell r="G23">
            <v>1</v>
          </cell>
          <cell r="I23">
            <v>1</v>
          </cell>
          <cell r="K23">
            <v>1</v>
          </cell>
          <cell r="M23">
            <v>1</v>
          </cell>
          <cell r="O23">
            <v>1</v>
          </cell>
          <cell r="Q23">
            <v>1</v>
          </cell>
          <cell r="S23">
            <v>1</v>
          </cell>
          <cell r="T23" t="str">
            <v>Not Locked</v>
          </cell>
        </row>
        <row r="24">
          <cell r="E24">
            <v>1</v>
          </cell>
          <cell r="G24">
            <v>1</v>
          </cell>
          <cell r="I24">
            <v>1</v>
          </cell>
          <cell r="K24">
            <v>1</v>
          </cell>
          <cell r="M24">
            <v>1</v>
          </cell>
          <cell r="O24">
            <v>1</v>
          </cell>
          <cell r="Q24">
            <v>1</v>
          </cell>
          <cell r="S24">
            <v>1</v>
          </cell>
          <cell r="T24" t="str">
            <v>Not Locked</v>
          </cell>
        </row>
        <row r="25">
          <cell r="E25">
            <v>1</v>
          </cell>
          <cell r="G25">
            <v>1</v>
          </cell>
          <cell r="I25">
            <v>1</v>
          </cell>
          <cell r="K25">
            <v>1</v>
          </cell>
          <cell r="M25">
            <v>1</v>
          </cell>
          <cell r="O25">
            <v>1</v>
          </cell>
          <cell r="Q25">
            <v>1</v>
          </cell>
          <cell r="S25">
            <v>1</v>
          </cell>
          <cell r="T25" t="str">
            <v>Not Locked</v>
          </cell>
        </row>
        <row r="26">
          <cell r="E26">
            <v>1</v>
          </cell>
          <cell r="G26">
            <v>1</v>
          </cell>
          <cell r="I26">
            <v>1</v>
          </cell>
          <cell r="K26">
            <v>1</v>
          </cell>
          <cell r="M26">
            <v>1</v>
          </cell>
          <cell r="O26">
            <v>1</v>
          </cell>
          <cell r="Q26">
            <v>1</v>
          </cell>
          <cell r="S26">
            <v>1</v>
          </cell>
          <cell r="T26" t="str">
            <v>Not Locked</v>
          </cell>
        </row>
        <row r="27">
          <cell r="E27">
            <v>1</v>
          </cell>
          <cell r="G27">
            <v>1</v>
          </cell>
          <cell r="I27">
            <v>1</v>
          </cell>
          <cell r="K27">
            <v>1</v>
          </cell>
          <cell r="M27">
            <v>1</v>
          </cell>
          <cell r="O27">
            <v>1</v>
          </cell>
          <cell r="Q27">
            <v>1</v>
          </cell>
          <cell r="S27">
            <v>1</v>
          </cell>
          <cell r="T27" t="str">
            <v>Not Locked</v>
          </cell>
        </row>
        <row r="28">
          <cell r="T28" t="str">
            <v>Not Locked</v>
          </cell>
        </row>
        <row r="35"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</row>
        <row r="36"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</row>
        <row r="37"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</row>
        <row r="38"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</row>
        <row r="39"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</row>
        <row r="40"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</row>
        <row r="41"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</row>
        <row r="42"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</row>
        <row r="43"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</row>
        <row r="44"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</row>
        <row r="45"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</row>
        <row r="46">
          <cell r="D46">
            <v>1</v>
          </cell>
          <cell r="E46">
            <v>1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</row>
        <row r="47"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</row>
        <row r="48">
          <cell r="D48">
            <v>1</v>
          </cell>
          <cell r="E48">
            <v>1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</row>
        <row r="49">
          <cell r="D49">
            <v>1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</row>
        <row r="50"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</row>
        <row r="57">
          <cell r="D57">
            <v>0</v>
          </cell>
          <cell r="E57">
            <v>0.84763737166324449</v>
          </cell>
          <cell r="F57">
            <v>0.14946262833675564</v>
          </cell>
          <cell r="G57">
            <v>0</v>
          </cell>
          <cell r="H57">
            <v>0</v>
          </cell>
        </row>
        <row r="62">
          <cell r="D62">
            <v>0</v>
          </cell>
          <cell r="E62">
            <v>0.83480082135523603</v>
          </cell>
          <cell r="F62">
            <v>0.14719917864476401</v>
          </cell>
          <cell r="G62">
            <v>0</v>
          </cell>
          <cell r="H62">
            <v>0</v>
          </cell>
        </row>
        <row r="67">
          <cell r="D67">
            <v>0</v>
          </cell>
          <cell r="E67">
            <v>0.84763737166324449</v>
          </cell>
          <cell r="F67">
            <v>0.14946262833675564</v>
          </cell>
          <cell r="G67">
            <v>0</v>
          </cell>
          <cell r="H67">
            <v>0</v>
          </cell>
        </row>
        <row r="68">
          <cell r="D68">
            <v>0</v>
          </cell>
          <cell r="E68">
            <v>0.84763737166324449</v>
          </cell>
          <cell r="F68">
            <v>0.14946262833675564</v>
          </cell>
          <cell r="G68">
            <v>0</v>
          </cell>
          <cell r="H68">
            <v>0</v>
          </cell>
        </row>
        <row r="69">
          <cell r="D69">
            <v>0</v>
          </cell>
          <cell r="E69">
            <v>0.84763737166324449</v>
          </cell>
          <cell r="F69">
            <v>0.14946262833675564</v>
          </cell>
          <cell r="G69">
            <v>0</v>
          </cell>
          <cell r="H69">
            <v>0</v>
          </cell>
        </row>
        <row r="70">
          <cell r="D70">
            <v>0</v>
          </cell>
          <cell r="E70">
            <v>0.84763737166324449</v>
          </cell>
          <cell r="F70">
            <v>0.14946262833675564</v>
          </cell>
          <cell r="G70">
            <v>0</v>
          </cell>
          <cell r="H70">
            <v>0</v>
          </cell>
        </row>
        <row r="71">
          <cell r="D71">
            <v>0</v>
          </cell>
          <cell r="E71">
            <v>0.84763737166324449</v>
          </cell>
          <cell r="F71">
            <v>0.14946262833675564</v>
          </cell>
          <cell r="G71">
            <v>0</v>
          </cell>
          <cell r="H71">
            <v>0</v>
          </cell>
        </row>
        <row r="72">
          <cell r="D72">
            <v>0</v>
          </cell>
          <cell r="E72">
            <v>0.84763737166324449</v>
          </cell>
          <cell r="F72">
            <v>0.14946262833675564</v>
          </cell>
          <cell r="G72">
            <v>0</v>
          </cell>
          <cell r="H72">
            <v>0</v>
          </cell>
        </row>
        <row r="73">
          <cell r="D73">
            <v>0</v>
          </cell>
          <cell r="E73">
            <v>0.84763737166324449</v>
          </cell>
          <cell r="F73">
            <v>0.14946262833675564</v>
          </cell>
          <cell r="G73">
            <v>0</v>
          </cell>
          <cell r="H73">
            <v>0</v>
          </cell>
        </row>
        <row r="74">
          <cell r="D74">
            <v>0</v>
          </cell>
          <cell r="E74">
            <v>0.84763737166324449</v>
          </cell>
          <cell r="F74">
            <v>0.14946262833675564</v>
          </cell>
          <cell r="G74">
            <v>0</v>
          </cell>
          <cell r="H74">
            <v>0</v>
          </cell>
        </row>
        <row r="75">
          <cell r="D75">
            <v>0</v>
          </cell>
          <cell r="E75">
            <v>0.84763737166324449</v>
          </cell>
          <cell r="F75">
            <v>0.14946262833675564</v>
          </cell>
          <cell r="G75">
            <v>0</v>
          </cell>
          <cell r="H75">
            <v>0</v>
          </cell>
        </row>
        <row r="76">
          <cell r="D76">
            <v>0</v>
          </cell>
          <cell r="E76">
            <v>0.84763737166324449</v>
          </cell>
          <cell r="F76">
            <v>0.14946262833675564</v>
          </cell>
          <cell r="G76">
            <v>0</v>
          </cell>
          <cell r="H76">
            <v>0</v>
          </cell>
        </row>
        <row r="77">
          <cell r="D77">
            <v>0</v>
          </cell>
          <cell r="E77">
            <v>0.84763737166324449</v>
          </cell>
          <cell r="F77">
            <v>0.14946262833675564</v>
          </cell>
          <cell r="G77">
            <v>0</v>
          </cell>
          <cell r="H77">
            <v>0</v>
          </cell>
        </row>
        <row r="78">
          <cell r="D78">
            <v>0</v>
          </cell>
          <cell r="E78">
            <v>0.84763737166324449</v>
          </cell>
          <cell r="F78">
            <v>0.14946262833675564</v>
          </cell>
          <cell r="G78">
            <v>0</v>
          </cell>
          <cell r="H78">
            <v>0</v>
          </cell>
        </row>
        <row r="79">
          <cell r="D79">
            <v>0</v>
          </cell>
          <cell r="E79">
            <v>0.84763737166324449</v>
          </cell>
          <cell r="F79">
            <v>0.14946262833675564</v>
          </cell>
          <cell r="G79">
            <v>0</v>
          </cell>
          <cell r="H79">
            <v>0</v>
          </cell>
        </row>
        <row r="80">
          <cell r="D80">
            <v>0</v>
          </cell>
          <cell r="E80">
            <v>0.84763737166324449</v>
          </cell>
          <cell r="F80">
            <v>0.14946262833675564</v>
          </cell>
          <cell r="G80">
            <v>0</v>
          </cell>
          <cell r="H80">
            <v>0</v>
          </cell>
        </row>
        <row r="81">
          <cell r="D81">
            <v>0</v>
          </cell>
          <cell r="E81">
            <v>0.84763737166324449</v>
          </cell>
          <cell r="F81">
            <v>0.14946262833675564</v>
          </cell>
          <cell r="G81">
            <v>0</v>
          </cell>
          <cell r="H81">
            <v>0</v>
          </cell>
        </row>
        <row r="82">
          <cell r="D82">
            <v>0</v>
          </cell>
          <cell r="E82">
            <v>0.84763737166324449</v>
          </cell>
          <cell r="F82">
            <v>0.14946262833675564</v>
          </cell>
          <cell r="G82">
            <v>0</v>
          </cell>
          <cell r="H82">
            <v>0</v>
          </cell>
        </row>
        <row r="87">
          <cell r="D87" t="str">
            <v>Low Fee:</v>
          </cell>
          <cell r="G87">
            <v>398667.4485</v>
          </cell>
        </row>
      </sheetData>
      <sheetData sheetId="8">
        <row r="14">
          <cell r="E14" t="str">
            <v>Date</v>
          </cell>
          <cell r="F14" t="str">
            <v>(kWh)</v>
          </cell>
          <cell r="G14" t="str">
            <v>Adjustment</v>
          </cell>
          <cell r="H14" t="str">
            <v>Adjustment</v>
          </cell>
          <cell r="I14" t="str">
            <v>Sales</v>
          </cell>
          <cell r="J14" t="str">
            <v>Sales</v>
          </cell>
          <cell r="K14" t="str">
            <v>(¢/kWh)</v>
          </cell>
        </row>
        <row r="15">
          <cell r="E15">
            <v>37196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M15">
            <v>0</v>
          </cell>
          <cell r="T15">
            <v>0</v>
          </cell>
          <cell r="U15">
            <v>0</v>
          </cell>
          <cell r="AB15">
            <v>0</v>
          </cell>
        </row>
        <row r="16">
          <cell r="E16">
            <v>37226</v>
          </cell>
          <cell r="F16">
            <v>0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</row>
        <row r="17">
          <cell r="E17">
            <v>37257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</row>
        <row r="18">
          <cell r="E18">
            <v>37288</v>
          </cell>
          <cell r="F18">
            <v>378024168.25988519</v>
          </cell>
          <cell r="G18">
            <v>1</v>
          </cell>
          <cell r="H18">
            <v>1</v>
          </cell>
          <cell r="I18">
            <v>378024168.25988519</v>
          </cell>
          <cell r="J18">
            <v>378024168.25988519</v>
          </cell>
          <cell r="K18">
            <v>0.41920000000000002</v>
          </cell>
          <cell r="V18">
            <v>0</v>
          </cell>
          <cell r="W18">
            <v>0.82794910714285719</v>
          </cell>
          <cell r="X18">
            <v>0.16915089285714288</v>
          </cell>
          <cell r="Y18">
            <v>0</v>
          </cell>
          <cell r="Z18">
            <v>0</v>
          </cell>
        </row>
        <row r="19">
          <cell r="E19">
            <v>37316</v>
          </cell>
          <cell r="F19">
            <v>481682614.02219808</v>
          </cell>
          <cell r="G19">
            <v>1</v>
          </cell>
          <cell r="H19">
            <v>1</v>
          </cell>
          <cell r="I19">
            <v>481682614.02219808</v>
          </cell>
          <cell r="J19">
            <v>481682614.02219808</v>
          </cell>
          <cell r="K19">
            <v>0.41920000000000002</v>
          </cell>
          <cell r="V19">
            <v>0</v>
          </cell>
          <cell r="W19">
            <v>0.84763737166324449</v>
          </cell>
          <cell r="X19">
            <v>0.14946262833675564</v>
          </cell>
          <cell r="Y19">
            <v>0</v>
          </cell>
          <cell r="Z19">
            <v>0</v>
          </cell>
        </row>
        <row r="20">
          <cell r="E20">
            <v>37347</v>
          </cell>
          <cell r="F20">
            <v>501253649.38722706</v>
          </cell>
          <cell r="G20">
            <v>1</v>
          </cell>
          <cell r="H20">
            <v>1</v>
          </cell>
          <cell r="I20">
            <v>501253649.38722706</v>
          </cell>
          <cell r="J20">
            <v>501253649.38722706</v>
          </cell>
          <cell r="K20">
            <v>0.41920000000000002</v>
          </cell>
          <cell r="V20">
            <v>0</v>
          </cell>
          <cell r="W20">
            <v>0.84763737166324449</v>
          </cell>
          <cell r="X20">
            <v>0.14946262833675564</v>
          </cell>
          <cell r="Y20">
            <v>0</v>
          </cell>
          <cell r="Z20">
            <v>0</v>
          </cell>
        </row>
        <row r="21">
          <cell r="E21">
            <v>37377</v>
          </cell>
          <cell r="F21">
            <v>586977687.16515815</v>
          </cell>
          <cell r="G21">
            <v>1</v>
          </cell>
          <cell r="H21">
            <v>1</v>
          </cell>
          <cell r="I21">
            <v>586977687.16515815</v>
          </cell>
          <cell r="J21">
            <v>586977687.16515815</v>
          </cell>
          <cell r="K21">
            <v>0.41920000000000002</v>
          </cell>
          <cell r="V21">
            <v>0</v>
          </cell>
          <cell r="W21">
            <v>0.84763737166324449</v>
          </cell>
          <cell r="X21">
            <v>0.14946262833675564</v>
          </cell>
          <cell r="Y21">
            <v>0</v>
          </cell>
          <cell r="Z21">
            <v>0</v>
          </cell>
        </row>
        <row r="22">
          <cell r="E22">
            <v>37408</v>
          </cell>
          <cell r="F22">
            <v>786168849.44849277</v>
          </cell>
          <cell r="G22">
            <v>1</v>
          </cell>
          <cell r="H22">
            <v>1</v>
          </cell>
          <cell r="I22">
            <v>786168849.44849277</v>
          </cell>
          <cell r="J22">
            <v>786168849.44849277</v>
          </cell>
          <cell r="K22">
            <v>0.41920000000000002</v>
          </cell>
          <cell r="V22">
            <v>0</v>
          </cell>
          <cell r="W22">
            <v>0.84763737166324449</v>
          </cell>
          <cell r="X22">
            <v>0.14946262833675564</v>
          </cell>
          <cell r="Y22">
            <v>0</v>
          </cell>
          <cell r="Z22">
            <v>0</v>
          </cell>
        </row>
        <row r="23">
          <cell r="E23">
            <v>37438</v>
          </cell>
          <cell r="F23">
            <v>904569547.49331987</v>
          </cell>
          <cell r="G23">
            <v>1</v>
          </cell>
          <cell r="H23">
            <v>1</v>
          </cell>
          <cell r="I23">
            <v>904569547.49331987</v>
          </cell>
          <cell r="J23">
            <v>904569547.49331987</v>
          </cell>
          <cell r="K23">
            <v>0.41920000000000002</v>
          </cell>
          <cell r="V23">
            <v>0</v>
          </cell>
          <cell r="W23">
            <v>0.84763737166324449</v>
          </cell>
          <cell r="X23">
            <v>0.14946262833675564</v>
          </cell>
          <cell r="Y23">
            <v>0</v>
          </cell>
          <cell r="Z23">
            <v>0</v>
          </cell>
        </row>
        <row r="24">
          <cell r="E24">
            <v>37469</v>
          </cell>
          <cell r="F24">
            <v>919398107.31258416</v>
          </cell>
          <cell r="G24">
            <v>1</v>
          </cell>
          <cell r="H24">
            <v>1</v>
          </cell>
          <cell r="I24">
            <v>919398107.31258416</v>
          </cell>
          <cell r="J24">
            <v>919398107.31258416</v>
          </cell>
          <cell r="K24">
            <v>0.41920000000000002</v>
          </cell>
          <cell r="V24">
            <v>0</v>
          </cell>
          <cell r="W24">
            <v>0.84763737166324449</v>
          </cell>
          <cell r="X24">
            <v>0.14946262833675564</v>
          </cell>
          <cell r="Y24">
            <v>0</v>
          </cell>
          <cell r="Z24">
            <v>0</v>
          </cell>
        </row>
        <row r="25">
          <cell r="E25">
            <v>37500</v>
          </cell>
          <cell r="F25">
            <v>891150660.64188468</v>
          </cell>
          <cell r="G25">
            <v>1</v>
          </cell>
          <cell r="H25">
            <v>1</v>
          </cell>
          <cell r="I25">
            <v>891150660.64188468</v>
          </cell>
          <cell r="J25">
            <v>891150660.64188468</v>
          </cell>
          <cell r="K25">
            <v>0.41920000000000002</v>
          </cell>
          <cell r="V25">
            <v>0</v>
          </cell>
          <cell r="W25">
            <v>0.84763737166324449</v>
          </cell>
          <cell r="X25">
            <v>0.14946262833675564</v>
          </cell>
          <cell r="Y25">
            <v>0</v>
          </cell>
          <cell r="Z25">
            <v>0</v>
          </cell>
        </row>
        <row r="26">
          <cell r="E26">
            <v>37530</v>
          </cell>
          <cell r="F26">
            <v>755238421.13641584</v>
          </cell>
          <cell r="G26">
            <v>1</v>
          </cell>
          <cell r="H26">
            <v>1</v>
          </cell>
          <cell r="I26">
            <v>755238421.13641584</v>
          </cell>
          <cell r="J26">
            <v>755238421.13641584</v>
          </cell>
          <cell r="K26">
            <v>0.41920000000000002</v>
          </cell>
          <cell r="V26">
            <v>0</v>
          </cell>
          <cell r="W26">
            <v>0.84763737166324449</v>
          </cell>
          <cell r="X26">
            <v>0.14946262833675564</v>
          </cell>
          <cell r="Y26">
            <v>0</v>
          </cell>
          <cell r="Z26">
            <v>0</v>
          </cell>
        </row>
        <row r="27">
          <cell r="E27">
            <v>37561</v>
          </cell>
          <cell r="F27">
            <v>566272887.46138716</v>
          </cell>
          <cell r="G27">
            <v>1</v>
          </cell>
          <cell r="H27">
            <v>1</v>
          </cell>
          <cell r="I27">
            <v>566272887.46138716</v>
          </cell>
          <cell r="J27">
            <v>566272887.46138716</v>
          </cell>
          <cell r="K27">
            <v>0.41920000000000002</v>
          </cell>
          <cell r="V27">
            <v>0</v>
          </cell>
          <cell r="W27">
            <v>0.84763737166324449</v>
          </cell>
          <cell r="X27">
            <v>0.14946262833675564</v>
          </cell>
          <cell r="Y27">
            <v>0</v>
          </cell>
          <cell r="Z27">
            <v>0</v>
          </cell>
        </row>
        <row r="28">
          <cell r="E28">
            <v>37591</v>
          </cell>
          <cell r="F28">
            <v>565669717.12699115</v>
          </cell>
          <cell r="G28">
            <v>1</v>
          </cell>
          <cell r="H28">
            <v>1</v>
          </cell>
          <cell r="I28">
            <v>565669717.12699115</v>
          </cell>
          <cell r="J28">
            <v>565669717.12699115</v>
          </cell>
          <cell r="K28">
            <v>0.41920000000000002</v>
          </cell>
          <cell r="V28">
            <v>0</v>
          </cell>
          <cell r="W28">
            <v>0.84763737166324449</v>
          </cell>
          <cell r="X28">
            <v>0.14946262833675564</v>
          </cell>
          <cell r="Y28">
            <v>0</v>
          </cell>
          <cell r="Z28">
            <v>0</v>
          </cell>
        </row>
        <row r="29">
          <cell r="E29">
            <v>37622</v>
          </cell>
          <cell r="F29">
            <v>537763467</v>
          </cell>
          <cell r="G29">
            <v>1</v>
          </cell>
          <cell r="H29">
            <v>1</v>
          </cell>
          <cell r="I29">
            <v>537763467</v>
          </cell>
          <cell r="J29">
            <v>537763467</v>
          </cell>
          <cell r="K29">
            <v>0.41920000000000002</v>
          </cell>
          <cell r="V29">
            <v>0</v>
          </cell>
          <cell r="W29">
            <v>0.84763737166324449</v>
          </cell>
          <cell r="X29">
            <v>0.14946262833675564</v>
          </cell>
          <cell r="Y29">
            <v>0</v>
          </cell>
          <cell r="Z29">
            <v>0</v>
          </cell>
        </row>
        <row r="30">
          <cell r="E30">
            <v>37653</v>
          </cell>
          <cell r="F30">
            <v>468957397</v>
          </cell>
          <cell r="G30">
            <v>1</v>
          </cell>
          <cell r="H30">
            <v>1</v>
          </cell>
          <cell r="I30">
            <v>468957397</v>
          </cell>
          <cell r="J30">
            <v>468957397</v>
          </cell>
          <cell r="K30">
            <v>0.40296971520317998</v>
          </cell>
        </row>
        <row r="31">
          <cell r="E31">
            <v>37681</v>
          </cell>
          <cell r="F31">
            <v>613736714</v>
          </cell>
          <cell r="G31">
            <v>1</v>
          </cell>
          <cell r="H31">
            <v>1</v>
          </cell>
          <cell r="I31">
            <v>613736714</v>
          </cell>
          <cell r="J31">
            <v>613736714</v>
          </cell>
          <cell r="K31">
            <v>0.40296971520317998</v>
          </cell>
        </row>
        <row r="32">
          <cell r="E32">
            <v>37712</v>
          </cell>
          <cell r="F32">
            <v>648716719</v>
          </cell>
          <cell r="G32">
            <v>1</v>
          </cell>
          <cell r="H32">
            <v>1</v>
          </cell>
          <cell r="I32">
            <v>648716719</v>
          </cell>
          <cell r="J32">
            <v>648716719</v>
          </cell>
          <cell r="K32">
            <v>0.40296971520317998</v>
          </cell>
        </row>
        <row r="33">
          <cell r="E33">
            <v>37742</v>
          </cell>
          <cell r="F33">
            <v>720864196</v>
          </cell>
          <cell r="G33">
            <v>1</v>
          </cell>
          <cell r="H33">
            <v>1</v>
          </cell>
          <cell r="I33">
            <v>720864196</v>
          </cell>
          <cell r="J33">
            <v>720864196</v>
          </cell>
          <cell r="K33">
            <v>0.40296971520317998</v>
          </cell>
        </row>
        <row r="34">
          <cell r="E34">
            <v>37773</v>
          </cell>
          <cell r="F34">
            <v>916757447</v>
          </cell>
          <cell r="G34">
            <v>1</v>
          </cell>
          <cell r="H34">
            <v>1</v>
          </cell>
          <cell r="I34">
            <v>916757447</v>
          </cell>
          <cell r="J34">
            <v>916757447</v>
          </cell>
          <cell r="K34">
            <v>0.40296971520317998</v>
          </cell>
        </row>
        <row r="35">
          <cell r="E35">
            <v>37803</v>
          </cell>
          <cell r="F35">
            <v>960891068</v>
          </cell>
          <cell r="G35">
            <v>1</v>
          </cell>
          <cell r="H35">
            <v>1</v>
          </cell>
          <cell r="I35">
            <v>960891068</v>
          </cell>
          <cell r="J35">
            <v>960891068</v>
          </cell>
          <cell r="K35">
            <v>0.40296971520317998</v>
          </cell>
        </row>
        <row r="36">
          <cell r="E36">
            <v>37834</v>
          </cell>
          <cell r="F36">
            <v>967524337</v>
          </cell>
          <cell r="G36">
            <v>1</v>
          </cell>
          <cell r="H36">
            <v>1</v>
          </cell>
          <cell r="I36">
            <v>967524337</v>
          </cell>
          <cell r="J36">
            <v>967524337</v>
          </cell>
          <cell r="K36">
            <v>0.40296971520317998</v>
          </cell>
        </row>
        <row r="37">
          <cell r="E37">
            <v>37865</v>
          </cell>
          <cell r="F37">
            <v>875080282</v>
          </cell>
          <cell r="G37">
            <v>1</v>
          </cell>
          <cell r="H37">
            <v>1</v>
          </cell>
          <cell r="I37">
            <v>875080282</v>
          </cell>
          <cell r="J37">
            <v>875080282</v>
          </cell>
          <cell r="K37">
            <v>0.40296971520317998</v>
          </cell>
        </row>
        <row r="38">
          <cell r="E38">
            <v>37895</v>
          </cell>
          <cell r="F38">
            <v>684519647</v>
          </cell>
          <cell r="G38">
            <v>1</v>
          </cell>
          <cell r="H38">
            <v>1</v>
          </cell>
          <cell r="I38">
            <v>684519647</v>
          </cell>
          <cell r="J38">
            <v>684519647</v>
          </cell>
          <cell r="K38">
            <v>0.40296971520317998</v>
          </cell>
        </row>
        <row r="39">
          <cell r="E39">
            <v>37926</v>
          </cell>
          <cell r="F39">
            <v>578862376</v>
          </cell>
          <cell r="G39">
            <v>1</v>
          </cell>
          <cell r="H39">
            <v>1</v>
          </cell>
          <cell r="I39">
            <v>578862376</v>
          </cell>
          <cell r="J39">
            <v>578862376</v>
          </cell>
          <cell r="K39">
            <v>0.40296971520317998</v>
          </cell>
        </row>
        <row r="40">
          <cell r="E40">
            <v>37956</v>
          </cell>
          <cell r="F40">
            <v>515912743</v>
          </cell>
          <cell r="G40">
            <v>1</v>
          </cell>
          <cell r="H40">
            <v>1</v>
          </cell>
          <cell r="I40">
            <v>515912743</v>
          </cell>
          <cell r="J40">
            <v>515912743</v>
          </cell>
          <cell r="K40">
            <v>0.40296971520317998</v>
          </cell>
        </row>
        <row r="41">
          <cell r="E41">
            <v>37987</v>
          </cell>
          <cell r="F41">
            <v>550770133</v>
          </cell>
          <cell r="G41">
            <v>1</v>
          </cell>
          <cell r="H41">
            <v>1</v>
          </cell>
          <cell r="I41">
            <v>550770133</v>
          </cell>
          <cell r="J41">
            <v>550770133</v>
          </cell>
          <cell r="K41">
            <v>0.40296971520317998</v>
          </cell>
        </row>
        <row r="42">
          <cell r="E42">
            <v>38018</v>
          </cell>
          <cell r="F42">
            <v>499573766</v>
          </cell>
          <cell r="G42">
            <v>1</v>
          </cell>
          <cell r="H42">
            <v>1</v>
          </cell>
          <cell r="I42">
            <v>499573766</v>
          </cell>
          <cell r="J42">
            <v>499573766</v>
          </cell>
          <cell r="K42">
            <v>0.38880688463823299</v>
          </cell>
        </row>
        <row r="43">
          <cell r="E43">
            <v>38047</v>
          </cell>
          <cell r="F43">
            <v>640829284</v>
          </cell>
          <cell r="G43">
            <v>1</v>
          </cell>
          <cell r="H43">
            <v>1</v>
          </cell>
          <cell r="I43">
            <v>640829284</v>
          </cell>
          <cell r="J43">
            <v>640829284</v>
          </cell>
          <cell r="K43">
            <v>0.38880688463823299</v>
          </cell>
        </row>
        <row r="44">
          <cell r="E44">
            <v>38078</v>
          </cell>
          <cell r="F44">
            <v>678533726</v>
          </cell>
          <cell r="G44">
            <v>1</v>
          </cell>
          <cell r="H44">
            <v>1</v>
          </cell>
          <cell r="I44">
            <v>678533726</v>
          </cell>
          <cell r="J44">
            <v>678533726</v>
          </cell>
          <cell r="K44">
            <v>0.38880688463823299</v>
          </cell>
        </row>
        <row r="45">
          <cell r="E45">
            <v>38108</v>
          </cell>
          <cell r="F45">
            <v>740467713</v>
          </cell>
          <cell r="G45">
            <v>1</v>
          </cell>
          <cell r="H45">
            <v>1</v>
          </cell>
          <cell r="I45">
            <v>740467713</v>
          </cell>
          <cell r="J45">
            <v>740467713</v>
          </cell>
          <cell r="K45">
            <v>0.38880688463823299</v>
          </cell>
        </row>
        <row r="46">
          <cell r="E46">
            <v>38139</v>
          </cell>
          <cell r="F46">
            <v>948484888</v>
          </cell>
          <cell r="G46">
            <v>1</v>
          </cell>
          <cell r="H46">
            <v>1</v>
          </cell>
          <cell r="I46">
            <v>948484888</v>
          </cell>
          <cell r="J46">
            <v>948484888</v>
          </cell>
          <cell r="K46">
            <v>0.38880688463823299</v>
          </cell>
        </row>
        <row r="47">
          <cell r="E47">
            <v>38169</v>
          </cell>
          <cell r="F47">
            <v>991588609</v>
          </cell>
          <cell r="G47">
            <v>1</v>
          </cell>
          <cell r="H47">
            <v>1</v>
          </cell>
          <cell r="I47">
            <v>991588609</v>
          </cell>
          <cell r="J47">
            <v>991588609</v>
          </cell>
          <cell r="K47">
            <v>0.38880688463823299</v>
          </cell>
        </row>
        <row r="48">
          <cell r="E48">
            <v>38200</v>
          </cell>
          <cell r="F48">
            <v>998343194</v>
          </cell>
          <cell r="G48">
            <v>1</v>
          </cell>
          <cell r="H48">
            <v>1</v>
          </cell>
          <cell r="I48">
            <v>998343194</v>
          </cell>
          <cell r="J48">
            <v>998343194</v>
          </cell>
          <cell r="K48">
            <v>0.38880688463823299</v>
          </cell>
        </row>
        <row r="49">
          <cell r="E49">
            <v>38231</v>
          </cell>
          <cell r="F49">
            <v>888091254</v>
          </cell>
          <cell r="G49">
            <v>1</v>
          </cell>
          <cell r="H49">
            <v>1</v>
          </cell>
          <cell r="I49">
            <v>888091254</v>
          </cell>
          <cell r="J49">
            <v>888091254</v>
          </cell>
          <cell r="K49">
            <v>0.38880688463823299</v>
          </cell>
        </row>
        <row r="50">
          <cell r="E50">
            <v>38261</v>
          </cell>
          <cell r="F50">
            <v>707818514</v>
          </cell>
          <cell r="G50">
            <v>1</v>
          </cell>
          <cell r="H50">
            <v>1</v>
          </cell>
          <cell r="I50">
            <v>707818514</v>
          </cell>
          <cell r="J50">
            <v>707818514</v>
          </cell>
          <cell r="K50">
            <v>0.38880688463823299</v>
          </cell>
        </row>
        <row r="51">
          <cell r="E51">
            <v>38292</v>
          </cell>
          <cell r="F51">
            <v>595252611</v>
          </cell>
          <cell r="G51">
            <v>1</v>
          </cell>
          <cell r="H51">
            <v>1</v>
          </cell>
          <cell r="I51">
            <v>595252611</v>
          </cell>
          <cell r="J51">
            <v>595252611</v>
          </cell>
          <cell r="K51">
            <v>0.38880688463823299</v>
          </cell>
        </row>
        <row r="52">
          <cell r="E52">
            <v>38322</v>
          </cell>
          <cell r="F52">
            <v>536030402</v>
          </cell>
          <cell r="G52">
            <v>1</v>
          </cell>
          <cell r="H52">
            <v>1</v>
          </cell>
          <cell r="I52">
            <v>536030402</v>
          </cell>
          <cell r="J52">
            <v>536030402</v>
          </cell>
          <cell r="K52">
            <v>0.38880688463823299</v>
          </cell>
        </row>
        <row r="53">
          <cell r="E53">
            <v>38353</v>
          </cell>
          <cell r="F53">
            <v>581359111</v>
          </cell>
          <cell r="G53">
            <v>1</v>
          </cell>
          <cell r="H53">
            <v>1</v>
          </cell>
          <cell r="I53">
            <v>581359111</v>
          </cell>
          <cell r="J53">
            <v>581359111</v>
          </cell>
          <cell r="K53">
            <v>0.38880688463823299</v>
          </cell>
        </row>
        <row r="54">
          <cell r="E54">
            <v>38384</v>
          </cell>
          <cell r="F54">
            <v>488120352</v>
          </cell>
          <cell r="G54">
            <v>1</v>
          </cell>
          <cell r="H54">
            <v>1</v>
          </cell>
          <cell r="I54">
            <v>488120352</v>
          </cell>
          <cell r="J54">
            <v>488120352</v>
          </cell>
          <cell r="K54">
            <v>0.3772841947530447</v>
          </cell>
        </row>
        <row r="55">
          <cell r="E55">
            <v>38412</v>
          </cell>
          <cell r="F55">
            <v>666007200</v>
          </cell>
          <cell r="G55">
            <v>1</v>
          </cell>
          <cell r="H55">
            <v>1</v>
          </cell>
          <cell r="I55">
            <v>666007200</v>
          </cell>
          <cell r="J55">
            <v>666007200</v>
          </cell>
          <cell r="K55">
            <v>0.3772841947530447</v>
          </cell>
        </row>
        <row r="56">
          <cell r="E56">
            <v>38443</v>
          </cell>
          <cell r="F56">
            <v>705230986</v>
          </cell>
          <cell r="G56">
            <v>1</v>
          </cell>
          <cell r="H56">
            <v>1</v>
          </cell>
          <cell r="I56">
            <v>705230986</v>
          </cell>
          <cell r="J56">
            <v>705230986</v>
          </cell>
          <cell r="K56">
            <v>0.3772841947530447</v>
          </cell>
        </row>
        <row r="57">
          <cell r="E57">
            <v>38473</v>
          </cell>
          <cell r="F57">
            <v>768660830</v>
          </cell>
          <cell r="G57">
            <v>1</v>
          </cell>
          <cell r="H57">
            <v>1</v>
          </cell>
          <cell r="I57">
            <v>768660830</v>
          </cell>
          <cell r="J57">
            <v>768660830</v>
          </cell>
          <cell r="K57">
            <v>0.3772841947530447</v>
          </cell>
        </row>
        <row r="58">
          <cell r="E58">
            <v>38504</v>
          </cell>
          <cell r="F58">
            <v>981554961</v>
          </cell>
          <cell r="G58">
            <v>1</v>
          </cell>
          <cell r="H58">
            <v>1</v>
          </cell>
          <cell r="I58">
            <v>981554961</v>
          </cell>
          <cell r="J58">
            <v>981554961</v>
          </cell>
          <cell r="K58">
            <v>0.3772841947530447</v>
          </cell>
        </row>
        <row r="59">
          <cell r="E59">
            <v>38534</v>
          </cell>
          <cell r="F59">
            <v>1030116900</v>
          </cell>
          <cell r="G59">
            <v>1</v>
          </cell>
          <cell r="H59">
            <v>1</v>
          </cell>
          <cell r="I59">
            <v>1030116900</v>
          </cell>
          <cell r="J59">
            <v>1030116900</v>
          </cell>
          <cell r="K59">
            <v>0.3772841947530447</v>
          </cell>
        </row>
        <row r="60">
          <cell r="E60">
            <v>38565</v>
          </cell>
          <cell r="F60">
            <v>1031554728</v>
          </cell>
          <cell r="G60">
            <v>1</v>
          </cell>
          <cell r="H60">
            <v>1</v>
          </cell>
          <cell r="I60">
            <v>1031554728</v>
          </cell>
          <cell r="J60">
            <v>1031554728</v>
          </cell>
          <cell r="K60">
            <v>0.3772841947530447</v>
          </cell>
        </row>
        <row r="61">
          <cell r="E61">
            <v>38596</v>
          </cell>
          <cell r="F61">
            <v>916627012</v>
          </cell>
          <cell r="G61">
            <v>1</v>
          </cell>
          <cell r="H61">
            <v>1</v>
          </cell>
          <cell r="I61">
            <v>916627012</v>
          </cell>
          <cell r="J61">
            <v>916627012</v>
          </cell>
          <cell r="K61">
            <v>0.3772841947530447</v>
          </cell>
        </row>
        <row r="62">
          <cell r="E62">
            <v>38626</v>
          </cell>
          <cell r="F62">
            <v>730973968</v>
          </cell>
          <cell r="G62">
            <v>1</v>
          </cell>
          <cell r="H62">
            <v>1</v>
          </cell>
          <cell r="I62">
            <v>730973968</v>
          </cell>
          <cell r="J62">
            <v>730973968</v>
          </cell>
          <cell r="K62">
            <v>0.3772841947530447</v>
          </cell>
        </row>
        <row r="63">
          <cell r="E63">
            <v>38657</v>
          </cell>
          <cell r="F63">
            <v>613021095</v>
          </cell>
          <cell r="G63">
            <v>1</v>
          </cell>
          <cell r="H63">
            <v>1</v>
          </cell>
          <cell r="I63">
            <v>613021095</v>
          </cell>
          <cell r="J63">
            <v>613021095</v>
          </cell>
          <cell r="K63">
            <v>0.3772841947530447</v>
          </cell>
        </row>
        <row r="64">
          <cell r="E64">
            <v>38687</v>
          </cell>
          <cell r="F64">
            <v>548754652</v>
          </cell>
          <cell r="G64">
            <v>1</v>
          </cell>
          <cell r="H64">
            <v>1</v>
          </cell>
          <cell r="I64">
            <v>548754652</v>
          </cell>
          <cell r="J64">
            <v>548754652</v>
          </cell>
          <cell r="K64">
            <v>0.3772841947530447</v>
          </cell>
        </row>
        <row r="65">
          <cell r="E65">
            <v>38718</v>
          </cell>
          <cell r="F65">
            <v>588782812</v>
          </cell>
          <cell r="G65">
            <v>1</v>
          </cell>
          <cell r="H65">
            <v>1</v>
          </cell>
          <cell r="I65">
            <v>588782812</v>
          </cell>
          <cell r="J65">
            <v>588782812</v>
          </cell>
          <cell r="K65">
            <v>0.3772841947530447</v>
          </cell>
        </row>
        <row r="66">
          <cell r="E66">
            <v>38749</v>
          </cell>
          <cell r="F66">
            <v>515438157</v>
          </cell>
          <cell r="G66">
            <v>1</v>
          </cell>
          <cell r="H66">
            <v>1</v>
          </cell>
          <cell r="I66">
            <v>515438157</v>
          </cell>
          <cell r="J66">
            <v>515438157</v>
          </cell>
          <cell r="K66">
            <v>0.36478458572049954</v>
          </cell>
        </row>
        <row r="67">
          <cell r="E67">
            <v>38777</v>
          </cell>
          <cell r="F67">
            <v>672009728</v>
          </cell>
          <cell r="G67">
            <v>1</v>
          </cell>
          <cell r="H67">
            <v>1</v>
          </cell>
          <cell r="I67">
            <v>672009728</v>
          </cell>
          <cell r="J67">
            <v>672009728</v>
          </cell>
          <cell r="K67">
            <v>0.36478458572049954</v>
          </cell>
        </row>
        <row r="68">
          <cell r="E68">
            <v>38808</v>
          </cell>
          <cell r="F68">
            <v>705100227</v>
          </cell>
          <cell r="G68">
            <v>1</v>
          </cell>
          <cell r="H68">
            <v>1</v>
          </cell>
          <cell r="I68">
            <v>705100227</v>
          </cell>
          <cell r="J68">
            <v>705100227</v>
          </cell>
          <cell r="K68">
            <v>0.36478458572049954</v>
          </cell>
        </row>
        <row r="69">
          <cell r="E69">
            <v>38838</v>
          </cell>
          <cell r="F69">
            <v>803829099</v>
          </cell>
          <cell r="G69">
            <v>1</v>
          </cell>
          <cell r="H69">
            <v>1</v>
          </cell>
          <cell r="I69">
            <v>803829099</v>
          </cell>
          <cell r="J69">
            <v>803829099</v>
          </cell>
          <cell r="K69">
            <v>0.36478458572049954</v>
          </cell>
        </row>
        <row r="70">
          <cell r="E70">
            <v>38869</v>
          </cell>
          <cell r="F70">
            <v>994614996</v>
          </cell>
          <cell r="G70">
            <v>1</v>
          </cell>
          <cell r="H70">
            <v>1</v>
          </cell>
          <cell r="I70">
            <v>994614996</v>
          </cell>
          <cell r="J70">
            <v>994614996</v>
          </cell>
          <cell r="K70">
            <v>0.36478458572049954</v>
          </cell>
        </row>
        <row r="71">
          <cell r="E71">
            <v>38899</v>
          </cell>
          <cell r="F71">
            <v>1062026319</v>
          </cell>
          <cell r="G71">
            <v>1</v>
          </cell>
          <cell r="H71">
            <v>1</v>
          </cell>
          <cell r="I71">
            <v>1062026319</v>
          </cell>
          <cell r="J71">
            <v>1062026319</v>
          </cell>
          <cell r="K71">
            <v>0.36478458572049954</v>
          </cell>
        </row>
        <row r="72">
          <cell r="E72">
            <v>38930</v>
          </cell>
          <cell r="F72">
            <v>1067585675</v>
          </cell>
          <cell r="G72">
            <v>1</v>
          </cell>
          <cell r="H72">
            <v>1</v>
          </cell>
          <cell r="I72">
            <v>1067585675</v>
          </cell>
          <cell r="J72">
            <v>1067585675</v>
          </cell>
          <cell r="K72">
            <v>0.36478458572049954</v>
          </cell>
        </row>
        <row r="73">
          <cell r="E73">
            <v>38961</v>
          </cell>
          <cell r="F73">
            <v>984610849</v>
          </cell>
          <cell r="G73">
            <v>1</v>
          </cell>
          <cell r="H73">
            <v>1</v>
          </cell>
          <cell r="I73">
            <v>984610849</v>
          </cell>
          <cell r="J73">
            <v>984610849</v>
          </cell>
          <cell r="K73">
            <v>0.36478458572049954</v>
          </cell>
        </row>
        <row r="74">
          <cell r="E74">
            <v>38991</v>
          </cell>
          <cell r="F74">
            <v>760551351</v>
          </cell>
          <cell r="G74">
            <v>1</v>
          </cell>
          <cell r="H74">
            <v>1</v>
          </cell>
          <cell r="I74">
            <v>760551351</v>
          </cell>
          <cell r="J74">
            <v>760551351</v>
          </cell>
          <cell r="K74">
            <v>0.36478458572049954</v>
          </cell>
        </row>
        <row r="75">
          <cell r="E75">
            <v>39022</v>
          </cell>
          <cell r="F75">
            <v>640774304</v>
          </cell>
          <cell r="G75">
            <v>1</v>
          </cell>
          <cell r="H75">
            <v>1</v>
          </cell>
          <cell r="I75">
            <v>640774304</v>
          </cell>
          <cell r="J75">
            <v>640774304</v>
          </cell>
          <cell r="K75">
            <v>0.36478458572049954</v>
          </cell>
        </row>
        <row r="76">
          <cell r="E76">
            <v>39052</v>
          </cell>
          <cell r="F76">
            <v>552855979</v>
          </cell>
          <cell r="G76">
            <v>1</v>
          </cell>
          <cell r="H76">
            <v>1</v>
          </cell>
          <cell r="I76">
            <v>552855979</v>
          </cell>
          <cell r="J76">
            <v>552855979</v>
          </cell>
          <cell r="K76">
            <v>0.36478458572049954</v>
          </cell>
        </row>
        <row r="77">
          <cell r="E77">
            <v>39083</v>
          </cell>
          <cell r="F77">
            <v>614673259</v>
          </cell>
          <cell r="G77">
            <v>1</v>
          </cell>
          <cell r="H77">
            <v>1</v>
          </cell>
          <cell r="I77">
            <v>614673259</v>
          </cell>
          <cell r="J77">
            <v>614673259</v>
          </cell>
          <cell r="K77">
            <v>0.36478458572049954</v>
          </cell>
        </row>
        <row r="78">
          <cell r="E78">
            <v>39114</v>
          </cell>
          <cell r="F78">
            <v>530387809</v>
          </cell>
          <cell r="G78">
            <v>1</v>
          </cell>
          <cell r="H78">
            <v>1</v>
          </cell>
          <cell r="I78">
            <v>530387809</v>
          </cell>
          <cell r="J78">
            <v>530387809</v>
          </cell>
          <cell r="K78">
            <v>0.32213366415863764</v>
          </cell>
        </row>
        <row r="79">
          <cell r="E79">
            <v>39142</v>
          </cell>
          <cell r="F79">
            <v>693745051</v>
          </cell>
          <cell r="G79">
            <v>1</v>
          </cell>
          <cell r="H79">
            <v>1</v>
          </cell>
          <cell r="I79">
            <v>693745051</v>
          </cell>
          <cell r="J79">
            <v>693745051</v>
          </cell>
          <cell r="K79">
            <v>0.32213366415863764</v>
          </cell>
        </row>
        <row r="80">
          <cell r="E80">
            <v>39173</v>
          </cell>
          <cell r="F80">
            <v>729558887</v>
          </cell>
          <cell r="G80">
            <v>1</v>
          </cell>
          <cell r="H80">
            <v>1</v>
          </cell>
          <cell r="I80">
            <v>729558887</v>
          </cell>
          <cell r="J80">
            <v>729558887</v>
          </cell>
          <cell r="K80">
            <v>0.32213366415863764</v>
          </cell>
        </row>
        <row r="81">
          <cell r="E81">
            <v>39203</v>
          </cell>
          <cell r="F81">
            <v>824159256</v>
          </cell>
          <cell r="G81">
            <v>1</v>
          </cell>
          <cell r="H81">
            <v>1</v>
          </cell>
          <cell r="I81">
            <v>824159256</v>
          </cell>
          <cell r="J81">
            <v>824159256</v>
          </cell>
          <cell r="K81">
            <v>0.32213366415863764</v>
          </cell>
        </row>
        <row r="82">
          <cell r="E82">
            <v>39234</v>
          </cell>
          <cell r="F82">
            <v>1028591948</v>
          </cell>
          <cell r="G82">
            <v>1</v>
          </cell>
          <cell r="H82">
            <v>1</v>
          </cell>
          <cell r="I82">
            <v>1028591948</v>
          </cell>
          <cell r="J82">
            <v>1028591948</v>
          </cell>
          <cell r="K82">
            <v>0.32213366415863764</v>
          </cell>
        </row>
        <row r="83">
          <cell r="E83">
            <v>39264</v>
          </cell>
          <cell r="F83">
            <v>1093357504</v>
          </cell>
          <cell r="G83">
            <v>1</v>
          </cell>
          <cell r="H83">
            <v>1</v>
          </cell>
          <cell r="I83">
            <v>1093357504</v>
          </cell>
          <cell r="J83">
            <v>1093357504</v>
          </cell>
          <cell r="K83">
            <v>0.32213366415863764</v>
          </cell>
        </row>
        <row r="84">
          <cell r="E84">
            <v>39295</v>
          </cell>
          <cell r="F84">
            <v>1099005645</v>
          </cell>
          <cell r="G84">
            <v>1</v>
          </cell>
          <cell r="H84">
            <v>1</v>
          </cell>
          <cell r="I84">
            <v>1099005645</v>
          </cell>
          <cell r="J84">
            <v>1099005645</v>
          </cell>
          <cell r="K84">
            <v>0.32213366415863764</v>
          </cell>
        </row>
        <row r="85">
          <cell r="E85">
            <v>39326</v>
          </cell>
          <cell r="F85">
            <v>1009792781</v>
          </cell>
          <cell r="G85">
            <v>1</v>
          </cell>
          <cell r="H85">
            <v>1</v>
          </cell>
          <cell r="I85">
            <v>1009792781</v>
          </cell>
          <cell r="J85">
            <v>1009792781</v>
          </cell>
          <cell r="K85">
            <v>0.32213366415863764</v>
          </cell>
        </row>
        <row r="86">
          <cell r="E86">
            <v>39356</v>
          </cell>
          <cell r="F86">
            <v>778089396</v>
          </cell>
          <cell r="G86">
            <v>1</v>
          </cell>
          <cell r="H86">
            <v>1</v>
          </cell>
          <cell r="I86">
            <v>778089396</v>
          </cell>
          <cell r="J86">
            <v>778089396</v>
          </cell>
          <cell r="K86">
            <v>0.32213366415863764</v>
          </cell>
        </row>
        <row r="87">
          <cell r="E87">
            <v>39387</v>
          </cell>
          <cell r="F87">
            <v>662955465</v>
          </cell>
          <cell r="G87">
            <v>1</v>
          </cell>
          <cell r="H87">
            <v>1</v>
          </cell>
          <cell r="I87">
            <v>662955465</v>
          </cell>
          <cell r="J87">
            <v>662955465</v>
          </cell>
          <cell r="K87">
            <v>0.32213366415863764</v>
          </cell>
        </row>
        <row r="88">
          <cell r="E88">
            <v>39417</v>
          </cell>
          <cell r="F88">
            <v>570060195</v>
          </cell>
          <cell r="G88">
            <v>1</v>
          </cell>
          <cell r="H88">
            <v>1</v>
          </cell>
          <cell r="I88">
            <v>570060195</v>
          </cell>
          <cell r="J88">
            <v>570060195</v>
          </cell>
          <cell r="K88">
            <v>0.32213366415863764</v>
          </cell>
        </row>
        <row r="89">
          <cell r="E89">
            <v>39448</v>
          </cell>
          <cell r="F89">
            <v>628662628</v>
          </cell>
          <cell r="G89">
            <v>1</v>
          </cell>
          <cell r="H89">
            <v>1</v>
          </cell>
          <cell r="I89">
            <v>628662628</v>
          </cell>
          <cell r="J89">
            <v>628662628</v>
          </cell>
          <cell r="K89">
            <v>0.32213366415863764</v>
          </cell>
        </row>
        <row r="90">
          <cell r="E90">
            <v>39479</v>
          </cell>
          <cell r="F90">
            <v>565924248</v>
          </cell>
          <cell r="G90">
            <v>1</v>
          </cell>
          <cell r="H90">
            <v>1</v>
          </cell>
          <cell r="I90">
            <v>565924248</v>
          </cell>
          <cell r="J90">
            <v>565924248</v>
          </cell>
          <cell r="K90">
            <v>0.31872493069968777</v>
          </cell>
        </row>
        <row r="91">
          <cell r="E91">
            <v>39508</v>
          </cell>
          <cell r="F91">
            <v>715649701</v>
          </cell>
          <cell r="G91">
            <v>1</v>
          </cell>
          <cell r="H91">
            <v>1</v>
          </cell>
          <cell r="I91">
            <v>715649701</v>
          </cell>
          <cell r="J91">
            <v>715649701</v>
          </cell>
          <cell r="K91">
            <v>0.31872493069968777</v>
          </cell>
        </row>
        <row r="92">
          <cell r="E92">
            <v>39539</v>
          </cell>
          <cell r="F92">
            <v>756400913</v>
          </cell>
          <cell r="G92">
            <v>1</v>
          </cell>
          <cell r="H92">
            <v>1</v>
          </cell>
          <cell r="I92">
            <v>756400913</v>
          </cell>
          <cell r="J92">
            <v>756400913</v>
          </cell>
          <cell r="K92">
            <v>0.31872493069968777</v>
          </cell>
        </row>
        <row r="93">
          <cell r="E93">
            <v>39569</v>
          </cell>
          <cell r="F93">
            <v>840583911</v>
          </cell>
          <cell r="G93">
            <v>1</v>
          </cell>
          <cell r="H93">
            <v>1</v>
          </cell>
          <cell r="I93">
            <v>840583911</v>
          </cell>
          <cell r="J93">
            <v>840583911</v>
          </cell>
          <cell r="K93">
            <v>0.31872493069968777</v>
          </cell>
        </row>
        <row r="94">
          <cell r="E94">
            <v>39600</v>
          </cell>
          <cell r="F94">
            <v>1069163440</v>
          </cell>
          <cell r="G94">
            <v>1</v>
          </cell>
          <cell r="H94">
            <v>1</v>
          </cell>
          <cell r="I94">
            <v>1069163440</v>
          </cell>
          <cell r="J94">
            <v>1069163440</v>
          </cell>
          <cell r="K94">
            <v>0.31872493069968777</v>
          </cell>
        </row>
        <row r="95">
          <cell r="E95">
            <v>39630</v>
          </cell>
          <cell r="F95">
            <v>1120574219</v>
          </cell>
          <cell r="G95">
            <v>1</v>
          </cell>
          <cell r="H95">
            <v>1</v>
          </cell>
          <cell r="I95">
            <v>1120574219</v>
          </cell>
          <cell r="J95">
            <v>1120574219</v>
          </cell>
          <cell r="K95">
            <v>0.31872493069968777</v>
          </cell>
        </row>
        <row r="96">
          <cell r="E96">
            <v>39661</v>
          </cell>
          <cell r="F96">
            <v>1128354364</v>
          </cell>
          <cell r="G96">
            <v>1</v>
          </cell>
          <cell r="H96">
            <v>1</v>
          </cell>
          <cell r="I96">
            <v>1128354364</v>
          </cell>
          <cell r="J96">
            <v>1128354364</v>
          </cell>
          <cell r="K96">
            <v>0.31872493069968777</v>
          </cell>
        </row>
        <row r="97">
          <cell r="E97">
            <v>39692</v>
          </cell>
          <cell r="F97">
            <v>1020575120</v>
          </cell>
          <cell r="G97">
            <v>1</v>
          </cell>
          <cell r="H97">
            <v>1</v>
          </cell>
          <cell r="I97">
            <v>1020575120</v>
          </cell>
          <cell r="J97">
            <v>1020575120</v>
          </cell>
          <cell r="K97">
            <v>0.31872493069968777</v>
          </cell>
        </row>
        <row r="98">
          <cell r="E98">
            <v>39722</v>
          </cell>
          <cell r="F98">
            <v>798195241</v>
          </cell>
          <cell r="G98">
            <v>1</v>
          </cell>
          <cell r="H98">
            <v>1</v>
          </cell>
          <cell r="I98">
            <v>798195241</v>
          </cell>
          <cell r="J98">
            <v>798195241</v>
          </cell>
          <cell r="K98">
            <v>0.31872493069968777</v>
          </cell>
        </row>
        <row r="99">
          <cell r="E99">
            <v>39753</v>
          </cell>
          <cell r="F99">
            <v>675063484</v>
          </cell>
          <cell r="G99">
            <v>1</v>
          </cell>
          <cell r="H99">
            <v>1</v>
          </cell>
          <cell r="I99">
            <v>675063484</v>
          </cell>
          <cell r="J99">
            <v>675063484</v>
          </cell>
          <cell r="K99">
            <v>0.31872493069968777</v>
          </cell>
        </row>
        <row r="100">
          <cell r="E100">
            <v>39783</v>
          </cell>
          <cell r="F100">
            <v>601427631</v>
          </cell>
          <cell r="G100">
            <v>1</v>
          </cell>
          <cell r="H100">
            <v>1</v>
          </cell>
          <cell r="I100">
            <v>601427631</v>
          </cell>
          <cell r="J100">
            <v>601427631</v>
          </cell>
          <cell r="K100">
            <v>0.31872493069968777</v>
          </cell>
        </row>
        <row r="101">
          <cell r="E101">
            <v>39814</v>
          </cell>
          <cell r="F101">
            <v>641976697</v>
          </cell>
          <cell r="G101">
            <v>1</v>
          </cell>
          <cell r="H101">
            <v>1</v>
          </cell>
          <cell r="I101">
            <v>641976697</v>
          </cell>
          <cell r="J101">
            <v>641976697</v>
          </cell>
          <cell r="K101">
            <v>0.31872493069968777</v>
          </cell>
        </row>
        <row r="102">
          <cell r="E102">
            <v>39845</v>
          </cell>
          <cell r="F102">
            <v>563522100</v>
          </cell>
          <cell r="G102">
            <v>1</v>
          </cell>
          <cell r="H102">
            <v>1</v>
          </cell>
          <cell r="I102">
            <v>563522100</v>
          </cell>
          <cell r="J102">
            <v>563522100</v>
          </cell>
          <cell r="K102">
            <v>0.30813666761157121</v>
          </cell>
        </row>
        <row r="103">
          <cell r="E103">
            <v>39873</v>
          </cell>
          <cell r="F103">
            <v>743461465</v>
          </cell>
          <cell r="G103">
            <v>1</v>
          </cell>
          <cell r="H103">
            <v>1</v>
          </cell>
          <cell r="I103">
            <v>743461465</v>
          </cell>
          <cell r="J103">
            <v>743461465</v>
          </cell>
          <cell r="K103">
            <v>0.30813666761157121</v>
          </cell>
        </row>
        <row r="104">
          <cell r="E104">
            <v>39904</v>
          </cell>
          <cell r="F104">
            <v>784561725</v>
          </cell>
          <cell r="G104">
            <v>1</v>
          </cell>
          <cell r="H104">
            <v>1</v>
          </cell>
          <cell r="I104">
            <v>784561725</v>
          </cell>
          <cell r="J104">
            <v>784561725</v>
          </cell>
          <cell r="K104">
            <v>0.30813666761157121</v>
          </cell>
        </row>
        <row r="105">
          <cell r="E105">
            <v>39934</v>
          </cell>
          <cell r="F105">
            <v>865522443</v>
          </cell>
          <cell r="G105">
            <v>1</v>
          </cell>
          <cell r="H105">
            <v>1</v>
          </cell>
          <cell r="I105">
            <v>865522443</v>
          </cell>
          <cell r="J105">
            <v>865522443</v>
          </cell>
          <cell r="K105">
            <v>0.30813666761157121</v>
          </cell>
        </row>
        <row r="106">
          <cell r="E106">
            <v>39965</v>
          </cell>
          <cell r="F106">
            <v>1104693070</v>
          </cell>
          <cell r="G106">
            <v>1</v>
          </cell>
          <cell r="H106">
            <v>1</v>
          </cell>
          <cell r="I106">
            <v>1104693070</v>
          </cell>
          <cell r="J106">
            <v>1104693070</v>
          </cell>
          <cell r="K106">
            <v>0.30813666761157121</v>
          </cell>
        </row>
        <row r="107">
          <cell r="E107">
            <v>39995</v>
          </cell>
          <cell r="F107">
            <v>1156065931</v>
          </cell>
          <cell r="G107">
            <v>1</v>
          </cell>
          <cell r="H107">
            <v>1</v>
          </cell>
          <cell r="I107">
            <v>1156065931</v>
          </cell>
          <cell r="J107">
            <v>1156065931</v>
          </cell>
          <cell r="K107">
            <v>0.30813666761157121</v>
          </cell>
        </row>
        <row r="108">
          <cell r="E108">
            <v>40026</v>
          </cell>
          <cell r="F108">
            <v>1163066232</v>
          </cell>
          <cell r="G108">
            <v>1</v>
          </cell>
          <cell r="H108">
            <v>1</v>
          </cell>
          <cell r="I108">
            <v>1163066232</v>
          </cell>
          <cell r="J108">
            <v>1163066232</v>
          </cell>
          <cell r="K108">
            <v>0.30813666761157121</v>
          </cell>
        </row>
        <row r="109">
          <cell r="E109">
            <v>40057</v>
          </cell>
          <cell r="F109">
            <v>1042780671</v>
          </cell>
          <cell r="G109">
            <v>1</v>
          </cell>
          <cell r="H109">
            <v>1</v>
          </cell>
          <cell r="I109">
            <v>1042780671</v>
          </cell>
          <cell r="J109">
            <v>1042780671</v>
          </cell>
          <cell r="K109">
            <v>0.30813666761157121</v>
          </cell>
        </row>
        <row r="110">
          <cell r="E110">
            <v>40087</v>
          </cell>
          <cell r="F110">
            <v>824607730</v>
          </cell>
          <cell r="G110">
            <v>1</v>
          </cell>
          <cell r="H110">
            <v>1</v>
          </cell>
          <cell r="I110">
            <v>824607730</v>
          </cell>
          <cell r="J110">
            <v>824607730</v>
          </cell>
          <cell r="K110">
            <v>0.30813666761157121</v>
          </cell>
        </row>
        <row r="111">
          <cell r="E111">
            <v>40118</v>
          </cell>
          <cell r="F111">
            <v>693831085</v>
          </cell>
          <cell r="G111">
            <v>1</v>
          </cell>
          <cell r="H111">
            <v>1</v>
          </cell>
          <cell r="I111">
            <v>693831085</v>
          </cell>
          <cell r="J111">
            <v>693831085</v>
          </cell>
          <cell r="K111">
            <v>0.30813666761157121</v>
          </cell>
        </row>
        <row r="112">
          <cell r="E112">
            <v>40148</v>
          </cell>
          <cell r="F112">
            <v>622683449</v>
          </cell>
          <cell r="G112">
            <v>1</v>
          </cell>
          <cell r="H112">
            <v>1</v>
          </cell>
          <cell r="I112">
            <v>622683449</v>
          </cell>
          <cell r="J112">
            <v>622683449</v>
          </cell>
          <cell r="K112">
            <v>0.30813666761157121</v>
          </cell>
        </row>
        <row r="113">
          <cell r="E113">
            <v>40179</v>
          </cell>
          <cell r="F113">
            <v>668660109</v>
          </cell>
          <cell r="G113">
            <v>1</v>
          </cell>
          <cell r="H113">
            <v>1</v>
          </cell>
          <cell r="I113">
            <v>668660109</v>
          </cell>
          <cell r="J113">
            <v>668660109</v>
          </cell>
          <cell r="K113">
            <v>0.30813666761157121</v>
          </cell>
        </row>
        <row r="114">
          <cell r="E114">
            <v>40210</v>
          </cell>
          <cell r="F114">
            <v>568652095</v>
          </cell>
          <cell r="G114">
            <v>1</v>
          </cell>
          <cell r="H114">
            <v>1</v>
          </cell>
          <cell r="I114">
            <v>568652095</v>
          </cell>
          <cell r="J114">
            <v>568652095</v>
          </cell>
          <cell r="K114">
            <v>0.29982318771859851</v>
          </cell>
        </row>
        <row r="115">
          <cell r="E115">
            <v>40238</v>
          </cell>
          <cell r="F115">
            <v>767637868</v>
          </cell>
          <cell r="G115">
            <v>1</v>
          </cell>
          <cell r="H115">
            <v>1</v>
          </cell>
          <cell r="I115">
            <v>767637868</v>
          </cell>
          <cell r="J115">
            <v>767637868</v>
          </cell>
          <cell r="K115">
            <v>0.29982318771859851</v>
          </cell>
        </row>
        <row r="116">
          <cell r="E116">
            <v>40269</v>
          </cell>
          <cell r="F116">
            <v>812821703</v>
          </cell>
          <cell r="G116">
            <v>1</v>
          </cell>
          <cell r="H116">
            <v>1</v>
          </cell>
          <cell r="I116">
            <v>812821703</v>
          </cell>
          <cell r="J116">
            <v>812821703</v>
          </cell>
          <cell r="K116">
            <v>0.29982318771859851</v>
          </cell>
        </row>
        <row r="117">
          <cell r="E117">
            <v>40299</v>
          </cell>
          <cell r="F117">
            <v>887109274</v>
          </cell>
          <cell r="G117">
            <v>1</v>
          </cell>
          <cell r="H117">
            <v>1</v>
          </cell>
          <cell r="I117">
            <v>887109274</v>
          </cell>
          <cell r="J117">
            <v>887109274</v>
          </cell>
          <cell r="K117">
            <v>0.29982318771859851</v>
          </cell>
        </row>
        <row r="118">
          <cell r="E118">
            <v>40330</v>
          </cell>
          <cell r="F118">
            <v>1136495959</v>
          </cell>
          <cell r="G118">
            <v>1</v>
          </cell>
          <cell r="H118">
            <v>1</v>
          </cell>
          <cell r="I118">
            <v>1136495959</v>
          </cell>
          <cell r="J118">
            <v>1136495959</v>
          </cell>
          <cell r="K118">
            <v>0.29982318771859851</v>
          </cell>
        </row>
        <row r="119">
          <cell r="E119">
            <v>40360</v>
          </cell>
          <cell r="F119">
            <v>1188137696</v>
          </cell>
          <cell r="G119">
            <v>1</v>
          </cell>
          <cell r="H119">
            <v>1</v>
          </cell>
          <cell r="I119">
            <v>1188137696</v>
          </cell>
          <cell r="J119">
            <v>1188137696</v>
          </cell>
          <cell r="K119">
            <v>0.29982318771859851</v>
          </cell>
        </row>
        <row r="120">
          <cell r="E120">
            <v>40391</v>
          </cell>
          <cell r="F120">
            <v>1196234577</v>
          </cell>
          <cell r="G120">
            <v>1</v>
          </cell>
          <cell r="H120">
            <v>1</v>
          </cell>
          <cell r="I120">
            <v>1196234577</v>
          </cell>
          <cell r="J120">
            <v>1196234577</v>
          </cell>
          <cell r="K120">
            <v>0.29982318771859851</v>
          </cell>
        </row>
        <row r="121">
          <cell r="E121">
            <v>40422</v>
          </cell>
          <cell r="F121">
            <v>1064162112</v>
          </cell>
          <cell r="G121">
            <v>1</v>
          </cell>
          <cell r="H121">
            <v>1</v>
          </cell>
          <cell r="I121">
            <v>1064162112</v>
          </cell>
          <cell r="J121">
            <v>1064162112</v>
          </cell>
          <cell r="K121">
            <v>0.29982318771859851</v>
          </cell>
        </row>
        <row r="122">
          <cell r="E122">
            <v>40452</v>
          </cell>
          <cell r="F122">
            <v>847999727</v>
          </cell>
          <cell r="G122">
            <v>1</v>
          </cell>
          <cell r="H122">
            <v>1</v>
          </cell>
          <cell r="I122">
            <v>847999727</v>
          </cell>
          <cell r="J122">
            <v>847999727</v>
          </cell>
          <cell r="K122">
            <v>0.29982318771859851</v>
          </cell>
        </row>
        <row r="123">
          <cell r="E123">
            <v>40483</v>
          </cell>
          <cell r="F123">
            <v>713110796</v>
          </cell>
          <cell r="G123">
            <v>1</v>
          </cell>
          <cell r="H123">
            <v>1</v>
          </cell>
          <cell r="I123">
            <v>713110796</v>
          </cell>
          <cell r="J123">
            <v>713110796</v>
          </cell>
          <cell r="K123">
            <v>0.29982318771859851</v>
          </cell>
        </row>
        <row r="124">
          <cell r="E124">
            <v>40513</v>
          </cell>
          <cell r="F124">
            <v>641948384</v>
          </cell>
          <cell r="G124">
            <v>1</v>
          </cell>
          <cell r="H124">
            <v>1</v>
          </cell>
          <cell r="I124">
            <v>641948384</v>
          </cell>
          <cell r="J124">
            <v>641948384</v>
          </cell>
          <cell r="K124">
            <v>0.29982318771859851</v>
          </cell>
        </row>
        <row r="125">
          <cell r="E125">
            <v>40544</v>
          </cell>
          <cell r="F125">
            <v>691362755</v>
          </cell>
          <cell r="G125">
            <v>1</v>
          </cell>
          <cell r="H125">
            <v>1</v>
          </cell>
          <cell r="I125">
            <v>691362755</v>
          </cell>
          <cell r="J125">
            <v>691362755</v>
          </cell>
          <cell r="K125">
            <v>0.29982318771859851</v>
          </cell>
        </row>
        <row r="126">
          <cell r="E126">
            <v>40575</v>
          </cell>
          <cell r="F126">
            <v>580499597</v>
          </cell>
          <cell r="G126">
            <v>1</v>
          </cell>
          <cell r="H126">
            <v>1</v>
          </cell>
          <cell r="I126">
            <v>580499597</v>
          </cell>
          <cell r="J126">
            <v>580499597</v>
          </cell>
          <cell r="K126">
            <v>0.29136276364233116</v>
          </cell>
        </row>
        <row r="127">
          <cell r="E127">
            <v>40603</v>
          </cell>
          <cell r="F127">
            <v>792136902</v>
          </cell>
          <cell r="G127">
            <v>1</v>
          </cell>
          <cell r="H127">
            <v>1</v>
          </cell>
          <cell r="I127">
            <v>792136902</v>
          </cell>
          <cell r="J127">
            <v>792136902</v>
          </cell>
          <cell r="K127">
            <v>0.29136276364233116</v>
          </cell>
        </row>
        <row r="128">
          <cell r="E128">
            <v>40634</v>
          </cell>
          <cell r="F128">
            <v>838814638</v>
          </cell>
          <cell r="G128">
            <v>1</v>
          </cell>
          <cell r="H128">
            <v>1</v>
          </cell>
          <cell r="I128">
            <v>838814638</v>
          </cell>
          <cell r="J128">
            <v>838814638</v>
          </cell>
          <cell r="K128">
            <v>0.29136276364233116</v>
          </cell>
        </row>
        <row r="129">
          <cell r="E129">
            <v>40664</v>
          </cell>
          <cell r="F129">
            <v>914305666</v>
          </cell>
          <cell r="G129">
            <v>1</v>
          </cell>
          <cell r="H129">
            <v>1</v>
          </cell>
          <cell r="I129">
            <v>914305666</v>
          </cell>
          <cell r="J129">
            <v>914305666</v>
          </cell>
          <cell r="K129">
            <v>0.29136276364233116</v>
          </cell>
        </row>
        <row r="130">
          <cell r="E130">
            <v>40695</v>
          </cell>
          <cell r="F130">
            <v>1167697598</v>
          </cell>
          <cell r="G130">
            <v>1</v>
          </cell>
          <cell r="H130">
            <v>1</v>
          </cell>
          <cell r="I130">
            <v>1167697598</v>
          </cell>
          <cell r="J130">
            <v>1167697598</v>
          </cell>
          <cell r="K130">
            <v>0.29136276364233116</v>
          </cell>
        </row>
        <row r="131">
          <cell r="E131">
            <v>40725</v>
          </cell>
          <cell r="F131">
            <v>1225491881</v>
          </cell>
          <cell r="G131">
            <v>1</v>
          </cell>
          <cell r="H131">
            <v>1</v>
          </cell>
          <cell r="I131">
            <v>1225491881</v>
          </cell>
          <cell r="J131">
            <v>1225491881</v>
          </cell>
          <cell r="K131">
            <v>0.29136276364233116</v>
          </cell>
        </row>
        <row r="132">
          <cell r="E132">
            <v>40756</v>
          </cell>
          <cell r="F132">
            <v>1227142809</v>
          </cell>
          <cell r="G132">
            <v>1</v>
          </cell>
          <cell r="H132">
            <v>1</v>
          </cell>
          <cell r="I132">
            <v>1227142809</v>
          </cell>
          <cell r="J132">
            <v>1227142809</v>
          </cell>
          <cell r="K132">
            <v>0.29136276364233116</v>
          </cell>
        </row>
        <row r="133">
          <cell r="E133">
            <v>40787</v>
          </cell>
          <cell r="F133">
            <v>1090497126</v>
          </cell>
          <cell r="G133">
            <v>1</v>
          </cell>
          <cell r="H133">
            <v>1</v>
          </cell>
          <cell r="I133">
            <v>1090497126</v>
          </cell>
          <cell r="J133">
            <v>1090497126</v>
          </cell>
          <cell r="K133">
            <v>0.29136276364233116</v>
          </cell>
        </row>
        <row r="134">
          <cell r="E134">
            <v>40817</v>
          </cell>
          <cell r="F134">
            <v>869504746</v>
          </cell>
          <cell r="G134">
            <v>1</v>
          </cell>
          <cell r="H134">
            <v>1</v>
          </cell>
          <cell r="I134">
            <v>869504746</v>
          </cell>
          <cell r="J134">
            <v>869504746</v>
          </cell>
          <cell r="K134">
            <v>0.29136276364233116</v>
          </cell>
        </row>
        <row r="135">
          <cell r="E135">
            <v>40848</v>
          </cell>
          <cell r="F135">
            <v>729181041</v>
          </cell>
          <cell r="G135">
            <v>1</v>
          </cell>
          <cell r="H135">
            <v>1</v>
          </cell>
          <cell r="I135">
            <v>729181041</v>
          </cell>
          <cell r="J135">
            <v>729181041</v>
          </cell>
          <cell r="K135">
            <v>0.29136276364233116</v>
          </cell>
        </row>
        <row r="136">
          <cell r="E136">
            <v>40878</v>
          </cell>
          <cell r="F136">
            <v>652533241</v>
          </cell>
          <cell r="G136">
            <v>1</v>
          </cell>
          <cell r="H136">
            <v>1</v>
          </cell>
          <cell r="I136">
            <v>652533241</v>
          </cell>
          <cell r="J136">
            <v>652533241</v>
          </cell>
          <cell r="K136">
            <v>0.29136276364233116</v>
          </cell>
        </row>
        <row r="137">
          <cell r="E137">
            <v>40909</v>
          </cell>
          <cell r="F137">
            <v>698171498</v>
          </cell>
          <cell r="G137">
            <v>1</v>
          </cell>
          <cell r="H137">
            <v>1</v>
          </cell>
          <cell r="I137">
            <v>698171498</v>
          </cell>
          <cell r="J137">
            <v>698171498</v>
          </cell>
          <cell r="K137">
            <v>0.29136276364233116</v>
          </cell>
        </row>
        <row r="138">
          <cell r="E138">
            <v>40940</v>
          </cell>
          <cell r="F138">
            <v>633158817</v>
          </cell>
          <cell r="G138">
            <v>1</v>
          </cell>
          <cell r="H138">
            <v>1</v>
          </cell>
          <cell r="I138">
            <v>633158817</v>
          </cell>
          <cell r="J138">
            <v>633158817</v>
          </cell>
          <cell r="K138">
            <v>0.28209974340138116</v>
          </cell>
        </row>
        <row r="139">
          <cell r="E139">
            <v>40969</v>
          </cell>
          <cell r="F139">
            <v>799740869</v>
          </cell>
          <cell r="G139">
            <v>1</v>
          </cell>
          <cell r="H139">
            <v>1</v>
          </cell>
          <cell r="I139">
            <v>799740869</v>
          </cell>
          <cell r="J139">
            <v>799740869</v>
          </cell>
          <cell r="K139">
            <v>0.28209974340138116</v>
          </cell>
        </row>
        <row r="140">
          <cell r="E140">
            <v>41000</v>
          </cell>
          <cell r="F140">
            <v>841005580</v>
          </cell>
          <cell r="G140">
            <v>1</v>
          </cell>
          <cell r="H140">
            <v>1</v>
          </cell>
          <cell r="I140">
            <v>841005580</v>
          </cell>
          <cell r="J140">
            <v>841005580</v>
          </cell>
          <cell r="K140">
            <v>0.28209974340138116</v>
          </cell>
        </row>
        <row r="141">
          <cell r="E141">
            <v>41030</v>
          </cell>
          <cell r="F141">
            <v>950033357</v>
          </cell>
          <cell r="G141">
            <v>1</v>
          </cell>
          <cell r="H141">
            <v>1</v>
          </cell>
          <cell r="I141">
            <v>950033357</v>
          </cell>
          <cell r="J141">
            <v>950033357</v>
          </cell>
          <cell r="K141">
            <v>0.28209974340138116</v>
          </cell>
        </row>
        <row r="142">
          <cell r="E142">
            <v>41061</v>
          </cell>
          <cell r="F142">
            <v>1185767509</v>
          </cell>
          <cell r="G142">
            <v>1</v>
          </cell>
          <cell r="H142">
            <v>1</v>
          </cell>
          <cell r="I142">
            <v>1185767509</v>
          </cell>
          <cell r="J142">
            <v>1185767509</v>
          </cell>
          <cell r="K142">
            <v>0.28209974340138116</v>
          </cell>
        </row>
        <row r="143">
          <cell r="E143">
            <v>41091</v>
          </cell>
          <cell r="F143">
            <v>1260394578</v>
          </cell>
          <cell r="G143">
            <v>1</v>
          </cell>
          <cell r="H143">
            <v>1</v>
          </cell>
          <cell r="I143">
            <v>1260394578</v>
          </cell>
          <cell r="J143">
            <v>1260394578</v>
          </cell>
          <cell r="K143">
            <v>0.28209974340138116</v>
          </cell>
        </row>
        <row r="144">
          <cell r="E144">
            <v>41122</v>
          </cell>
          <cell r="F144">
            <v>1266868275</v>
          </cell>
          <cell r="G144">
            <v>1</v>
          </cell>
          <cell r="H144">
            <v>1</v>
          </cell>
          <cell r="I144">
            <v>1266868275</v>
          </cell>
          <cell r="J144">
            <v>1266868275</v>
          </cell>
          <cell r="K144">
            <v>0.28209974340138116</v>
          </cell>
        </row>
        <row r="145">
          <cell r="E145">
            <v>41153</v>
          </cell>
          <cell r="F145">
            <v>1164182386</v>
          </cell>
          <cell r="G145">
            <v>1</v>
          </cell>
          <cell r="H145">
            <v>1</v>
          </cell>
          <cell r="I145">
            <v>1164182386</v>
          </cell>
          <cell r="J145">
            <v>1164182386</v>
          </cell>
          <cell r="K145">
            <v>0.28209974340138116</v>
          </cell>
        </row>
        <row r="146">
          <cell r="E146">
            <v>41183</v>
          </cell>
          <cell r="F146">
            <v>896943146</v>
          </cell>
          <cell r="G146">
            <v>1</v>
          </cell>
          <cell r="H146">
            <v>1</v>
          </cell>
          <cell r="I146">
            <v>896943146</v>
          </cell>
          <cell r="J146">
            <v>896943146</v>
          </cell>
          <cell r="K146">
            <v>0.28209974340138116</v>
          </cell>
        </row>
        <row r="147">
          <cell r="E147">
            <v>41214</v>
          </cell>
          <cell r="F147">
            <v>764296221</v>
          </cell>
          <cell r="G147">
            <v>1</v>
          </cell>
          <cell r="H147">
            <v>1</v>
          </cell>
          <cell r="I147">
            <v>764296221</v>
          </cell>
          <cell r="J147">
            <v>764296221</v>
          </cell>
          <cell r="K147">
            <v>0.28209974340138116</v>
          </cell>
        </row>
        <row r="148">
          <cell r="E148">
            <v>41244</v>
          </cell>
          <cell r="F148">
            <v>657031964</v>
          </cell>
          <cell r="G148">
            <v>1</v>
          </cell>
          <cell r="H148">
            <v>1</v>
          </cell>
          <cell r="I148">
            <v>657031964</v>
          </cell>
          <cell r="J148">
            <v>657031964</v>
          </cell>
          <cell r="K148">
            <v>0.28209974340138116</v>
          </cell>
        </row>
        <row r="149">
          <cell r="E149">
            <v>41275</v>
          </cell>
          <cell r="F149">
            <v>727626085</v>
          </cell>
          <cell r="G149">
            <v>1</v>
          </cell>
          <cell r="H149">
            <v>1</v>
          </cell>
          <cell r="I149">
            <v>727626085</v>
          </cell>
          <cell r="J149">
            <v>727626085</v>
          </cell>
          <cell r="K149">
            <v>0.28209974340138116</v>
          </cell>
        </row>
        <row r="150">
          <cell r="E150">
            <v>41306</v>
          </cell>
          <cell r="F150">
            <v>629561017</v>
          </cell>
          <cell r="G150">
            <v>1</v>
          </cell>
          <cell r="H150">
            <v>1</v>
          </cell>
          <cell r="I150">
            <v>629561017</v>
          </cell>
          <cell r="J150">
            <v>629561017</v>
          </cell>
          <cell r="K150">
            <v>0.27420335473521612</v>
          </cell>
        </row>
        <row r="151">
          <cell r="E151">
            <v>41334</v>
          </cell>
          <cell r="F151">
            <v>823031058</v>
          </cell>
          <cell r="G151">
            <v>1</v>
          </cell>
          <cell r="H151">
            <v>1</v>
          </cell>
          <cell r="I151">
            <v>823031058</v>
          </cell>
          <cell r="J151">
            <v>823031058</v>
          </cell>
          <cell r="K151">
            <v>0.27420335473521612</v>
          </cell>
        </row>
        <row r="152">
          <cell r="E152">
            <v>41365</v>
          </cell>
          <cell r="F152">
            <v>872790982</v>
          </cell>
          <cell r="G152">
            <v>1</v>
          </cell>
          <cell r="H152">
            <v>1</v>
          </cell>
          <cell r="I152">
            <v>872790982</v>
          </cell>
          <cell r="J152">
            <v>872790982</v>
          </cell>
          <cell r="K152">
            <v>0.27420335473521612</v>
          </cell>
        </row>
        <row r="153">
          <cell r="E153">
            <v>41395</v>
          </cell>
          <cell r="F153">
            <v>975062869</v>
          </cell>
          <cell r="G153">
            <v>1</v>
          </cell>
          <cell r="H153">
            <v>1</v>
          </cell>
          <cell r="I153">
            <v>975062869</v>
          </cell>
          <cell r="J153">
            <v>975062869</v>
          </cell>
          <cell r="K153">
            <v>0.27420335473521612</v>
          </cell>
        </row>
        <row r="154">
          <cell r="E154">
            <v>41426</v>
          </cell>
          <cell r="F154">
            <v>1233393501</v>
          </cell>
          <cell r="G154">
            <v>1</v>
          </cell>
          <cell r="H154">
            <v>1</v>
          </cell>
          <cell r="I154">
            <v>1233393501</v>
          </cell>
          <cell r="J154">
            <v>1233393501</v>
          </cell>
          <cell r="K154">
            <v>0.27420335473521612</v>
          </cell>
        </row>
        <row r="155">
          <cell r="E155">
            <v>41456</v>
          </cell>
          <cell r="F155">
            <v>1295964273</v>
          </cell>
          <cell r="G155">
            <v>1</v>
          </cell>
          <cell r="H155">
            <v>1</v>
          </cell>
          <cell r="I155">
            <v>1295964273</v>
          </cell>
          <cell r="J155">
            <v>1295964273</v>
          </cell>
          <cell r="K155">
            <v>0.27420335473521612</v>
          </cell>
        </row>
        <row r="156">
          <cell r="E156">
            <v>41487</v>
          </cell>
          <cell r="F156">
            <v>1305596795</v>
          </cell>
          <cell r="G156">
            <v>1</v>
          </cell>
          <cell r="H156">
            <v>1</v>
          </cell>
          <cell r="I156">
            <v>1305596795</v>
          </cell>
          <cell r="J156">
            <v>1305596795</v>
          </cell>
          <cell r="K156">
            <v>0.27420335473521612</v>
          </cell>
        </row>
        <row r="157">
          <cell r="E157">
            <v>41518</v>
          </cell>
          <cell r="F157">
            <v>1200197719</v>
          </cell>
          <cell r="G157">
            <v>1</v>
          </cell>
          <cell r="H157">
            <v>1</v>
          </cell>
          <cell r="I157">
            <v>1200197719</v>
          </cell>
          <cell r="J157">
            <v>1200197719</v>
          </cell>
          <cell r="K157">
            <v>0.27420335473521612</v>
          </cell>
        </row>
        <row r="158">
          <cell r="E158">
            <v>41548</v>
          </cell>
          <cell r="F158">
            <v>916776701</v>
          </cell>
          <cell r="G158">
            <v>1</v>
          </cell>
          <cell r="H158">
            <v>1</v>
          </cell>
          <cell r="I158">
            <v>916776701</v>
          </cell>
          <cell r="J158">
            <v>916776701</v>
          </cell>
          <cell r="K158">
            <v>0.27420335473521612</v>
          </cell>
        </row>
        <row r="159">
          <cell r="E159">
            <v>41579</v>
          </cell>
          <cell r="F159">
            <v>787949572</v>
          </cell>
          <cell r="G159">
            <v>1</v>
          </cell>
          <cell r="H159">
            <v>1</v>
          </cell>
          <cell r="I159">
            <v>787949572</v>
          </cell>
          <cell r="J159">
            <v>787949572</v>
          </cell>
          <cell r="K159">
            <v>0.27420335473521612</v>
          </cell>
        </row>
        <row r="160">
          <cell r="E160">
            <v>41609</v>
          </cell>
          <cell r="F160">
            <v>688069828</v>
          </cell>
          <cell r="G160">
            <v>1</v>
          </cell>
          <cell r="H160">
            <v>1</v>
          </cell>
          <cell r="I160">
            <v>688069828</v>
          </cell>
          <cell r="J160">
            <v>688069828</v>
          </cell>
          <cell r="K160">
            <v>0.27420335473521612</v>
          </cell>
        </row>
        <row r="161">
          <cell r="E161">
            <v>41640</v>
          </cell>
          <cell r="F161">
            <v>746697627</v>
          </cell>
          <cell r="G161">
            <v>1</v>
          </cell>
          <cell r="H161">
            <v>1</v>
          </cell>
          <cell r="I161">
            <v>746697627</v>
          </cell>
          <cell r="J161">
            <v>746697627</v>
          </cell>
          <cell r="K161">
            <v>0.27420335473521612</v>
          </cell>
        </row>
        <row r="162">
          <cell r="E162">
            <v>41671</v>
          </cell>
          <cell r="F162">
            <v>651292753</v>
          </cell>
          <cell r="G162">
            <v>1</v>
          </cell>
          <cell r="H162">
            <v>1</v>
          </cell>
          <cell r="I162">
            <v>651292753</v>
          </cell>
          <cell r="J162">
            <v>651292753</v>
          </cell>
          <cell r="K162">
            <v>0.26585130391578937</v>
          </cell>
        </row>
        <row r="163">
          <cell r="E163">
            <v>41699</v>
          </cell>
          <cell r="F163">
            <v>852617621</v>
          </cell>
          <cell r="G163">
            <v>1</v>
          </cell>
          <cell r="H163">
            <v>1</v>
          </cell>
          <cell r="I163">
            <v>852617621</v>
          </cell>
          <cell r="J163">
            <v>852617621</v>
          </cell>
          <cell r="K163">
            <v>0.26585130391578937</v>
          </cell>
        </row>
        <row r="164">
          <cell r="E164">
            <v>41730</v>
          </cell>
          <cell r="F164">
            <v>901130766</v>
          </cell>
          <cell r="G164">
            <v>1</v>
          </cell>
          <cell r="H164">
            <v>1</v>
          </cell>
          <cell r="I164">
            <v>901130766</v>
          </cell>
          <cell r="J164">
            <v>901130766</v>
          </cell>
          <cell r="K164">
            <v>0.26585130391578937</v>
          </cell>
        </row>
        <row r="165">
          <cell r="E165">
            <v>41760</v>
          </cell>
          <cell r="F165">
            <v>1001464510</v>
          </cell>
          <cell r="G165">
            <v>1</v>
          </cell>
          <cell r="H165">
            <v>1</v>
          </cell>
          <cell r="I165">
            <v>1001464510</v>
          </cell>
          <cell r="J165">
            <v>1001464510</v>
          </cell>
          <cell r="K165">
            <v>0.26585130391578937</v>
          </cell>
        </row>
        <row r="166">
          <cell r="E166">
            <v>41791</v>
          </cell>
          <cell r="F166">
            <v>1273964186</v>
          </cell>
          <cell r="G166">
            <v>1</v>
          </cell>
          <cell r="H166">
            <v>1</v>
          </cell>
          <cell r="I166">
            <v>1273964186</v>
          </cell>
          <cell r="J166">
            <v>1273964186</v>
          </cell>
          <cell r="K166">
            <v>0.26585130391578937</v>
          </cell>
        </row>
        <row r="167">
          <cell r="E167">
            <v>41821</v>
          </cell>
          <cell r="F167">
            <v>1335165204</v>
          </cell>
          <cell r="G167">
            <v>1</v>
          </cell>
          <cell r="H167">
            <v>1</v>
          </cell>
          <cell r="I167">
            <v>1335165204</v>
          </cell>
          <cell r="J167">
            <v>1335165204</v>
          </cell>
          <cell r="K167">
            <v>0.26585130391578937</v>
          </cell>
        </row>
        <row r="168">
          <cell r="E168">
            <v>41852</v>
          </cell>
          <cell r="F168">
            <v>1344476947</v>
          </cell>
          <cell r="G168">
            <v>1</v>
          </cell>
          <cell r="H168">
            <v>1</v>
          </cell>
          <cell r="I168">
            <v>1344476947</v>
          </cell>
          <cell r="J168">
            <v>1344476947</v>
          </cell>
          <cell r="K168">
            <v>0.26585130391578937</v>
          </cell>
        </row>
        <row r="169">
          <cell r="E169">
            <v>41883</v>
          </cell>
          <cell r="F169">
            <v>1216081201</v>
          </cell>
          <cell r="G169">
            <v>1</v>
          </cell>
          <cell r="H169">
            <v>1</v>
          </cell>
          <cell r="I169">
            <v>1216081201</v>
          </cell>
          <cell r="J169">
            <v>1216081201</v>
          </cell>
          <cell r="K169">
            <v>0.26585130391578937</v>
          </cell>
        </row>
        <row r="170">
          <cell r="E170">
            <v>41913</v>
          </cell>
          <cell r="F170">
            <v>950937171</v>
          </cell>
          <cell r="G170">
            <v>1</v>
          </cell>
          <cell r="H170">
            <v>1</v>
          </cell>
          <cell r="I170">
            <v>950937171</v>
          </cell>
          <cell r="J170">
            <v>950937171</v>
          </cell>
          <cell r="K170">
            <v>0.26585130391578937</v>
          </cell>
        </row>
        <row r="171">
          <cell r="E171">
            <v>41944</v>
          </cell>
          <cell r="F171">
            <v>804299970</v>
          </cell>
          <cell r="G171">
            <v>1</v>
          </cell>
          <cell r="H171">
            <v>1</v>
          </cell>
          <cell r="I171">
            <v>804299970</v>
          </cell>
          <cell r="J171">
            <v>804299970</v>
          </cell>
          <cell r="K171">
            <v>0.26585130391578937</v>
          </cell>
        </row>
        <row r="172">
          <cell r="E172">
            <v>41974</v>
          </cell>
          <cell r="F172">
            <v>716318645</v>
          </cell>
          <cell r="G172">
            <v>1</v>
          </cell>
          <cell r="H172">
            <v>1</v>
          </cell>
          <cell r="I172">
            <v>716318645</v>
          </cell>
          <cell r="J172">
            <v>716318645</v>
          </cell>
          <cell r="K172">
            <v>0.26585130391578937</v>
          </cell>
        </row>
        <row r="173">
          <cell r="E173">
            <v>42005</v>
          </cell>
          <cell r="F173">
            <v>762932514</v>
          </cell>
          <cell r="G173">
            <v>1</v>
          </cell>
          <cell r="H173">
            <v>1</v>
          </cell>
          <cell r="I173">
            <v>762932514</v>
          </cell>
          <cell r="J173">
            <v>762932514</v>
          </cell>
          <cell r="K173">
            <v>0.26585130391578937</v>
          </cell>
        </row>
        <row r="174">
          <cell r="E174">
            <v>42036</v>
          </cell>
          <cell r="F174">
            <v>669747061</v>
          </cell>
          <cell r="G174">
            <v>1</v>
          </cell>
          <cell r="H174">
            <v>1</v>
          </cell>
          <cell r="I174">
            <v>669747061</v>
          </cell>
          <cell r="J174">
            <v>669747061</v>
          </cell>
          <cell r="K174">
            <v>0.25805846944610605</v>
          </cell>
        </row>
        <row r="175">
          <cell r="E175">
            <v>42064</v>
          </cell>
          <cell r="F175">
            <v>883783762</v>
          </cell>
          <cell r="G175">
            <v>1</v>
          </cell>
          <cell r="H175">
            <v>1</v>
          </cell>
          <cell r="I175">
            <v>883783762</v>
          </cell>
          <cell r="J175">
            <v>883783762</v>
          </cell>
          <cell r="K175">
            <v>0.25805846944610605</v>
          </cell>
        </row>
        <row r="176">
          <cell r="E176">
            <v>42095</v>
          </cell>
          <cell r="F176">
            <v>932595532</v>
          </cell>
          <cell r="G176">
            <v>1</v>
          </cell>
          <cell r="H176">
            <v>1</v>
          </cell>
          <cell r="I176">
            <v>932595532</v>
          </cell>
          <cell r="J176">
            <v>932595532</v>
          </cell>
          <cell r="K176">
            <v>0.25805846944610605</v>
          </cell>
        </row>
        <row r="177">
          <cell r="E177">
            <v>42125</v>
          </cell>
          <cell r="F177">
            <v>1028881369</v>
          </cell>
          <cell r="G177">
            <v>1</v>
          </cell>
          <cell r="H177">
            <v>1</v>
          </cell>
          <cell r="I177">
            <v>1028881369</v>
          </cell>
          <cell r="J177">
            <v>1028881369</v>
          </cell>
          <cell r="K177">
            <v>0.25805846944610605</v>
          </cell>
        </row>
        <row r="178">
          <cell r="E178">
            <v>42156</v>
          </cell>
          <cell r="F178">
            <v>1313259625</v>
          </cell>
          <cell r="G178">
            <v>1</v>
          </cell>
          <cell r="H178">
            <v>1</v>
          </cell>
          <cell r="I178">
            <v>1313259625</v>
          </cell>
          <cell r="J178">
            <v>1313259625</v>
          </cell>
          <cell r="K178">
            <v>0.25805846944610605</v>
          </cell>
        </row>
        <row r="179">
          <cell r="E179">
            <v>42186</v>
          </cell>
          <cell r="F179">
            <v>1374301322</v>
          </cell>
          <cell r="G179">
            <v>1</v>
          </cell>
          <cell r="H179">
            <v>1</v>
          </cell>
          <cell r="I179">
            <v>1374301322</v>
          </cell>
          <cell r="J179">
            <v>1374301322</v>
          </cell>
          <cell r="K179">
            <v>0.25805846944610605</v>
          </cell>
        </row>
        <row r="180">
          <cell r="E180">
            <v>42217</v>
          </cell>
          <cell r="F180">
            <v>1382664449</v>
          </cell>
          <cell r="G180">
            <v>1</v>
          </cell>
          <cell r="H180">
            <v>1</v>
          </cell>
          <cell r="I180">
            <v>1382664449</v>
          </cell>
          <cell r="J180">
            <v>1382664449</v>
          </cell>
          <cell r="K180">
            <v>0.25805846944610605</v>
          </cell>
        </row>
        <row r="181">
          <cell r="E181">
            <v>42248</v>
          </cell>
          <cell r="F181">
            <v>1239706375</v>
          </cell>
          <cell r="G181">
            <v>1</v>
          </cell>
          <cell r="H181">
            <v>1</v>
          </cell>
          <cell r="I181">
            <v>1239706375</v>
          </cell>
          <cell r="J181">
            <v>1239706375</v>
          </cell>
          <cell r="K181">
            <v>0.25805846944610605</v>
          </cell>
        </row>
        <row r="182">
          <cell r="E182">
            <v>42278</v>
          </cell>
          <cell r="F182">
            <v>980212304</v>
          </cell>
          <cell r="G182">
            <v>1</v>
          </cell>
          <cell r="H182">
            <v>1</v>
          </cell>
          <cell r="I182">
            <v>980212304</v>
          </cell>
          <cell r="J182">
            <v>980212304</v>
          </cell>
          <cell r="K182">
            <v>0.25805846944610605</v>
          </cell>
        </row>
        <row r="183">
          <cell r="E183">
            <v>42309</v>
          </cell>
          <cell r="F183">
            <v>824798206</v>
          </cell>
          <cell r="G183">
            <v>1</v>
          </cell>
          <cell r="H183">
            <v>1</v>
          </cell>
          <cell r="I183">
            <v>824798206</v>
          </cell>
          <cell r="J183">
            <v>824798206</v>
          </cell>
          <cell r="K183">
            <v>0.25805846944610605</v>
          </cell>
        </row>
        <row r="184">
          <cell r="E184">
            <v>42339</v>
          </cell>
          <cell r="F184">
            <v>739990281</v>
          </cell>
          <cell r="G184">
            <v>1</v>
          </cell>
          <cell r="H184">
            <v>1</v>
          </cell>
          <cell r="I184">
            <v>739990281</v>
          </cell>
          <cell r="J184">
            <v>739990281</v>
          </cell>
          <cell r="K184">
            <v>0.25805846944610605</v>
          </cell>
        </row>
        <row r="185">
          <cell r="E185">
            <v>42370</v>
          </cell>
          <cell r="F185">
            <v>793575169</v>
          </cell>
          <cell r="G185">
            <v>1</v>
          </cell>
          <cell r="H185">
            <v>1</v>
          </cell>
          <cell r="I185">
            <v>793575169</v>
          </cell>
          <cell r="J185">
            <v>793575169</v>
          </cell>
          <cell r="K185">
            <v>0.25805846944610605</v>
          </cell>
        </row>
        <row r="186">
          <cell r="E186">
            <v>42401</v>
          </cell>
          <cell r="F186">
            <v>699787225</v>
          </cell>
          <cell r="G186">
            <v>1</v>
          </cell>
          <cell r="H186">
            <v>1</v>
          </cell>
          <cell r="I186">
            <v>699787225</v>
          </cell>
          <cell r="J186">
            <v>699787225</v>
          </cell>
          <cell r="K186">
            <v>0</v>
          </cell>
        </row>
        <row r="187">
          <cell r="E187">
            <v>42430</v>
          </cell>
          <cell r="F187">
            <v>914705923</v>
          </cell>
          <cell r="G187">
            <v>1</v>
          </cell>
          <cell r="H187">
            <v>1</v>
          </cell>
          <cell r="I187">
            <v>914705923</v>
          </cell>
          <cell r="J187">
            <v>914705923</v>
          </cell>
          <cell r="K187">
            <v>0</v>
          </cell>
        </row>
        <row r="188">
          <cell r="E188">
            <v>42461</v>
          </cell>
          <cell r="F188">
            <v>968571211</v>
          </cell>
          <cell r="G188">
            <v>1</v>
          </cell>
          <cell r="H188">
            <v>1</v>
          </cell>
          <cell r="I188">
            <v>968571211</v>
          </cell>
          <cell r="J188">
            <v>968571211</v>
          </cell>
          <cell r="K188">
            <v>0</v>
          </cell>
        </row>
        <row r="189">
          <cell r="E189">
            <v>42491</v>
          </cell>
          <cell r="F189">
            <v>1055733653</v>
          </cell>
          <cell r="G189">
            <v>1</v>
          </cell>
          <cell r="H189">
            <v>1</v>
          </cell>
          <cell r="I189">
            <v>1055733653</v>
          </cell>
          <cell r="J189">
            <v>1055733653</v>
          </cell>
          <cell r="K189">
            <v>0</v>
          </cell>
        </row>
        <row r="190">
          <cell r="E190">
            <v>42522</v>
          </cell>
          <cell r="F190">
            <v>1348337121</v>
          </cell>
          <cell r="G190">
            <v>1</v>
          </cell>
          <cell r="H190">
            <v>1</v>
          </cell>
          <cell r="I190">
            <v>1348337121</v>
          </cell>
          <cell r="J190">
            <v>1348337121</v>
          </cell>
          <cell r="K190">
            <v>0</v>
          </cell>
        </row>
        <row r="191">
          <cell r="E191">
            <v>42552</v>
          </cell>
          <cell r="F191">
            <v>1415080430</v>
          </cell>
          <cell r="G191">
            <v>1</v>
          </cell>
          <cell r="H191">
            <v>1</v>
          </cell>
          <cell r="I191">
            <v>1415080430</v>
          </cell>
          <cell r="J191">
            <v>1415080430</v>
          </cell>
          <cell r="K191">
            <v>0</v>
          </cell>
        </row>
        <row r="192">
          <cell r="E192">
            <v>42583</v>
          </cell>
          <cell r="F192">
            <v>1416945841</v>
          </cell>
          <cell r="G192">
            <v>1</v>
          </cell>
          <cell r="H192">
            <v>1</v>
          </cell>
          <cell r="I192">
            <v>1416945841</v>
          </cell>
          <cell r="J192">
            <v>1416945841</v>
          </cell>
          <cell r="K192">
            <v>0</v>
          </cell>
        </row>
        <row r="193">
          <cell r="E193">
            <v>42614</v>
          </cell>
          <cell r="F193">
            <v>1259252173</v>
          </cell>
          <cell r="G193">
            <v>1</v>
          </cell>
          <cell r="H193">
            <v>1</v>
          </cell>
          <cell r="I193">
            <v>1259252173</v>
          </cell>
          <cell r="J193">
            <v>1259252173</v>
          </cell>
          <cell r="K193">
            <v>0</v>
          </cell>
        </row>
        <row r="194">
          <cell r="E194">
            <v>42644</v>
          </cell>
          <cell r="F194">
            <v>1004000902</v>
          </cell>
          <cell r="G194">
            <v>1</v>
          </cell>
          <cell r="H194">
            <v>1</v>
          </cell>
          <cell r="I194">
            <v>1004000902</v>
          </cell>
          <cell r="J194">
            <v>1004000902</v>
          </cell>
          <cell r="K194">
            <v>0</v>
          </cell>
        </row>
        <row r="195">
          <cell r="E195">
            <v>42675</v>
          </cell>
          <cell r="F195">
            <v>841992736</v>
          </cell>
          <cell r="G195">
            <v>1</v>
          </cell>
          <cell r="H195">
            <v>1</v>
          </cell>
          <cell r="I195">
            <v>841992736</v>
          </cell>
          <cell r="J195">
            <v>841992736</v>
          </cell>
          <cell r="K195">
            <v>0</v>
          </cell>
        </row>
        <row r="196">
          <cell r="E196">
            <v>42705</v>
          </cell>
          <cell r="F196">
            <v>753316615</v>
          </cell>
          <cell r="G196">
            <v>1</v>
          </cell>
          <cell r="H196">
            <v>1</v>
          </cell>
          <cell r="I196">
            <v>753316615</v>
          </cell>
          <cell r="J196">
            <v>753316615</v>
          </cell>
          <cell r="K196">
            <v>0</v>
          </cell>
        </row>
        <row r="197">
          <cell r="E197">
            <v>42736</v>
          </cell>
          <cell r="F197">
            <v>806418107</v>
          </cell>
          <cell r="G197">
            <v>1</v>
          </cell>
          <cell r="H197">
            <v>1</v>
          </cell>
          <cell r="I197">
            <v>806418107</v>
          </cell>
          <cell r="J197">
            <v>806418107</v>
          </cell>
          <cell r="K197">
            <v>0</v>
          </cell>
        </row>
        <row r="198">
          <cell r="E198">
            <v>42767</v>
          </cell>
          <cell r="F198">
            <v>706076662</v>
          </cell>
          <cell r="G198">
            <v>1</v>
          </cell>
          <cell r="H198">
            <v>1</v>
          </cell>
          <cell r="I198">
            <v>706076662</v>
          </cell>
          <cell r="J198">
            <v>706076662</v>
          </cell>
          <cell r="K198">
            <v>0</v>
          </cell>
        </row>
        <row r="199">
          <cell r="E199">
            <v>0</v>
          </cell>
          <cell r="F199">
            <v>0</v>
          </cell>
          <cell r="G199">
            <v>1</v>
          </cell>
          <cell r="H199">
            <v>1</v>
          </cell>
          <cell r="I199">
            <v>0</v>
          </cell>
          <cell r="J199">
            <v>0</v>
          </cell>
          <cell r="K199" t="e">
            <v>#DIV/0!</v>
          </cell>
        </row>
        <row r="200">
          <cell r="E200">
            <v>0</v>
          </cell>
          <cell r="F200">
            <v>0</v>
          </cell>
          <cell r="G200">
            <v>1</v>
          </cell>
          <cell r="H200">
            <v>1</v>
          </cell>
          <cell r="I200">
            <v>0</v>
          </cell>
          <cell r="J200">
            <v>0</v>
          </cell>
          <cell r="K200" t="e">
            <v>#DIV/0!</v>
          </cell>
        </row>
        <row r="201">
          <cell r="E201">
            <v>0</v>
          </cell>
          <cell r="F201">
            <v>0</v>
          </cell>
          <cell r="G201">
            <v>1</v>
          </cell>
          <cell r="H201">
            <v>1</v>
          </cell>
          <cell r="I201">
            <v>0</v>
          </cell>
          <cell r="J201">
            <v>0</v>
          </cell>
          <cell r="K201" t="e">
            <v>#DIV/0!</v>
          </cell>
        </row>
        <row r="202">
          <cell r="E202">
            <v>0</v>
          </cell>
          <cell r="F202">
            <v>0</v>
          </cell>
          <cell r="G202">
            <v>1</v>
          </cell>
          <cell r="H202">
            <v>1</v>
          </cell>
          <cell r="I202">
            <v>0</v>
          </cell>
          <cell r="J202">
            <v>0</v>
          </cell>
          <cell r="K202" t="e">
            <v>#DIV/0!</v>
          </cell>
        </row>
        <row r="203">
          <cell r="E203">
            <v>0</v>
          </cell>
          <cell r="F203">
            <v>0</v>
          </cell>
          <cell r="G203">
            <v>1</v>
          </cell>
          <cell r="H203">
            <v>1</v>
          </cell>
          <cell r="I203">
            <v>0</v>
          </cell>
          <cell r="J203">
            <v>0</v>
          </cell>
          <cell r="K203" t="e">
            <v>#DIV/0!</v>
          </cell>
        </row>
        <row r="204">
          <cell r="E204">
            <v>0</v>
          </cell>
          <cell r="F204">
            <v>0</v>
          </cell>
          <cell r="G204">
            <v>1</v>
          </cell>
          <cell r="H204">
            <v>1</v>
          </cell>
          <cell r="I204">
            <v>0</v>
          </cell>
          <cell r="J204">
            <v>0</v>
          </cell>
          <cell r="K204" t="e">
            <v>#DIV/0!</v>
          </cell>
        </row>
        <row r="205">
          <cell r="E205">
            <v>0</v>
          </cell>
          <cell r="F205">
            <v>0</v>
          </cell>
          <cell r="G205">
            <v>1</v>
          </cell>
          <cell r="H205">
            <v>1</v>
          </cell>
          <cell r="I205">
            <v>0</v>
          </cell>
          <cell r="J205">
            <v>0</v>
          </cell>
          <cell r="K205" t="e">
            <v>#DIV/0!</v>
          </cell>
        </row>
      </sheetData>
      <sheetData sheetId="9">
        <row r="35">
          <cell r="BT35">
            <v>0</v>
          </cell>
        </row>
        <row r="36">
          <cell r="CC36">
            <v>0</v>
          </cell>
        </row>
        <row r="37">
          <cell r="AI37">
            <v>0</v>
          </cell>
        </row>
      </sheetData>
      <sheetData sheetId="10">
        <row r="2">
          <cell r="G2">
            <v>24</v>
          </cell>
        </row>
        <row r="10">
          <cell r="N10">
            <v>73049399.568201914</v>
          </cell>
          <cell r="AB10">
            <v>87778480.632739961</v>
          </cell>
        </row>
        <row r="43">
          <cell r="N43">
            <v>73049399.568201914</v>
          </cell>
          <cell r="AB43">
            <v>87778480.632739961</v>
          </cell>
        </row>
      </sheetData>
      <sheetData sheetId="11">
        <row r="5">
          <cell r="I5" t="str">
            <v>Cost Not Locked!!!</v>
          </cell>
        </row>
        <row r="9">
          <cell r="D9">
            <v>33600408</v>
          </cell>
        </row>
        <row r="20">
          <cell r="D20">
            <v>805233.08220909536</v>
          </cell>
        </row>
        <row r="27">
          <cell r="D27">
            <v>25818789.248492427</v>
          </cell>
        </row>
      </sheetData>
      <sheetData sheetId="12">
        <row r="7">
          <cell r="M7" t="str">
            <v>Total</v>
          </cell>
        </row>
        <row r="9">
          <cell r="M9">
            <v>0</v>
          </cell>
        </row>
        <row r="21">
          <cell r="C21">
            <v>36892</v>
          </cell>
        </row>
      </sheetData>
      <sheetData sheetId="13"/>
      <sheetData sheetId="14">
        <row r="2">
          <cell r="B2" t="str">
            <v>Central Power &amp; Light: Annual Debt Service and Charge Levels*</v>
          </cell>
        </row>
        <row r="3">
          <cell r="B3" t="str">
            <v>$797.3 Million Issuance: Base Case</v>
          </cell>
        </row>
        <row r="4">
          <cell r="B4" t="str">
            <v/>
          </cell>
        </row>
        <row r="8">
          <cell r="E8" t="str">
            <v xml:space="preserve">     Indicative Annual Debt Service (000s)</v>
          </cell>
          <cell r="K8" t="str">
            <v>Estimated Transition Charge Levels (¢/kWh &amp; $/kW)</v>
          </cell>
        </row>
        <row r="47">
          <cell r="B47" t="str">
            <v>Central Power &amp; Light: Annual Debt Service and Charge Levels*</v>
          </cell>
        </row>
        <row r="48">
          <cell r="B48" t="str">
            <v>$797.3 Million Issuance: Base Case</v>
          </cell>
        </row>
        <row r="49">
          <cell r="B49" t="str">
            <v/>
          </cell>
        </row>
        <row r="52">
          <cell r="B52" t="str">
            <v>Annual Debt Service</v>
          </cell>
          <cell r="I52" t="str">
            <v>Estimated Transition Charge Levels (¢/kWh &amp; $/KW)</v>
          </cell>
        </row>
        <row r="53">
          <cell r="J53">
            <v>0</v>
          </cell>
          <cell r="K53">
            <v>1</v>
          </cell>
          <cell r="L53">
            <v>2</v>
          </cell>
          <cell r="M53">
            <v>3</v>
          </cell>
          <cell r="N53">
            <v>4</v>
          </cell>
          <cell r="O53">
            <v>5</v>
          </cell>
          <cell r="P53">
            <v>6</v>
          </cell>
          <cell r="Q53">
            <v>7</v>
          </cell>
        </row>
        <row r="54">
          <cell r="J54" t="str">
            <v>Residential  (¢/kWh)</v>
          </cell>
          <cell r="K54" t="str">
            <v>C&amp;I: Energy  (¢/kWh)</v>
          </cell>
          <cell r="L54" t="str">
            <v>C&amp;I: Demand  ($/kW)</v>
          </cell>
          <cell r="M54" t="str">
            <v>LI: Firm      ($/kW)</v>
          </cell>
          <cell r="N54" t="str">
            <v>LI: Non-Firm     ($/kW)</v>
          </cell>
          <cell r="O54" t="str">
            <v>M&amp;CG   (¢/kWh)</v>
          </cell>
          <cell r="P54" t="str">
            <v>Firm Standby ($/kW)</v>
          </cell>
          <cell r="Q54" t="str">
            <v>Non-Firm Standby ($/kW)</v>
          </cell>
        </row>
        <row r="55">
          <cell r="B55" t="str">
            <v>Period</v>
          </cell>
          <cell r="D55" t="str">
            <v xml:space="preserve">Interest as % </v>
          </cell>
          <cell r="F55" t="str">
            <v>Principal as %</v>
          </cell>
          <cell r="I55" t="str">
            <v>TC</v>
          </cell>
        </row>
        <row r="56">
          <cell r="B56" t="str">
            <v>Ending</v>
          </cell>
          <cell r="C56" t="str">
            <v>Interest</v>
          </cell>
          <cell r="D56" t="str">
            <v>of Total</v>
          </cell>
          <cell r="E56" t="str">
            <v>Principal</v>
          </cell>
          <cell r="F56" t="str">
            <v>of Total</v>
          </cell>
          <cell r="G56" t="str">
            <v>Total</v>
          </cell>
          <cell r="I56" t="str">
            <v>Period</v>
          </cell>
        </row>
        <row r="57">
          <cell r="B57">
            <v>37636</v>
          </cell>
          <cell r="C57">
            <v>40429.266616432637</v>
          </cell>
          <cell r="D57">
            <v>0.55960584118797208</v>
          </cell>
          <cell r="E57">
            <v>31816.703030000001</v>
          </cell>
          <cell r="F57">
            <v>0.44039415881202787</v>
          </cell>
          <cell r="G57">
            <v>72245.969646432641</v>
          </cell>
          <cell r="H57">
            <v>1</v>
          </cell>
          <cell r="I57" t="str">
            <v>07-Feb-02  -  31-Jan-03</v>
          </cell>
          <cell r="J57">
            <v>0.41920000000000002</v>
          </cell>
          <cell r="K57">
            <v>0.69430000000000003</v>
          </cell>
          <cell r="L57">
            <v>2.0558809999999998</v>
          </cell>
          <cell r="M57">
            <v>1.001069</v>
          </cell>
          <cell r="N57">
            <v>0.72169899999999998</v>
          </cell>
          <cell r="O57">
            <v>0.48399999999999999</v>
          </cell>
          <cell r="P57">
            <v>7.5556999999999999E-2</v>
          </cell>
          <cell r="Q57">
            <v>0.11909500000000001</v>
          </cell>
        </row>
        <row r="58">
          <cell r="B58">
            <v>38001</v>
          </cell>
          <cell r="C58">
            <v>41594.675512962</v>
          </cell>
          <cell r="D58">
            <v>0.46422737323527075</v>
          </cell>
          <cell r="E58">
            <v>48005.115259999999</v>
          </cell>
          <cell r="F58">
            <v>0.53577262676472914</v>
          </cell>
          <cell r="G58">
            <v>89599.790772962006</v>
          </cell>
          <cell r="H58">
            <v>2</v>
          </cell>
          <cell r="I58" t="str">
            <v>01-Feb-03  -  31-Jan-04</v>
          </cell>
          <cell r="J58">
            <v>0.40296971520317998</v>
          </cell>
          <cell r="K58">
            <v>0.65546426315768358</v>
          </cell>
          <cell r="L58">
            <v>2.0667082971524282</v>
          </cell>
          <cell r="M58">
            <v>0.97762278806389824</v>
          </cell>
          <cell r="N58">
            <v>0.72007126579210357</v>
          </cell>
          <cell r="O58">
            <v>0.47204400303140875</v>
          </cell>
          <cell r="P58">
            <v>7.3797438802446755E-2</v>
          </cell>
          <cell r="Q58">
            <v>0.11613364510487384</v>
          </cell>
        </row>
        <row r="59">
          <cell r="B59">
            <v>38367</v>
          </cell>
          <cell r="C59">
            <v>39885.632207900999</v>
          </cell>
          <cell r="D59">
            <v>0.44808244570366901</v>
          </cell>
          <cell r="E59">
            <v>49128.415519999995</v>
          </cell>
          <cell r="F59">
            <v>0.55191755429633094</v>
          </cell>
          <cell r="G59">
            <v>89014.047727900994</v>
          </cell>
          <cell r="H59">
            <v>3</v>
          </cell>
          <cell r="I59" t="str">
            <v>01-Feb-04  -  31-Jan-05</v>
          </cell>
          <cell r="J59">
            <v>0.38880688463823299</v>
          </cell>
          <cell r="K59">
            <v>0.63498208092991382</v>
          </cell>
          <cell r="L59">
            <v>2.0075045645649543</v>
          </cell>
          <cell r="M59">
            <v>0.95498277571204293</v>
          </cell>
          <cell r="N59">
            <v>0.718499926158506</v>
          </cell>
          <cell r="O59">
            <v>0.46243456763787238</v>
          </cell>
          <cell r="P59">
            <v>7.2023897220515096E-2</v>
          </cell>
          <cell r="Q59">
            <v>0.1132917653840971</v>
          </cell>
        </row>
        <row r="60">
          <cell r="B60">
            <v>38732</v>
          </cell>
          <cell r="C60">
            <v>37980.064866971996</v>
          </cell>
          <cell r="D60">
            <v>0.42571683283979506</v>
          </cell>
          <cell r="E60">
            <v>51234.31882</v>
          </cell>
          <cell r="F60">
            <v>0.574283167160205</v>
          </cell>
          <cell r="G60">
            <v>89214.383686971996</v>
          </cell>
          <cell r="H60">
            <v>4</v>
          </cell>
          <cell r="I60" t="str">
            <v>01-Feb-05  -  31-Jan-06</v>
          </cell>
          <cell r="J60">
            <v>0.3772841947530447</v>
          </cell>
          <cell r="K60">
            <v>0.61984977161777399</v>
          </cell>
          <cell r="L60">
            <v>1.9603364300148882</v>
          </cell>
          <cell r="M60">
            <v>0.93401701451900099</v>
          </cell>
          <cell r="N60">
            <v>0.71704478860619303</v>
          </cell>
          <cell r="O60">
            <v>0.45297981809242815</v>
          </cell>
          <cell r="P60">
            <v>7.0518580621525495E-2</v>
          </cell>
          <cell r="Q60">
            <v>0.11141541396502383</v>
          </cell>
        </row>
        <row r="61">
          <cell r="B61">
            <v>39097</v>
          </cell>
          <cell r="C61">
            <v>35387.412308765997</v>
          </cell>
          <cell r="D61">
            <v>0.3970042753234776</v>
          </cell>
          <cell r="E61">
            <v>53748.68649</v>
          </cell>
          <cell r="F61">
            <v>0.60299572467652229</v>
          </cell>
          <cell r="G61">
            <v>89136.098798766005</v>
          </cell>
          <cell r="H61">
            <v>5</v>
          </cell>
          <cell r="I61" t="str">
            <v>01-Feb-06  -  31-Jan-07</v>
          </cell>
          <cell r="J61">
            <v>0.36478458572049954</v>
          </cell>
          <cell r="K61">
            <v>0.60170698678503709</v>
          </cell>
          <cell r="L61">
            <v>1.906825386567212</v>
          </cell>
          <cell r="M61">
            <v>0.91399680536883976</v>
          </cell>
          <cell r="N61">
            <v>0.71565527732531609</v>
          </cell>
          <cell r="O61">
            <v>0.44437859773339339</v>
          </cell>
          <cell r="P61">
            <v>6.9069029106824151E-2</v>
          </cell>
          <cell r="Q61">
            <v>0.10912036093575724</v>
          </cell>
        </row>
        <row r="62">
          <cell r="B62">
            <v>39462</v>
          </cell>
          <cell r="C62">
            <v>32720.137315083</v>
          </cell>
          <cell r="D62">
            <v>0.39784252399063447</v>
          </cell>
          <cell r="E62">
            <v>49523.804300000003</v>
          </cell>
          <cell r="F62">
            <v>0.60215747600936553</v>
          </cell>
          <cell r="G62">
            <v>82243.941615083007</v>
          </cell>
          <cell r="H62">
            <v>6</v>
          </cell>
          <cell r="I62" t="str">
            <v>01-Feb-07  -  31-Jan-08</v>
          </cell>
          <cell r="J62">
            <v>0.32213366415863764</v>
          </cell>
          <cell r="K62">
            <v>0.53336816810657839</v>
          </cell>
          <cell r="L62">
            <v>1.6929007217169407</v>
          </cell>
          <cell r="M62">
            <v>0.81499870034698818</v>
          </cell>
          <cell r="N62">
            <v>0.64973860868258804</v>
          </cell>
          <cell r="O62">
            <v>0.39672015232029179</v>
          </cell>
          <cell r="P62">
            <v>6.1549207126685906E-2</v>
          </cell>
          <cell r="Q62">
            <v>9.7100544965137689E-2</v>
          </cell>
        </row>
        <row r="63">
          <cell r="B63">
            <v>39828</v>
          </cell>
          <cell r="C63">
            <v>30166.111462571</v>
          </cell>
          <cell r="D63">
            <v>0.36678825055194225</v>
          </cell>
          <cell r="E63">
            <v>52077.830150000002</v>
          </cell>
          <cell r="F63">
            <v>0.6332117494480578</v>
          </cell>
          <cell r="G63">
            <v>82243.941612570998</v>
          </cell>
          <cell r="H63">
            <v>7</v>
          </cell>
          <cell r="I63" t="str">
            <v>01-Feb-08  -  31-Jan-09</v>
          </cell>
          <cell r="J63">
            <v>0.31872493069968777</v>
          </cell>
          <cell r="K63">
            <v>0.53001163953562314</v>
          </cell>
          <cell r="L63">
            <v>1.6849776642046608</v>
          </cell>
          <cell r="M63">
            <v>0.81354817239021315</v>
          </cell>
          <cell r="N63">
            <v>0.66112528576136065</v>
          </cell>
          <cell r="O63">
            <v>0.39693612949584123</v>
          </cell>
          <cell r="P63">
            <v>6.1365567856643814E-2</v>
          </cell>
          <cell r="Q63">
            <v>9.6259060222543297E-2</v>
          </cell>
        </row>
        <row r="64">
          <cell r="B64">
            <v>40193</v>
          </cell>
          <cell r="C64">
            <v>27227.513957376999</v>
          </cell>
          <cell r="D64">
            <v>0.3310579895034455</v>
          </cell>
          <cell r="E64">
            <v>55016.427649999998</v>
          </cell>
          <cell r="F64">
            <v>0.66894201049655444</v>
          </cell>
          <cell r="G64">
            <v>82243.941607376997</v>
          </cell>
          <cell r="H64">
            <v>8</v>
          </cell>
          <cell r="I64" t="str">
            <v>01-Feb-09  -  31-Jan-10</v>
          </cell>
          <cell r="J64">
            <v>0.30813666761157121</v>
          </cell>
          <cell r="K64">
            <v>0.51435510663220274</v>
          </cell>
          <cell r="L64">
            <v>1.6385102054194056</v>
          </cell>
          <cell r="M64">
            <v>0.79513359179744292</v>
          </cell>
          <cell r="N64">
            <v>0.65776181510069853</v>
          </cell>
          <cell r="O64">
            <v>0.38853969184592041</v>
          </cell>
          <cell r="P64">
            <v>6.0013143471372425E-2</v>
          </cell>
          <cell r="Q64">
            <v>9.4478919516018653E-2</v>
          </cell>
        </row>
        <row r="65">
          <cell r="B65">
            <v>40558</v>
          </cell>
          <cell r="C65">
            <v>24076.676669811</v>
          </cell>
          <cell r="D65">
            <v>0.29274711545365495</v>
          </cell>
          <cell r="E65">
            <v>58167.264940000001</v>
          </cell>
          <cell r="F65">
            <v>0.70725288454634494</v>
          </cell>
          <cell r="G65">
            <v>82243.941609811009</v>
          </cell>
          <cell r="H65">
            <v>9</v>
          </cell>
          <cell r="I65" t="str">
            <v>01-Feb-10  -  31-Jan-11</v>
          </cell>
          <cell r="J65">
            <v>0.29982318771859851</v>
          </cell>
          <cell r="K65">
            <v>0.50185296757178266</v>
          </cell>
          <cell r="L65">
            <v>1.6008196596926039</v>
          </cell>
          <cell r="M65">
            <v>0.77926497194804123</v>
          </cell>
          <cell r="N65">
            <v>0.65697776077948933</v>
          </cell>
          <cell r="O65">
            <v>0.38148543673020435</v>
          </cell>
          <cell r="P65">
            <v>5.880493632701124E-2</v>
          </cell>
          <cell r="Q65">
            <v>9.2733284436702951E-2</v>
          </cell>
        </row>
        <row r="66">
          <cell r="B66">
            <v>40923</v>
          </cell>
          <cell r="C66">
            <v>20556.453983027001</v>
          </cell>
          <cell r="D66">
            <v>0.24994490265616742</v>
          </cell>
          <cell r="E66">
            <v>61687.487639999999</v>
          </cell>
          <cell r="F66">
            <v>0.75005509734383258</v>
          </cell>
          <cell r="G66">
            <v>82243.941623027</v>
          </cell>
          <cell r="H66">
            <v>10</v>
          </cell>
          <cell r="I66" t="str">
            <v>01-Feb-11  -  31-Jan-12</v>
          </cell>
          <cell r="J66">
            <v>0.29136276364233116</v>
          </cell>
          <cell r="K66">
            <v>0.49009599366361617</v>
          </cell>
          <cell r="L66">
            <v>1.5635630864729946</v>
          </cell>
          <cell r="M66">
            <v>0.76176624870881682</v>
          </cell>
          <cell r="N66">
            <v>0.65421208556788524</v>
          </cell>
          <cell r="O66">
            <v>0.37367435483216677</v>
          </cell>
          <cell r="P66">
            <v>5.7515938515008434E-2</v>
          </cell>
          <cell r="Q66">
            <v>9.0880483625336073E-2</v>
          </cell>
        </row>
        <row r="67">
          <cell r="B67">
            <v>41289</v>
          </cell>
          <cell r="C67">
            <v>16827.848901207002</v>
          </cell>
          <cell r="D67">
            <v>0.20460897872224376</v>
          </cell>
          <cell r="E67">
            <v>65416.092720000001</v>
          </cell>
          <cell r="F67">
            <v>0.79539102127775618</v>
          </cell>
          <cell r="G67">
            <v>82243.941621207006</v>
          </cell>
          <cell r="H67">
            <v>11</v>
          </cell>
          <cell r="I67" t="str">
            <v>01-Feb-12  -  31-Jan-13</v>
          </cell>
          <cell r="J67">
            <v>0.28209974340138116</v>
          </cell>
          <cell r="K67">
            <v>0.47684544384328181</v>
          </cell>
          <cell r="L67">
            <v>1.5215884695174267</v>
          </cell>
          <cell r="M67">
            <v>0.74213456535761502</v>
          </cell>
          <cell r="N67">
            <v>0.65378745725958898</v>
          </cell>
          <cell r="O67">
            <v>0.36797870312225256</v>
          </cell>
          <cell r="P67">
            <v>5.6007316584655395E-2</v>
          </cell>
          <cell r="Q67">
            <v>8.807366825884666E-2</v>
          </cell>
        </row>
        <row r="68">
          <cell r="B68">
            <v>41654</v>
          </cell>
          <cell r="C68">
            <v>12874.799200213001</v>
          </cell>
          <cell r="D68">
            <v>0.15654404383038734</v>
          </cell>
          <cell r="E68">
            <v>69369.14241</v>
          </cell>
          <cell r="F68">
            <v>0.84345595616961266</v>
          </cell>
          <cell r="G68">
            <v>82243.941610213005</v>
          </cell>
          <cell r="H68">
            <v>12</v>
          </cell>
          <cell r="I68" t="str">
            <v>01-Feb-13  -  31-Jan-14</v>
          </cell>
          <cell r="J68">
            <v>0.27420335473521612</v>
          </cell>
          <cell r="K68">
            <v>0.46605446765585168</v>
          </cell>
          <cell r="L68">
            <v>1.4872879510326622</v>
          </cell>
          <cell r="M68">
            <v>0.72552445419977707</v>
          </cell>
          <cell r="N68">
            <v>0.65350935672859345</v>
          </cell>
          <cell r="O68">
            <v>0.36267582501388756</v>
          </cell>
          <cell r="P68">
            <v>5.4777027079702431E-2</v>
          </cell>
          <cell r="Q68">
            <v>8.6374255364452146E-2</v>
          </cell>
        </row>
        <row r="69">
          <cell r="B69">
            <v>42019</v>
          </cell>
          <cell r="C69">
            <v>8512.6931518750025</v>
          </cell>
          <cell r="D69">
            <v>0.10350541309186014</v>
          </cell>
          <cell r="E69">
            <v>73731.248470000006</v>
          </cell>
          <cell r="F69">
            <v>0.89649458690813977</v>
          </cell>
          <cell r="G69">
            <v>82243.941621875012</v>
          </cell>
          <cell r="H69">
            <v>13</v>
          </cell>
          <cell r="I69" t="str">
            <v>01-Feb-14  -  31-Jan-15</v>
          </cell>
          <cell r="J69">
            <v>0.26585130391578937</v>
          </cell>
          <cell r="K69">
            <v>0.45437695277989759</v>
          </cell>
          <cell r="L69">
            <v>1.4500556015390464</v>
          </cell>
          <cell r="M69">
            <v>0.70713210046110286</v>
          </cell>
          <cell r="N69">
            <v>0.65148734064325864</v>
          </cell>
          <cell r="O69">
            <v>0.35654834470842756</v>
          </cell>
          <cell r="P69">
            <v>5.3383574013874967E-2</v>
          </cell>
          <cell r="Q69">
            <v>8.4024852913816575E-2</v>
          </cell>
        </row>
        <row r="70">
          <cell r="B70">
            <v>42384</v>
          </cell>
          <cell r="C70">
            <v>3831.5824262500028</v>
          </cell>
          <cell r="D70">
            <v>4.6588020362570114E-2</v>
          </cell>
          <cell r="E70">
            <v>78412.359179999999</v>
          </cell>
          <cell r="F70">
            <v>0.95341197963742985</v>
          </cell>
          <cell r="G70">
            <v>82243.941606250009</v>
          </cell>
          <cell r="H70">
            <v>14</v>
          </cell>
          <cell r="I70" t="str">
            <v>01-Feb-15  -  31-Jan-16</v>
          </cell>
          <cell r="J70">
            <v>0.25805846944610605</v>
          </cell>
          <cell r="K70">
            <v>0.44316132341572689</v>
          </cell>
          <cell r="L70">
            <v>1.4149056881481965</v>
          </cell>
          <cell r="M70">
            <v>0.69041569766983069</v>
          </cell>
          <cell r="N70">
            <v>0.65067616036023568</v>
          </cell>
          <cell r="O70">
            <v>0.35121887190434126</v>
          </cell>
          <cell r="P70">
            <v>5.2111323635035255E-2</v>
          </cell>
          <cell r="Q70">
            <v>8.2046318466812734E-2</v>
          </cell>
        </row>
        <row r="71">
          <cell r="B71">
            <v>42750</v>
          </cell>
          <cell r="C71">
            <v>0</v>
          </cell>
          <cell r="D71">
            <v>0</v>
          </cell>
          <cell r="E71">
            <v>-1.0103176161646844E-5</v>
          </cell>
          <cell r="F71">
            <v>1</v>
          </cell>
          <cell r="G71">
            <v>-1.0103176161646844E-5</v>
          </cell>
          <cell r="H71">
            <v>15</v>
          </cell>
          <cell r="I71" t="str">
            <v>01-Feb-16  -  31-Jan-17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3">
          <cell r="B73" t="str">
            <v>Total</v>
          </cell>
          <cell r="C73">
            <v>372070.86858044763</v>
          </cell>
          <cell r="E73">
            <v>797334.89656989684</v>
          </cell>
          <cell r="G73">
            <v>1169405.7651604479</v>
          </cell>
          <cell r="I73" t="str">
            <v>Average</v>
          </cell>
          <cell r="J73" t="str">
            <v>0.327¢</v>
          </cell>
          <cell r="K73" t="str">
            <v>0.544¢</v>
          </cell>
          <cell r="L73" t="str">
            <v>$1.718</v>
          </cell>
          <cell r="M73" t="str">
            <v>0.829¢</v>
          </cell>
          <cell r="N73" t="str">
            <v>0.677¢</v>
          </cell>
          <cell r="O73" t="str">
            <v>0.407¢</v>
          </cell>
          <cell r="P73" t="str">
            <v>0.063¢</v>
          </cell>
          <cell r="Q73" t="str">
            <v>0.099¢</v>
          </cell>
        </row>
        <row r="74">
          <cell r="D74">
            <v>1</v>
          </cell>
          <cell r="E74">
            <v>2</v>
          </cell>
          <cell r="F74">
            <v>3</v>
          </cell>
          <cell r="G74">
            <v>4</v>
          </cell>
          <cell r="H74">
            <v>5</v>
          </cell>
          <cell r="I74">
            <v>6</v>
          </cell>
        </row>
        <row r="76">
          <cell r="C76" t="str">
            <v xml:space="preserve">Assumed Base Case Annual Sales &amp; Demand (gWh &amp; MW)      </v>
          </cell>
          <cell r="N76" t="str">
            <v>Periodic Billing Requirements</v>
          </cell>
        </row>
        <row r="77">
          <cell r="D77">
            <v>1</v>
          </cell>
          <cell r="E77">
            <v>2</v>
          </cell>
          <cell r="F77">
            <v>3</v>
          </cell>
          <cell r="G77">
            <v>4</v>
          </cell>
          <cell r="H77">
            <v>5</v>
          </cell>
          <cell r="I77">
            <v>6</v>
          </cell>
          <cell r="J77">
            <v>7</v>
          </cell>
          <cell r="K77">
            <v>8</v>
          </cell>
        </row>
        <row r="78">
          <cell r="D78" t="str">
            <v>Residential</v>
          </cell>
          <cell r="E78" t="str">
            <v>C&amp;I: Energy</v>
          </cell>
          <cell r="F78" t="str">
            <v>C&amp;I: Demand</v>
          </cell>
          <cell r="G78" t="str">
            <v>LI: Firm</v>
          </cell>
          <cell r="H78" t="str">
            <v>LI: Non-Firm</v>
          </cell>
          <cell r="I78" t="str">
            <v>M&amp;CG</v>
          </cell>
          <cell r="J78" t="str">
            <v>Firm Standby</v>
          </cell>
          <cell r="K78" t="str">
            <v>Non-Firm Standby</v>
          </cell>
          <cell r="P78" t="str">
            <v>Periodic</v>
          </cell>
        </row>
        <row r="79">
          <cell r="M79" t="str">
            <v>TC</v>
          </cell>
          <cell r="N79" t="str">
            <v>Period</v>
          </cell>
          <cell r="O79" t="str">
            <v>Period</v>
          </cell>
          <cell r="P79" t="str">
            <v xml:space="preserve">Billing </v>
          </cell>
        </row>
        <row r="80">
          <cell r="C80" t="str">
            <v>Year</v>
          </cell>
          <cell r="M80" t="str">
            <v>Period</v>
          </cell>
          <cell r="N80" t="str">
            <v>Beginning</v>
          </cell>
          <cell r="O80" t="str">
            <v>Ending</v>
          </cell>
          <cell r="P80" t="str">
            <v>Requirement</v>
          </cell>
        </row>
        <row r="81">
          <cell r="C81">
            <v>2002</v>
          </cell>
          <cell r="D81">
            <v>7336.4063094555431</v>
          </cell>
          <cell r="E81">
            <v>2603.1692278467208</v>
          </cell>
          <cell r="F81">
            <v>10898.526612389325</v>
          </cell>
          <cell r="G81">
            <v>3696.1704492505178</v>
          </cell>
          <cell r="H81">
            <v>3424.4389404993249</v>
          </cell>
          <cell r="I81">
            <v>444.87067381138246</v>
          </cell>
          <cell r="J81">
            <v>15605.485192203905</v>
          </cell>
          <cell r="K81">
            <v>2626.8208232055654</v>
          </cell>
          <cell r="M81">
            <v>1</v>
          </cell>
          <cell r="N81">
            <v>37294</v>
          </cell>
          <cell r="O81">
            <v>37652</v>
          </cell>
          <cell r="P81">
            <v>87778.480632739956</v>
          </cell>
        </row>
        <row r="82">
          <cell r="C82">
            <v>2003</v>
          </cell>
          <cell r="D82">
            <v>8489.5863929999996</v>
          </cell>
          <cell r="E82">
            <v>3038.6391870000002</v>
          </cell>
          <cell r="F82">
            <v>12042.955256885896</v>
          </cell>
          <cell r="G82">
            <v>4241.3559868648417</v>
          </cell>
          <cell r="H82">
            <v>3929.5440644909645</v>
          </cell>
          <cell r="I82">
            <v>505.83129600000001</v>
          </cell>
          <cell r="J82">
            <v>17808.712444010522</v>
          </cell>
          <cell r="K82">
            <v>3057.9158899949739</v>
          </cell>
          <cell r="N82">
            <v>37653</v>
          </cell>
          <cell r="O82">
            <v>38017</v>
          </cell>
          <cell r="P82">
            <v>90166.590964858071</v>
          </cell>
        </row>
        <row r="83">
          <cell r="C83">
            <v>2004</v>
          </cell>
          <cell r="D83">
            <v>8775.7840940000006</v>
          </cell>
          <cell r="E83">
            <v>3125.608354</v>
          </cell>
          <cell r="F83">
            <v>12362.105027321295</v>
          </cell>
          <cell r="G83">
            <v>4336.1207928831418</v>
          </cell>
          <cell r="H83">
            <v>4017.3420443863406</v>
          </cell>
          <cell r="I83">
            <v>515.87187200000005</v>
          </cell>
          <cell r="J83">
            <v>18224.55275615631</v>
          </cell>
          <cell r="K83">
            <v>3130.9723638211526</v>
          </cell>
          <cell r="M83">
            <v>2</v>
          </cell>
          <cell r="N83">
            <v>38018</v>
          </cell>
          <cell r="O83">
            <v>38383</v>
          </cell>
          <cell r="P83">
            <v>90166.590964858071</v>
          </cell>
        </row>
        <row r="84">
          <cell r="C84">
            <v>2005</v>
          </cell>
          <cell r="D84">
            <v>9061.9817949999997</v>
          </cell>
          <cell r="E84">
            <v>3212.1534710000001</v>
          </cell>
          <cell r="F84">
            <v>12683.696288126239</v>
          </cell>
          <cell r="G84">
            <v>4426.5624628374871</v>
          </cell>
          <cell r="H84">
            <v>4101.1347134203761</v>
          </cell>
          <cell r="I84">
            <v>525.97510199999999</v>
          </cell>
          <cell r="J84">
            <v>18586.871121874337</v>
          </cell>
          <cell r="K84">
            <v>3179.4523603758598</v>
          </cell>
          <cell r="M84">
            <v>3</v>
          </cell>
          <cell r="N84">
            <v>38384</v>
          </cell>
          <cell r="O84">
            <v>38748</v>
          </cell>
          <cell r="P84">
            <v>90166.590986957963</v>
          </cell>
        </row>
        <row r="85">
          <cell r="C85">
            <v>2006</v>
          </cell>
          <cell r="D85">
            <v>9348.1794960000007</v>
          </cell>
          <cell r="E85">
            <v>3299.1724899999999</v>
          </cell>
          <cell r="F85">
            <v>13008.306297362627</v>
          </cell>
          <cell r="G85">
            <v>4519.3115349826858</v>
          </cell>
          <cell r="H85">
            <v>4187.0651525663779</v>
          </cell>
          <cell r="I85">
            <v>535.90121299999998</v>
          </cell>
          <cell r="J85">
            <v>18959.96296858865</v>
          </cell>
          <cell r="K85">
            <v>3243.523989415497</v>
          </cell>
          <cell r="M85">
            <v>4</v>
          </cell>
          <cell r="N85">
            <v>38749</v>
          </cell>
          <cell r="O85">
            <v>39113</v>
          </cell>
          <cell r="P85">
            <v>90166.590997714506</v>
          </cell>
        </row>
        <row r="86">
          <cell r="C86">
            <v>2007</v>
          </cell>
          <cell r="D86">
            <v>9634.3771959999995</v>
          </cell>
          <cell r="E86">
            <v>3385.6430759999998</v>
          </cell>
          <cell r="F86">
            <v>13329.372632405481</v>
          </cell>
          <cell r="G86">
            <v>4612.0914907346241</v>
          </cell>
          <cell r="H86">
            <v>4273.0241993320269</v>
          </cell>
          <cell r="I86">
            <v>545.84481000000005</v>
          </cell>
          <cell r="J86">
            <v>19358.357873690646</v>
          </cell>
          <cell r="K86">
            <v>3315.9808588235751</v>
          </cell>
          <cell r="M86">
            <v>5</v>
          </cell>
          <cell r="N86">
            <v>39114</v>
          </cell>
          <cell r="O86">
            <v>39478</v>
          </cell>
          <cell r="P86">
            <v>82003.768278997726</v>
          </cell>
        </row>
        <row r="87">
          <cell r="C87">
            <v>2008</v>
          </cell>
          <cell r="D87">
            <v>9920.5748999999996</v>
          </cell>
          <cell r="E87">
            <v>3472.3028479999998</v>
          </cell>
          <cell r="F87">
            <v>13648.131541736857</v>
          </cell>
          <cell r="G87">
            <v>4708.6230062478235</v>
          </cell>
          <cell r="H87">
            <v>4362.4590018431682</v>
          </cell>
          <cell r="I87">
            <v>555.70495900000003</v>
          </cell>
          <cell r="J87">
            <v>19786.329919315805</v>
          </cell>
          <cell r="K87">
            <v>3408.5751171608617</v>
          </cell>
          <cell r="M87">
            <v>6</v>
          </cell>
          <cell r="N87">
            <v>39479</v>
          </cell>
          <cell r="O87">
            <v>39844</v>
          </cell>
          <cell r="P87">
            <v>83591.844102438452</v>
          </cell>
        </row>
        <row r="88">
          <cell r="C88">
            <v>2009</v>
          </cell>
          <cell r="D88">
            <v>10206.772598</v>
          </cell>
          <cell r="E88">
            <v>3559.2489270000001</v>
          </cell>
          <cell r="F88">
            <v>13966.660406292893</v>
          </cell>
          <cell r="G88">
            <v>4798.8348651856659</v>
          </cell>
          <cell r="H88">
            <v>4446.0387492040618</v>
          </cell>
          <cell r="I88">
            <v>565.68006300000002</v>
          </cell>
          <cell r="J88">
            <v>20152.69235922394</v>
          </cell>
          <cell r="K88">
            <v>3459.073766878726</v>
          </cell>
          <cell r="M88">
            <v>7</v>
          </cell>
          <cell r="N88">
            <v>39845</v>
          </cell>
          <cell r="O88">
            <v>40209</v>
          </cell>
          <cell r="P88">
            <v>83303.547958837997</v>
          </cell>
        </row>
        <row r="89">
          <cell r="C89">
            <v>2010</v>
          </cell>
          <cell r="D89">
            <v>10492.970300000001</v>
          </cell>
          <cell r="E89">
            <v>3645.9258340000001</v>
          </cell>
          <cell r="F89">
            <v>14286.103719644771</v>
          </cell>
          <cell r="G89">
            <v>4891.5532109440228</v>
          </cell>
          <cell r="H89">
            <v>4531.9407240741502</v>
          </cell>
          <cell r="I89">
            <v>575.74130300000002</v>
          </cell>
          <cell r="J89">
            <v>20548.153932585057</v>
          </cell>
          <cell r="K89">
            <v>3521.3546145515597</v>
          </cell>
          <cell r="M89">
            <v>8</v>
          </cell>
          <cell r="N89">
            <v>40210</v>
          </cell>
          <cell r="O89">
            <v>40574</v>
          </cell>
          <cell r="P89">
            <v>83347.417243321499</v>
          </cell>
        </row>
        <row r="90">
          <cell r="C90">
            <v>2011</v>
          </cell>
          <cell r="D90">
            <v>10779.168</v>
          </cell>
          <cell r="E90">
            <v>3732.5259230000001</v>
          </cell>
          <cell r="F90">
            <v>14608.588987343261</v>
          </cell>
          <cell r="G90">
            <v>4983.9133371863709</v>
          </cell>
          <cell r="H90">
            <v>4617.5108066290204</v>
          </cell>
          <cell r="I90">
            <v>585.84966899999995</v>
          </cell>
          <cell r="J90">
            <v>20926.783701169621</v>
          </cell>
          <cell r="K90">
            <v>3579.4540428397195</v>
          </cell>
          <cell r="M90">
            <v>9</v>
          </cell>
          <cell r="N90">
            <v>40575</v>
          </cell>
          <cell r="O90">
            <v>40939</v>
          </cell>
          <cell r="P90">
            <v>83132.982433755998</v>
          </cell>
        </row>
        <row r="91">
          <cell r="C91">
            <v>2012</v>
          </cell>
          <cell r="D91">
            <v>11117.5942</v>
          </cell>
          <cell r="E91">
            <v>3827.7784430000002</v>
          </cell>
          <cell r="F91">
            <v>14987.326684324948</v>
          </cell>
          <cell r="G91">
            <v>5115.4221767267964</v>
          </cell>
          <cell r="H91">
            <v>4739.3514958693913</v>
          </cell>
          <cell r="I91">
            <v>595.15952500000003</v>
          </cell>
          <cell r="J91">
            <v>21491.08727936694</v>
          </cell>
          <cell r="K91">
            <v>3693.9745649219367</v>
          </cell>
          <cell r="M91">
            <v>10</v>
          </cell>
          <cell r="N91">
            <v>40940</v>
          </cell>
          <cell r="O91">
            <v>41305</v>
          </cell>
          <cell r="P91">
            <v>83262.64223069229</v>
          </cell>
        </row>
        <row r="92">
          <cell r="C92">
            <v>2013</v>
          </cell>
          <cell r="D92">
            <v>11456.020399999999</v>
          </cell>
          <cell r="E92">
            <v>3922.5703020000001</v>
          </cell>
          <cell r="F92">
            <v>15357.48732110795</v>
          </cell>
          <cell r="G92">
            <v>5241.7728530063587</v>
          </cell>
          <cell r="H92">
            <v>4856.4132435190413</v>
          </cell>
          <cell r="I92">
            <v>604.49259800000004</v>
          </cell>
          <cell r="J92">
            <v>22009.144803295578</v>
          </cell>
          <cell r="K92">
            <v>3772.1721078842033</v>
          </cell>
          <cell r="M92">
            <v>11</v>
          </cell>
          <cell r="N92">
            <v>41306</v>
          </cell>
          <cell r="O92">
            <v>41670</v>
          </cell>
          <cell r="P92">
            <v>83383.573331749649</v>
          </cell>
        </row>
        <row r="93">
          <cell r="C93">
            <v>2014</v>
          </cell>
          <cell r="D93">
            <v>11794.446601</v>
          </cell>
          <cell r="E93">
            <v>4017.7333789999998</v>
          </cell>
          <cell r="F93">
            <v>15730.060182989284</v>
          </cell>
          <cell r="G93">
            <v>5371.408476929766</v>
          </cell>
          <cell r="H93">
            <v>4976.5184518793722</v>
          </cell>
          <cell r="I93">
            <v>613.79401299999995</v>
          </cell>
          <cell r="J93">
            <v>22552.912923446074</v>
          </cell>
          <cell r="K93">
            <v>3871.9834081122235</v>
          </cell>
          <cell r="M93">
            <v>12</v>
          </cell>
          <cell r="N93">
            <v>41671</v>
          </cell>
          <cell r="O93">
            <v>42035</v>
          </cell>
          <cell r="P93">
            <v>83280.511179477558</v>
          </cell>
        </row>
        <row r="94">
          <cell r="C94">
            <v>2015</v>
          </cell>
          <cell r="D94">
            <v>12132.872799999999</v>
          </cell>
          <cell r="E94">
            <v>4113.0995890000004</v>
          </cell>
          <cell r="F94">
            <v>16101.910875744679</v>
          </cell>
          <cell r="G94">
            <v>5500.4080420421406</v>
          </cell>
          <cell r="H94">
            <v>5096.0343543260733</v>
          </cell>
          <cell r="I94">
            <v>623.17754300000001</v>
          </cell>
          <cell r="J94">
            <v>23098.713330014973</v>
          </cell>
          <cell r="K94">
            <v>3964.4792950006477</v>
          </cell>
          <cell r="M94">
            <v>13</v>
          </cell>
          <cell r="N94">
            <v>42036</v>
          </cell>
          <cell r="O94">
            <v>42400</v>
          </cell>
          <cell r="P94">
            <v>83328.762382072237</v>
          </cell>
        </row>
        <row r="95">
          <cell r="C95">
            <v>2016</v>
          </cell>
          <cell r="D95">
            <v>12471.298999000001</v>
          </cell>
          <cell r="E95">
            <v>4208.1640889999999</v>
          </cell>
          <cell r="F95">
            <v>16477.232195260596</v>
          </cell>
          <cell r="G95">
            <v>5631.9079780977891</v>
          </cell>
          <cell r="H95">
            <v>5217.8667943738437</v>
          </cell>
          <cell r="I95">
            <v>632.80455700000005</v>
          </cell>
          <cell r="J95">
            <v>23667.701616516977</v>
          </cell>
          <cell r="K95">
            <v>4062.2481353128383</v>
          </cell>
          <cell r="M95">
            <v>14</v>
          </cell>
          <cell r="N95">
            <v>42401</v>
          </cell>
          <cell r="O95">
            <v>42766</v>
          </cell>
          <cell r="P95">
            <v>0</v>
          </cell>
        </row>
        <row r="96">
          <cell r="M96" t="str">
            <v>15</v>
          </cell>
          <cell r="N96">
            <v>42767</v>
          </cell>
          <cell r="O96">
            <v>43131</v>
          </cell>
          <cell r="P96">
            <v>0</v>
          </cell>
        </row>
      </sheetData>
      <sheetData sheetId="15">
        <row r="1">
          <cell r="A1" t="str">
            <v>Central Power &amp; Light: Semi-Annual Debt Service*</v>
          </cell>
        </row>
        <row r="2">
          <cell r="A2" t="str">
            <v>$797.3 Million Issuance: Base Case</v>
          </cell>
        </row>
        <row r="3">
          <cell r="A3" t="str">
            <v/>
          </cell>
        </row>
        <row r="47">
          <cell r="A47" t="str">
            <v>Central Power &amp; Light: Semi-Annual Debt Service*</v>
          </cell>
        </row>
        <row r="48">
          <cell r="A48" t="str">
            <v>$797.3 Million Issuance: Base Case</v>
          </cell>
        </row>
        <row r="49">
          <cell r="A49" t="str">
            <v/>
          </cell>
        </row>
        <row r="51">
          <cell r="A51" t="str">
            <v>Indicative Semi-Annual Debt Service (000s)</v>
          </cell>
        </row>
        <row r="53">
          <cell r="C53" t="str">
            <v>Servicing</v>
          </cell>
          <cell r="G53" t="str">
            <v xml:space="preserve">Expected </v>
          </cell>
          <cell r="H53" t="str">
            <v>Actual</v>
          </cell>
          <cell r="J53" t="str">
            <v xml:space="preserve">Expected </v>
          </cell>
          <cell r="K53" t="str">
            <v>Actual</v>
          </cell>
          <cell r="M53" t="str">
            <v>Reserve</v>
          </cell>
        </row>
        <row r="54">
          <cell r="C54" t="str">
            <v xml:space="preserve">Fees and </v>
          </cell>
          <cell r="G54" t="str">
            <v>Capital Account</v>
          </cell>
          <cell r="H54" t="str">
            <v>Capital Account</v>
          </cell>
          <cell r="J54" t="str">
            <v>O/C Account</v>
          </cell>
          <cell r="K54" t="str">
            <v>O/C Account</v>
          </cell>
          <cell r="M54" t="str">
            <v>Account</v>
          </cell>
        </row>
        <row r="55">
          <cell r="A55" t="str">
            <v>Date</v>
          </cell>
          <cell r="B55" t="str">
            <v>Collections</v>
          </cell>
          <cell r="C55" t="str">
            <v>Expenses</v>
          </cell>
          <cell r="D55" t="str">
            <v>Interest</v>
          </cell>
          <cell r="E55" t="str">
            <v>Principal</v>
          </cell>
          <cell r="F55" t="str">
            <v>Total</v>
          </cell>
          <cell r="G55" t="str">
            <v>Balance</v>
          </cell>
          <cell r="H55" t="str">
            <v>Balance</v>
          </cell>
          <cell r="I55" t="str">
            <v>Shortfall</v>
          </cell>
          <cell r="J55" t="str">
            <v>Balance</v>
          </cell>
          <cell r="K55" t="str">
            <v>Balance</v>
          </cell>
          <cell r="L55" t="str">
            <v>Shortfall</v>
          </cell>
          <cell r="M55" t="str">
            <v>Balance</v>
          </cell>
        </row>
        <row r="56">
          <cell r="A56" t="str">
            <v>\</v>
          </cell>
        </row>
        <row r="57">
          <cell r="A57">
            <v>37636</v>
          </cell>
          <cell r="B57">
            <v>73049.399568201916</v>
          </cell>
          <cell r="C57">
            <v>518.66744849999998</v>
          </cell>
          <cell r="D57">
            <v>40429.266616432637</v>
          </cell>
          <cell r="E57">
            <v>31816.703030000001</v>
          </cell>
          <cell r="F57">
            <v>72764.637094932637</v>
          </cell>
          <cell r="G57">
            <v>3986.674485</v>
          </cell>
          <cell r="H57">
            <v>3986.674485</v>
          </cell>
          <cell r="I57">
            <v>0</v>
          </cell>
          <cell r="J57">
            <v>284.76246321428573</v>
          </cell>
          <cell r="K57">
            <v>284.76246321428573</v>
          </cell>
          <cell r="L57">
            <v>0</v>
          </cell>
          <cell r="M57">
            <v>1.0054982674773783E-5</v>
          </cell>
        </row>
        <row r="58">
          <cell r="A58">
            <v>37817</v>
          </cell>
          <cell r="B58">
            <v>40565.013842821027</v>
          </cell>
          <cell r="C58">
            <v>259.33372424999999</v>
          </cell>
          <cell r="D58">
            <v>20967.223027841999</v>
          </cell>
          <cell r="E58">
            <v>19196.075860000001</v>
          </cell>
          <cell r="F58">
            <v>40422.632612091998</v>
          </cell>
          <cell r="G58">
            <v>3986.674485</v>
          </cell>
          <cell r="H58">
            <v>3986.674485</v>
          </cell>
          <cell r="I58">
            <v>0</v>
          </cell>
          <cell r="J58">
            <v>427.1436948214286</v>
          </cell>
          <cell r="K58">
            <v>427.1436948214286</v>
          </cell>
          <cell r="L58">
            <v>0</v>
          </cell>
          <cell r="M58">
            <v>9.1768683632835738E-6</v>
          </cell>
        </row>
        <row r="59">
          <cell r="A59">
            <v>38001</v>
          </cell>
          <cell r="B59">
            <v>49838.206851601157</v>
          </cell>
          <cell r="C59">
            <v>259.33372424999999</v>
          </cell>
          <cell r="D59">
            <v>20627.452485119997</v>
          </cell>
          <cell r="E59">
            <v>28809.039399999998</v>
          </cell>
          <cell r="F59">
            <v>49695.825609369989</v>
          </cell>
          <cell r="G59">
            <v>3986.674485</v>
          </cell>
          <cell r="H59">
            <v>3986.674485</v>
          </cell>
          <cell r="I59">
            <v>0</v>
          </cell>
          <cell r="J59">
            <v>569.52492642857146</v>
          </cell>
          <cell r="K59">
            <v>569.52492642857146</v>
          </cell>
          <cell r="L59">
            <v>0</v>
          </cell>
          <cell r="M59">
            <v>1.9800885929726064E-5</v>
          </cell>
        </row>
        <row r="60">
          <cell r="A60">
            <v>38183</v>
          </cell>
          <cell r="B60">
            <v>40261.211714532947</v>
          </cell>
          <cell r="C60">
            <v>259.33372424999999</v>
          </cell>
          <cell r="D60">
            <v>20117.532487739998</v>
          </cell>
          <cell r="E60">
            <v>19741.96427</v>
          </cell>
          <cell r="F60">
            <v>40118.830481989993</v>
          </cell>
          <cell r="G60">
            <v>3986.674485</v>
          </cell>
          <cell r="H60">
            <v>3986.674485</v>
          </cell>
          <cell r="I60">
            <v>0</v>
          </cell>
          <cell r="J60">
            <v>711.90615803571427</v>
          </cell>
          <cell r="K60">
            <v>711.90615803571427</v>
          </cell>
          <cell r="L60">
            <v>0</v>
          </cell>
          <cell r="M60">
            <v>2.073669375386089E-5</v>
          </cell>
        </row>
        <row r="61">
          <cell r="A61">
            <v>38367</v>
          </cell>
          <cell r="B61">
            <v>49556.265937354889</v>
          </cell>
          <cell r="C61">
            <v>259.33372424999999</v>
          </cell>
          <cell r="D61">
            <v>19768.099720160997</v>
          </cell>
          <cell r="E61">
            <v>29386.451249999998</v>
          </cell>
          <cell r="F61">
            <v>49413.884694410997</v>
          </cell>
          <cell r="G61">
            <v>3986.674485</v>
          </cell>
          <cell r="H61">
            <v>3986.674485</v>
          </cell>
          <cell r="I61">
            <v>0</v>
          </cell>
          <cell r="J61">
            <v>854.28738964285708</v>
          </cell>
          <cell r="K61">
            <v>854.28738964285708</v>
          </cell>
          <cell r="L61">
            <v>0</v>
          </cell>
          <cell r="M61">
            <v>3.2073445036076007E-5</v>
          </cell>
        </row>
        <row r="62">
          <cell r="A62">
            <v>38548</v>
          </cell>
          <cell r="B62">
            <v>40242.656501758371</v>
          </cell>
          <cell r="C62">
            <v>259.33372424999999</v>
          </cell>
          <cell r="D62">
            <v>19247.959533036003</v>
          </cell>
          <cell r="E62">
            <v>20592.982</v>
          </cell>
          <cell r="F62">
            <v>40100.275257286004</v>
          </cell>
          <cell r="G62">
            <v>3986.674485</v>
          </cell>
          <cell r="H62">
            <v>3986.674485</v>
          </cell>
          <cell r="I62">
            <v>0</v>
          </cell>
          <cell r="J62">
            <v>996.66862125</v>
          </cell>
          <cell r="K62">
            <v>996.66862125</v>
          </cell>
          <cell r="L62">
            <v>0</v>
          </cell>
          <cell r="M62">
            <v>4.4938679202459753E-5</v>
          </cell>
        </row>
        <row r="63">
          <cell r="A63">
            <v>38732</v>
          </cell>
          <cell r="B63">
            <v>49775.157122054734</v>
          </cell>
          <cell r="C63">
            <v>259.33372424999999</v>
          </cell>
          <cell r="D63">
            <v>18732.105333935997</v>
          </cell>
          <cell r="E63">
            <v>30641.33682</v>
          </cell>
          <cell r="F63">
            <v>49632.775878185996</v>
          </cell>
          <cell r="G63">
            <v>3986.674485</v>
          </cell>
          <cell r="H63">
            <v>3986.674485</v>
          </cell>
          <cell r="I63">
            <v>0</v>
          </cell>
          <cell r="J63">
            <v>1139.0498528571429</v>
          </cell>
          <cell r="K63">
            <v>1139.0498528571429</v>
          </cell>
          <cell r="L63">
            <v>0</v>
          </cell>
          <cell r="M63">
            <v>5.7200267212465406E-5</v>
          </cell>
        </row>
        <row r="64">
          <cell r="A64">
            <v>38913</v>
          </cell>
          <cell r="B64">
            <v>39989.703286148753</v>
          </cell>
          <cell r="C64">
            <v>259.33372424999999</v>
          </cell>
          <cell r="D64">
            <v>17964.539846595002</v>
          </cell>
          <cell r="E64">
            <v>21623.448479999999</v>
          </cell>
          <cell r="F64">
            <v>39847.322050845003</v>
          </cell>
          <cell r="G64">
            <v>3986.674485</v>
          </cell>
          <cell r="H64">
            <v>3986.674485</v>
          </cell>
          <cell r="I64">
            <v>0</v>
          </cell>
          <cell r="J64">
            <v>1281.4310844642857</v>
          </cell>
          <cell r="K64">
            <v>1281.4310844642857</v>
          </cell>
          <cell r="L64">
            <v>0</v>
          </cell>
          <cell r="M64">
            <v>6.0896880226209759E-5</v>
          </cell>
        </row>
        <row r="65">
          <cell r="A65">
            <v>39097</v>
          </cell>
          <cell r="B65">
            <v>49949.825442536523</v>
          </cell>
          <cell r="C65">
            <v>259.33372424999999</v>
          </cell>
          <cell r="D65">
            <v>17422.872462170999</v>
          </cell>
          <cell r="E65">
            <v>32125.238010000001</v>
          </cell>
          <cell r="F65">
            <v>49807.444196420998</v>
          </cell>
          <cell r="G65">
            <v>3986.674485</v>
          </cell>
          <cell r="H65">
            <v>3986.674485</v>
          </cell>
          <cell r="I65">
            <v>0</v>
          </cell>
          <cell r="J65">
            <v>1423.8123160714285</v>
          </cell>
          <cell r="K65">
            <v>1423.8123160714285</v>
          </cell>
          <cell r="L65">
            <v>0</v>
          </cell>
          <cell r="M65">
            <v>7.5405265437439078E-5</v>
          </cell>
        </row>
        <row r="66">
          <cell r="A66">
            <v>39278</v>
          </cell>
          <cell r="B66">
            <v>37623.969380777591</v>
          </cell>
          <cell r="C66">
            <v>259.33372424999999</v>
          </cell>
          <cell r="D66">
            <v>16618.135250020499</v>
          </cell>
          <cell r="E66">
            <v>20604.119159999998</v>
          </cell>
          <cell r="F66">
            <v>37481.588134270496</v>
          </cell>
          <cell r="G66">
            <v>3986.674485</v>
          </cell>
          <cell r="H66">
            <v>3986.674485</v>
          </cell>
          <cell r="I66">
            <v>0</v>
          </cell>
          <cell r="J66">
            <v>1566.1935476785713</v>
          </cell>
          <cell r="K66">
            <v>1566.1935476785713</v>
          </cell>
          <cell r="L66">
            <v>0</v>
          </cell>
          <cell r="M66">
            <v>9.0305208461359147E-5</v>
          </cell>
        </row>
        <row r="67">
          <cell r="A67">
            <v>39462</v>
          </cell>
          <cell r="B67">
            <v>45423.402171392881</v>
          </cell>
          <cell r="C67">
            <v>259.33372424999999</v>
          </cell>
          <cell r="D67">
            <v>16102.002065062501</v>
          </cell>
          <cell r="E67">
            <v>28919.685140000001</v>
          </cell>
          <cell r="F67">
            <v>45281.020929312501</v>
          </cell>
          <cell r="G67">
            <v>3986.674485</v>
          </cell>
          <cell r="H67">
            <v>3986.674485</v>
          </cell>
          <cell r="I67">
            <v>0</v>
          </cell>
          <cell r="J67">
            <v>1708.5747792857142</v>
          </cell>
          <cell r="K67">
            <v>1708.5747792857142</v>
          </cell>
          <cell r="L67">
            <v>0</v>
          </cell>
          <cell r="M67">
            <v>1.0077845235355199E-4</v>
          </cell>
        </row>
        <row r="68">
          <cell r="A68">
            <v>39644</v>
          </cell>
          <cell r="B68">
            <v>36966.920714549189</v>
          </cell>
          <cell r="C68">
            <v>259.33372424999999</v>
          </cell>
          <cell r="D68">
            <v>15377.5639523055</v>
          </cell>
          <cell r="E68">
            <v>21187.641800000001</v>
          </cell>
          <cell r="F68">
            <v>36824.539476555496</v>
          </cell>
          <cell r="G68">
            <v>3986.674485</v>
          </cell>
          <cell r="H68">
            <v>3986.674485</v>
          </cell>
          <cell r="I68">
            <v>0</v>
          </cell>
          <cell r="J68">
            <v>1850.9560108928572</v>
          </cell>
          <cell r="K68">
            <v>1850.9560108928572</v>
          </cell>
          <cell r="L68">
            <v>0</v>
          </cell>
          <cell r="M68">
            <v>1.0716500063426793E-4</v>
          </cell>
        </row>
        <row r="69">
          <cell r="A69">
            <v>39828</v>
          </cell>
          <cell r="B69">
            <v>46080.450823133287</v>
          </cell>
          <cell r="C69">
            <v>259.33372424999999</v>
          </cell>
          <cell r="D69">
            <v>14788.5475102655</v>
          </cell>
          <cell r="E69">
            <v>30890.18835</v>
          </cell>
          <cell r="F69">
            <v>45938.069584515499</v>
          </cell>
          <cell r="G69">
            <v>3986.674485</v>
          </cell>
          <cell r="H69">
            <v>3986.674485</v>
          </cell>
          <cell r="I69">
            <v>0</v>
          </cell>
          <cell r="J69">
            <v>1993.3372425</v>
          </cell>
          <cell r="K69">
            <v>1993.3372425</v>
          </cell>
          <cell r="L69">
            <v>0</v>
          </cell>
          <cell r="M69">
            <v>1.1417564679868519E-4</v>
          </cell>
        </row>
        <row r="70">
          <cell r="A70">
            <v>40009</v>
          </cell>
          <cell r="B70">
            <v>37068.442963935784</v>
          </cell>
          <cell r="C70">
            <v>259.33372424999999</v>
          </cell>
          <cell r="D70">
            <v>13929.800274135499</v>
          </cell>
          <cell r="E70">
            <v>22736.927729999999</v>
          </cell>
          <cell r="F70">
            <v>36926.061728385495</v>
          </cell>
          <cell r="G70">
            <v>3986.674485</v>
          </cell>
          <cell r="H70">
            <v>3986.674485</v>
          </cell>
          <cell r="I70">
            <v>0</v>
          </cell>
          <cell r="J70">
            <v>2135.7184741071428</v>
          </cell>
          <cell r="K70">
            <v>2135.7184741071428</v>
          </cell>
          <cell r="L70">
            <v>0</v>
          </cell>
          <cell r="M70">
            <v>1.1811878439038992E-4</v>
          </cell>
        </row>
        <row r="71">
          <cell r="A71">
            <v>40193</v>
          </cell>
          <cell r="B71">
            <v>45978.928568476273</v>
          </cell>
          <cell r="C71">
            <v>259.33372424999999</v>
          </cell>
          <cell r="D71">
            <v>13297.713683241502</v>
          </cell>
          <cell r="E71">
            <v>32279.499920000002</v>
          </cell>
          <cell r="F71">
            <v>45836.547327491498</v>
          </cell>
          <cell r="G71">
            <v>3986.674485</v>
          </cell>
          <cell r="H71">
            <v>3986.674485</v>
          </cell>
          <cell r="I71">
            <v>0</v>
          </cell>
          <cell r="J71">
            <v>2278.0997057142858</v>
          </cell>
          <cell r="K71">
            <v>2278.0997057142858</v>
          </cell>
          <cell r="L71">
            <v>0</v>
          </cell>
          <cell r="M71">
            <v>1.2749641295522451E-4</v>
          </cell>
        </row>
        <row r="72">
          <cell r="A72">
            <v>40374</v>
          </cell>
          <cell r="B72">
            <v>37097.712946806823</v>
          </cell>
          <cell r="C72">
            <v>259.33372424999999</v>
          </cell>
          <cell r="D72">
            <v>12400.3435854655</v>
          </cell>
          <cell r="E72">
            <v>24295.654399999999</v>
          </cell>
          <cell r="F72">
            <v>36955.331709715494</v>
          </cell>
          <cell r="G72">
            <v>3986.674485</v>
          </cell>
          <cell r="H72">
            <v>3986.674485</v>
          </cell>
          <cell r="I72">
            <v>0</v>
          </cell>
          <cell r="J72">
            <v>2420.4809373214289</v>
          </cell>
          <cell r="K72">
            <v>2420.4809373214289</v>
          </cell>
          <cell r="L72">
            <v>0</v>
          </cell>
          <cell r="M72">
            <v>1.3298059534281491E-4</v>
          </cell>
        </row>
        <row r="73">
          <cell r="A73">
            <v>40558</v>
          </cell>
          <cell r="B73">
            <v>45949.658591899737</v>
          </cell>
          <cell r="C73">
            <v>259.33372424999999</v>
          </cell>
          <cell r="D73">
            <v>11676.333084345501</v>
          </cell>
          <cell r="E73">
            <v>33871.610540000001</v>
          </cell>
          <cell r="F73">
            <v>45807.277348595497</v>
          </cell>
          <cell r="G73">
            <v>3986.674485</v>
          </cell>
          <cell r="H73">
            <v>3986.674485</v>
          </cell>
          <cell r="I73">
            <v>0</v>
          </cell>
          <cell r="J73">
            <v>2562.8621689285715</v>
          </cell>
          <cell r="K73">
            <v>2562.8621689285715</v>
          </cell>
          <cell r="L73">
            <v>0</v>
          </cell>
          <cell r="M73">
            <v>1.4467769023030996E-4</v>
          </cell>
        </row>
        <row r="74">
          <cell r="A74">
            <v>40739</v>
          </cell>
          <cell r="B74">
            <v>37158.076657864236</v>
          </cell>
          <cell r="C74">
            <v>259.33372424999999</v>
          </cell>
          <cell r="D74">
            <v>10666.9590902535</v>
          </cell>
          <cell r="E74">
            <v>26089.402600000001</v>
          </cell>
          <cell r="F74">
            <v>37015.695414503498</v>
          </cell>
          <cell r="G74">
            <v>3986.674485</v>
          </cell>
          <cell r="H74">
            <v>3986.674485</v>
          </cell>
          <cell r="I74">
            <v>0</v>
          </cell>
          <cell r="J74">
            <v>2705.2434005357145</v>
          </cell>
          <cell r="K74">
            <v>2705.2434005357145</v>
          </cell>
          <cell r="L74">
            <v>0</v>
          </cell>
          <cell r="M74">
            <v>1.5643127541989089E-4</v>
          </cell>
        </row>
        <row r="75">
          <cell r="A75">
            <v>40923</v>
          </cell>
          <cell r="B75">
            <v>45889.294897922293</v>
          </cell>
          <cell r="C75">
            <v>259.33372424999999</v>
          </cell>
          <cell r="D75">
            <v>9889.4948927735022</v>
          </cell>
          <cell r="E75">
            <v>35598.085039999998</v>
          </cell>
          <cell r="F75">
            <v>45746.913657023499</v>
          </cell>
          <cell r="G75">
            <v>3986.674485</v>
          </cell>
          <cell r="H75">
            <v>3986.674485</v>
          </cell>
          <cell r="I75">
            <v>0</v>
          </cell>
          <cell r="J75">
            <v>2847.6246321428571</v>
          </cell>
          <cell r="K75">
            <v>2847.6246321428571</v>
          </cell>
          <cell r="L75">
            <v>0</v>
          </cell>
          <cell r="M75">
            <v>1.6572292055934667E-4</v>
          </cell>
        </row>
        <row r="76">
          <cell r="A76">
            <v>41105</v>
          </cell>
          <cell r="B76">
            <v>37065.790135700314</v>
          </cell>
          <cell r="C76">
            <v>259.33372424999999</v>
          </cell>
          <cell r="D76">
            <v>8828.6719585815008</v>
          </cell>
          <cell r="E76">
            <v>27835.40322</v>
          </cell>
          <cell r="F76">
            <v>36923.408902831499</v>
          </cell>
          <cell r="G76">
            <v>3986.674485</v>
          </cell>
          <cell r="H76">
            <v>3986.674485</v>
          </cell>
          <cell r="I76">
            <v>0</v>
          </cell>
          <cell r="J76">
            <v>2990.0058637500001</v>
          </cell>
          <cell r="K76">
            <v>2990.0058637500001</v>
          </cell>
          <cell r="L76">
            <v>0</v>
          </cell>
          <cell r="M76">
            <v>1.6698459070175887E-4</v>
          </cell>
        </row>
        <row r="77">
          <cell r="A77">
            <v>41289</v>
          </cell>
          <cell r="B77">
            <v>45981.581408416147</v>
          </cell>
          <cell r="C77">
            <v>259.33372424999999</v>
          </cell>
          <cell r="D77">
            <v>7999.1769426255014</v>
          </cell>
          <cell r="E77">
            <v>37580.6895</v>
          </cell>
          <cell r="F77">
            <v>45839.200166875497</v>
          </cell>
          <cell r="G77">
            <v>3986.674485</v>
          </cell>
          <cell r="H77">
            <v>3986.674485</v>
          </cell>
          <cell r="I77">
            <v>0</v>
          </cell>
          <cell r="J77">
            <v>3132.3870953571427</v>
          </cell>
          <cell r="K77">
            <v>3132.3870953571427</v>
          </cell>
          <cell r="L77">
            <v>0</v>
          </cell>
          <cell r="M77">
            <v>1.7691808845847845E-4</v>
          </cell>
        </row>
        <row r="78">
          <cell r="A78">
            <v>41470</v>
          </cell>
          <cell r="B78">
            <v>36936.879670193419</v>
          </cell>
          <cell r="C78">
            <v>259.33372424999999</v>
          </cell>
          <cell r="D78">
            <v>6879.2723955255015</v>
          </cell>
          <cell r="E78">
            <v>29655.892309999999</v>
          </cell>
          <cell r="F78">
            <v>36794.4984297755</v>
          </cell>
          <cell r="G78">
            <v>3986.674485</v>
          </cell>
          <cell r="H78">
            <v>3986.674485</v>
          </cell>
          <cell r="I78">
            <v>0</v>
          </cell>
          <cell r="J78">
            <v>3274.7683269642857</v>
          </cell>
          <cell r="K78">
            <v>3274.7683269642857</v>
          </cell>
          <cell r="L78">
            <v>0</v>
          </cell>
          <cell r="M78">
            <v>1.857288619503379E-4</v>
          </cell>
        </row>
      </sheetData>
      <sheetData sheetId="16">
        <row r="1">
          <cell r="A1" t="str">
            <v>Central Power &amp; Light: Debt Service*</v>
          </cell>
        </row>
        <row r="2">
          <cell r="A2" t="str">
            <v>$797.3 Million Issuance: Base Case</v>
          </cell>
        </row>
        <row r="3">
          <cell r="A3" t="str">
            <v/>
          </cell>
        </row>
        <row r="5">
          <cell r="A5" t="str">
            <v>Indicative Semi-Annual Debt Service by Tranche (000s)</v>
          </cell>
        </row>
        <row r="41">
          <cell r="A41" t="str">
            <v>Central Power &amp; Light: Debt Service*</v>
          </cell>
        </row>
        <row r="42">
          <cell r="A42" t="str">
            <v>$797.3 Million Issuance: Base Case</v>
          </cell>
        </row>
        <row r="43">
          <cell r="A43" t="str">
            <v/>
          </cell>
        </row>
        <row r="46">
          <cell r="D46">
            <v>1.9221591202699453</v>
          </cell>
          <cell r="G46">
            <v>4.7245242960039402</v>
          </cell>
          <cell r="J46">
            <v>7.247534222112348</v>
          </cell>
          <cell r="M46">
            <v>9.9976179063920725</v>
          </cell>
          <cell r="P46">
            <v>12.968346014197195</v>
          </cell>
        </row>
        <row r="47">
          <cell r="C47" t="str">
            <v>Tranche A-1 @ 1.9 WAL</v>
          </cell>
          <cell r="F47" t="str">
            <v>Tranche A-2 @ 4.7 WAL</v>
          </cell>
          <cell r="I47" t="str">
            <v>Tranche A-3 @ 7.2 WAL</v>
          </cell>
          <cell r="L47" t="str">
            <v>Tranche A-4 @ 10.0 WAL</v>
          </cell>
          <cell r="O47" t="str">
            <v>Tranche A-5 @ 13.0 WAL</v>
          </cell>
        </row>
        <row r="48">
          <cell r="A48" t="str">
            <v>Pmt</v>
          </cell>
          <cell r="C48" t="str">
            <v>Interest</v>
          </cell>
          <cell r="D48" t="str">
            <v>Principal</v>
          </cell>
          <cell r="E48" t="str">
            <v>Int. Shtfl.</v>
          </cell>
          <cell r="F48" t="str">
            <v>Interest</v>
          </cell>
          <cell r="G48" t="str">
            <v>Principal</v>
          </cell>
          <cell r="H48" t="str">
            <v>Int. Shtfl.</v>
          </cell>
          <cell r="I48" t="str">
            <v>Interest</v>
          </cell>
          <cell r="J48" t="str">
            <v>Principal</v>
          </cell>
          <cell r="K48" t="str">
            <v>Int. Shtfl.</v>
          </cell>
          <cell r="L48" t="str">
            <v>Interest</v>
          </cell>
          <cell r="M48" t="str">
            <v>Principal</v>
          </cell>
          <cell r="N48" t="str">
            <v>Int. Shtfl.</v>
          </cell>
          <cell r="O48" t="str">
            <v>Interest</v>
          </cell>
          <cell r="P48" t="str">
            <v>Principal</v>
          </cell>
          <cell r="Q48" t="str">
            <v>Int. Shtfl.</v>
          </cell>
        </row>
        <row r="49">
          <cell r="A49">
            <v>37636</v>
          </cell>
          <cell r="B49">
            <v>1.8777777777777778</v>
          </cell>
          <cell r="C49">
            <v>4285.8759377316992</v>
          </cell>
          <cell r="D49">
            <v>31816.703030000001</v>
          </cell>
          <cell r="E49">
            <v>0</v>
          </cell>
          <cell r="F49">
            <v>7267.7428127050507</v>
          </cell>
          <cell r="G49">
            <v>0</v>
          </cell>
          <cell r="H49">
            <v>0</v>
          </cell>
          <cell r="I49">
            <v>5590.5582443995563</v>
          </cell>
          <cell r="J49">
            <v>0</v>
          </cell>
          <cell r="K49">
            <v>0</v>
          </cell>
          <cell r="L49">
            <v>12026.822621683134</v>
          </cell>
          <cell r="M49">
            <v>0</v>
          </cell>
          <cell r="N49">
            <v>0</v>
          </cell>
          <cell r="O49">
            <v>11258.266999913198</v>
          </cell>
          <cell r="P49">
            <v>0</v>
          </cell>
          <cell r="Q49">
            <v>0</v>
          </cell>
        </row>
        <row r="50">
          <cell r="A50">
            <v>37817</v>
          </cell>
          <cell r="B50">
            <v>2.8777777777777778</v>
          </cell>
          <cell r="C50">
            <v>1719.2634948059997</v>
          </cell>
          <cell r="D50">
            <v>19196.075860000001</v>
          </cell>
          <cell r="E50">
            <v>0</v>
          </cell>
          <cell r="F50">
            <v>3870.3955807305001</v>
          </cell>
          <cell r="G50">
            <v>0</v>
          </cell>
          <cell r="H50">
            <v>0</v>
          </cell>
          <cell r="I50">
            <v>2977.2203668400002</v>
          </cell>
          <cell r="J50">
            <v>0</v>
          </cell>
          <cell r="K50">
            <v>0</v>
          </cell>
          <cell r="L50">
            <v>6404.8167807779992</v>
          </cell>
          <cell r="M50">
            <v>0</v>
          </cell>
          <cell r="N50">
            <v>0</v>
          </cell>
          <cell r="O50">
            <v>5995.5268046875008</v>
          </cell>
          <cell r="P50">
            <v>0</v>
          </cell>
          <cell r="Q50">
            <v>0</v>
          </cell>
        </row>
        <row r="51">
          <cell r="A51">
            <v>38001</v>
          </cell>
          <cell r="B51">
            <v>3.8777777777777778</v>
          </cell>
          <cell r="C51">
            <v>1379.4929520839999</v>
          </cell>
          <cell r="D51">
            <v>28809.039399999998</v>
          </cell>
          <cell r="E51">
            <v>0</v>
          </cell>
          <cell r="F51">
            <v>3870.3955807305001</v>
          </cell>
          <cell r="G51">
            <v>0</v>
          </cell>
          <cell r="H51">
            <v>0</v>
          </cell>
          <cell r="I51">
            <v>2977.2203668400002</v>
          </cell>
          <cell r="J51">
            <v>0</v>
          </cell>
          <cell r="K51">
            <v>0</v>
          </cell>
          <cell r="L51">
            <v>6404.8167807779992</v>
          </cell>
          <cell r="M51">
            <v>0</v>
          </cell>
          <cell r="N51">
            <v>0</v>
          </cell>
          <cell r="O51">
            <v>5995.5268046875008</v>
          </cell>
          <cell r="P51">
            <v>0</v>
          </cell>
          <cell r="Q51">
            <v>0</v>
          </cell>
        </row>
        <row r="52">
          <cell r="A52">
            <v>38183</v>
          </cell>
          <cell r="B52">
            <v>4.8777777777777782</v>
          </cell>
          <cell r="C52">
            <v>869.57295470399981</v>
          </cell>
          <cell r="D52">
            <v>19741.96427</v>
          </cell>
          <cell r="E52">
            <v>0</v>
          </cell>
          <cell r="F52">
            <v>3870.3955807305001</v>
          </cell>
          <cell r="G52">
            <v>0</v>
          </cell>
          <cell r="H52">
            <v>0</v>
          </cell>
          <cell r="I52">
            <v>2977.2203668400002</v>
          </cell>
          <cell r="J52">
            <v>0</v>
          </cell>
          <cell r="K52">
            <v>0</v>
          </cell>
          <cell r="L52">
            <v>6404.8167807779992</v>
          </cell>
          <cell r="M52">
            <v>0</v>
          </cell>
          <cell r="N52">
            <v>0</v>
          </cell>
          <cell r="O52">
            <v>5995.5268046875008</v>
          </cell>
          <cell r="P52">
            <v>0</v>
          </cell>
          <cell r="Q52">
            <v>0</v>
          </cell>
        </row>
        <row r="53">
          <cell r="A53">
            <v>38367</v>
          </cell>
          <cell r="B53">
            <v>5.8777777777777782</v>
          </cell>
          <cell r="C53">
            <v>520.14018712499978</v>
          </cell>
          <cell r="D53">
            <v>29386.451249999998</v>
          </cell>
          <cell r="E53">
            <v>0</v>
          </cell>
          <cell r="F53">
            <v>3870.3955807305001</v>
          </cell>
          <cell r="G53">
            <v>0</v>
          </cell>
          <cell r="H53">
            <v>0</v>
          </cell>
          <cell r="I53">
            <v>2977.2203668400002</v>
          </cell>
          <cell r="J53">
            <v>0</v>
          </cell>
          <cell r="K53">
            <v>0</v>
          </cell>
          <cell r="L53">
            <v>6404.8167807779992</v>
          </cell>
          <cell r="M53">
            <v>0</v>
          </cell>
          <cell r="N53">
            <v>0</v>
          </cell>
          <cell r="O53">
            <v>5995.5268046875008</v>
          </cell>
          <cell r="P53">
            <v>0</v>
          </cell>
          <cell r="Q53">
            <v>0</v>
          </cell>
        </row>
        <row r="54">
          <cell r="A54">
            <v>38548</v>
          </cell>
          <cell r="B54">
            <v>6.8777777777777782</v>
          </cell>
          <cell r="C54">
            <v>0</v>
          </cell>
          <cell r="D54">
            <v>0</v>
          </cell>
          <cell r="E54">
            <v>0</v>
          </cell>
          <cell r="F54">
            <v>3870.3955807305001</v>
          </cell>
          <cell r="G54">
            <v>20592.982</v>
          </cell>
          <cell r="H54">
            <v>0</v>
          </cell>
          <cell r="I54">
            <v>2977.2203668400002</v>
          </cell>
          <cell r="J54">
            <v>0</v>
          </cell>
          <cell r="K54">
            <v>0</v>
          </cell>
          <cell r="L54">
            <v>6404.8167807779992</v>
          </cell>
          <cell r="M54">
            <v>0</v>
          </cell>
          <cell r="N54">
            <v>0</v>
          </cell>
          <cell r="O54">
            <v>5995.5268046875008</v>
          </cell>
          <cell r="P54">
            <v>0</v>
          </cell>
          <cell r="Q54">
            <v>0</v>
          </cell>
        </row>
        <row r="55">
          <cell r="A55">
            <v>38732</v>
          </cell>
          <cell r="B55">
            <v>7.8777777777777782</v>
          </cell>
          <cell r="C55">
            <v>0</v>
          </cell>
          <cell r="D55">
            <v>0</v>
          </cell>
          <cell r="E55">
            <v>0</v>
          </cell>
          <cell r="F55">
            <v>3354.5413816305004</v>
          </cell>
          <cell r="G55">
            <v>30641.33682</v>
          </cell>
          <cell r="H55">
            <v>0</v>
          </cell>
          <cell r="I55">
            <v>2977.2203668400002</v>
          </cell>
          <cell r="J55">
            <v>0</v>
          </cell>
          <cell r="K55">
            <v>0</v>
          </cell>
          <cell r="L55">
            <v>6404.8167807779992</v>
          </cell>
          <cell r="M55">
            <v>0</v>
          </cell>
          <cell r="N55">
            <v>0</v>
          </cell>
          <cell r="O55">
            <v>5995.5268046875008</v>
          </cell>
          <cell r="P55">
            <v>0</v>
          </cell>
          <cell r="Q55">
            <v>0</v>
          </cell>
        </row>
        <row r="56">
          <cell r="A56">
            <v>38913</v>
          </cell>
          <cell r="B56">
            <v>8.8777777777777782</v>
          </cell>
          <cell r="C56">
            <v>0</v>
          </cell>
          <cell r="D56">
            <v>0</v>
          </cell>
          <cell r="E56">
            <v>0</v>
          </cell>
          <cell r="F56">
            <v>2586.9758942895005</v>
          </cell>
          <cell r="G56">
            <v>21623.448479999999</v>
          </cell>
          <cell r="H56">
            <v>0</v>
          </cell>
          <cell r="I56">
            <v>2977.2203668400002</v>
          </cell>
          <cell r="J56">
            <v>0</v>
          </cell>
          <cell r="K56">
            <v>0</v>
          </cell>
          <cell r="L56">
            <v>6404.8167807779992</v>
          </cell>
          <cell r="M56">
            <v>0</v>
          </cell>
          <cell r="N56">
            <v>0</v>
          </cell>
          <cell r="O56">
            <v>5995.5268046875008</v>
          </cell>
          <cell r="P56">
            <v>0</v>
          </cell>
          <cell r="Q56">
            <v>0</v>
          </cell>
        </row>
        <row r="57">
          <cell r="A57">
            <v>39097</v>
          </cell>
          <cell r="B57">
            <v>9.8777777777777782</v>
          </cell>
          <cell r="C57">
            <v>0</v>
          </cell>
          <cell r="D57">
            <v>0</v>
          </cell>
          <cell r="E57">
            <v>0</v>
          </cell>
          <cell r="F57">
            <v>2045.3085098655004</v>
          </cell>
          <cell r="G57">
            <v>32125.238010000001</v>
          </cell>
          <cell r="H57">
            <v>0</v>
          </cell>
          <cell r="I57">
            <v>2977.2203668400002</v>
          </cell>
          <cell r="J57">
            <v>0</v>
          </cell>
          <cell r="K57">
            <v>0</v>
          </cell>
          <cell r="L57">
            <v>6404.8167807779992</v>
          </cell>
          <cell r="M57">
            <v>0</v>
          </cell>
          <cell r="N57">
            <v>0</v>
          </cell>
          <cell r="O57">
            <v>5995.5268046875008</v>
          </cell>
          <cell r="P57">
            <v>0</v>
          </cell>
          <cell r="Q57">
            <v>0</v>
          </cell>
        </row>
        <row r="58">
          <cell r="A58">
            <v>39278</v>
          </cell>
          <cell r="B58">
            <v>10.877777777777778</v>
          </cell>
          <cell r="C58">
            <v>0</v>
          </cell>
          <cell r="D58">
            <v>0</v>
          </cell>
          <cell r="E58">
            <v>0</v>
          </cell>
          <cell r="F58">
            <v>1240.5712977150004</v>
          </cell>
          <cell r="G58">
            <v>20604.119159999998</v>
          </cell>
          <cell r="H58">
            <v>0</v>
          </cell>
          <cell r="I58">
            <v>2977.2203668400002</v>
          </cell>
          <cell r="J58">
            <v>0</v>
          </cell>
          <cell r="K58">
            <v>0</v>
          </cell>
          <cell r="L58">
            <v>6404.8167807779992</v>
          </cell>
          <cell r="M58">
            <v>0</v>
          </cell>
          <cell r="N58">
            <v>0</v>
          </cell>
          <cell r="O58">
            <v>5995.5268046875008</v>
          </cell>
          <cell r="P58">
            <v>0</v>
          </cell>
          <cell r="Q58">
            <v>0</v>
          </cell>
        </row>
        <row r="59">
          <cell r="A59">
            <v>39462</v>
          </cell>
          <cell r="B59">
            <v>11.877777777777778</v>
          </cell>
          <cell r="C59">
            <v>0</v>
          </cell>
          <cell r="D59">
            <v>0</v>
          </cell>
          <cell r="E59">
            <v>0</v>
          </cell>
          <cell r="F59">
            <v>724.43811275700023</v>
          </cell>
          <cell r="G59">
            <v>28919.685140000001</v>
          </cell>
          <cell r="H59">
            <v>0</v>
          </cell>
          <cell r="I59">
            <v>2977.2203668400002</v>
          </cell>
          <cell r="J59">
            <v>0</v>
          </cell>
          <cell r="K59">
            <v>0</v>
          </cell>
          <cell r="L59">
            <v>6404.8167807779992</v>
          </cell>
          <cell r="M59">
            <v>0</v>
          </cell>
          <cell r="N59">
            <v>0</v>
          </cell>
          <cell r="O59">
            <v>5995.5268046875008</v>
          </cell>
          <cell r="P59">
            <v>0</v>
          </cell>
          <cell r="Q59">
            <v>0</v>
          </cell>
        </row>
        <row r="60">
          <cell r="A60">
            <v>39644</v>
          </cell>
          <cell r="B60">
            <v>12.877777777777778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2977.2203668400002</v>
          </cell>
          <cell r="J60">
            <v>21187.641800000001</v>
          </cell>
          <cell r="K60">
            <v>0</v>
          </cell>
          <cell r="L60">
            <v>6404.8167807779992</v>
          </cell>
          <cell r="M60">
            <v>0</v>
          </cell>
          <cell r="N60">
            <v>0</v>
          </cell>
          <cell r="O60">
            <v>5995.5268046875008</v>
          </cell>
          <cell r="P60">
            <v>0</v>
          </cell>
          <cell r="Q60">
            <v>0</v>
          </cell>
        </row>
        <row r="61">
          <cell r="A61">
            <v>39828</v>
          </cell>
          <cell r="B61">
            <v>13.877777777777778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2388.2039248000001</v>
          </cell>
          <cell r="J61">
            <v>30890.18835</v>
          </cell>
          <cell r="K61">
            <v>0</v>
          </cell>
          <cell r="L61">
            <v>6404.8167807779992</v>
          </cell>
          <cell r="M61">
            <v>0</v>
          </cell>
          <cell r="N61">
            <v>0</v>
          </cell>
          <cell r="O61">
            <v>5995.5268046875008</v>
          </cell>
          <cell r="P61">
            <v>0</v>
          </cell>
          <cell r="Q61">
            <v>0</v>
          </cell>
        </row>
        <row r="62">
          <cell r="A62">
            <v>40009</v>
          </cell>
          <cell r="B62">
            <v>14.877777777777778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1529.4566886700004</v>
          </cell>
          <cell r="J62">
            <v>22736.927729999999</v>
          </cell>
          <cell r="K62">
            <v>0</v>
          </cell>
          <cell r="L62">
            <v>6404.8167807779992</v>
          </cell>
          <cell r="M62">
            <v>0</v>
          </cell>
          <cell r="N62">
            <v>0</v>
          </cell>
          <cell r="O62">
            <v>5995.5268046875008</v>
          </cell>
          <cell r="P62">
            <v>0</v>
          </cell>
          <cell r="Q62">
            <v>0</v>
          </cell>
        </row>
        <row r="63">
          <cell r="A63">
            <v>40193</v>
          </cell>
          <cell r="B63">
            <v>15.877777777777778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897.37009777600031</v>
          </cell>
          <cell r="J63">
            <v>32279.499920000002</v>
          </cell>
          <cell r="K63">
            <v>0</v>
          </cell>
          <cell r="L63">
            <v>6404.8167807779992</v>
          </cell>
          <cell r="M63">
            <v>0</v>
          </cell>
          <cell r="N63">
            <v>0</v>
          </cell>
          <cell r="O63">
            <v>5995.5268046875008</v>
          </cell>
          <cell r="P63">
            <v>0</v>
          </cell>
          <cell r="Q63">
            <v>0</v>
          </cell>
        </row>
        <row r="64">
          <cell r="A64">
            <v>40374</v>
          </cell>
          <cell r="B64">
            <v>16.877777777777776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6404.8167807779992</v>
          </cell>
          <cell r="M64">
            <v>24295.654399999999</v>
          </cell>
          <cell r="N64">
            <v>0</v>
          </cell>
          <cell r="O64">
            <v>5995.5268046875008</v>
          </cell>
          <cell r="P64">
            <v>0</v>
          </cell>
          <cell r="Q64">
            <v>0</v>
          </cell>
        </row>
        <row r="65">
          <cell r="A65">
            <v>40558</v>
          </cell>
          <cell r="B65">
            <v>17.877777777777776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5680.8062796579989</v>
          </cell>
          <cell r="M65">
            <v>33871.610540000001</v>
          </cell>
          <cell r="N65">
            <v>0</v>
          </cell>
          <cell r="O65">
            <v>5995.5268046875008</v>
          </cell>
          <cell r="P65">
            <v>0</v>
          </cell>
          <cell r="Q65">
            <v>0</v>
          </cell>
        </row>
        <row r="66">
          <cell r="A66">
            <v>40739</v>
          </cell>
          <cell r="B66">
            <v>18.877777777777776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4671.4322855659993</v>
          </cell>
          <cell r="M66">
            <v>26089.402600000001</v>
          </cell>
          <cell r="N66">
            <v>0</v>
          </cell>
          <cell r="O66">
            <v>5995.5268046875008</v>
          </cell>
          <cell r="P66">
            <v>0</v>
          </cell>
          <cell r="Q66">
            <v>0</v>
          </cell>
        </row>
        <row r="67">
          <cell r="A67">
            <v>40923</v>
          </cell>
          <cell r="B67">
            <v>19.877777777777776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3893.9680880859996</v>
          </cell>
          <cell r="M67">
            <v>35598.085039999998</v>
          </cell>
          <cell r="N67">
            <v>0</v>
          </cell>
          <cell r="O67">
            <v>5995.5268046875008</v>
          </cell>
          <cell r="P67">
            <v>0</v>
          </cell>
          <cell r="Q67">
            <v>0</v>
          </cell>
        </row>
        <row r="68">
          <cell r="A68">
            <v>41105</v>
          </cell>
          <cell r="B68">
            <v>20.877777777777776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2833.145153894</v>
          </cell>
          <cell r="M68">
            <v>27835.40322</v>
          </cell>
          <cell r="N68">
            <v>0</v>
          </cell>
          <cell r="O68">
            <v>5995.5268046875008</v>
          </cell>
          <cell r="P68">
            <v>0</v>
          </cell>
          <cell r="Q68">
            <v>0</v>
          </cell>
        </row>
        <row r="69">
          <cell r="A69">
            <v>41289</v>
          </cell>
          <cell r="B69">
            <v>21.877777777777776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2003.6501379379999</v>
          </cell>
          <cell r="M69">
            <v>37580.6895</v>
          </cell>
          <cell r="N69">
            <v>0</v>
          </cell>
          <cell r="O69">
            <v>5995.5268046875008</v>
          </cell>
          <cell r="P69">
            <v>0</v>
          </cell>
          <cell r="Q69">
            <v>0</v>
          </cell>
        </row>
        <row r="70">
          <cell r="A70">
            <v>41470</v>
          </cell>
          <cell r="B70">
            <v>22.877777777777776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883.74559083800011</v>
          </cell>
          <cell r="M70">
            <v>29655.892309999999</v>
          </cell>
          <cell r="N70">
            <v>0</v>
          </cell>
          <cell r="O70">
            <v>5995.5268046875008</v>
          </cell>
          <cell r="P70">
            <v>0</v>
          </cell>
          <cell r="Q70">
            <v>0</v>
          </cell>
        </row>
        <row r="71">
          <cell r="A71">
            <v>41654</v>
          </cell>
          <cell r="B71">
            <v>23.877777777777776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5995.5268046875008</v>
          </cell>
          <cell r="P71">
            <v>39713.250100000005</v>
          </cell>
          <cell r="Q71">
            <v>0</v>
          </cell>
        </row>
        <row r="72">
          <cell r="A72">
            <v>41835</v>
          </cell>
          <cell r="B72">
            <v>24.877777777777776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4754.4877390625015</v>
          </cell>
          <cell r="P72">
            <v>31881.034440000003</v>
          </cell>
          <cell r="Q72">
            <v>0</v>
          </cell>
        </row>
        <row r="73">
          <cell r="A73">
            <v>42019</v>
          </cell>
          <cell r="B73">
            <v>25.877777777777776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3758.205412812501</v>
          </cell>
          <cell r="P73">
            <v>41850.214030000003</v>
          </cell>
          <cell r="Q73">
            <v>0</v>
          </cell>
        </row>
        <row r="74">
          <cell r="A74">
            <v>42200</v>
          </cell>
          <cell r="B74">
            <v>26.877777777777776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2450.3862243750013</v>
          </cell>
          <cell r="P74">
            <v>34214.080719999998</v>
          </cell>
          <cell r="Q74">
            <v>0</v>
          </cell>
        </row>
        <row r="75">
          <cell r="A75">
            <v>42384</v>
          </cell>
          <cell r="B75">
            <v>27.877777777777776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1381.1962018750012</v>
          </cell>
          <cell r="P75">
            <v>44198.278460000001</v>
          </cell>
          <cell r="Q75">
            <v>0</v>
          </cell>
        </row>
      </sheetData>
      <sheetData sheetId="17"/>
      <sheetData sheetId="18"/>
      <sheetData sheetId="19"/>
      <sheetData sheetId="20">
        <row r="3">
          <cell r="AN3">
            <v>4.0860000000000002E-3</v>
          </cell>
          <cell r="AO3">
            <v>4.1920000000000004E-3</v>
          </cell>
        </row>
        <row r="5">
          <cell r="D5">
            <v>0.58207972719228196</v>
          </cell>
        </row>
      </sheetData>
      <sheetData sheetId="21">
        <row r="1">
          <cell r="B1">
            <v>2</v>
          </cell>
        </row>
        <row r="6">
          <cell r="J6">
            <v>797334897</v>
          </cell>
        </row>
        <row r="11">
          <cell r="J11">
            <v>5.7784182616042894E-2</v>
          </cell>
        </row>
        <row r="14">
          <cell r="J14">
            <v>796608732.2062366</v>
          </cell>
        </row>
      </sheetData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2)"/>
      <sheetName val="Summary"/>
      <sheetName val="ERS"/>
      <sheetName val="SRS "/>
      <sheetName val="RSWH "/>
      <sheetName val="RSTOU"/>
      <sheetName val="SH, WH, UMS"/>
      <sheetName val="GS"/>
      <sheetName val="LP"/>
      <sheetName val="PS"/>
      <sheetName val="IP"/>
      <sheetName val="CG "/>
      <sheetName val="Irr 28"/>
      <sheetName val="Irr 29"/>
      <sheetName val="Rec Lights"/>
      <sheetName val="MPS"/>
      <sheetName val="Security Lights"/>
      <sheetName val="Flood Lights"/>
      <sheetName val="Street Lighting"/>
      <sheetName val="Traffic Lighting"/>
      <sheetName val="Flood_CustOwn"/>
      <sheetName val="LI68"/>
      <sheetName val="Wholesale"/>
      <sheetName val="Robstown"/>
      <sheetName val="KWH"/>
      <sheetName val="KW"/>
      <sheetName val="Whol Prof"/>
      <sheetName val="BFCust"/>
      <sheetName val="Block kw"/>
      <sheetName val="Block kWh"/>
      <sheetName val="Whtr Adj"/>
      <sheetName val="Cust 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ctual Load"/>
      <sheetName val="ChargePerKh"/>
      <sheetName val="Billing"/>
      <sheetName val="Bonds"/>
      <sheetName val="Original Load"/>
      <sheetName val="Load Scenario"/>
      <sheetName val="Collection Curve"/>
      <sheetName val="Allocators"/>
      <sheetName val="Report"/>
      <sheetName val="Original PB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-1.1"/>
      <sheetName val="Summary"/>
      <sheetName val="Fuel Adjustment"/>
      <sheetName val="Embed Fuel"/>
      <sheetName val="Base Revenue"/>
      <sheetName val="DECAP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RS"/>
      <sheetName val="SRS "/>
      <sheetName val="RSWH "/>
      <sheetName val="RSTOU"/>
      <sheetName val="GS"/>
      <sheetName val="LP"/>
      <sheetName val="IP"/>
      <sheetName val="PS"/>
      <sheetName val="Irr 28"/>
      <sheetName val="Irr 29"/>
      <sheetName val="CG"/>
      <sheetName val="CG-TOU"/>
      <sheetName val="Rec Lights"/>
      <sheetName val="MPS"/>
      <sheetName val="Security"/>
      <sheetName val="Flood"/>
      <sheetName val="Flood-Cust. Owned"/>
      <sheetName val="Street Lighting"/>
      <sheetName val="Sheet9"/>
      <sheetName val="Street"/>
      <sheetName val="Security-Adjustments"/>
      <sheetName val="Security-Adj. Revenue"/>
      <sheetName val="Security Lights"/>
      <sheetName val="Flood Lights"/>
      <sheetName val="Flood Lights-Cust. Own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H-1"/>
      <sheetName val="II-H-1.1"/>
      <sheetName val="II-H-1.2"/>
      <sheetName val="II-H-1.6 Dist"/>
      <sheetName val="II-H-1.6 Tran"/>
      <sheetName val="II-H-3.1"/>
      <sheetName val="II-H-1.9"/>
      <sheetName val="II-H-4.1 Monthly"/>
      <sheetName val="II-H-4.1 Functions"/>
      <sheetName val="Riders"/>
    </sheetNames>
    <sheetDataSet>
      <sheetData sheetId="0"/>
      <sheetData sheetId="1"/>
      <sheetData sheetId="2">
        <row r="8">
          <cell r="D8">
            <v>985630893</v>
          </cell>
          <cell r="E8">
            <v>726378217</v>
          </cell>
          <cell r="F8">
            <v>582363674</v>
          </cell>
          <cell r="G8">
            <v>633257142</v>
          </cell>
          <cell r="H8">
            <v>700423139</v>
          </cell>
          <cell r="I8">
            <v>1052944810</v>
          </cell>
          <cell r="J8">
            <v>1085622076</v>
          </cell>
          <cell r="K8">
            <v>1116976046</v>
          </cell>
          <cell r="L8">
            <v>1093021090</v>
          </cell>
          <cell r="M8">
            <v>865676506</v>
          </cell>
          <cell r="N8">
            <v>644671379</v>
          </cell>
          <cell r="O8">
            <v>699955268</v>
          </cell>
          <cell r="P8">
            <v>10186920240</v>
          </cell>
        </row>
        <row r="10">
          <cell r="D10">
            <v>38956858</v>
          </cell>
          <cell r="E10">
            <v>32411244</v>
          </cell>
          <cell r="F10">
            <v>31081408</v>
          </cell>
          <cell r="G10">
            <v>33044916</v>
          </cell>
          <cell r="H10">
            <v>33647905</v>
          </cell>
          <cell r="I10">
            <v>40834962</v>
          </cell>
          <cell r="J10">
            <v>41305101</v>
          </cell>
          <cell r="K10">
            <v>41678858</v>
          </cell>
          <cell r="L10">
            <v>42006722</v>
          </cell>
          <cell r="M10">
            <v>37614479</v>
          </cell>
          <cell r="N10">
            <v>32841805</v>
          </cell>
          <cell r="O10">
            <v>33287037</v>
          </cell>
          <cell r="P10">
            <v>438711295</v>
          </cell>
        </row>
        <row r="14">
          <cell r="D14">
            <v>558638672</v>
          </cell>
          <cell r="E14">
            <v>501918640</v>
          </cell>
          <cell r="F14">
            <v>515365915</v>
          </cell>
          <cell r="G14">
            <v>562873354</v>
          </cell>
          <cell r="H14">
            <v>580936554</v>
          </cell>
          <cell r="I14">
            <v>710457996</v>
          </cell>
          <cell r="J14">
            <v>710381563</v>
          </cell>
          <cell r="K14">
            <v>724740327</v>
          </cell>
          <cell r="L14">
            <v>748973893</v>
          </cell>
          <cell r="M14">
            <v>655892313</v>
          </cell>
          <cell r="N14">
            <v>548892197</v>
          </cell>
          <cell r="O14">
            <v>527060746</v>
          </cell>
        </row>
        <row r="18">
          <cell r="D18">
            <v>211411836</v>
          </cell>
          <cell r="E18">
            <v>184381327</v>
          </cell>
          <cell r="F18">
            <v>196136268</v>
          </cell>
          <cell r="G18">
            <v>196630886</v>
          </cell>
          <cell r="H18">
            <v>218745730</v>
          </cell>
          <cell r="I18">
            <v>241223902</v>
          </cell>
          <cell r="J18">
            <v>237564828</v>
          </cell>
          <cell r="K18">
            <v>239931214</v>
          </cell>
          <cell r="L18">
            <v>246022451</v>
          </cell>
          <cell r="M18">
            <v>216903354</v>
          </cell>
          <cell r="N18">
            <v>216806529</v>
          </cell>
          <cell r="O18">
            <v>198014811</v>
          </cell>
        </row>
        <row r="22">
          <cell r="D22">
            <v>18530745</v>
          </cell>
          <cell r="E22">
            <v>18456263</v>
          </cell>
          <cell r="F22">
            <v>18516219</v>
          </cell>
          <cell r="G22">
            <v>18538486</v>
          </cell>
          <cell r="H22">
            <v>18513821</v>
          </cell>
          <cell r="I22">
            <v>18519207</v>
          </cell>
          <cell r="J22">
            <v>18527339</v>
          </cell>
          <cell r="K22">
            <v>18522275</v>
          </cell>
          <cell r="L22">
            <v>18554622</v>
          </cell>
          <cell r="M22">
            <v>18418289</v>
          </cell>
          <cell r="N22">
            <v>18640922</v>
          </cell>
          <cell r="O22">
            <v>18538323</v>
          </cell>
          <cell r="P22">
            <v>222276511</v>
          </cell>
        </row>
      </sheetData>
      <sheetData sheetId="3">
        <row r="14">
          <cell r="D14">
            <v>2477222.6</v>
          </cell>
          <cell r="E14">
            <v>2453669.6</v>
          </cell>
          <cell r="F14">
            <v>2374893.9000000004</v>
          </cell>
          <cell r="G14">
            <v>2369498.4000000004</v>
          </cell>
          <cell r="H14">
            <v>2410360.7999999998</v>
          </cell>
          <cell r="I14">
            <v>2491560.0999999996</v>
          </cell>
          <cell r="J14">
            <v>2472198.1</v>
          </cell>
          <cell r="K14">
            <v>2508933.6</v>
          </cell>
          <cell r="L14">
            <v>2515823.4</v>
          </cell>
          <cell r="M14">
            <v>2449434.0999999996</v>
          </cell>
          <cell r="N14">
            <v>2408955.4</v>
          </cell>
          <cell r="O14">
            <v>2401720.0999999996</v>
          </cell>
          <cell r="P14">
            <v>29334270.100000001</v>
          </cell>
        </row>
        <row r="18">
          <cell r="D18">
            <v>561967.1</v>
          </cell>
          <cell r="E18">
            <v>531307.6</v>
          </cell>
          <cell r="F18">
            <v>532985.30000000005</v>
          </cell>
          <cell r="G18">
            <v>527775.6</v>
          </cell>
          <cell r="H18">
            <v>585913.1</v>
          </cell>
          <cell r="I18">
            <v>585290.30000000005</v>
          </cell>
          <cell r="J18">
            <v>574816.69999999995</v>
          </cell>
          <cell r="K18">
            <v>569003.19999999995</v>
          </cell>
          <cell r="L18">
            <v>577588.6</v>
          </cell>
          <cell r="M18">
            <v>553407.4</v>
          </cell>
          <cell r="N18">
            <v>581146.1</v>
          </cell>
          <cell r="O18">
            <v>531492.4</v>
          </cell>
          <cell r="P18">
            <v>6712693.4000000013</v>
          </cell>
        </row>
        <row r="20">
          <cell r="D20">
            <v>1422295.1</v>
          </cell>
          <cell r="E20">
            <v>1165950.6000000001</v>
          </cell>
          <cell r="F20">
            <v>1339600.6000000001</v>
          </cell>
          <cell r="G20">
            <v>1316104.6000000001</v>
          </cell>
          <cell r="H20">
            <v>1324321.6000000001</v>
          </cell>
          <cell r="I20">
            <v>1396468.8</v>
          </cell>
          <cell r="J20">
            <v>1214324.8</v>
          </cell>
          <cell r="K20">
            <v>1219485.1000000001</v>
          </cell>
          <cell r="L20">
            <v>1377057.8</v>
          </cell>
          <cell r="M20">
            <v>731317.3</v>
          </cell>
          <cell r="N20">
            <v>1870570.5</v>
          </cell>
          <cell r="O20">
            <v>970689</v>
          </cell>
          <cell r="P20">
            <v>15348185.800000001</v>
          </cell>
        </row>
      </sheetData>
      <sheetData sheetId="4">
        <row r="12">
          <cell r="D12">
            <v>2095527</v>
          </cell>
          <cell r="E12">
            <v>2048245.9</v>
          </cell>
          <cell r="F12">
            <v>1899538.2</v>
          </cell>
          <cell r="G12">
            <v>1833302.9</v>
          </cell>
          <cell r="H12">
            <v>1882296.5</v>
          </cell>
          <cell r="I12">
            <v>2006480.2</v>
          </cell>
          <cell r="J12">
            <v>1974682.8</v>
          </cell>
          <cell r="K12">
            <v>2005189.4</v>
          </cell>
          <cell r="L12">
            <v>2029783.5</v>
          </cell>
          <cell r="M12">
            <v>1951140.7</v>
          </cell>
          <cell r="N12">
            <v>1938677.2</v>
          </cell>
          <cell r="O12">
            <v>1945119.3</v>
          </cell>
        </row>
        <row r="13">
          <cell r="D13">
            <v>130916</v>
          </cell>
          <cell r="E13">
            <v>127449.7</v>
          </cell>
          <cell r="F13">
            <v>130492.4</v>
          </cell>
          <cell r="G13">
            <v>127219.1</v>
          </cell>
          <cell r="H13">
            <v>127852.4</v>
          </cell>
          <cell r="I13">
            <v>130394.8</v>
          </cell>
          <cell r="J13">
            <v>128245.7</v>
          </cell>
          <cell r="K13">
            <v>127587.4</v>
          </cell>
          <cell r="L13">
            <v>128643.4</v>
          </cell>
          <cell r="M13">
            <v>126725.3</v>
          </cell>
          <cell r="N13">
            <v>128758.8</v>
          </cell>
          <cell r="O13">
            <v>125428.8</v>
          </cell>
        </row>
        <row r="16">
          <cell r="D16">
            <v>35430.800000000003</v>
          </cell>
          <cell r="E16">
            <v>34124.300000000003</v>
          </cell>
          <cell r="F16">
            <v>32044.1</v>
          </cell>
          <cell r="G16">
            <v>34159.4</v>
          </cell>
          <cell r="H16">
            <v>38268.400000000001</v>
          </cell>
          <cell r="I16">
            <v>39901.9</v>
          </cell>
          <cell r="J16">
            <v>39960.699999999997</v>
          </cell>
          <cell r="K16">
            <v>40098.6</v>
          </cell>
          <cell r="L16">
            <v>40605.1</v>
          </cell>
          <cell r="M16">
            <v>39661.199999999997</v>
          </cell>
          <cell r="N16">
            <v>47360.9</v>
          </cell>
          <cell r="O16">
            <v>37367.199999999997</v>
          </cell>
        </row>
        <row r="17">
          <cell r="D17">
            <v>386092.5</v>
          </cell>
          <cell r="E17">
            <v>363737.3</v>
          </cell>
          <cell r="F17">
            <v>359702.2</v>
          </cell>
          <cell r="G17">
            <v>343456.5</v>
          </cell>
          <cell r="H17">
            <v>384098.6</v>
          </cell>
          <cell r="I17">
            <v>369561.7</v>
          </cell>
          <cell r="J17">
            <v>363096.6</v>
          </cell>
          <cell r="K17">
            <v>360957</v>
          </cell>
          <cell r="L17">
            <v>363662.5</v>
          </cell>
          <cell r="M17">
            <v>346279.6</v>
          </cell>
          <cell r="N17">
            <v>377021.8</v>
          </cell>
          <cell r="O17">
            <v>346430.2</v>
          </cell>
        </row>
        <row r="20">
          <cell r="D20">
            <v>648075</v>
          </cell>
          <cell r="E20">
            <v>450307.6</v>
          </cell>
          <cell r="F20">
            <v>544433.6</v>
          </cell>
          <cell r="G20">
            <v>473525.4</v>
          </cell>
          <cell r="H20">
            <v>504286</v>
          </cell>
          <cell r="I20">
            <v>571539.6</v>
          </cell>
          <cell r="J20">
            <v>419161.1</v>
          </cell>
          <cell r="K20">
            <v>431314.9</v>
          </cell>
          <cell r="L20">
            <v>587819.4</v>
          </cell>
          <cell r="M20">
            <v>376067.7</v>
          </cell>
          <cell r="N20">
            <v>644971</v>
          </cell>
          <cell r="O20">
            <v>337355</v>
          </cell>
        </row>
      </sheetData>
      <sheetData sheetId="5">
        <row r="8">
          <cell r="L8">
            <v>724302</v>
          </cell>
          <cell r="P8">
            <v>8655936</v>
          </cell>
        </row>
        <row r="10">
          <cell r="P10">
            <v>758331</v>
          </cell>
        </row>
        <row r="12">
          <cell r="P12">
            <v>698829</v>
          </cell>
        </row>
        <row r="16">
          <cell r="P16">
            <v>2449</v>
          </cell>
        </row>
      </sheetData>
      <sheetData sheetId="6"/>
      <sheetData sheetId="7">
        <row r="30">
          <cell r="P30">
            <v>997769886.76999998</v>
          </cell>
        </row>
      </sheetData>
      <sheetData sheetId="8">
        <row r="75">
          <cell r="D75">
            <v>152239.56</v>
          </cell>
        </row>
      </sheetData>
      <sheetData sheetId="9">
        <row r="8">
          <cell r="D8">
            <v>1624445.51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H-1"/>
      <sheetName val="II-H-1.1"/>
      <sheetName val="II-H-1.2"/>
      <sheetName val="II-H-1.6 Dist"/>
      <sheetName val="II-H-1.6 Tran"/>
      <sheetName val="II-H-3.1"/>
      <sheetName val="II-H-1.9"/>
      <sheetName val="II-H-4.1 Monthly"/>
      <sheetName val="II-H-4.1 Functions"/>
      <sheetName val="Riders"/>
    </sheetNames>
    <sheetDataSet>
      <sheetData sheetId="0"/>
      <sheetData sheetId="1"/>
      <sheetData sheetId="2">
        <row r="8">
          <cell r="D8">
            <v>202134354</v>
          </cell>
          <cell r="E8">
            <v>154406387</v>
          </cell>
          <cell r="F8">
            <v>120521111</v>
          </cell>
          <cell r="G8">
            <v>103972077</v>
          </cell>
          <cell r="H8">
            <v>117709492</v>
          </cell>
          <cell r="I8">
            <v>195549549</v>
          </cell>
          <cell r="J8">
            <v>221652353</v>
          </cell>
          <cell r="K8">
            <v>210179796</v>
          </cell>
          <cell r="L8">
            <v>187982195</v>
          </cell>
          <cell r="M8">
            <v>133379226</v>
          </cell>
          <cell r="N8">
            <v>113526583</v>
          </cell>
          <cell r="O8">
            <v>155178109</v>
          </cell>
        </row>
        <row r="10">
          <cell r="D10">
            <v>13430825</v>
          </cell>
          <cell r="E10">
            <v>11596181</v>
          </cell>
          <cell r="F10">
            <v>10333827</v>
          </cell>
          <cell r="G10">
            <v>10175597</v>
          </cell>
          <cell r="H10">
            <v>10346914</v>
          </cell>
          <cell r="I10">
            <v>12965824</v>
          </cell>
          <cell r="J10">
            <v>13859275</v>
          </cell>
          <cell r="K10">
            <v>13754219</v>
          </cell>
          <cell r="L10">
            <v>13182983</v>
          </cell>
          <cell r="M10">
            <v>10858284</v>
          </cell>
          <cell r="N10">
            <v>9804787</v>
          </cell>
          <cell r="O10">
            <v>11576221</v>
          </cell>
        </row>
        <row r="14">
          <cell r="D14">
            <v>162404723</v>
          </cell>
          <cell r="E14">
            <v>142371507</v>
          </cell>
          <cell r="F14">
            <v>132414374</v>
          </cell>
          <cell r="G14">
            <v>134906621</v>
          </cell>
          <cell r="H14">
            <v>143727906</v>
          </cell>
          <cell r="I14">
            <v>170752894</v>
          </cell>
          <cell r="J14">
            <v>191031639</v>
          </cell>
          <cell r="K14">
            <v>180117431</v>
          </cell>
          <cell r="L14">
            <v>179949417</v>
          </cell>
          <cell r="M14">
            <v>151292798</v>
          </cell>
          <cell r="N14">
            <v>133400375</v>
          </cell>
          <cell r="O14">
            <v>146219453</v>
          </cell>
        </row>
        <row r="18">
          <cell r="D18">
            <v>139837996</v>
          </cell>
          <cell r="E18">
            <v>130217119</v>
          </cell>
          <cell r="F18">
            <v>137568946</v>
          </cell>
          <cell r="G18">
            <v>147574766</v>
          </cell>
          <cell r="H18">
            <v>144002893</v>
          </cell>
          <cell r="I18">
            <v>156761738</v>
          </cell>
          <cell r="J18">
            <v>152601929</v>
          </cell>
          <cell r="K18">
            <v>157762456</v>
          </cell>
          <cell r="L18">
            <v>159637734</v>
          </cell>
          <cell r="M18">
            <v>159217505</v>
          </cell>
          <cell r="N18">
            <v>148189581</v>
          </cell>
          <cell r="O18">
            <v>156298090</v>
          </cell>
        </row>
        <row r="22">
          <cell r="D22">
            <v>3361059</v>
          </cell>
          <cell r="E22">
            <v>3352305</v>
          </cell>
          <cell r="F22">
            <v>3349467</v>
          </cell>
          <cell r="G22">
            <v>3346178</v>
          </cell>
          <cell r="H22">
            <v>3352069</v>
          </cell>
          <cell r="I22">
            <v>3346325</v>
          </cell>
          <cell r="J22">
            <v>3344019</v>
          </cell>
          <cell r="K22">
            <v>3341600</v>
          </cell>
          <cell r="L22">
            <v>3341172</v>
          </cell>
          <cell r="M22">
            <v>3337370</v>
          </cell>
          <cell r="N22">
            <v>3333384</v>
          </cell>
          <cell r="O22">
            <v>3325687</v>
          </cell>
        </row>
      </sheetData>
      <sheetData sheetId="3">
        <row r="12">
          <cell r="D12">
            <v>530521.19999999995</v>
          </cell>
        </row>
        <row r="14">
          <cell r="D14">
            <v>652402.5</v>
          </cell>
          <cell r="E14">
            <v>638077.4</v>
          </cell>
          <cell r="F14">
            <v>624479.5</v>
          </cell>
          <cell r="G14">
            <v>611963</v>
          </cell>
          <cell r="H14">
            <v>623922.79999999993</v>
          </cell>
          <cell r="I14">
            <v>634024</v>
          </cell>
          <cell r="J14">
            <v>658474.79999999993</v>
          </cell>
          <cell r="K14">
            <v>643076.9</v>
          </cell>
          <cell r="L14">
            <v>641167.6</v>
          </cell>
          <cell r="M14">
            <v>619740.19999999995</v>
          </cell>
          <cell r="N14">
            <v>619072.9</v>
          </cell>
          <cell r="O14">
            <v>635435</v>
          </cell>
        </row>
        <row r="18">
          <cell r="D18">
            <v>300232.2</v>
          </cell>
          <cell r="E18">
            <v>307843.40000000002</v>
          </cell>
          <cell r="F18">
            <v>307135.09999999998</v>
          </cell>
          <cell r="G18">
            <v>303128</v>
          </cell>
          <cell r="H18">
            <v>306757.19999999995</v>
          </cell>
          <cell r="I18">
            <v>323832.19999999995</v>
          </cell>
          <cell r="J18">
            <v>310446.39999999997</v>
          </cell>
          <cell r="K18">
            <v>323617.59999999998</v>
          </cell>
          <cell r="L18">
            <v>321585.09999999998</v>
          </cell>
          <cell r="M18">
            <v>323417.30000000005</v>
          </cell>
          <cell r="N18">
            <v>313852.79999999999</v>
          </cell>
          <cell r="O18">
            <v>312795.69999999995</v>
          </cell>
        </row>
        <row r="20">
          <cell r="D20">
            <v>52773.599999999999</v>
          </cell>
          <cell r="E20">
            <v>49346.1</v>
          </cell>
          <cell r="F20">
            <v>51960</v>
          </cell>
          <cell r="G20">
            <v>50485.2</v>
          </cell>
          <cell r="H20">
            <v>55848.9</v>
          </cell>
          <cell r="I20">
            <v>60466.1</v>
          </cell>
          <cell r="J20">
            <v>62258.9</v>
          </cell>
          <cell r="K20">
            <v>55707.4</v>
          </cell>
          <cell r="L20">
            <v>54986.2</v>
          </cell>
          <cell r="M20">
            <v>59267.3</v>
          </cell>
          <cell r="N20">
            <v>60004.2</v>
          </cell>
          <cell r="O20">
            <v>60720.7</v>
          </cell>
        </row>
      </sheetData>
      <sheetData sheetId="4">
        <row r="12">
          <cell r="D12">
            <v>441393.3</v>
          </cell>
          <cell r="E12">
            <v>438597.2</v>
          </cell>
          <cell r="F12">
            <v>438826.1</v>
          </cell>
          <cell r="G12">
            <v>427067.2</v>
          </cell>
          <cell r="H12">
            <v>448525.1</v>
          </cell>
          <cell r="I12">
            <v>476535.4</v>
          </cell>
          <cell r="J12">
            <v>475021.9</v>
          </cell>
          <cell r="K12">
            <v>478969.4</v>
          </cell>
          <cell r="L12">
            <v>480837.7</v>
          </cell>
          <cell r="M12">
            <v>451693.9</v>
          </cell>
          <cell r="N12">
            <v>441450.5</v>
          </cell>
          <cell r="O12">
            <v>434999.1</v>
          </cell>
        </row>
        <row r="13">
          <cell r="D13">
            <v>61751.199999999997</v>
          </cell>
          <cell r="E13">
            <v>60936.9</v>
          </cell>
          <cell r="F13">
            <v>61172.6</v>
          </cell>
          <cell r="G13">
            <v>60226.7</v>
          </cell>
          <cell r="H13">
            <v>63822.2</v>
          </cell>
          <cell r="I13">
            <v>55517.8</v>
          </cell>
          <cell r="J13">
            <v>64251.9</v>
          </cell>
          <cell r="K13">
            <v>57705.2</v>
          </cell>
          <cell r="L13">
            <v>57649.2</v>
          </cell>
          <cell r="M13">
            <v>57453.599999999999</v>
          </cell>
          <cell r="N13">
            <v>60551.8</v>
          </cell>
          <cell r="O13">
            <v>60819.1</v>
          </cell>
        </row>
        <row r="16">
          <cell r="D16">
            <v>20527.900000000001</v>
          </cell>
          <cell r="E16">
            <v>29761.1</v>
          </cell>
          <cell r="F16">
            <v>26019</v>
          </cell>
          <cell r="G16">
            <v>25988.2</v>
          </cell>
          <cell r="H16">
            <v>28881.5</v>
          </cell>
          <cell r="I16">
            <v>30436.7</v>
          </cell>
          <cell r="J16">
            <v>26856.6</v>
          </cell>
          <cell r="K16">
            <v>35332</v>
          </cell>
          <cell r="L16">
            <v>24272.5</v>
          </cell>
          <cell r="M16">
            <v>33728.699999999997</v>
          </cell>
          <cell r="N16">
            <v>30572.5</v>
          </cell>
          <cell r="O16">
            <v>27678.5</v>
          </cell>
        </row>
        <row r="17">
          <cell r="D17">
            <v>192333.9</v>
          </cell>
          <cell r="E17">
            <v>197379.5</v>
          </cell>
          <cell r="F17">
            <v>196387.9</v>
          </cell>
          <cell r="G17">
            <v>193240.8</v>
          </cell>
          <cell r="H17">
            <v>193808.7</v>
          </cell>
          <cell r="I17">
            <v>202147.7</v>
          </cell>
          <cell r="J17">
            <v>195527.7</v>
          </cell>
          <cell r="K17">
            <v>195162.1</v>
          </cell>
          <cell r="L17">
            <v>204085.2</v>
          </cell>
          <cell r="M17">
            <v>200816.3</v>
          </cell>
          <cell r="N17">
            <v>199460.4</v>
          </cell>
          <cell r="O17">
            <v>199776.9</v>
          </cell>
        </row>
        <row r="20">
          <cell r="D20">
            <v>20463.599999999999</v>
          </cell>
          <cell r="E20">
            <v>19372.900000000001</v>
          </cell>
          <cell r="F20">
            <v>19374.900000000001</v>
          </cell>
          <cell r="G20">
            <v>19374.900000000001</v>
          </cell>
          <cell r="H20">
            <v>19932.5</v>
          </cell>
          <cell r="I20">
            <v>19547.099999999999</v>
          </cell>
          <cell r="J20">
            <v>19529.8</v>
          </cell>
          <cell r="K20">
            <v>19529.8</v>
          </cell>
          <cell r="L20">
            <v>19546.099999999999</v>
          </cell>
          <cell r="M20">
            <v>19620.900000000001</v>
          </cell>
          <cell r="N20">
            <v>19704</v>
          </cell>
          <cell r="O20">
            <v>20139.599999999999</v>
          </cell>
        </row>
      </sheetData>
      <sheetData sheetId="5">
        <row r="8">
          <cell r="D8">
            <v>149576</v>
          </cell>
          <cell r="P8">
            <v>1804574</v>
          </cell>
        </row>
        <row r="10">
          <cell r="P10">
            <v>312824</v>
          </cell>
        </row>
        <row r="12">
          <cell r="P12">
            <v>164514</v>
          </cell>
        </row>
        <row r="16">
          <cell r="P16">
            <v>4397</v>
          </cell>
        </row>
      </sheetData>
      <sheetData sheetId="6"/>
      <sheetData sheetId="7">
        <row r="8">
          <cell r="D8">
            <v>9902171.6500000004</v>
          </cell>
        </row>
      </sheetData>
      <sheetData sheetId="8">
        <row r="8">
          <cell r="D8">
            <v>5307714.91</v>
          </cell>
        </row>
      </sheetData>
      <sheetData sheetId="9">
        <row r="8">
          <cell r="D8">
            <v>352482.24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zoomScaleNormal="100" workbookViewId="0">
      <selection activeCell="A38" sqref="A38"/>
    </sheetView>
  </sheetViews>
  <sheetFormatPr defaultRowHeight="12.75" x14ac:dyDescent="0.2"/>
  <cols>
    <col min="1" max="1" width="47.140625" customWidth="1"/>
    <col min="2" max="2" width="15" bestFit="1" customWidth="1"/>
    <col min="3" max="3" width="15.42578125" customWidth="1"/>
    <col min="4" max="6" width="12.7109375" customWidth="1"/>
    <col min="7" max="7" width="16" customWidth="1"/>
    <col min="8" max="9" width="12.7109375" customWidth="1"/>
  </cols>
  <sheetData>
    <row r="1" spans="1:8" ht="13.5" thickBot="1" x14ac:dyDescent="0.25"/>
    <row r="2" spans="1:8" x14ac:dyDescent="0.2">
      <c r="A2" s="21" t="s">
        <v>43</v>
      </c>
    </row>
    <row r="3" spans="1:8" x14ac:dyDescent="0.2">
      <c r="A3" s="22" t="s">
        <v>44</v>
      </c>
    </row>
    <row r="4" spans="1:8" x14ac:dyDescent="0.2">
      <c r="A4" s="23" t="s">
        <v>47</v>
      </c>
    </row>
    <row r="5" spans="1:8" x14ac:dyDescent="0.2">
      <c r="A5" s="23" t="s">
        <v>45</v>
      </c>
    </row>
    <row r="6" spans="1:8" ht="13.5" thickBot="1" x14ac:dyDescent="0.25">
      <c r="A6" s="24" t="s">
        <v>46</v>
      </c>
    </row>
    <row r="9" spans="1:8" x14ac:dyDescent="0.2">
      <c r="A9" t="s">
        <v>0</v>
      </c>
    </row>
    <row r="10" spans="1:8" x14ac:dyDescent="0.2">
      <c r="A10" t="s">
        <v>1</v>
      </c>
    </row>
    <row r="11" spans="1:8" x14ac:dyDescent="0.2">
      <c r="B11" s="52" t="s">
        <v>23</v>
      </c>
      <c r="C11" s="53"/>
      <c r="D11" s="54"/>
      <c r="F11" s="52" t="s">
        <v>24</v>
      </c>
      <c r="G11" s="53"/>
      <c r="H11" s="54"/>
    </row>
    <row r="13" spans="1:8" x14ac:dyDescent="0.2">
      <c r="B13" s="1" t="s">
        <v>4</v>
      </c>
      <c r="F13" s="1" t="s">
        <v>4</v>
      </c>
    </row>
    <row r="14" spans="1:8" x14ac:dyDescent="0.2">
      <c r="A14" t="s">
        <v>25</v>
      </c>
      <c r="B14" s="1" t="s">
        <v>5</v>
      </c>
      <c r="C14" s="1" t="s">
        <v>8</v>
      </c>
      <c r="F14" s="1" t="s">
        <v>5</v>
      </c>
      <c r="G14" s="1" t="s">
        <v>8</v>
      </c>
    </row>
    <row r="15" spans="1:8" x14ac:dyDescent="0.2">
      <c r="D15" s="2" t="s">
        <v>10</v>
      </c>
      <c r="H15" s="2" t="s">
        <v>10</v>
      </c>
    </row>
    <row r="16" spans="1:8" x14ac:dyDescent="0.2">
      <c r="A16" s="2" t="s">
        <v>3</v>
      </c>
      <c r="B16" s="3" t="s">
        <v>31</v>
      </c>
      <c r="C16" s="4" t="s">
        <v>32</v>
      </c>
      <c r="F16" s="3" t="s">
        <v>31</v>
      </c>
      <c r="G16" s="4" t="s">
        <v>32</v>
      </c>
    </row>
    <row r="17" spans="1:9" x14ac:dyDescent="0.2">
      <c r="E17" s="20"/>
      <c r="I17" s="20"/>
    </row>
    <row r="18" spans="1:9" x14ac:dyDescent="0.2">
      <c r="A18" t="s">
        <v>11</v>
      </c>
      <c r="B18" s="9">
        <f>+'[7]II-H-3.1'!$P$8</f>
        <v>8655936</v>
      </c>
      <c r="C18">
        <v>2.2599999999999998</v>
      </c>
      <c r="D18" s="9">
        <f>+B18*C18</f>
        <v>19562415.359999999</v>
      </c>
      <c r="E18" s="30"/>
      <c r="F18" s="9">
        <f>+'[8]II-H-3.1'!$P$8</f>
        <v>1804574</v>
      </c>
      <c r="G18">
        <v>2.35</v>
      </c>
      <c r="H18" s="9">
        <f>+F18*G18</f>
        <v>4240748.9000000004</v>
      </c>
      <c r="I18" s="30"/>
    </row>
    <row r="19" spans="1:9" x14ac:dyDescent="0.2">
      <c r="D19" s="9"/>
      <c r="E19" s="30"/>
      <c r="F19" s="9"/>
      <c r="H19" s="9"/>
      <c r="I19" s="30"/>
    </row>
    <row r="20" spans="1:9" x14ac:dyDescent="0.2">
      <c r="A20" t="s">
        <v>12</v>
      </c>
      <c r="D20" s="9"/>
      <c r="E20" s="30"/>
      <c r="F20" s="9"/>
      <c r="H20" s="9"/>
      <c r="I20" s="30"/>
    </row>
    <row r="21" spans="1:9" x14ac:dyDescent="0.2">
      <c r="A21" s="5" t="s">
        <v>13</v>
      </c>
      <c r="B21" s="9">
        <f>+'[7]II-H-3.1'!$P$10</f>
        <v>758331</v>
      </c>
      <c r="C21">
        <v>4.17</v>
      </c>
      <c r="D21" s="9">
        <f>+B21*C21</f>
        <v>3162240.27</v>
      </c>
      <c r="E21" s="30"/>
      <c r="F21" s="9">
        <f>+'[8]II-H-3.1'!$P$10</f>
        <v>312824</v>
      </c>
      <c r="G21" s="19">
        <v>4.4000000000000004</v>
      </c>
      <c r="H21" s="9">
        <f>+F21*G21</f>
        <v>1376425.6</v>
      </c>
      <c r="I21" s="30"/>
    </row>
    <row r="22" spans="1:9" x14ac:dyDescent="0.2">
      <c r="A22" s="5" t="s">
        <v>14</v>
      </c>
      <c r="B22" s="9">
        <f>+'[7]II-H-3.1'!$P$12</f>
        <v>698829</v>
      </c>
      <c r="C22">
        <v>2.0499999999999998</v>
      </c>
      <c r="D22" s="9">
        <f>+B22*C22</f>
        <v>1432599.45</v>
      </c>
      <c r="E22" s="30"/>
      <c r="F22" s="9">
        <f>+'[8]II-H-3.1'!$P$12</f>
        <v>164514</v>
      </c>
      <c r="G22">
        <v>1.46</v>
      </c>
      <c r="H22" s="9">
        <f>+F22*G22</f>
        <v>240190.44</v>
      </c>
      <c r="I22" s="30"/>
    </row>
    <row r="23" spans="1:9" x14ac:dyDescent="0.2">
      <c r="B23" s="9"/>
      <c r="D23" s="9"/>
      <c r="E23" s="30"/>
      <c r="F23" s="9"/>
      <c r="H23" s="9"/>
      <c r="I23" s="30"/>
    </row>
    <row r="24" spans="1:9" x14ac:dyDescent="0.2">
      <c r="A24" t="s">
        <v>15</v>
      </c>
      <c r="B24" s="9">
        <f>+'[7]II-H-3.1'!$P$16</f>
        <v>2449</v>
      </c>
      <c r="C24" s="14">
        <v>-7.07</v>
      </c>
      <c r="D24" s="9">
        <f>+B24*C24</f>
        <v>-17314.43</v>
      </c>
      <c r="E24" s="30"/>
      <c r="F24" s="9">
        <f>+'[8]II-H-3.1'!$P$16</f>
        <v>4397</v>
      </c>
      <c r="G24">
        <v>0.22</v>
      </c>
      <c r="H24" s="9">
        <f>+F24*G24</f>
        <v>967.34</v>
      </c>
      <c r="I24" s="30"/>
    </row>
    <row r="25" spans="1:9" x14ac:dyDescent="0.2">
      <c r="B25" s="9"/>
      <c r="D25" s="9"/>
      <c r="E25" s="29"/>
      <c r="F25" s="9"/>
      <c r="H25" s="9"/>
      <c r="I25" s="30"/>
    </row>
    <row r="26" spans="1:9" x14ac:dyDescent="0.2">
      <c r="A26" t="s">
        <v>16</v>
      </c>
      <c r="B26" s="9"/>
      <c r="D26" s="9"/>
      <c r="E26" s="29"/>
      <c r="F26" s="9"/>
      <c r="H26" s="9"/>
      <c r="I26" s="30"/>
    </row>
    <row r="27" spans="1:9" x14ac:dyDescent="0.2">
      <c r="A27" t="s">
        <v>17</v>
      </c>
      <c r="B27" s="9"/>
      <c r="D27" s="9"/>
      <c r="E27" s="29"/>
      <c r="F27" s="9"/>
      <c r="H27" s="9"/>
      <c r="I27" s="30"/>
    </row>
    <row r="28" spans="1:9" x14ac:dyDescent="0.2">
      <c r="D28" s="9"/>
      <c r="E28" s="29"/>
      <c r="F28" s="9"/>
      <c r="H28" s="9"/>
      <c r="I28" s="30"/>
    </row>
    <row r="29" spans="1:9" x14ac:dyDescent="0.2">
      <c r="D29" s="9"/>
      <c r="E29" s="29"/>
      <c r="F29" s="9"/>
      <c r="H29" s="9"/>
      <c r="I29" s="30"/>
    </row>
    <row r="30" spans="1:9" x14ac:dyDescent="0.2">
      <c r="A30" t="s">
        <v>18</v>
      </c>
      <c r="B30" s="6"/>
      <c r="C30" s="6"/>
      <c r="D30" s="6"/>
      <c r="E30" s="29"/>
      <c r="F30" s="6"/>
      <c r="G30" s="6"/>
      <c r="H30" s="6"/>
      <c r="I30" s="29"/>
    </row>
    <row r="31" spans="1:9" x14ac:dyDescent="0.2">
      <c r="B31" s="13">
        <f>SUM(B18:B30)</f>
        <v>10115545</v>
      </c>
      <c r="D31" s="13">
        <f>SUM(D18:D30)</f>
        <v>24139940.649999999</v>
      </c>
      <c r="E31" s="31"/>
      <c r="F31" s="13">
        <f>SUM(F18:F30)</f>
        <v>2286309</v>
      </c>
      <c r="H31" s="13">
        <f>SUM(H18:H30)</f>
        <v>5858332.2800000003</v>
      </c>
      <c r="I31" s="31"/>
    </row>
    <row r="32" spans="1:9" x14ac:dyDescent="0.2">
      <c r="E32" s="29"/>
      <c r="I32" s="29"/>
    </row>
    <row r="33" spans="1:9" x14ac:dyDescent="0.2">
      <c r="E33" s="31"/>
      <c r="I33" s="31"/>
    </row>
    <row r="34" spans="1:9" x14ac:dyDescent="0.2">
      <c r="E34" s="29"/>
      <c r="I34" s="29"/>
    </row>
    <row r="42" spans="1:9" x14ac:dyDescent="0.2">
      <c r="A42" s="7"/>
    </row>
  </sheetData>
  <mergeCells count="2">
    <mergeCell ref="B11:D11"/>
    <mergeCell ref="F11:H11"/>
  </mergeCells>
  <pageMargins left="0.7" right="0.7" top="0.75" bottom="0.75" header="0.3" footer="0.3"/>
  <pageSetup scale="95" orientation="landscape" r:id="rId1"/>
  <headerFooter>
    <oddFooter>&amp;LSponsored by: Jennifer L. Jackson</oddFooter>
  </headerFooter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zoomScaleNormal="100" workbookViewId="0">
      <selection activeCell="E38" sqref="E38"/>
    </sheetView>
  </sheetViews>
  <sheetFormatPr defaultRowHeight="12.75" x14ac:dyDescent="0.2"/>
  <cols>
    <col min="1" max="1" width="47.28515625" customWidth="1"/>
    <col min="2" max="2" width="12.7109375" customWidth="1"/>
    <col min="3" max="3" width="15" bestFit="1" customWidth="1"/>
    <col min="4" max="5" width="15" customWidth="1"/>
    <col min="6" max="7" width="16" customWidth="1"/>
    <col min="8" max="8" width="14" bestFit="1" customWidth="1"/>
    <col min="9" max="9" width="2.7109375" customWidth="1"/>
    <col min="10" max="10" width="12.7109375" customWidth="1"/>
    <col min="11" max="11" width="14" bestFit="1" customWidth="1"/>
    <col min="12" max="13" width="14" customWidth="1"/>
    <col min="14" max="15" width="15.28515625" customWidth="1"/>
    <col min="16" max="16" width="12.7109375" customWidth="1"/>
    <col min="17" max="17" width="14.85546875" customWidth="1"/>
  </cols>
  <sheetData>
    <row r="1" spans="1:17" ht="13.5" thickBot="1" x14ac:dyDescent="0.25"/>
    <row r="2" spans="1:17" x14ac:dyDescent="0.2">
      <c r="A2" s="21" t="s">
        <v>43</v>
      </c>
    </row>
    <row r="3" spans="1:17" x14ac:dyDescent="0.2">
      <c r="A3" s="22" t="s">
        <v>44</v>
      </c>
    </row>
    <row r="4" spans="1:17" x14ac:dyDescent="0.2">
      <c r="A4" s="23" t="s">
        <v>47</v>
      </c>
    </row>
    <row r="5" spans="1:17" x14ac:dyDescent="0.2">
      <c r="A5" s="23" t="s">
        <v>45</v>
      </c>
    </row>
    <row r="6" spans="1:17" ht="13.5" thickBot="1" x14ac:dyDescent="0.25">
      <c r="A6" s="24" t="s">
        <v>46</v>
      </c>
    </row>
    <row r="9" spans="1:17" x14ac:dyDescent="0.2">
      <c r="A9" t="s">
        <v>0</v>
      </c>
    </row>
    <row r="10" spans="1:17" x14ac:dyDescent="0.2">
      <c r="A10" t="s">
        <v>1</v>
      </c>
    </row>
    <row r="11" spans="1:17" x14ac:dyDescent="0.2">
      <c r="B11" s="52" t="s">
        <v>23</v>
      </c>
      <c r="C11" s="53"/>
      <c r="D11" s="53"/>
      <c r="E11" s="53"/>
      <c r="F11" s="53"/>
      <c r="G11" s="53"/>
      <c r="H11" s="54"/>
      <c r="J11" s="52" t="s">
        <v>24</v>
      </c>
      <c r="K11" s="53"/>
      <c r="L11" s="53"/>
      <c r="M11" s="53"/>
      <c r="N11" s="53"/>
      <c r="O11" s="53"/>
      <c r="P11" s="54"/>
    </row>
    <row r="13" spans="1:17" x14ac:dyDescent="0.2">
      <c r="B13" s="55" t="s">
        <v>4</v>
      </c>
      <c r="C13" s="55"/>
      <c r="D13" s="55"/>
      <c r="E13" s="55"/>
      <c r="J13" s="55" t="s">
        <v>4</v>
      </c>
      <c r="K13" s="55"/>
      <c r="L13" s="55"/>
      <c r="M13" s="55"/>
    </row>
    <row r="14" spans="1:17" x14ac:dyDescent="0.2">
      <c r="A14" t="s">
        <v>26</v>
      </c>
      <c r="B14" s="55" t="s">
        <v>5</v>
      </c>
      <c r="C14" s="55"/>
      <c r="D14" s="55"/>
      <c r="E14" s="55"/>
      <c r="F14" s="1" t="s">
        <v>8</v>
      </c>
      <c r="G14" s="1" t="s">
        <v>8</v>
      </c>
      <c r="J14" s="55" t="s">
        <v>5</v>
      </c>
      <c r="K14" s="55"/>
      <c r="L14" s="55"/>
      <c r="M14" s="55"/>
      <c r="N14" s="1" t="s">
        <v>8</v>
      </c>
      <c r="O14" s="1" t="s">
        <v>8</v>
      </c>
    </row>
    <row r="15" spans="1:17" x14ac:dyDescent="0.2">
      <c r="B15" s="56" t="s">
        <v>35</v>
      </c>
      <c r="C15" s="56"/>
      <c r="D15" s="55" t="s">
        <v>36</v>
      </c>
      <c r="E15" s="55"/>
      <c r="F15" s="2" t="s">
        <v>38</v>
      </c>
      <c r="G15" s="2" t="s">
        <v>39</v>
      </c>
      <c r="H15" s="2" t="s">
        <v>10</v>
      </c>
      <c r="J15" s="56" t="s">
        <v>37</v>
      </c>
      <c r="K15" s="56"/>
      <c r="L15" s="56" t="s">
        <v>36</v>
      </c>
      <c r="M15" s="56"/>
      <c r="N15" s="2" t="s">
        <v>38</v>
      </c>
      <c r="O15" s="2" t="s">
        <v>39</v>
      </c>
      <c r="P15" s="2" t="s">
        <v>10</v>
      </c>
    </row>
    <row r="16" spans="1:17" x14ac:dyDescent="0.2">
      <c r="A16" s="2" t="s">
        <v>3</v>
      </c>
      <c r="B16" s="3" t="s">
        <v>6</v>
      </c>
      <c r="C16" s="3" t="s">
        <v>7</v>
      </c>
      <c r="D16" s="3" t="s">
        <v>6</v>
      </c>
      <c r="E16" s="3" t="s">
        <v>7</v>
      </c>
      <c r="F16" s="4" t="s">
        <v>9</v>
      </c>
      <c r="G16" s="4" t="s">
        <v>9</v>
      </c>
      <c r="I16" s="20"/>
      <c r="J16" s="3" t="s">
        <v>6</v>
      </c>
      <c r="K16" s="3" t="s">
        <v>7</v>
      </c>
      <c r="L16" s="3" t="s">
        <v>6</v>
      </c>
      <c r="M16" s="3" t="s">
        <v>7</v>
      </c>
      <c r="N16" s="4" t="s">
        <v>9</v>
      </c>
      <c r="O16" s="4" t="s">
        <v>9</v>
      </c>
      <c r="Q16" s="20"/>
    </row>
    <row r="17" spans="1:17" x14ac:dyDescent="0.2">
      <c r="I17" s="29"/>
      <c r="Q17" s="29"/>
    </row>
    <row r="18" spans="1:17" x14ac:dyDescent="0.2">
      <c r="A18" t="s">
        <v>11</v>
      </c>
      <c r="B18" s="9"/>
      <c r="C18" s="9">
        <f>SUM('[7]II-H-1.2'!$D$8:$K$8)</f>
        <v>6883595997</v>
      </c>
      <c r="D18" s="9"/>
      <c r="E18" s="9">
        <f>SUM('[7]II-H-1.2'!$L$8:$O$8)</f>
        <v>3303324243</v>
      </c>
      <c r="F18">
        <v>3.3110000000000001E-3</v>
      </c>
      <c r="G18">
        <v>2.1580000000000002E-3</v>
      </c>
      <c r="H18" s="9">
        <f>(C18*F18)+(E18*G18)</f>
        <v>29920160.062461</v>
      </c>
      <c r="I18" s="30"/>
      <c r="J18" s="9"/>
      <c r="K18" s="9">
        <f>+SUM('[8]II-H-1.2'!$D$8:$K$8)</f>
        <v>1326125119</v>
      </c>
      <c r="L18" s="9"/>
      <c r="M18" s="9">
        <f>+SUM('[8]II-H-1.2'!$L$8:$O$8)</f>
        <v>590066113</v>
      </c>
      <c r="N18">
        <v>4.2750000000000002E-3</v>
      </c>
      <c r="O18">
        <v>3.8539999999999998E-3</v>
      </c>
      <c r="P18" s="17">
        <f>(K18*N18)+(M18*O18)</f>
        <v>7943299.6832270008</v>
      </c>
      <c r="Q18" s="30"/>
    </row>
    <row r="19" spans="1:17" x14ac:dyDescent="0.2">
      <c r="B19" s="9"/>
      <c r="C19" s="9"/>
      <c r="E19" s="9"/>
      <c r="H19" s="9"/>
      <c r="I19" s="30"/>
      <c r="J19" s="9"/>
      <c r="K19" s="9"/>
      <c r="L19" s="9"/>
      <c r="P19" s="9"/>
      <c r="Q19" s="30"/>
    </row>
    <row r="20" spans="1:17" x14ac:dyDescent="0.2">
      <c r="A20" t="s">
        <v>12</v>
      </c>
      <c r="B20" s="9"/>
      <c r="C20" s="9"/>
      <c r="E20" s="9"/>
      <c r="H20" s="9"/>
      <c r="I20" s="30"/>
      <c r="J20" s="9"/>
      <c r="K20" s="9"/>
      <c r="L20" s="9"/>
      <c r="P20" s="9"/>
      <c r="Q20" s="30"/>
    </row>
    <row r="21" spans="1:17" x14ac:dyDescent="0.2">
      <c r="A21" s="5" t="s">
        <v>13</v>
      </c>
      <c r="B21" s="9"/>
      <c r="C21" s="9">
        <f>SUM('[7]II-H-1.2'!$D$10:$K$10)</f>
        <v>292961252</v>
      </c>
      <c r="D21" s="9"/>
      <c r="E21" s="9">
        <f>SUM('[7]II-H-1.2'!$L$10:$O$10)</f>
        <v>145750043</v>
      </c>
      <c r="F21">
        <v>8.8900000000000003E-3</v>
      </c>
      <c r="G21">
        <v>5.7959999999999999E-3</v>
      </c>
      <c r="H21" s="9">
        <f>(C21*F21)+(E21*G21)</f>
        <v>3449192.7795080002</v>
      </c>
      <c r="I21" s="30"/>
      <c r="J21" s="9"/>
      <c r="K21" s="9">
        <f>+SUM('[8]II-H-1.2'!$D$10:$K$10)</f>
        <v>96462662</v>
      </c>
      <c r="L21" s="9"/>
      <c r="M21" s="9">
        <f>+SUM('[8]II-H-1.2'!$L$10:$O$10)</f>
        <v>45422275</v>
      </c>
      <c r="N21">
        <v>1.1636000000000001E-2</v>
      </c>
      <c r="O21">
        <v>1.0585000000000001E-2</v>
      </c>
      <c r="P21" s="17">
        <f>(K21*N21)+(M21*O21)</f>
        <v>1603234.3159070001</v>
      </c>
      <c r="Q21" s="30"/>
    </row>
    <row r="22" spans="1:17" x14ac:dyDescent="0.2">
      <c r="A22" s="5" t="s">
        <v>14</v>
      </c>
      <c r="B22" s="9">
        <f>SUM('[7]II-H-1.6 Dist'!$D$14:$K$14)</f>
        <v>19558337.100000001</v>
      </c>
      <c r="C22" s="9"/>
      <c r="D22" s="9">
        <f>SUM('[7]II-H-1.6 Dist'!$L$14:$O$14)</f>
        <v>9775933</v>
      </c>
      <c r="E22" s="9"/>
      <c r="F22">
        <v>0.70980600000000005</v>
      </c>
      <c r="G22">
        <v>0.45944000000000002</v>
      </c>
      <c r="H22" s="9">
        <f>(B22*F22)+(D22*G22)</f>
        <v>18374079.681122601</v>
      </c>
      <c r="I22" s="30"/>
      <c r="J22" s="9">
        <f>SUM('[8]II-H-1.6 Dist'!$D$14:$K$14)</f>
        <v>5086420.9000000004</v>
      </c>
      <c r="K22" s="9"/>
      <c r="L22" s="9">
        <f>SUM('[8]II-H-1.6 Dist'!$L$14:$O$14)</f>
        <v>2515415.6999999997</v>
      </c>
      <c r="M22" s="9"/>
      <c r="N22">
        <v>0.76018200000000002</v>
      </c>
      <c r="O22">
        <v>0.679589</v>
      </c>
      <c r="P22" s="17">
        <f>(J22*N22)+(L22*O22)</f>
        <v>5576054.4527511001</v>
      </c>
      <c r="Q22" s="30"/>
    </row>
    <row r="23" spans="1:17" x14ac:dyDescent="0.2">
      <c r="B23" s="9"/>
      <c r="C23" s="9"/>
      <c r="D23" s="9"/>
      <c r="E23" s="9"/>
      <c r="H23" s="9"/>
      <c r="I23" s="30"/>
      <c r="J23" s="9"/>
      <c r="K23" s="9"/>
      <c r="L23" s="9"/>
      <c r="M23" s="9"/>
      <c r="P23" s="9"/>
      <c r="Q23" s="30"/>
    </row>
    <row r="24" spans="1:17" x14ac:dyDescent="0.2">
      <c r="A24" t="s">
        <v>15</v>
      </c>
      <c r="B24" s="9">
        <f>SUM('[7]II-H-1.6 Dist'!$D$18:$K$18)</f>
        <v>4469058.9000000004</v>
      </c>
      <c r="C24" s="9"/>
      <c r="D24" s="9">
        <f>SUM('[7]II-H-1.6 Dist'!$L$18:$O$18)</f>
        <v>2243634.5</v>
      </c>
      <c r="E24" s="9"/>
      <c r="F24">
        <v>0.54680799999999996</v>
      </c>
      <c r="G24">
        <v>0.36461900000000003</v>
      </c>
      <c r="H24" s="9">
        <f>(B24*F24)+(D24*G24)</f>
        <v>3261788.9267467</v>
      </c>
      <c r="I24" s="30"/>
      <c r="J24" s="9">
        <f>SUM('[8]II-H-1.6 Dist'!$D$18:$K$18)</f>
        <v>2482992.1</v>
      </c>
      <c r="K24" s="9"/>
      <c r="L24" s="9">
        <f>SUM('[8]II-H-1.6 Dist'!$L$18:$O$18)</f>
        <v>1271650.8999999999</v>
      </c>
      <c r="M24" s="9"/>
      <c r="N24">
        <v>0.32197100000000001</v>
      </c>
      <c r="O24">
        <v>0.30518800000000001</v>
      </c>
      <c r="P24" s="17">
        <f>(J24*N24)+(L24*O24)</f>
        <v>1187544.0442983001</v>
      </c>
      <c r="Q24" s="30"/>
    </row>
    <row r="25" spans="1:17" x14ac:dyDescent="0.2">
      <c r="B25" s="9"/>
      <c r="C25" s="9"/>
      <c r="D25" s="9"/>
      <c r="E25" s="9"/>
      <c r="H25" s="9"/>
      <c r="I25" s="30"/>
      <c r="J25" s="9"/>
      <c r="K25" s="9"/>
      <c r="L25" s="9"/>
      <c r="M25" s="9"/>
      <c r="P25" s="9"/>
      <c r="Q25" s="30"/>
    </row>
    <row r="26" spans="1:17" x14ac:dyDescent="0.2">
      <c r="A26" t="s">
        <v>16</v>
      </c>
      <c r="B26" s="9">
        <f>SUM('[7]II-H-1.6 Dist'!$D$20:$K$20)</f>
        <v>10398551.199999999</v>
      </c>
      <c r="C26" s="9"/>
      <c r="D26" s="9">
        <f>SUM('[7]II-H-1.6 Dist'!$L$20:$O$20)</f>
        <v>4949634.5999999996</v>
      </c>
      <c r="E26" s="9"/>
      <c r="F26">
        <v>1.0704999999999999E-2</v>
      </c>
      <c r="G26">
        <v>6.7489999999999998E-3</v>
      </c>
      <c r="H26" s="9">
        <f>(B26*F26)+(D26*G26)</f>
        <v>144721.57451139999</v>
      </c>
      <c r="I26" s="30"/>
      <c r="J26" s="9">
        <f>SUM('[8]II-H-1.6 Dist'!$D$20:$K$20)</f>
        <v>438846.20000000007</v>
      </c>
      <c r="K26" s="9"/>
      <c r="L26" s="9">
        <f>SUM('[8]II-H-1.6 Dist'!$L$20:$O$20)</f>
        <v>234978.40000000002</v>
      </c>
      <c r="M26" s="9"/>
      <c r="N26">
        <v>2.7635E-2</v>
      </c>
      <c r="O26">
        <v>2.4541E-2</v>
      </c>
      <c r="P26" s="17">
        <f>(J26*N26)+(L26*O26)</f>
        <v>17894.119651400004</v>
      </c>
      <c r="Q26" s="30"/>
    </row>
    <row r="27" spans="1:17" x14ac:dyDescent="0.2">
      <c r="A27" t="s">
        <v>17</v>
      </c>
      <c r="B27" s="9"/>
      <c r="C27" s="9">
        <f>SUM('[7]II-H-1.2'!$D$22:$K$22)</f>
        <v>148124355</v>
      </c>
      <c r="D27" s="9"/>
      <c r="E27" s="9">
        <f>SUM('[7]II-H-1.2'!$L$22:$O$22)</f>
        <v>74152156</v>
      </c>
      <c r="F27">
        <v>8.8900000000000003E-3</v>
      </c>
      <c r="G27">
        <v>5.7959999999999999E-3</v>
      </c>
      <c r="H27" s="9">
        <f>(C27*F27)+(E27*G27)</f>
        <v>1746611.412126</v>
      </c>
      <c r="I27" s="30"/>
      <c r="J27" s="9"/>
      <c r="K27" s="9">
        <f>+SUM('[8]II-H-1.2'!$D$22:$K$22)</f>
        <v>26793022</v>
      </c>
      <c r="L27" s="9"/>
      <c r="M27" s="9">
        <f>+SUM('[8]II-H-1.2'!$L$22:$O$22)</f>
        <v>13337613</v>
      </c>
      <c r="N27">
        <v>1.1636000000000001E-2</v>
      </c>
      <c r="O27">
        <v>1.0585000000000001E-2</v>
      </c>
      <c r="P27" s="17">
        <f>(K27*N27)+(M27*O27)</f>
        <v>452942.23759699997</v>
      </c>
      <c r="Q27" s="30"/>
    </row>
    <row r="28" spans="1:17" x14ac:dyDescent="0.2">
      <c r="B28" s="9"/>
      <c r="C28" s="9"/>
      <c r="D28" s="9"/>
      <c r="E28" s="9"/>
      <c r="H28" s="9"/>
      <c r="I28" s="30"/>
      <c r="J28" s="9"/>
      <c r="K28" s="9"/>
      <c r="L28" s="9"/>
      <c r="M28" s="9"/>
      <c r="P28" s="9"/>
      <c r="Q28" s="30"/>
    </row>
    <row r="29" spans="1:17" x14ac:dyDescent="0.2">
      <c r="B29" s="9"/>
      <c r="C29" s="9"/>
      <c r="D29" s="9"/>
      <c r="E29" s="9"/>
      <c r="H29" s="13"/>
      <c r="I29" s="30"/>
      <c r="J29" s="9"/>
      <c r="K29" s="9"/>
      <c r="L29" s="9"/>
      <c r="M29" s="9"/>
      <c r="Q29" s="30"/>
    </row>
    <row r="30" spans="1:17" x14ac:dyDescent="0.2">
      <c r="A30" t="s">
        <v>18</v>
      </c>
      <c r="B30" s="6"/>
      <c r="C30" s="6"/>
      <c r="D30" s="6"/>
      <c r="E30" s="6"/>
      <c r="F30" s="6"/>
      <c r="G30" s="6"/>
      <c r="H30" s="6"/>
      <c r="I30" s="29"/>
      <c r="J30" s="6"/>
      <c r="K30" s="6"/>
      <c r="L30" s="6"/>
      <c r="M30" s="6"/>
      <c r="N30" s="6"/>
      <c r="O30" s="6"/>
      <c r="P30" s="6"/>
      <c r="Q30" s="29"/>
    </row>
    <row r="31" spans="1:17" x14ac:dyDescent="0.2">
      <c r="B31" s="8">
        <f>SUM(B18:B30)</f>
        <v>34425947.200000003</v>
      </c>
      <c r="C31" s="8">
        <f>SUM(C18:C30)</f>
        <v>7324681604</v>
      </c>
      <c r="D31" s="8">
        <f>SUM(D18:D30)</f>
        <v>16969202.100000001</v>
      </c>
      <c r="E31" s="8">
        <f>SUM(E18:E30)</f>
        <v>3523226442</v>
      </c>
      <c r="H31" s="8">
        <f>SUM(H18:H30)</f>
        <v>56896554.436475694</v>
      </c>
      <c r="I31" s="31"/>
      <c r="J31" s="8">
        <f>SUM(J18:J30)</f>
        <v>8008259.2000000002</v>
      </c>
      <c r="K31" s="8">
        <f>SUM(K18:K30)</f>
        <v>1449380803</v>
      </c>
      <c r="L31" s="8">
        <f>SUM(L18:L30)</f>
        <v>4022044.9999999995</v>
      </c>
      <c r="M31" s="8">
        <f>SUM(M18:M29)</f>
        <v>648826001</v>
      </c>
      <c r="P31" s="8">
        <f>SUM(P18:P30)</f>
        <v>16780968.853431802</v>
      </c>
      <c r="Q31" s="31"/>
    </row>
    <row r="32" spans="1:17" x14ac:dyDescent="0.2">
      <c r="I32" s="29"/>
      <c r="Q32" s="31"/>
    </row>
    <row r="33" spans="1:17" x14ac:dyDescent="0.2">
      <c r="I33" s="30"/>
      <c r="Q33" s="29"/>
    </row>
    <row r="36" spans="1:17" x14ac:dyDescent="0.2">
      <c r="B36" s="29"/>
    </row>
    <row r="37" spans="1:17" x14ac:dyDescent="0.2">
      <c r="B37" s="29"/>
    </row>
    <row r="38" spans="1:17" x14ac:dyDescent="0.2">
      <c r="B38" s="29"/>
    </row>
    <row r="39" spans="1:17" x14ac:dyDescent="0.2">
      <c r="B39" s="29"/>
    </row>
    <row r="40" spans="1:17" x14ac:dyDescent="0.2">
      <c r="B40" s="29"/>
    </row>
    <row r="41" spans="1:17" x14ac:dyDescent="0.2">
      <c r="B41" s="29"/>
    </row>
    <row r="42" spans="1:17" x14ac:dyDescent="0.2">
      <c r="A42" s="7"/>
      <c r="B42" s="29"/>
    </row>
  </sheetData>
  <mergeCells count="10">
    <mergeCell ref="B11:H11"/>
    <mergeCell ref="J11:P11"/>
    <mergeCell ref="B13:E13"/>
    <mergeCell ref="B14:E14"/>
    <mergeCell ref="B15:C15"/>
    <mergeCell ref="D15:E15"/>
    <mergeCell ref="J13:M13"/>
    <mergeCell ref="J14:M14"/>
    <mergeCell ref="J15:K15"/>
    <mergeCell ref="L15:M15"/>
  </mergeCells>
  <pageMargins left="0.7" right="0.7" top="0.75" bottom="0.75" header="0.3" footer="0.3"/>
  <pageSetup scale="75" orientation="landscape" r:id="rId1"/>
  <headerFooter>
    <oddFooter>&amp;LSponsored by: Jennifer L. Jackson</oddFooter>
  </headerFooter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zoomScaleNormal="100" workbookViewId="0">
      <selection activeCell="H32" sqref="H32"/>
    </sheetView>
  </sheetViews>
  <sheetFormatPr defaultRowHeight="12.75" x14ac:dyDescent="0.2"/>
  <cols>
    <col min="1" max="1" width="47.140625" customWidth="1"/>
    <col min="2" max="2" width="12.7109375" customWidth="1"/>
    <col min="3" max="3" width="15" bestFit="1" customWidth="1"/>
    <col min="4" max="5" width="15" customWidth="1"/>
    <col min="6" max="7" width="14.85546875" customWidth="1"/>
    <col min="8" max="8" width="12.7109375" customWidth="1"/>
    <col min="9" max="9" width="2.7109375" customWidth="1"/>
    <col min="10" max="12" width="12.7109375" customWidth="1"/>
    <col min="13" max="13" width="14" bestFit="1" customWidth="1"/>
    <col min="14" max="15" width="15.28515625" customWidth="1"/>
    <col min="16" max="16" width="12.7109375" customWidth="1"/>
    <col min="17" max="17" width="14" customWidth="1"/>
  </cols>
  <sheetData>
    <row r="1" spans="1:17" ht="13.5" thickBot="1" x14ac:dyDescent="0.25"/>
    <row r="2" spans="1:17" x14ac:dyDescent="0.2">
      <c r="A2" s="21" t="s">
        <v>43</v>
      </c>
    </row>
    <row r="3" spans="1:17" x14ac:dyDescent="0.2">
      <c r="A3" s="22" t="s">
        <v>44</v>
      </c>
    </row>
    <row r="4" spans="1:17" x14ac:dyDescent="0.2">
      <c r="A4" s="23" t="s">
        <v>47</v>
      </c>
    </row>
    <row r="5" spans="1:17" x14ac:dyDescent="0.2">
      <c r="A5" s="23" t="s">
        <v>45</v>
      </c>
    </row>
    <row r="6" spans="1:17" ht="13.5" thickBot="1" x14ac:dyDescent="0.25">
      <c r="A6" s="24" t="s">
        <v>46</v>
      </c>
    </row>
    <row r="9" spans="1:17" x14ac:dyDescent="0.2">
      <c r="A9" t="s">
        <v>0</v>
      </c>
    </row>
    <row r="10" spans="1:17" x14ac:dyDescent="0.2">
      <c r="A10" t="s">
        <v>1</v>
      </c>
    </row>
    <row r="11" spans="1:17" x14ac:dyDescent="0.2">
      <c r="B11" s="52" t="s">
        <v>23</v>
      </c>
      <c r="C11" s="53"/>
      <c r="D11" s="53"/>
      <c r="E11" s="53"/>
      <c r="F11" s="53"/>
      <c r="G11" s="53"/>
      <c r="H11" s="54"/>
      <c r="J11" s="52" t="s">
        <v>24</v>
      </c>
      <c r="K11" s="53"/>
      <c r="L11" s="53"/>
      <c r="M11" s="53"/>
      <c r="N11" s="53"/>
      <c r="O11" s="53"/>
      <c r="P11" s="54"/>
    </row>
    <row r="13" spans="1:17" x14ac:dyDescent="0.2">
      <c r="B13" s="55" t="s">
        <v>4</v>
      </c>
      <c r="C13" s="55"/>
      <c r="D13" s="55"/>
      <c r="E13" s="55"/>
      <c r="J13" s="55" t="s">
        <v>4</v>
      </c>
      <c r="K13" s="55"/>
      <c r="L13" s="55"/>
      <c r="M13" s="55"/>
    </row>
    <row r="14" spans="1:17" x14ac:dyDescent="0.2">
      <c r="A14" t="s">
        <v>28</v>
      </c>
      <c r="B14" s="55" t="s">
        <v>5</v>
      </c>
      <c r="C14" s="55"/>
      <c r="D14" s="55"/>
      <c r="E14" s="55"/>
      <c r="F14" s="1" t="s">
        <v>8</v>
      </c>
      <c r="G14" s="1" t="s">
        <v>8</v>
      </c>
      <c r="J14" s="55" t="s">
        <v>5</v>
      </c>
      <c r="K14" s="55"/>
      <c r="L14" s="55"/>
      <c r="M14" s="55"/>
      <c r="N14" s="1" t="s">
        <v>8</v>
      </c>
      <c r="O14" s="1" t="s">
        <v>8</v>
      </c>
    </row>
    <row r="15" spans="1:17" x14ac:dyDescent="0.2">
      <c r="B15" s="56" t="s">
        <v>40</v>
      </c>
      <c r="C15" s="56"/>
      <c r="D15" s="56" t="s">
        <v>41</v>
      </c>
      <c r="E15" s="56"/>
      <c r="F15" s="2" t="s">
        <v>40</v>
      </c>
      <c r="G15" s="2" t="s">
        <v>41</v>
      </c>
      <c r="H15" s="2" t="s">
        <v>10</v>
      </c>
      <c r="J15" s="56" t="s">
        <v>40</v>
      </c>
      <c r="K15" s="56"/>
      <c r="L15" s="56" t="s">
        <v>41</v>
      </c>
      <c r="M15" s="56"/>
      <c r="N15" s="2" t="s">
        <v>40</v>
      </c>
      <c r="O15" s="2" t="s">
        <v>41</v>
      </c>
      <c r="P15" s="2" t="s">
        <v>10</v>
      </c>
      <c r="Q15" s="29"/>
    </row>
    <row r="16" spans="1:17" x14ac:dyDescent="0.2">
      <c r="A16" s="2" t="s">
        <v>3</v>
      </c>
      <c r="B16" s="3" t="s">
        <v>6</v>
      </c>
      <c r="C16" s="3" t="s">
        <v>7</v>
      </c>
      <c r="D16" s="3" t="s">
        <v>6</v>
      </c>
      <c r="E16" s="3" t="s">
        <v>7</v>
      </c>
      <c r="F16" s="4" t="s">
        <v>9</v>
      </c>
      <c r="G16" s="4" t="s">
        <v>9</v>
      </c>
      <c r="J16" s="3" t="s">
        <v>6</v>
      </c>
      <c r="K16" s="3" t="s">
        <v>7</v>
      </c>
      <c r="L16" s="3" t="s">
        <v>6</v>
      </c>
      <c r="M16" s="3" t="s">
        <v>7</v>
      </c>
      <c r="N16" s="4" t="s">
        <v>9</v>
      </c>
      <c r="O16" s="4" t="s">
        <v>9</v>
      </c>
      <c r="Q16" s="20"/>
    </row>
    <row r="17" spans="1:17" x14ac:dyDescent="0.2">
      <c r="I17" s="20"/>
      <c r="Q17" s="29"/>
    </row>
    <row r="18" spans="1:17" x14ac:dyDescent="0.2">
      <c r="A18" t="s">
        <v>11</v>
      </c>
      <c r="C18" s="9">
        <f>+'[7]II-H-1.2'!$D$8+'[7]II-H-1.2'!$E$8</f>
        <v>1712009110</v>
      </c>
      <c r="D18" s="9"/>
      <c r="E18" s="9">
        <f>SUM('[7]II-H-1.2'!$F$8:$O$8)</f>
        <v>8474911130</v>
      </c>
      <c r="F18">
        <v>5.3200000000000003E-4</v>
      </c>
      <c r="G18">
        <v>5.7399999999999997E-4</v>
      </c>
      <c r="H18" s="17">
        <f>+(C18*F18)+(E18*G18)</f>
        <v>5775387.8351400001</v>
      </c>
      <c r="I18" s="30"/>
      <c r="J18" s="9"/>
      <c r="K18" s="9">
        <f>+'[8]II-H-1.2'!$D$8+'[8]II-H-1.2'!$E$8</f>
        <v>356540741</v>
      </c>
      <c r="L18" s="9"/>
      <c r="M18" s="9">
        <f>SUM('[8]II-H-1.2'!$F$8:$O$8)</f>
        <v>1559650491</v>
      </c>
      <c r="N18">
        <v>4.4900000000000002E-4</v>
      </c>
      <c r="O18">
        <v>5.8900000000000001E-4</v>
      </c>
      <c r="P18" s="13">
        <f>+(K18*N18)+(M18*O18)</f>
        <v>1078720.931908</v>
      </c>
      <c r="Q18" s="30"/>
    </row>
    <row r="19" spans="1:17" x14ac:dyDescent="0.2">
      <c r="C19" s="9"/>
      <c r="D19" s="9"/>
      <c r="E19" s="9"/>
      <c r="H19" s="9"/>
      <c r="I19" s="30"/>
      <c r="J19" s="9"/>
      <c r="K19" s="9"/>
      <c r="L19" s="9"/>
      <c r="M19" s="9"/>
      <c r="P19" s="13"/>
      <c r="Q19" s="30"/>
    </row>
    <row r="20" spans="1:17" x14ac:dyDescent="0.2">
      <c r="A20" t="s">
        <v>12</v>
      </c>
      <c r="C20" s="9"/>
      <c r="D20" s="9"/>
      <c r="E20" s="9"/>
      <c r="H20" s="9"/>
      <c r="I20" s="30"/>
      <c r="J20" s="9"/>
      <c r="K20" s="9"/>
      <c r="L20" s="9"/>
      <c r="M20" s="9"/>
      <c r="P20" s="13"/>
      <c r="Q20" s="30"/>
    </row>
    <row r="21" spans="1:17" x14ac:dyDescent="0.2">
      <c r="A21" s="5" t="s">
        <v>13</v>
      </c>
      <c r="C21" s="9">
        <f>+'[7]II-H-1.2'!$D$10+'[7]II-H-1.2'!$E$10</f>
        <v>71368102</v>
      </c>
      <c r="D21" s="9"/>
      <c r="E21" s="9">
        <f>SUM('[7]II-H-1.2'!$F$10:$O$10)</f>
        <v>367343193</v>
      </c>
      <c r="F21">
        <v>3.3100000000000002E-4</v>
      </c>
      <c r="G21">
        <v>1.25E-4</v>
      </c>
      <c r="H21" s="17">
        <f>+(C21*F21)+(E21*G21)</f>
        <v>69540.740887000007</v>
      </c>
      <c r="I21" s="30"/>
      <c r="J21" s="9"/>
      <c r="K21" s="9">
        <f>+'[8]II-H-1.2'!$D$10+'[8]II-H-1.2'!$E$10</f>
        <v>25027006</v>
      </c>
      <c r="L21" s="9"/>
      <c r="M21" s="9">
        <f>SUM('[8]II-H-1.2'!$F$10:$O$10)</f>
        <v>116857931</v>
      </c>
      <c r="N21" s="18">
        <v>-1.54E-4</v>
      </c>
      <c r="O21">
        <v>6.5799999999999995E-4</v>
      </c>
      <c r="P21" s="13">
        <f t="shared" ref="P21:P22" si="0">+(K21*N21)+(M21*O21)</f>
        <v>73038.359673999992</v>
      </c>
      <c r="Q21" s="30"/>
    </row>
    <row r="22" spans="1:17" x14ac:dyDescent="0.2">
      <c r="A22" s="5" t="s">
        <v>14</v>
      </c>
      <c r="C22" s="9">
        <f>+'[7]II-H-1.2'!$D$14+'[7]II-H-1.2'!$E$14</f>
        <v>1060557312</v>
      </c>
      <c r="D22" s="9"/>
      <c r="E22" s="9">
        <f>SUM('[7]II-H-1.2'!$F$14:$O$14)</f>
        <v>6285574858</v>
      </c>
      <c r="F22">
        <v>4.26E-4</v>
      </c>
      <c r="G22">
        <v>3.8999999999999999E-4</v>
      </c>
      <c r="H22" s="9">
        <f t="shared" ref="H22" si="1">+(C22*F22)+(E22*G22)</f>
        <v>2903171.6095319996</v>
      </c>
      <c r="I22" s="30"/>
      <c r="J22" s="9"/>
      <c r="K22" s="9">
        <f>+'[8]II-H-1.2'!$D$14+'[8]II-H-1.2'!$E$14</f>
        <v>304776230</v>
      </c>
      <c r="L22" s="9"/>
      <c r="M22" s="9">
        <f>SUM('[8]II-H-1.2'!$F$14:$O$14)</f>
        <v>1563812908</v>
      </c>
      <c r="N22">
        <v>4.8500000000000003E-4</v>
      </c>
      <c r="O22">
        <v>6.6399999999999999E-4</v>
      </c>
      <c r="P22" s="13">
        <f t="shared" si="0"/>
        <v>1186188.2424619999</v>
      </c>
      <c r="Q22" s="30"/>
    </row>
    <row r="23" spans="1:17" x14ac:dyDescent="0.2">
      <c r="C23" s="9"/>
      <c r="D23" s="9"/>
      <c r="E23" s="9"/>
      <c r="H23" s="9"/>
      <c r="I23" s="30"/>
      <c r="J23" s="9"/>
      <c r="K23" s="9"/>
      <c r="L23" s="9"/>
      <c r="M23" s="9"/>
      <c r="P23" s="13"/>
      <c r="Q23" s="30"/>
    </row>
    <row r="24" spans="1:17" x14ac:dyDescent="0.2">
      <c r="A24" t="s">
        <v>15</v>
      </c>
      <c r="C24" s="9">
        <f>+'[7]II-H-1.2'!$D$18+'[7]II-H-1.2'!$E$18</f>
        <v>395793163</v>
      </c>
      <c r="D24" s="9"/>
      <c r="E24" s="9">
        <f>SUM('[7]II-H-1.2'!$F$18:$O$18)</f>
        <v>2207979973</v>
      </c>
      <c r="F24">
        <v>2.9399999999999999E-4</v>
      </c>
      <c r="G24">
        <v>5.1199999999999998E-4</v>
      </c>
      <c r="H24" s="9">
        <f>+(C24*F24)+(E24*G24)</f>
        <v>1246848.936098</v>
      </c>
      <c r="I24" s="30"/>
      <c r="J24" s="9"/>
      <c r="K24" s="9">
        <f>+'[8]II-H-1.2'!$D$18+'[8]II-H-1.2'!$E$18</f>
        <v>270055115</v>
      </c>
      <c r="L24" s="9"/>
      <c r="M24" s="9">
        <f>SUM('[8]II-H-1.2'!$F$18:$O$18)</f>
        <v>1519615638</v>
      </c>
      <c r="N24" s="18">
        <v>-5.0000000000000004E-6</v>
      </c>
      <c r="O24" s="18">
        <v>-1.4300000000000001E-4</v>
      </c>
      <c r="P24" s="13">
        <f>+(K24*N24)+(M24*O24)</f>
        <v>-218655.31180900001</v>
      </c>
      <c r="Q24" s="30"/>
    </row>
    <row r="25" spans="1:17" x14ac:dyDescent="0.2">
      <c r="C25" s="9"/>
      <c r="D25" s="9"/>
      <c r="E25" s="9"/>
      <c r="H25" s="9"/>
      <c r="I25" s="30"/>
      <c r="J25" s="9"/>
      <c r="K25" s="9"/>
      <c r="L25" s="9"/>
      <c r="M25" s="9"/>
      <c r="P25" s="13"/>
      <c r="Q25" s="30"/>
    </row>
    <row r="26" spans="1:17" x14ac:dyDescent="0.2">
      <c r="A26" t="s">
        <v>16</v>
      </c>
      <c r="B26" s="9">
        <f>+'[7]II-H-1.6 Dist'!$D$20+'[7]II-H-1.6 Dist'!$E$20</f>
        <v>2588245.7000000002</v>
      </c>
      <c r="C26" s="9"/>
      <c r="D26" s="9">
        <f>SUM('[7]II-H-1.6 Dist'!$F$20:$O$20)</f>
        <v>12759940.100000001</v>
      </c>
      <c r="E26" s="9"/>
      <c r="F26" s="18">
        <v>-4.1089000000000001E-2</v>
      </c>
      <c r="G26" s="18">
        <v>-4.1635999999999999E-2</v>
      </c>
      <c r="H26" s="9">
        <f>(B26*F26)+(D26*G26)</f>
        <v>-637621.2935709001</v>
      </c>
      <c r="I26" s="30"/>
      <c r="J26" s="9">
        <f>+'[8]II-H-1.6 Dist'!$D$20+'[8]II-H-1.6 Dist'!$E$20</f>
        <v>102119.7</v>
      </c>
      <c r="K26" s="9"/>
      <c r="L26" s="9">
        <f>SUM('[8]II-H-1.6 Dist'!$F$20:$O$20)</f>
        <v>571704.9</v>
      </c>
      <c r="M26" s="9"/>
      <c r="N26" s="18">
        <v>-1.0866000000000001E-2</v>
      </c>
      <c r="O26">
        <v>5.5630000000000002E-3</v>
      </c>
      <c r="P26" s="13">
        <f>(J26*N26)+(L26*O26)</f>
        <v>2070.7616985000004</v>
      </c>
      <c r="Q26" s="30"/>
    </row>
    <row r="27" spans="1:17" x14ac:dyDescent="0.2">
      <c r="A27" t="s">
        <v>17</v>
      </c>
      <c r="C27" s="9"/>
      <c r="D27" s="9"/>
      <c r="E27" s="9"/>
      <c r="H27" s="9"/>
      <c r="I27" s="29"/>
      <c r="J27" s="9"/>
      <c r="K27" s="9"/>
      <c r="L27" s="9"/>
      <c r="M27" s="9"/>
      <c r="Q27" s="30"/>
    </row>
    <row r="28" spans="1:17" x14ac:dyDescent="0.2">
      <c r="H28" s="9"/>
      <c r="I28" s="29"/>
      <c r="J28" s="9"/>
      <c r="K28" s="9"/>
      <c r="L28" s="9"/>
      <c r="M28" s="9"/>
      <c r="Q28" s="30"/>
    </row>
    <row r="29" spans="1:17" x14ac:dyDescent="0.2">
      <c r="I29" s="29"/>
      <c r="J29" s="9"/>
      <c r="K29" s="9"/>
      <c r="L29" s="9"/>
      <c r="M29" s="9"/>
      <c r="Q29" s="30"/>
    </row>
    <row r="30" spans="1:17" x14ac:dyDescent="0.2">
      <c r="A30" t="s">
        <v>18</v>
      </c>
      <c r="B30" s="6"/>
      <c r="C30" s="6"/>
      <c r="D30" s="6"/>
      <c r="E30" s="6"/>
      <c r="F30" s="6"/>
      <c r="G30" s="6"/>
      <c r="H30" s="6"/>
      <c r="I30" s="29"/>
      <c r="J30" s="6"/>
      <c r="K30" s="6"/>
      <c r="L30" s="6"/>
      <c r="M30" s="6"/>
      <c r="N30" s="6"/>
      <c r="O30" s="6"/>
      <c r="P30" s="6"/>
      <c r="Q30" s="30"/>
    </row>
    <row r="31" spans="1:17" x14ac:dyDescent="0.2">
      <c r="B31" s="13">
        <f>SUM(B18:B30)</f>
        <v>2588245.7000000002</v>
      </c>
      <c r="C31" s="13">
        <f>SUM(C18:C30)</f>
        <v>3239727687</v>
      </c>
      <c r="D31" s="13">
        <f>SUM(D18:D30)</f>
        <v>12759940.100000001</v>
      </c>
      <c r="E31" s="13">
        <f>SUM(E18:E30)</f>
        <v>17335809154</v>
      </c>
      <c r="H31" s="13">
        <f>SUM(H18:H30)</f>
        <v>9357327.8280861005</v>
      </c>
      <c r="I31" s="31"/>
      <c r="J31" s="13">
        <f>SUM(J18:J30)</f>
        <v>102119.7</v>
      </c>
      <c r="K31" s="13">
        <f t="shared" ref="K31:M31" si="2">SUM(K18:K30)</f>
        <v>956399092</v>
      </c>
      <c r="L31" s="13">
        <f t="shared" si="2"/>
        <v>571704.9</v>
      </c>
      <c r="M31" s="13">
        <f t="shared" si="2"/>
        <v>4759936968</v>
      </c>
      <c r="P31" s="13">
        <f t="shared" ref="P31" si="3">SUM(P18:P30)</f>
        <v>2121362.9839334995</v>
      </c>
      <c r="Q31" s="30"/>
    </row>
    <row r="32" spans="1:17" x14ac:dyDescent="0.2">
      <c r="I32" s="29"/>
      <c r="Q32" s="30"/>
    </row>
    <row r="33" spans="1:17" x14ac:dyDescent="0.2">
      <c r="I33" s="13"/>
      <c r="Q33" s="31"/>
    </row>
    <row r="34" spans="1:17" x14ac:dyDescent="0.2">
      <c r="Q34" s="29"/>
    </row>
    <row r="35" spans="1:17" x14ac:dyDescent="0.2">
      <c r="Q35" s="29"/>
    </row>
    <row r="36" spans="1:17" x14ac:dyDescent="0.2">
      <c r="B36" s="29"/>
    </row>
    <row r="37" spans="1:17" x14ac:dyDescent="0.2">
      <c r="B37" s="29"/>
    </row>
    <row r="38" spans="1:17" x14ac:dyDescent="0.2">
      <c r="B38" s="29"/>
    </row>
    <row r="39" spans="1:17" x14ac:dyDescent="0.2">
      <c r="B39" s="29"/>
    </row>
    <row r="40" spans="1:17" x14ac:dyDescent="0.2">
      <c r="B40" s="29"/>
    </row>
    <row r="41" spans="1:17" x14ac:dyDescent="0.2">
      <c r="B41" s="29"/>
    </row>
    <row r="42" spans="1:17" x14ac:dyDescent="0.2">
      <c r="A42" s="7"/>
      <c r="B42" s="29"/>
    </row>
  </sheetData>
  <mergeCells count="10">
    <mergeCell ref="B15:C15"/>
    <mergeCell ref="D15:E15"/>
    <mergeCell ref="J15:K15"/>
    <mergeCell ref="L15:M15"/>
    <mergeCell ref="B11:H11"/>
    <mergeCell ref="J11:P11"/>
    <mergeCell ref="B13:E13"/>
    <mergeCell ref="B14:E14"/>
    <mergeCell ref="J13:M13"/>
    <mergeCell ref="J14:M14"/>
  </mergeCells>
  <pageMargins left="0.7" right="0.7" top="0.75" bottom="0.75" header="0.3" footer="0.3"/>
  <pageSetup scale="80" orientation="landscape" r:id="rId1"/>
  <headerFooter>
    <oddFooter>&amp;LSponsored by: Jennifer L. Jackson</oddFooter>
  </headerFooter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zoomScaleNormal="100" workbookViewId="0">
      <selection activeCell="A35" sqref="A35"/>
    </sheetView>
  </sheetViews>
  <sheetFormatPr defaultRowHeight="12.75" x14ac:dyDescent="0.2"/>
  <cols>
    <col min="1" max="1" width="49.7109375" customWidth="1"/>
    <col min="2" max="3" width="15" bestFit="1" customWidth="1"/>
    <col min="4" max="4" width="16.85546875" customWidth="1"/>
    <col min="5" max="5" width="13.42578125" customWidth="1"/>
  </cols>
  <sheetData>
    <row r="1" spans="1:5" ht="13.5" thickBot="1" x14ac:dyDescent="0.25"/>
    <row r="2" spans="1:5" x14ac:dyDescent="0.2">
      <c r="A2" s="21" t="s">
        <v>43</v>
      </c>
    </row>
    <row r="3" spans="1:5" x14ac:dyDescent="0.2">
      <c r="A3" s="22" t="s">
        <v>44</v>
      </c>
    </row>
    <row r="4" spans="1:5" x14ac:dyDescent="0.2">
      <c r="A4" s="23" t="s">
        <v>47</v>
      </c>
    </row>
    <row r="5" spans="1:5" x14ac:dyDescent="0.2">
      <c r="A5" s="23" t="s">
        <v>45</v>
      </c>
    </row>
    <row r="6" spans="1:5" ht="13.5" thickBot="1" x14ac:dyDescent="0.25">
      <c r="A6" s="24" t="s">
        <v>46</v>
      </c>
    </row>
    <row r="9" spans="1:5" x14ac:dyDescent="0.2">
      <c r="A9" t="s">
        <v>0</v>
      </c>
    </row>
    <row r="10" spans="1:5" x14ac:dyDescent="0.2">
      <c r="A10" t="s">
        <v>1</v>
      </c>
    </row>
    <row r="11" spans="1:5" x14ac:dyDescent="0.2">
      <c r="B11" s="52" t="s">
        <v>23</v>
      </c>
      <c r="C11" s="53"/>
      <c r="D11" s="53"/>
      <c r="E11" s="54"/>
    </row>
    <row r="13" spans="1:5" x14ac:dyDescent="0.2">
      <c r="B13" s="55" t="s">
        <v>4</v>
      </c>
      <c r="C13" s="55"/>
    </row>
    <row r="14" spans="1:5" x14ac:dyDescent="0.2">
      <c r="A14" t="s">
        <v>2</v>
      </c>
      <c r="B14" s="55" t="s">
        <v>5</v>
      </c>
      <c r="C14" s="55"/>
      <c r="D14" s="1" t="s">
        <v>8</v>
      </c>
    </row>
    <row r="15" spans="1:5" x14ac:dyDescent="0.2">
      <c r="E15" s="2" t="s">
        <v>10</v>
      </c>
    </row>
    <row r="16" spans="1:5" x14ac:dyDescent="0.2">
      <c r="A16" s="2" t="s">
        <v>3</v>
      </c>
      <c r="B16" s="3" t="s">
        <v>6</v>
      </c>
      <c r="C16" s="3" t="s">
        <v>7</v>
      </c>
      <c r="D16" s="4" t="s">
        <v>9</v>
      </c>
    </row>
    <row r="18" spans="1:5" x14ac:dyDescent="0.2">
      <c r="A18" t="s">
        <v>11</v>
      </c>
      <c r="C18" s="9">
        <f>+'[7]II-H-1.2'!$P$8</f>
        <v>10186920240</v>
      </c>
      <c r="D18" s="1">
        <v>1.8E-5</v>
      </c>
      <c r="E18" s="9">
        <f>+C18*D18</f>
        <v>183364.56432</v>
      </c>
    </row>
    <row r="20" spans="1:5" x14ac:dyDescent="0.2">
      <c r="A20" t="s">
        <v>12</v>
      </c>
    </row>
    <row r="21" spans="1:5" x14ac:dyDescent="0.2">
      <c r="A21" s="5" t="s">
        <v>13</v>
      </c>
      <c r="C21" s="9">
        <f>+'[7]II-H-1.2'!$P$10</f>
        <v>438711295</v>
      </c>
      <c r="D21" s="1">
        <v>1.7E-5</v>
      </c>
      <c r="E21" s="9">
        <f>+C21*D21</f>
        <v>7458.0920150000002</v>
      </c>
    </row>
    <row r="22" spans="1:5" x14ac:dyDescent="0.2">
      <c r="A22" s="5" t="s">
        <v>14</v>
      </c>
      <c r="B22" s="9">
        <f>+'[7]II-H-1.6 Dist'!$P$14</f>
        <v>29334270.100000001</v>
      </c>
      <c r="C22" s="9"/>
      <c r="D22" s="1">
        <v>3.8839999999999999E-3</v>
      </c>
      <c r="E22" s="9">
        <f>+B22*D22</f>
        <v>113934.3050684</v>
      </c>
    </row>
    <row r="23" spans="1:5" x14ac:dyDescent="0.2">
      <c r="B23" s="9"/>
      <c r="C23" s="9"/>
      <c r="D23" s="1"/>
      <c r="E23" s="9"/>
    </row>
    <row r="24" spans="1:5" x14ac:dyDescent="0.2">
      <c r="A24" t="s">
        <v>15</v>
      </c>
      <c r="B24" s="9">
        <f>+'[7]II-H-1.6 Dist'!$P$18</f>
        <v>6712693.4000000013</v>
      </c>
      <c r="C24" s="9"/>
      <c r="D24" s="1">
        <v>6.326E-3</v>
      </c>
      <c r="E24" s="9">
        <f>+B24*D24</f>
        <v>42464.498448400009</v>
      </c>
    </row>
    <row r="25" spans="1:5" x14ac:dyDescent="0.2">
      <c r="B25" s="9"/>
      <c r="C25" s="9"/>
      <c r="D25" s="1"/>
      <c r="E25" s="9"/>
    </row>
    <row r="26" spans="1:5" x14ac:dyDescent="0.2">
      <c r="A26" t="s">
        <v>16</v>
      </c>
      <c r="B26" s="9">
        <f>+'[7]II-H-1.6 Dist'!$P$20</f>
        <v>15348185.800000001</v>
      </c>
      <c r="C26" s="9"/>
      <c r="D26" s="1">
        <v>2.614E-3</v>
      </c>
      <c r="E26" s="9">
        <f>+B26*D26</f>
        <v>40120.157681199998</v>
      </c>
    </row>
    <row r="27" spans="1:5" x14ac:dyDescent="0.2">
      <c r="A27" t="s">
        <v>17</v>
      </c>
      <c r="C27" s="9">
        <f>+'[7]II-H-1.2'!$P$22</f>
        <v>222276511</v>
      </c>
      <c r="D27" s="1">
        <v>1.7E-5</v>
      </c>
      <c r="E27" s="9">
        <f>+C27*D27</f>
        <v>3778.700687</v>
      </c>
    </row>
    <row r="28" spans="1:5" x14ac:dyDescent="0.2">
      <c r="C28" s="9"/>
      <c r="E28" s="9"/>
    </row>
    <row r="29" spans="1:5" x14ac:dyDescent="0.2">
      <c r="B29" s="6"/>
      <c r="C29" s="11"/>
      <c r="D29" s="6"/>
      <c r="E29" s="11"/>
    </row>
    <row r="30" spans="1:5" x14ac:dyDescent="0.2">
      <c r="A30" t="s">
        <v>18</v>
      </c>
      <c r="B30" s="12">
        <f>SUM(B18:B29)</f>
        <v>51395149.299999997</v>
      </c>
      <c r="C30" s="12">
        <f>SUM(C18:C29)</f>
        <v>10847908046</v>
      </c>
      <c r="D30" s="10"/>
      <c r="E30" s="9">
        <f>SUM(E18:E29)</f>
        <v>391120.31822000002</v>
      </c>
    </row>
    <row r="31" spans="1:5" x14ac:dyDescent="0.2">
      <c r="B31" s="10"/>
      <c r="C31" s="10"/>
      <c r="D31" s="10"/>
      <c r="E31" s="10"/>
    </row>
    <row r="32" spans="1:5" x14ac:dyDescent="0.2">
      <c r="B32" s="10"/>
      <c r="C32" s="10"/>
      <c r="D32" s="10"/>
      <c r="E32" s="10"/>
    </row>
    <row r="34" spans="1:2" x14ac:dyDescent="0.2">
      <c r="A34" t="s">
        <v>78</v>
      </c>
    </row>
    <row r="36" spans="1:2" x14ac:dyDescent="0.2">
      <c r="A36" t="s">
        <v>11</v>
      </c>
      <c r="B36" s="26">
        <v>0.46065</v>
      </c>
    </row>
    <row r="37" spans="1:2" x14ac:dyDescent="0.2">
      <c r="A37" t="s">
        <v>19</v>
      </c>
      <c r="B37" s="26">
        <v>1.728E-2</v>
      </c>
    </row>
    <row r="38" spans="1:2" x14ac:dyDescent="0.2">
      <c r="A38" t="s">
        <v>20</v>
      </c>
      <c r="B38" s="26">
        <v>0.30236000000000002</v>
      </c>
    </row>
    <row r="39" spans="1:2" x14ac:dyDescent="0.2">
      <c r="A39" t="s">
        <v>15</v>
      </c>
      <c r="B39" s="26">
        <v>0.10390000000000001</v>
      </c>
    </row>
    <row r="40" spans="1:2" x14ac:dyDescent="0.2">
      <c r="A40" t="s">
        <v>21</v>
      </c>
      <c r="B40" s="26">
        <v>0.10153</v>
      </c>
    </row>
    <row r="41" spans="1:2" x14ac:dyDescent="0.2">
      <c r="A41" t="s">
        <v>17</v>
      </c>
      <c r="B41" s="26">
        <v>1.4279999999999999E-2</v>
      </c>
    </row>
    <row r="42" spans="1:2" x14ac:dyDescent="0.2">
      <c r="A42" s="7" t="s">
        <v>22</v>
      </c>
      <c r="B42" s="25">
        <f>SUM(B36:B41)</f>
        <v>1</v>
      </c>
    </row>
  </sheetData>
  <mergeCells count="3">
    <mergeCell ref="B13:C13"/>
    <mergeCell ref="B14:C14"/>
    <mergeCell ref="B11:E11"/>
  </mergeCells>
  <pageMargins left="0.7" right="0.7" top="0.75" bottom="0.75" header="0.3" footer="0.3"/>
  <pageSetup scale="95" orientation="landscape" r:id="rId1"/>
  <headerFooter>
    <oddFooter>&amp;LSponsored by: Jennifer L. Jackson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"/>
  <sheetViews>
    <sheetView zoomScaleNormal="100" workbookViewId="0">
      <pane xSplit="1" ySplit="16" topLeftCell="B26" activePane="bottomRight" state="frozen"/>
      <selection activeCell="H11" sqref="H11"/>
      <selection pane="topRight" activeCell="H11" sqref="H11"/>
      <selection pane="bottomLeft" activeCell="H11" sqref="H11"/>
      <selection pane="bottomRight" activeCell="A2" sqref="A2:A6"/>
    </sheetView>
  </sheetViews>
  <sheetFormatPr defaultRowHeight="12.75" x14ac:dyDescent="0.2"/>
  <cols>
    <col min="1" max="1" width="50.42578125" customWidth="1"/>
    <col min="2" max="3" width="15" bestFit="1" customWidth="1"/>
    <col min="4" max="7" width="15" customWidth="1"/>
    <col min="8" max="10" width="15.42578125" customWidth="1"/>
    <col min="11" max="11" width="14" bestFit="1" customWidth="1"/>
    <col min="12" max="12" width="2.7109375" customWidth="1"/>
    <col min="13" max="14" width="12.7109375" customWidth="1"/>
    <col min="15" max="15" width="10.28515625" bestFit="1" customWidth="1"/>
    <col min="16" max="16" width="14" bestFit="1" customWidth="1"/>
    <col min="17" max="17" width="10.28515625" bestFit="1" customWidth="1"/>
    <col min="18" max="18" width="15" bestFit="1" customWidth="1"/>
    <col min="19" max="21" width="14.7109375" customWidth="1"/>
    <col min="22" max="22" width="16.28515625" customWidth="1"/>
  </cols>
  <sheetData>
    <row r="1" spans="1:22" ht="13.5" thickBot="1" x14ac:dyDescent="0.25"/>
    <row r="2" spans="1:22" x14ac:dyDescent="0.2">
      <c r="A2" s="21" t="s">
        <v>43</v>
      </c>
    </row>
    <row r="3" spans="1:22" x14ac:dyDescent="0.2">
      <c r="A3" s="22" t="s">
        <v>44</v>
      </c>
    </row>
    <row r="4" spans="1:22" x14ac:dyDescent="0.2">
      <c r="A4" s="23" t="s">
        <v>47</v>
      </c>
    </row>
    <row r="5" spans="1:22" x14ac:dyDescent="0.2">
      <c r="A5" s="23" t="s">
        <v>45</v>
      </c>
    </row>
    <row r="6" spans="1:22" ht="13.5" thickBot="1" x14ac:dyDescent="0.25">
      <c r="A6" s="24" t="s">
        <v>46</v>
      </c>
    </row>
    <row r="9" spans="1:22" x14ac:dyDescent="0.2">
      <c r="A9" t="s">
        <v>0</v>
      </c>
    </row>
    <row r="10" spans="1:22" x14ac:dyDescent="0.2">
      <c r="A10" t="s">
        <v>1</v>
      </c>
    </row>
    <row r="11" spans="1:22" x14ac:dyDescent="0.2">
      <c r="B11" s="52" t="s">
        <v>23</v>
      </c>
      <c r="C11" s="53"/>
      <c r="D11" s="53"/>
      <c r="E11" s="53"/>
      <c r="F11" s="53"/>
      <c r="G11" s="53"/>
      <c r="H11" s="53"/>
      <c r="I11" s="53"/>
      <c r="J11" s="53"/>
      <c r="K11" s="54"/>
      <c r="M11" s="52" t="s">
        <v>24</v>
      </c>
      <c r="N11" s="53"/>
      <c r="O11" s="53"/>
      <c r="P11" s="53"/>
      <c r="Q11" s="53"/>
      <c r="R11" s="53"/>
      <c r="S11" s="53"/>
      <c r="T11" s="53"/>
      <c r="U11" s="53"/>
      <c r="V11" s="54"/>
    </row>
    <row r="13" spans="1:22" x14ac:dyDescent="0.2">
      <c r="B13" s="55" t="s">
        <v>4</v>
      </c>
      <c r="C13" s="55"/>
      <c r="D13" s="55"/>
      <c r="E13" s="55"/>
      <c r="F13" s="55"/>
      <c r="G13" s="55"/>
      <c r="M13" s="55" t="s">
        <v>4</v>
      </c>
      <c r="N13" s="55"/>
      <c r="O13" s="55"/>
      <c r="P13" s="55"/>
      <c r="Q13" s="55"/>
      <c r="R13" s="55"/>
    </row>
    <row r="14" spans="1:22" x14ac:dyDescent="0.2">
      <c r="A14" t="s">
        <v>27</v>
      </c>
      <c r="B14" s="55" t="s">
        <v>5</v>
      </c>
      <c r="C14" s="55"/>
      <c r="D14" s="55"/>
      <c r="E14" s="55"/>
      <c r="F14" s="55"/>
      <c r="G14" s="55"/>
      <c r="H14" s="1" t="s">
        <v>8</v>
      </c>
      <c r="I14" s="1" t="s">
        <v>8</v>
      </c>
      <c r="J14" s="1" t="s">
        <v>8</v>
      </c>
      <c r="M14" s="55" t="s">
        <v>5</v>
      </c>
      <c r="N14" s="55"/>
      <c r="O14" s="55"/>
      <c r="P14" s="55"/>
      <c r="Q14" s="55"/>
      <c r="R14" s="55"/>
      <c r="S14" s="1" t="s">
        <v>8</v>
      </c>
      <c r="T14" s="1" t="s">
        <v>8</v>
      </c>
      <c r="U14" s="1" t="s">
        <v>8</v>
      </c>
    </row>
    <row r="15" spans="1:22" x14ac:dyDescent="0.2">
      <c r="B15" s="56" t="s">
        <v>40</v>
      </c>
      <c r="C15" s="56"/>
      <c r="D15" s="56" t="s">
        <v>42</v>
      </c>
      <c r="E15" s="56"/>
      <c r="F15" s="56" t="s">
        <v>39</v>
      </c>
      <c r="G15" s="56"/>
      <c r="H15" s="2" t="s">
        <v>40</v>
      </c>
      <c r="I15" s="2" t="s">
        <v>42</v>
      </c>
      <c r="J15" s="2" t="s">
        <v>39</v>
      </c>
      <c r="K15" s="2" t="s">
        <v>10</v>
      </c>
      <c r="M15" s="56" t="s">
        <v>40</v>
      </c>
      <c r="N15" s="56"/>
      <c r="O15" s="56" t="s">
        <v>42</v>
      </c>
      <c r="P15" s="56"/>
      <c r="Q15" s="56" t="s">
        <v>39</v>
      </c>
      <c r="R15" s="56"/>
      <c r="S15" s="2" t="s">
        <v>40</v>
      </c>
      <c r="T15" s="2" t="s">
        <v>42</v>
      </c>
      <c r="U15" s="2" t="s">
        <v>39</v>
      </c>
      <c r="V15" s="2" t="s">
        <v>10</v>
      </c>
    </row>
    <row r="16" spans="1:22" x14ac:dyDescent="0.2">
      <c r="A16" s="2" t="s">
        <v>3</v>
      </c>
      <c r="B16" s="3" t="s">
        <v>6</v>
      </c>
      <c r="C16" s="3" t="s">
        <v>7</v>
      </c>
      <c r="D16" s="3" t="s">
        <v>6</v>
      </c>
      <c r="E16" s="3" t="s">
        <v>7</v>
      </c>
      <c r="F16" s="3" t="s">
        <v>6</v>
      </c>
      <c r="G16" s="3" t="s">
        <v>7</v>
      </c>
      <c r="H16" s="4" t="s">
        <v>9</v>
      </c>
      <c r="I16" s="4" t="s">
        <v>9</v>
      </c>
      <c r="J16" s="4" t="s">
        <v>9</v>
      </c>
      <c r="M16" s="3" t="s">
        <v>6</v>
      </c>
      <c r="N16" s="3" t="s">
        <v>7</v>
      </c>
      <c r="O16" s="3" t="s">
        <v>6</v>
      </c>
      <c r="P16" s="3" t="s">
        <v>7</v>
      </c>
      <c r="Q16" s="3" t="s">
        <v>6</v>
      </c>
      <c r="R16" s="3" t="s">
        <v>7</v>
      </c>
      <c r="S16" s="4" t="s">
        <v>9</v>
      </c>
      <c r="T16" s="4" t="s">
        <v>9</v>
      </c>
      <c r="U16" s="4" t="s">
        <v>9</v>
      </c>
    </row>
    <row r="17" spans="1:22" x14ac:dyDescent="0.2">
      <c r="L17" s="20"/>
    </row>
    <row r="18" spans="1:22" x14ac:dyDescent="0.2">
      <c r="A18" t="s">
        <v>11</v>
      </c>
      <c r="B18" s="9"/>
      <c r="C18" s="9">
        <f>+'[7]II-H-1.2'!$D$8+'[7]II-H-1.2'!$E$8</f>
        <v>1712009110</v>
      </c>
      <c r="D18" s="9"/>
      <c r="E18" s="9">
        <f>SUM('[7]II-H-1.2'!$F$8:$K$8)</f>
        <v>5171586887</v>
      </c>
      <c r="F18" s="9"/>
      <c r="G18" s="9">
        <f>SUM('[7]II-H-1.2'!$L$8:$O$8)</f>
        <v>3303324243</v>
      </c>
      <c r="H18">
        <v>9.5890000000000003E-3</v>
      </c>
      <c r="I18">
        <v>6.5170000000000002E-3</v>
      </c>
      <c r="J18">
        <v>8.4259999999999995E-3</v>
      </c>
      <c r="K18" s="13">
        <f>(C18*H18)+(E18*I18)+(G18*J18)</f>
        <v>77953497.169887006</v>
      </c>
      <c r="L18" s="30"/>
      <c r="N18" s="9">
        <f>+'[8]II-H-1.2'!$D$8+'[8]II-H-1.2'!$E$8</f>
        <v>356540741</v>
      </c>
      <c r="P18" s="9">
        <f>SUM('[8]II-H-1.2'!$F$8:$K$8)</f>
        <v>969584378</v>
      </c>
      <c r="R18" s="9">
        <f>SUM('[8]II-H-1.2'!$L$8:$O$8)</f>
        <v>590066113</v>
      </c>
      <c r="S18">
        <v>1.1634E-2</v>
      </c>
      <c r="T18">
        <v>8.6569999999999998E-3</v>
      </c>
      <c r="U18">
        <v>9.554E-3</v>
      </c>
      <c r="V18" s="16">
        <f>(N18*S18)+(P18*T18)+(R18*U18)</f>
        <v>18179178.584741998</v>
      </c>
    </row>
    <row r="19" spans="1:22" x14ac:dyDescent="0.2">
      <c r="B19" s="9"/>
      <c r="C19" s="9"/>
      <c r="D19" s="9"/>
      <c r="E19" s="9"/>
      <c r="F19" s="9"/>
      <c r="G19" s="9"/>
      <c r="L19" s="30"/>
      <c r="N19" s="9"/>
      <c r="P19" s="9"/>
      <c r="V19" s="13"/>
    </row>
    <row r="20" spans="1:22" x14ac:dyDescent="0.2">
      <c r="A20" t="s">
        <v>12</v>
      </c>
      <c r="B20" s="9"/>
      <c r="C20" s="9"/>
      <c r="D20" s="9"/>
      <c r="E20" s="9"/>
      <c r="F20" s="9"/>
      <c r="G20" s="9"/>
      <c r="L20" s="30"/>
      <c r="N20" s="9"/>
      <c r="P20" s="9"/>
      <c r="V20" s="13"/>
    </row>
    <row r="21" spans="1:22" x14ac:dyDescent="0.2">
      <c r="A21" s="5" t="s">
        <v>13</v>
      </c>
      <c r="B21" s="9"/>
      <c r="C21" s="9">
        <f>+'[7]II-H-1.2'!$D$10+'[7]II-H-1.2'!$E$10</f>
        <v>71368102</v>
      </c>
      <c r="D21" s="9"/>
      <c r="E21" s="9">
        <f>SUM('[7]II-H-1.2'!$F$10:$K$10)</f>
        <v>221593150</v>
      </c>
      <c r="F21" s="9"/>
      <c r="G21" s="9">
        <f>SUM('[7]II-H-1.2'!$L$10:$O$10)</f>
        <v>145750043</v>
      </c>
      <c r="H21">
        <v>4.3709999999999999E-3</v>
      </c>
      <c r="I21">
        <v>4.0140000000000002E-3</v>
      </c>
      <c r="J21">
        <v>4.3680000000000004E-3</v>
      </c>
      <c r="K21" s="13">
        <f>(C21*H21)+(E21*I21)+(G21*J21)</f>
        <v>1838061.0657660002</v>
      </c>
      <c r="L21" s="30"/>
      <c r="N21" s="9">
        <f>+'[8]II-H-1.2'!$D$10+'[8]II-H-1.2'!$E$10</f>
        <v>25027006</v>
      </c>
      <c r="P21" s="9">
        <f>SUM('[8]II-H-1.2'!$F$10:$K$10)</f>
        <v>71435656</v>
      </c>
      <c r="R21" s="9">
        <f>SUM('[8]II-H-1.2'!$L$10:$O$10)</f>
        <v>45422275</v>
      </c>
      <c r="S21">
        <v>6.424E-3</v>
      </c>
      <c r="T21">
        <v>6.0029999999999997E-3</v>
      </c>
      <c r="U21">
        <v>5.9389999999999998E-3</v>
      </c>
      <c r="V21" s="13">
        <f>(N21*S21)+(P21*T21)+(R21*U21)</f>
        <v>859364.6207369999</v>
      </c>
    </row>
    <row r="22" spans="1:22" x14ac:dyDescent="0.2">
      <c r="A22" s="5" t="s">
        <v>14</v>
      </c>
      <c r="B22" s="9"/>
      <c r="C22" s="9"/>
      <c r="D22" s="9"/>
      <c r="E22" s="9"/>
      <c r="F22" s="9"/>
      <c r="G22" s="9"/>
      <c r="L22" s="29"/>
      <c r="N22" s="9"/>
      <c r="P22" s="9"/>
      <c r="V22" s="13"/>
    </row>
    <row r="23" spans="1:22" x14ac:dyDescent="0.2">
      <c r="A23" s="5" t="s">
        <v>34</v>
      </c>
      <c r="B23" s="9">
        <f>+'[7]II-H-1.6 Tran'!$D$12+'[7]II-H-1.6 Tran'!$E$12</f>
        <v>4143772.9</v>
      </c>
      <c r="C23" s="9"/>
      <c r="D23" s="9">
        <f>SUM('[7]II-H-1.6 Tran'!$F$12:$K$12)</f>
        <v>11601490</v>
      </c>
      <c r="E23" s="9"/>
      <c r="F23" s="9">
        <f>SUM('[7]II-H-1.6 Tran'!$L$12:$O$12)</f>
        <v>7864720.7000000002</v>
      </c>
      <c r="G23" s="9"/>
      <c r="H23">
        <v>2.1643530000000002</v>
      </c>
      <c r="I23">
        <v>2.1003880000000001</v>
      </c>
      <c r="J23">
        <v>1.991244</v>
      </c>
      <c r="K23" s="13">
        <f>(B23*H23)+(D23*I23)+(F23*J23)</f>
        <v>48996795.5911045</v>
      </c>
      <c r="L23" s="30"/>
      <c r="M23" s="9">
        <f>+'[8]II-H-1.6 Tran'!$D$12+'[8]II-H-1.6 Tran'!$E$12</f>
        <v>879990.5</v>
      </c>
      <c r="N23" s="9"/>
      <c r="O23" s="9">
        <f>SUM('[8]II-H-1.6 Tran'!$F$12:$K$12)</f>
        <v>2744945.0999999996</v>
      </c>
      <c r="P23" s="9"/>
      <c r="Q23" s="9">
        <f>SUM('[8]II-H-1.6 Tran'!$L$12:$O$12)</f>
        <v>1808981.2000000002</v>
      </c>
      <c r="S23">
        <v>2.326355</v>
      </c>
      <c r="T23">
        <v>2.0546820000000001</v>
      </c>
      <c r="U23">
        <v>2.1236730000000001</v>
      </c>
      <c r="V23" s="16">
        <f>(M23*S23)+(O23*T23)+(Q23*U23)</f>
        <v>11528844.1195333</v>
      </c>
    </row>
    <row r="24" spans="1:22" x14ac:dyDescent="0.2">
      <c r="A24" s="5" t="s">
        <v>33</v>
      </c>
      <c r="B24" s="9">
        <f>+'[7]II-H-1.6 Tran'!$D$13+'[7]II-H-1.6 Tran'!$E$13</f>
        <v>258365.7</v>
      </c>
      <c r="C24" s="9"/>
      <c r="D24" s="9">
        <f>SUM('[7]II-H-1.6 Tran'!$F$13:$K$13)</f>
        <v>771791.8</v>
      </c>
      <c r="E24" s="9"/>
      <c r="F24" s="9">
        <f>SUM('[7]II-H-1.6 Tran'!$L$13:$O$13)</f>
        <v>509556.3</v>
      </c>
      <c r="G24" s="9"/>
      <c r="H24">
        <v>2.2559360000000002</v>
      </c>
      <c r="I24">
        <v>1.9271579999999999</v>
      </c>
      <c r="J24">
        <v>1.934409</v>
      </c>
      <c r="K24" s="13">
        <f>(B24*H24)+(D24*I24)+(F24*J24)</f>
        <v>3055911.5182263004</v>
      </c>
      <c r="L24" s="30"/>
      <c r="M24" s="9">
        <f>+'[8]II-H-1.6 Tran'!$D$13+'[8]II-H-1.6 Tran'!$E$13</f>
        <v>122688.1</v>
      </c>
      <c r="N24" s="9"/>
      <c r="O24" s="9">
        <f>SUM('[8]II-H-1.6 Tran'!$F$13:$K$13)</f>
        <v>362696.4</v>
      </c>
      <c r="P24" s="9"/>
      <c r="Q24" s="9">
        <f>SUM('[8]II-H-1.6 Tran'!$L$13:$O$13)</f>
        <v>236473.69999999998</v>
      </c>
      <c r="S24">
        <v>3.5147240000000002</v>
      </c>
      <c r="T24">
        <v>3.053671</v>
      </c>
      <c r="U24">
        <v>2.869564</v>
      </c>
      <c r="V24" s="16">
        <f>(M24*S24)+(O24*T24)+(Q24*U24)</f>
        <v>2217346.7045356003</v>
      </c>
    </row>
    <row r="25" spans="1:22" x14ac:dyDescent="0.2">
      <c r="B25" s="9"/>
      <c r="C25" s="9"/>
      <c r="D25" s="9"/>
      <c r="E25" s="9"/>
      <c r="F25" s="9"/>
      <c r="G25" s="9"/>
      <c r="L25" s="30"/>
      <c r="M25" s="9"/>
      <c r="N25" s="9"/>
      <c r="O25" s="9"/>
      <c r="P25" s="9"/>
      <c r="Q25" s="9"/>
      <c r="V25" s="13"/>
    </row>
    <row r="26" spans="1:22" x14ac:dyDescent="0.2">
      <c r="A26" t="s">
        <v>15</v>
      </c>
      <c r="B26" s="9"/>
      <c r="C26" s="9"/>
      <c r="D26" s="9"/>
      <c r="E26" s="9"/>
      <c r="F26" s="9"/>
      <c r="G26" s="9"/>
      <c r="L26" s="30"/>
      <c r="M26" s="9"/>
      <c r="N26" s="9"/>
      <c r="O26" s="9"/>
      <c r="P26" s="9"/>
      <c r="Q26" s="9"/>
      <c r="V26" s="13"/>
    </row>
    <row r="27" spans="1:22" x14ac:dyDescent="0.2">
      <c r="A27" s="15" t="s">
        <v>34</v>
      </c>
      <c r="B27" s="9">
        <f>+'[7]II-H-1.6 Tran'!$D$16+'[7]II-H-1.6 Tran'!$E$16</f>
        <v>69555.100000000006</v>
      </c>
      <c r="C27" s="9"/>
      <c r="D27" s="9">
        <f>SUM('[7]II-H-1.6 Tran'!$F$16:$K$16)</f>
        <v>224433.1</v>
      </c>
      <c r="E27" s="9"/>
      <c r="F27" s="9">
        <f>SUM('[7]II-H-1.6 Tran'!$L$16:$O$16)</f>
        <v>164994.39999999997</v>
      </c>
      <c r="G27" s="9"/>
      <c r="H27">
        <v>3.914981</v>
      </c>
      <c r="I27">
        <v>3.6426780000000001</v>
      </c>
      <c r="J27">
        <v>4.5404949999999999</v>
      </c>
      <c r="K27" s="13">
        <f t="shared" ref="K27:K28" si="0">(B27*H27)+(D27*I27)+(F27*J27)</f>
        <v>1839000.6590228998</v>
      </c>
      <c r="L27" s="30"/>
      <c r="M27" s="9">
        <f>+'[8]II-H-1.6 Tran'!$D$16+'[8]II-H-1.6 Tran'!$E$16</f>
        <v>50289</v>
      </c>
      <c r="N27" s="9"/>
      <c r="O27" s="9">
        <f>SUM('[8]II-H-1.6 Tran'!$F$16:$K$16)</f>
        <v>173514</v>
      </c>
      <c r="P27" s="9"/>
      <c r="Q27" s="9">
        <f>SUM('[8]II-H-1.6 Tran'!$L$16:$O$16)</f>
        <v>116252.2</v>
      </c>
      <c r="S27">
        <v>0.64423200000000003</v>
      </c>
      <c r="T27">
        <v>0.81664899999999996</v>
      </c>
      <c r="U27">
        <v>0.79844999999999999</v>
      </c>
      <c r="V27" s="16">
        <f t="shared" ref="V27:V28" si="1">(M27*S27)+(O27*T27)+(Q27*U27)</f>
        <v>266919.38672399998</v>
      </c>
    </row>
    <row r="28" spans="1:22" x14ac:dyDescent="0.2">
      <c r="A28" s="15" t="s">
        <v>33</v>
      </c>
      <c r="B28" s="9">
        <f>+'[7]II-H-1.6 Tran'!$D$17+'[7]II-H-1.6 Tran'!$E$17</f>
        <v>749829.8</v>
      </c>
      <c r="C28" s="9"/>
      <c r="D28" s="9">
        <f>SUM('[7]II-H-1.6 Tran'!$F$17:$K$17)</f>
        <v>2180872.5999999996</v>
      </c>
      <c r="E28" s="9"/>
      <c r="F28" s="9">
        <f>SUM('[7]II-H-1.6 Tran'!$L$17:$O$17)</f>
        <v>1433394.0999999999</v>
      </c>
      <c r="G28" s="9"/>
      <c r="H28">
        <v>3.4077350000000002</v>
      </c>
      <c r="I28">
        <v>3.5518160000000001</v>
      </c>
      <c r="J28">
        <v>3.6093639999999998</v>
      </c>
      <c r="K28" s="13">
        <f t="shared" si="0"/>
        <v>15474920.510497</v>
      </c>
      <c r="L28" s="30"/>
      <c r="M28" s="9">
        <f>+'[8]II-H-1.6 Tran'!$D$17+'[8]II-H-1.6 Tran'!$E$17</f>
        <v>389713.4</v>
      </c>
      <c r="O28" s="9">
        <f>SUM('[8]II-H-1.6 Tran'!$F$17:$K$17)</f>
        <v>1176274.8999999999</v>
      </c>
      <c r="P28" s="9"/>
      <c r="Q28" s="9">
        <f>SUM('[8]II-H-1.6 Tran'!$L$17:$O$17)</f>
        <v>804138.8</v>
      </c>
      <c r="S28">
        <v>1.870873</v>
      </c>
      <c r="T28">
        <v>1.880908</v>
      </c>
      <c r="U28">
        <v>1.8984220000000001</v>
      </c>
      <c r="V28" s="16">
        <f t="shared" si="1"/>
        <v>4468163.9363810001</v>
      </c>
    </row>
    <row r="29" spans="1:22" x14ac:dyDescent="0.2">
      <c r="B29" s="9"/>
      <c r="C29" s="9"/>
      <c r="D29" s="9"/>
      <c r="E29" s="9"/>
      <c r="F29" s="9"/>
      <c r="G29" s="9"/>
      <c r="L29" s="30"/>
      <c r="M29" s="9"/>
      <c r="O29" s="9"/>
      <c r="P29" s="9"/>
      <c r="Q29" s="9"/>
      <c r="V29" s="13"/>
    </row>
    <row r="30" spans="1:22" x14ac:dyDescent="0.2">
      <c r="A30" t="s">
        <v>16</v>
      </c>
      <c r="B30" s="9">
        <f>+'[7]II-H-1.6 Tran'!$D$20+'[7]II-H-1.6 Tran'!$E$20</f>
        <v>1098382.6000000001</v>
      </c>
      <c r="C30" s="9"/>
      <c r="D30" s="9">
        <f>SUM('[7]II-H-1.6 Tran'!$F$20:$K$20)</f>
        <v>2944260.6</v>
      </c>
      <c r="E30" s="9"/>
      <c r="F30" s="9">
        <f>SUM('[7]II-H-1.6 Tran'!$L$20:$O$20)</f>
        <v>1946213.1</v>
      </c>
      <c r="G30" s="9"/>
      <c r="H30">
        <v>2.5515430000000001</v>
      </c>
      <c r="I30">
        <v>2.794168</v>
      </c>
      <c r="J30">
        <v>2.287852</v>
      </c>
      <c r="K30" s="13">
        <f>(B30*H30)+(D30*I30)+(F30*J30)</f>
        <v>15481976.7197938</v>
      </c>
      <c r="L30" s="30"/>
      <c r="M30" s="9">
        <f>+'[8]II-H-1.6 Tran'!$D$20+'[8]II-H-1.6 Tran'!$E$20</f>
        <v>39836.5</v>
      </c>
      <c r="O30" s="9">
        <f>SUM('[8]II-H-1.6 Tran'!$F$20:$K$20)</f>
        <v>117289</v>
      </c>
      <c r="Q30" s="9">
        <f>SUM('[8]II-H-1.6 Tran'!$L$20:$O$20)</f>
        <v>79010.600000000006</v>
      </c>
      <c r="S30">
        <v>0.90132400000000001</v>
      </c>
      <c r="T30">
        <v>0.37521399999999999</v>
      </c>
      <c r="U30">
        <v>0.83432200000000001</v>
      </c>
      <c r="V30" s="16">
        <f>(M30*S30)+(O30*T30)+(Q30*U30)</f>
        <v>145834.35018519999</v>
      </c>
    </row>
    <row r="31" spans="1:22" x14ac:dyDescent="0.2">
      <c r="A31" t="s">
        <v>17</v>
      </c>
      <c r="B31" s="9"/>
      <c r="C31" s="9">
        <f>+'[7]II-H-1.2'!$D$22+'[7]II-H-1.2'!$E$22</f>
        <v>36987008</v>
      </c>
      <c r="D31" s="9"/>
      <c r="E31" s="9">
        <f>SUM('[7]II-H-1.2'!$F$22:$K$22)</f>
        <v>111137347</v>
      </c>
      <c r="F31" s="9"/>
      <c r="G31" s="9">
        <f>SUM('[7]II-H-1.2'!$L$22:$O$22)</f>
        <v>74152156</v>
      </c>
      <c r="H31">
        <v>4.3709999999999999E-3</v>
      </c>
      <c r="I31">
        <v>4.0140000000000002E-3</v>
      </c>
      <c r="J31">
        <v>4.3680000000000004E-3</v>
      </c>
      <c r="K31" s="13">
        <f>(C31*H31)+(E31*I31)+(G31*J31)</f>
        <v>931672.14023400005</v>
      </c>
      <c r="L31" s="30"/>
      <c r="N31" s="9">
        <f>+'[8]II-H-1.2'!$D$22+'[8]II-H-1.2'!$E$22</f>
        <v>6713364</v>
      </c>
      <c r="O31" s="9"/>
      <c r="P31" s="9">
        <f>SUM('[8]II-H-1.2'!$F$22:$K$22)</f>
        <v>20079658</v>
      </c>
      <c r="Q31" s="9"/>
      <c r="R31" s="9">
        <f>SUM('[8]II-H-1.2'!$L$22:$O$22)</f>
        <v>13337613</v>
      </c>
      <c r="S31">
        <v>6.424E-3</v>
      </c>
      <c r="T31">
        <v>6.0029999999999997E-3</v>
      </c>
      <c r="U31">
        <v>5.9389999999999998E-3</v>
      </c>
      <c r="V31" s="13">
        <f>(N31*S31)+(P31*T31)+(R31*U31)</f>
        <v>242876.92091699998</v>
      </c>
    </row>
    <row r="32" spans="1:22" x14ac:dyDescent="0.2">
      <c r="L32" s="30"/>
      <c r="V32" s="13"/>
    </row>
    <row r="33" spans="1:22" x14ac:dyDescent="0.2">
      <c r="L33" s="30"/>
      <c r="V33" s="13"/>
    </row>
    <row r="34" spans="1:22" x14ac:dyDescent="0.2">
      <c r="A34" t="s">
        <v>18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29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2">
      <c r="B35" s="13">
        <f>SUM(B18:B34)</f>
        <v>6319906.0999999996</v>
      </c>
      <c r="C35" s="13">
        <f>SUM(C18:C34)</f>
        <v>1820364220</v>
      </c>
      <c r="D35" s="13">
        <f t="shared" ref="D35:G35" si="2">SUM(D18:D34)</f>
        <v>17722848.100000001</v>
      </c>
      <c r="E35" s="13">
        <f t="shared" si="2"/>
        <v>5504317384</v>
      </c>
      <c r="F35" s="13">
        <f t="shared" si="2"/>
        <v>11918878.6</v>
      </c>
      <c r="G35" s="13">
        <f t="shared" si="2"/>
        <v>3523226442</v>
      </c>
      <c r="K35" s="13">
        <f t="shared" ref="K35" si="3">SUM(K18:K34)</f>
        <v>165571835.37453151</v>
      </c>
      <c r="L35" s="30"/>
      <c r="M35" s="9">
        <f>SUM(M18:M33)</f>
        <v>1482517.5</v>
      </c>
      <c r="N35" s="9">
        <f t="shared" ref="N35:R35" si="4">SUM(N18:N33)</f>
        <v>388281111</v>
      </c>
      <c r="O35" s="9">
        <f t="shared" si="4"/>
        <v>4574719.3999999994</v>
      </c>
      <c r="P35" s="9">
        <f t="shared" si="4"/>
        <v>1061099692</v>
      </c>
      <c r="Q35" s="9">
        <f t="shared" si="4"/>
        <v>3044856.5000000005</v>
      </c>
      <c r="R35" s="9">
        <f t="shared" si="4"/>
        <v>648826001</v>
      </c>
      <c r="V35" s="9">
        <f t="shared" ref="V35" si="5">SUM(V18:V33)</f>
        <v>37908528.623755097</v>
      </c>
    </row>
    <row r="36" spans="1:22" x14ac:dyDescent="0.2">
      <c r="L36" s="29"/>
    </row>
    <row r="37" spans="1:22" x14ac:dyDescent="0.2">
      <c r="L37" s="31"/>
    </row>
    <row r="38" spans="1:22" x14ac:dyDescent="0.2">
      <c r="L38" s="31"/>
    </row>
    <row r="39" spans="1:22" x14ac:dyDescent="0.2">
      <c r="A39" t="s">
        <v>79</v>
      </c>
      <c r="M39" t="s">
        <v>80</v>
      </c>
    </row>
    <row r="41" spans="1:22" x14ac:dyDescent="0.2">
      <c r="A41" t="s">
        <v>11</v>
      </c>
      <c r="B41" s="27">
        <v>0.47208569981221071</v>
      </c>
      <c r="K41" s="9"/>
      <c r="M41" t="s">
        <v>11</v>
      </c>
      <c r="P41" s="28">
        <v>0.46553446553446554</v>
      </c>
    </row>
    <row r="42" spans="1:22" x14ac:dyDescent="0.2">
      <c r="A42" t="s">
        <v>19</v>
      </c>
      <c r="B42" s="27">
        <v>1.7188206944653978E-2</v>
      </c>
      <c r="K42" s="9"/>
      <c r="M42" t="s">
        <v>19</v>
      </c>
      <c r="P42" s="28">
        <v>2.8971028971028968E-2</v>
      </c>
    </row>
    <row r="43" spans="1:22" x14ac:dyDescent="0.2">
      <c r="A43" t="s">
        <v>20</v>
      </c>
      <c r="B43" s="27">
        <v>0.31247726087196892</v>
      </c>
      <c r="K43" s="9"/>
      <c r="M43" t="s">
        <v>20</v>
      </c>
      <c r="P43" s="28">
        <v>0.36863136863136864</v>
      </c>
    </row>
    <row r="44" spans="1:22" x14ac:dyDescent="0.2">
      <c r="A44" t="s">
        <v>15</v>
      </c>
      <c r="B44" s="27">
        <v>0.10813328942735402</v>
      </c>
      <c r="K44" s="9"/>
      <c r="M44" t="s">
        <v>15</v>
      </c>
      <c r="P44" s="28">
        <v>0.13086913086913085</v>
      </c>
    </row>
    <row r="45" spans="1:22" x14ac:dyDescent="0.2">
      <c r="A45" t="s">
        <v>21</v>
      </c>
      <c r="B45" s="27">
        <v>9.0115542943812271E-2</v>
      </c>
      <c r="K45" s="9"/>
      <c r="M45" t="s">
        <v>21</v>
      </c>
      <c r="P45" s="28">
        <v>5.9940059940059897E-3</v>
      </c>
    </row>
    <row r="46" spans="1:22" x14ac:dyDescent="0.2">
      <c r="A46" t="s">
        <v>17</v>
      </c>
      <c r="B46" s="27">
        <f>SUM(B41:B45)</f>
        <v>0.99999999999999989</v>
      </c>
      <c r="K46" s="9"/>
      <c r="M46" t="s">
        <v>17</v>
      </c>
      <c r="P46" s="28">
        <f>SUM(P41:P45)</f>
        <v>1</v>
      </c>
    </row>
    <row r="47" spans="1:22" x14ac:dyDescent="0.2">
      <c r="A47" s="7" t="s">
        <v>22</v>
      </c>
      <c r="K47" s="9"/>
      <c r="M47" s="7" t="s">
        <v>22</v>
      </c>
    </row>
    <row r="48" spans="1:22" x14ac:dyDescent="0.2">
      <c r="K48" s="9"/>
      <c r="L48" s="9"/>
      <c r="M48" s="9"/>
    </row>
    <row r="49" spans="11:13" x14ac:dyDescent="0.2">
      <c r="K49" s="9"/>
      <c r="L49" s="9"/>
      <c r="M49" s="9"/>
    </row>
    <row r="50" spans="11:13" x14ac:dyDescent="0.2">
      <c r="K50" s="9"/>
      <c r="L50" s="9"/>
      <c r="M50" s="9"/>
    </row>
    <row r="51" spans="11:13" x14ac:dyDescent="0.2">
      <c r="K51" s="9"/>
      <c r="L51" s="9"/>
      <c r="M51" s="9"/>
    </row>
    <row r="52" spans="11:13" x14ac:dyDescent="0.2">
      <c r="K52" s="9"/>
      <c r="L52" s="9"/>
      <c r="M52" s="9"/>
    </row>
    <row r="53" spans="11:13" x14ac:dyDescent="0.2">
      <c r="M53" s="9"/>
    </row>
    <row r="54" spans="11:13" x14ac:dyDescent="0.2">
      <c r="M54" s="9"/>
    </row>
    <row r="55" spans="11:13" x14ac:dyDescent="0.2">
      <c r="K55" s="13"/>
      <c r="L55" s="13"/>
      <c r="M55" s="13"/>
    </row>
  </sheetData>
  <mergeCells count="12">
    <mergeCell ref="B11:K11"/>
    <mergeCell ref="B13:G13"/>
    <mergeCell ref="B14:G14"/>
    <mergeCell ref="M11:V11"/>
    <mergeCell ref="B15:C15"/>
    <mergeCell ref="D15:E15"/>
    <mergeCell ref="F15:G15"/>
    <mergeCell ref="M13:R13"/>
    <mergeCell ref="M14:R14"/>
    <mergeCell ref="M15:N15"/>
    <mergeCell ref="O15:P15"/>
    <mergeCell ref="Q15:R15"/>
  </mergeCells>
  <pageMargins left="0.7" right="0.7" top="0.75" bottom="0.75" header="0.3" footer="0.3"/>
  <pageSetup scale="61" orientation="landscape" r:id="rId1"/>
  <headerFooter>
    <oddFooter>&amp;LSponsored by: Jennifer L. Jackson</oddFooter>
  </headerFooter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opLeftCell="A13" zoomScale="82" zoomScaleNormal="82" workbookViewId="0">
      <selection activeCell="M34" sqref="M34"/>
    </sheetView>
  </sheetViews>
  <sheetFormatPr defaultRowHeight="12.75" x14ac:dyDescent="0.2"/>
  <cols>
    <col min="1" max="1" width="45.140625" style="34" customWidth="1"/>
    <col min="2" max="2" width="22.42578125" style="34" customWidth="1"/>
    <col min="3" max="3" width="14.42578125" style="34" customWidth="1"/>
    <col min="4" max="5" width="14.140625" style="34" customWidth="1"/>
    <col min="6" max="6" width="17.42578125" style="34" bestFit="1" customWidth="1"/>
    <col min="7" max="7" width="16.7109375" style="34" bestFit="1" customWidth="1"/>
    <col min="8" max="8" width="16.5703125" style="34" customWidth="1"/>
    <col min="9" max="9" width="22" style="34" customWidth="1"/>
    <col min="10" max="10" width="4.140625" style="34" customWidth="1"/>
    <col min="11" max="11" width="22.42578125" style="34" customWidth="1"/>
    <col min="12" max="12" width="5.85546875" style="34" customWidth="1"/>
    <col min="13" max="13" width="16" style="34" customWidth="1"/>
    <col min="14" max="16384" width="9.140625" style="34"/>
  </cols>
  <sheetData>
    <row r="1" spans="1:13" ht="13.5" thickBot="1" x14ac:dyDescent="0.25"/>
    <row r="2" spans="1:13" x14ac:dyDescent="0.2">
      <c r="A2" s="21" t="s">
        <v>43</v>
      </c>
    </row>
    <row r="3" spans="1:13" x14ac:dyDescent="0.2">
      <c r="A3" s="22" t="s">
        <v>44</v>
      </c>
    </row>
    <row r="4" spans="1:13" x14ac:dyDescent="0.2">
      <c r="A4" s="23" t="s">
        <v>47</v>
      </c>
    </row>
    <row r="5" spans="1:13" x14ac:dyDescent="0.2">
      <c r="A5" s="23" t="s">
        <v>45</v>
      </c>
    </row>
    <row r="6" spans="1:13" ht="13.5" thickBot="1" x14ac:dyDescent="0.25">
      <c r="A6" s="24" t="s">
        <v>46</v>
      </c>
    </row>
    <row r="8" spans="1:13" x14ac:dyDescent="0.2">
      <c r="A8" s="34" t="s">
        <v>0</v>
      </c>
    </row>
    <row r="9" spans="1:13" x14ac:dyDescent="0.2">
      <c r="A9" s="34" t="s">
        <v>1</v>
      </c>
    </row>
    <row r="10" spans="1:13" x14ac:dyDescent="0.2">
      <c r="C10" s="57" t="s">
        <v>23</v>
      </c>
      <c r="D10" s="58"/>
      <c r="E10" s="58"/>
      <c r="F10" s="58"/>
      <c r="G10" s="58"/>
      <c r="H10" s="58"/>
      <c r="I10" s="58"/>
      <c r="J10" s="58"/>
      <c r="K10" s="58"/>
      <c r="L10" s="58"/>
      <c r="M10" s="59"/>
    </row>
    <row r="12" spans="1:13" x14ac:dyDescent="0.2">
      <c r="C12" s="60" t="s">
        <v>4</v>
      </c>
      <c r="D12" s="60"/>
      <c r="E12" s="60"/>
      <c r="F12" s="60"/>
      <c r="G12" s="60"/>
      <c r="H12" s="36"/>
    </row>
    <row r="13" spans="1:13" x14ac:dyDescent="0.2">
      <c r="A13" s="34" t="s">
        <v>29</v>
      </c>
      <c r="C13" s="60" t="s">
        <v>5</v>
      </c>
      <c r="D13" s="60"/>
      <c r="E13" s="60"/>
      <c r="F13" s="60"/>
      <c r="G13" s="60"/>
      <c r="H13" s="36"/>
      <c r="I13" s="36" t="s">
        <v>48</v>
      </c>
      <c r="J13" s="36"/>
      <c r="K13" s="36" t="s">
        <v>49</v>
      </c>
      <c r="L13" s="36"/>
    </row>
    <row r="14" spans="1:13" x14ac:dyDescent="0.2">
      <c r="C14" s="34" t="s">
        <v>50</v>
      </c>
      <c r="D14" s="34" t="s">
        <v>51</v>
      </c>
      <c r="F14" s="34" t="s">
        <v>50</v>
      </c>
      <c r="G14" s="34" t="s">
        <v>51</v>
      </c>
      <c r="M14" s="37" t="s">
        <v>52</v>
      </c>
    </row>
    <row r="15" spans="1:13" x14ac:dyDescent="0.2">
      <c r="A15" s="37" t="s">
        <v>3</v>
      </c>
      <c r="B15" s="38" t="s">
        <v>53</v>
      </c>
      <c r="C15" s="39" t="s">
        <v>6</v>
      </c>
      <c r="D15" s="39" t="s">
        <v>6</v>
      </c>
      <c r="E15" s="39" t="s">
        <v>54</v>
      </c>
      <c r="F15" s="39" t="s">
        <v>7</v>
      </c>
      <c r="G15" s="39" t="s">
        <v>7</v>
      </c>
      <c r="H15" s="39" t="s">
        <v>55</v>
      </c>
      <c r="I15" s="38" t="s">
        <v>9</v>
      </c>
      <c r="K15" s="38" t="s">
        <v>9</v>
      </c>
      <c r="L15" s="38"/>
    </row>
    <row r="17" spans="1:13" x14ac:dyDescent="0.2">
      <c r="A17" s="34" t="s">
        <v>11</v>
      </c>
      <c r="B17" s="32" t="s">
        <v>11</v>
      </c>
      <c r="F17" s="32">
        <v>6883595997</v>
      </c>
      <c r="G17" s="32">
        <v>3303324243</v>
      </c>
      <c r="H17" s="32">
        <v>10186920240</v>
      </c>
      <c r="I17" s="40">
        <v>8.2480000000000001E-3</v>
      </c>
      <c r="J17" s="40"/>
      <c r="K17" s="40">
        <v>8.3479999999999995E-3</v>
      </c>
      <c r="L17" s="32"/>
      <c r="M17" s="41">
        <f>K17*G17+I17*F17</f>
        <v>84352050.563820004</v>
      </c>
    </row>
    <row r="18" spans="1:13" x14ac:dyDescent="0.2">
      <c r="B18" s="32"/>
      <c r="G18" s="32"/>
      <c r="H18" s="32"/>
    </row>
    <row r="19" spans="1:13" x14ac:dyDescent="0.2">
      <c r="A19" s="34" t="s">
        <v>12</v>
      </c>
      <c r="B19" s="32"/>
      <c r="G19" s="32"/>
      <c r="H19" s="32"/>
    </row>
    <row r="20" spans="1:13" x14ac:dyDescent="0.2">
      <c r="A20" s="42" t="s">
        <v>13</v>
      </c>
      <c r="B20" s="32" t="s">
        <v>56</v>
      </c>
      <c r="F20" s="32">
        <v>266588564</v>
      </c>
      <c r="G20" s="32">
        <v>132550643</v>
      </c>
      <c r="H20" s="32">
        <v>399139207</v>
      </c>
      <c r="I20" s="40">
        <v>1.7437000000000001E-2</v>
      </c>
      <c r="J20" s="40"/>
      <c r="K20" s="40">
        <v>1.7772E-2</v>
      </c>
      <c r="M20" s="41">
        <f>I20*F20+K20*G20</f>
        <v>7004194.8178639999</v>
      </c>
    </row>
    <row r="21" spans="1:13" x14ac:dyDescent="0.2">
      <c r="A21" s="42" t="s">
        <v>13</v>
      </c>
      <c r="B21" s="32" t="s">
        <v>57</v>
      </c>
      <c r="C21" s="32">
        <v>15899.3</v>
      </c>
      <c r="D21" s="32">
        <v>8751</v>
      </c>
      <c r="E21" s="43">
        <v>24650.3</v>
      </c>
      <c r="H21" s="32"/>
      <c r="I21" s="40">
        <v>2.2504930000000001</v>
      </c>
      <c r="K21" s="40">
        <v>2.3785289999999999</v>
      </c>
      <c r="M21" s="41">
        <f>I21*C21+K21*D21</f>
        <v>56595.7706339</v>
      </c>
    </row>
    <row r="22" spans="1:13" x14ac:dyDescent="0.2">
      <c r="A22" s="42" t="s">
        <v>13</v>
      </c>
      <c r="B22" s="32" t="s">
        <v>58</v>
      </c>
      <c r="C22" s="44"/>
      <c r="D22" s="44"/>
      <c r="E22" s="44"/>
      <c r="F22" s="33">
        <v>21279586</v>
      </c>
      <c r="G22" s="33">
        <v>10571679</v>
      </c>
      <c r="H22" s="33">
        <v>31851265</v>
      </c>
      <c r="I22" s="40">
        <v>1.2116999999999999E-2</v>
      </c>
      <c r="K22" s="40">
        <v>1.2395E-2</v>
      </c>
      <c r="M22" s="45">
        <f>I22*F22+K22*G22</f>
        <v>388880.70476699999</v>
      </c>
    </row>
    <row r="23" spans="1:13" x14ac:dyDescent="0.2">
      <c r="A23" s="42" t="s">
        <v>59</v>
      </c>
      <c r="B23" s="32"/>
      <c r="C23" s="32">
        <f>SUM(C20:C22)</f>
        <v>15899.3</v>
      </c>
      <c r="D23" s="32">
        <f t="shared" ref="D23:H23" si="0">SUM(D20:D22)</f>
        <v>8751</v>
      </c>
      <c r="E23" s="32">
        <f t="shared" si="0"/>
        <v>24650.3</v>
      </c>
      <c r="F23" s="32">
        <f t="shared" si="0"/>
        <v>287868150</v>
      </c>
      <c r="G23" s="32">
        <f t="shared" si="0"/>
        <v>143122322</v>
      </c>
      <c r="H23" s="32">
        <f t="shared" si="0"/>
        <v>430990472</v>
      </c>
      <c r="M23" s="41">
        <f>SUM(M20:M22)</f>
        <v>7449671.2932648994</v>
      </c>
    </row>
    <row r="24" spans="1:13" x14ac:dyDescent="0.2">
      <c r="A24" s="42"/>
      <c r="B24" s="32"/>
      <c r="G24" s="32"/>
      <c r="H24" s="32"/>
    </row>
    <row r="25" spans="1:13" x14ac:dyDescent="0.2">
      <c r="A25" s="42" t="s">
        <v>14</v>
      </c>
      <c r="B25" s="32" t="s">
        <v>56</v>
      </c>
      <c r="F25" s="32">
        <v>1004376269</v>
      </c>
      <c r="G25" s="32">
        <v>488986425</v>
      </c>
      <c r="H25" s="32">
        <v>1493362694</v>
      </c>
      <c r="I25" s="46">
        <v>1.7437000000000001E-2</v>
      </c>
      <c r="K25" s="46">
        <v>1.7772E-2</v>
      </c>
      <c r="M25" s="41">
        <f>I25*F25+K25*G25</f>
        <v>26203575.747653</v>
      </c>
    </row>
    <row r="26" spans="1:13" x14ac:dyDescent="0.2">
      <c r="A26" s="42" t="s">
        <v>14</v>
      </c>
      <c r="B26" s="32" t="s">
        <v>57</v>
      </c>
      <c r="C26" s="32">
        <v>13949410.999999998</v>
      </c>
      <c r="D26" s="32">
        <v>6997938.3999999985</v>
      </c>
      <c r="E26" s="32">
        <v>20947349.399999999</v>
      </c>
      <c r="F26" s="32"/>
      <c r="G26" s="32"/>
      <c r="H26" s="32"/>
      <c r="I26" s="46">
        <v>2.2504930000000001</v>
      </c>
      <c r="K26" s="46">
        <v>2.3785289999999999</v>
      </c>
      <c r="M26" s="41">
        <f>I26*C26+K26*D26</f>
        <v>48037851.234236591</v>
      </c>
    </row>
    <row r="27" spans="1:13" x14ac:dyDescent="0.2">
      <c r="A27" s="42" t="s">
        <v>14</v>
      </c>
      <c r="B27" s="32" t="s">
        <v>58</v>
      </c>
      <c r="F27" s="32">
        <v>105591073</v>
      </c>
      <c r="G27" s="32">
        <v>72848243</v>
      </c>
      <c r="H27" s="32">
        <v>178439316</v>
      </c>
      <c r="I27" s="46">
        <v>1.2116999999999999E-2</v>
      </c>
      <c r="K27" s="46">
        <v>1.2395E-2</v>
      </c>
      <c r="M27" s="41">
        <f>I27*F27+K27*G27</f>
        <v>2182401.0035259998</v>
      </c>
    </row>
    <row r="28" spans="1:13" x14ac:dyDescent="0.2">
      <c r="A28" s="42" t="s">
        <v>14</v>
      </c>
      <c r="B28" s="32" t="s">
        <v>60</v>
      </c>
      <c r="C28" s="33">
        <v>9088.0000000000018</v>
      </c>
      <c r="D28" s="33">
        <v>1231.5999999999999</v>
      </c>
      <c r="E28" s="33">
        <v>10319.600000000002</v>
      </c>
      <c r="F28" s="44"/>
      <c r="G28" s="33"/>
      <c r="H28" s="33"/>
      <c r="I28" s="40">
        <v>0.21981600000000001</v>
      </c>
      <c r="J28" s="40"/>
      <c r="K28" s="40">
        <v>0.17084299999999999</v>
      </c>
      <c r="M28" s="45">
        <f>I28*C28+K28*D28</f>
        <v>2208.0980468000007</v>
      </c>
    </row>
    <row r="29" spans="1:13" x14ac:dyDescent="0.2">
      <c r="A29" s="42" t="s">
        <v>61</v>
      </c>
      <c r="B29" s="32"/>
      <c r="C29" s="32">
        <f>SUM(C25:C28)</f>
        <v>13958498.999999998</v>
      </c>
      <c r="D29" s="32">
        <f t="shared" ref="D29:H29" si="1">SUM(D25:D28)</f>
        <v>6999169.9999999981</v>
      </c>
      <c r="E29" s="32">
        <f t="shared" si="1"/>
        <v>20957669</v>
      </c>
      <c r="F29" s="32">
        <f t="shared" si="1"/>
        <v>1109967342</v>
      </c>
      <c r="G29" s="32">
        <f t="shared" si="1"/>
        <v>561834668</v>
      </c>
      <c r="H29" s="32">
        <f t="shared" si="1"/>
        <v>1671802010</v>
      </c>
      <c r="M29" s="47">
        <f>SUM(M25:M28)</f>
        <v>76426036.083462387</v>
      </c>
    </row>
    <row r="30" spans="1:13" x14ac:dyDescent="0.2">
      <c r="B30" s="32"/>
      <c r="G30" s="32"/>
      <c r="H30" s="32"/>
    </row>
    <row r="31" spans="1:13" x14ac:dyDescent="0.2">
      <c r="A31" s="34" t="s">
        <v>15</v>
      </c>
      <c r="B31" s="32" t="s">
        <v>56</v>
      </c>
      <c r="F31" s="32">
        <v>21203057</v>
      </c>
      <c r="G31" s="32">
        <v>6887834</v>
      </c>
      <c r="H31" s="32">
        <v>28090891</v>
      </c>
      <c r="I31" s="46">
        <v>1.7437000000000001E-2</v>
      </c>
      <c r="K31" s="46">
        <v>1.7772E-2</v>
      </c>
      <c r="M31" s="41">
        <f>I31*F31+K31*G31</f>
        <v>492128.29075700004</v>
      </c>
    </row>
    <row r="32" spans="1:13" x14ac:dyDescent="0.2">
      <c r="A32" s="34" t="s">
        <v>15</v>
      </c>
      <c r="B32" s="32" t="s">
        <v>57</v>
      </c>
      <c r="C32" s="32">
        <v>4185638.4</v>
      </c>
      <c r="D32" s="32">
        <v>2106059.6</v>
      </c>
      <c r="E32" s="32">
        <v>6291698</v>
      </c>
      <c r="F32" s="32"/>
      <c r="G32" s="32"/>
      <c r="H32" s="32"/>
      <c r="I32" s="46">
        <v>2.2504930000000001</v>
      </c>
      <c r="K32" s="46">
        <v>2.3785289999999999</v>
      </c>
      <c r="M32" s="41">
        <f>I32*C32+K32*D32</f>
        <v>14429073.7540596</v>
      </c>
    </row>
    <row r="33" spans="1:13" x14ac:dyDescent="0.2">
      <c r="A33" s="34" t="s">
        <v>15</v>
      </c>
      <c r="B33" s="32" t="s">
        <v>58</v>
      </c>
      <c r="C33" s="44"/>
      <c r="D33" s="44"/>
      <c r="E33" s="44"/>
      <c r="F33" s="33">
        <v>78497000</v>
      </c>
      <c r="G33" s="33">
        <v>37204200</v>
      </c>
      <c r="H33" s="33">
        <v>115701200</v>
      </c>
      <c r="I33" s="46">
        <v>1.2116999999999999E-2</v>
      </c>
      <c r="K33" s="46">
        <v>1.2395E-2</v>
      </c>
      <c r="M33" s="45">
        <f>I33*F33+K33*G33</f>
        <v>1412294.2080000001</v>
      </c>
    </row>
    <row r="34" spans="1:13" x14ac:dyDescent="0.2">
      <c r="A34" s="34" t="s">
        <v>62</v>
      </c>
      <c r="B34" s="32"/>
      <c r="C34" s="32">
        <f>SUM(C31:C33)</f>
        <v>4185638.4</v>
      </c>
      <c r="D34" s="32">
        <f t="shared" ref="D34:H34" si="2">SUM(D31:D33)</f>
        <v>2106059.6</v>
      </c>
      <c r="E34" s="32">
        <f t="shared" si="2"/>
        <v>6291698</v>
      </c>
      <c r="F34" s="32">
        <f t="shared" si="2"/>
        <v>99700057</v>
      </c>
      <c r="G34" s="32">
        <f t="shared" si="2"/>
        <v>44092034</v>
      </c>
      <c r="H34" s="32">
        <f t="shared" si="2"/>
        <v>143792091</v>
      </c>
      <c r="M34" s="47">
        <f>SUM(M31:M33)</f>
        <v>16333496.252816601</v>
      </c>
    </row>
    <row r="35" spans="1:13" x14ac:dyDescent="0.2">
      <c r="B35" s="32"/>
      <c r="G35" s="32"/>
      <c r="H35" s="32"/>
    </row>
    <row r="36" spans="1:13" x14ac:dyDescent="0.2">
      <c r="A36" s="34" t="s">
        <v>16</v>
      </c>
      <c r="B36" s="32" t="s">
        <v>57</v>
      </c>
      <c r="C36" s="32">
        <v>12293.3</v>
      </c>
      <c r="D36" s="32">
        <v>4594.1000000000004</v>
      </c>
      <c r="E36" s="32">
        <v>16887.400000000001</v>
      </c>
      <c r="F36" s="32"/>
      <c r="G36" s="32"/>
      <c r="H36" s="32"/>
      <c r="I36" s="46">
        <v>2.2504930000000001</v>
      </c>
      <c r="K36" s="46">
        <v>2.3785289999999999</v>
      </c>
      <c r="M36" s="41">
        <f t="shared" ref="M36:M40" si="3">I36*C36+K36*D36</f>
        <v>38593.185675799999</v>
      </c>
    </row>
    <row r="37" spans="1:13" x14ac:dyDescent="0.2">
      <c r="A37" s="34" t="s">
        <v>16</v>
      </c>
      <c r="B37" s="32" t="s">
        <v>63</v>
      </c>
      <c r="C37" s="32">
        <v>3094044.4</v>
      </c>
      <c r="D37" s="32">
        <v>1495433.2999999998</v>
      </c>
      <c r="E37" s="32">
        <v>4589477.6999999993</v>
      </c>
      <c r="F37" s="32"/>
      <c r="G37" s="32"/>
      <c r="H37" s="32"/>
      <c r="I37" s="40">
        <v>1.2139580000000001</v>
      </c>
      <c r="K37" s="40">
        <v>0.96524299999999996</v>
      </c>
      <c r="M37" s="41">
        <f t="shared" si="3"/>
        <v>5199496.4765271004</v>
      </c>
    </row>
    <row r="38" spans="1:13" x14ac:dyDescent="0.2">
      <c r="A38" s="34" t="s">
        <v>16</v>
      </c>
      <c r="B38" s="32" t="s">
        <v>64</v>
      </c>
      <c r="C38" s="32">
        <v>1828230.4999999986</v>
      </c>
      <c r="D38" s="32">
        <v>863863.40000000026</v>
      </c>
      <c r="E38" s="32">
        <v>2692093.899999999</v>
      </c>
      <c r="F38" s="32"/>
      <c r="G38" s="32"/>
      <c r="H38" s="32"/>
      <c r="I38" s="40">
        <v>2.1666379999999998</v>
      </c>
      <c r="K38" s="40">
        <v>2.2043149999999998</v>
      </c>
      <c r="M38" s="41">
        <f t="shared" si="3"/>
        <v>5865340.7246299973</v>
      </c>
    </row>
    <row r="39" spans="1:13" x14ac:dyDescent="0.2">
      <c r="A39" s="34" t="s">
        <v>16</v>
      </c>
      <c r="B39" s="32" t="s">
        <v>60</v>
      </c>
      <c r="C39" s="32">
        <v>9972755.2999999989</v>
      </c>
      <c r="D39" s="32">
        <v>4691109.3999999994</v>
      </c>
      <c r="E39" s="32">
        <v>14663864.699999999</v>
      </c>
      <c r="F39" s="32"/>
      <c r="G39" s="32"/>
      <c r="H39" s="32"/>
      <c r="I39" s="40">
        <v>0.21981600000000001</v>
      </c>
      <c r="K39" s="40">
        <v>0.17084299999999999</v>
      </c>
      <c r="M39" s="41">
        <f t="shared" si="3"/>
        <v>2993614.3822489996</v>
      </c>
    </row>
    <row r="40" spans="1:13" x14ac:dyDescent="0.2">
      <c r="A40" s="34" t="s">
        <v>16</v>
      </c>
      <c r="B40" s="32" t="s">
        <v>65</v>
      </c>
      <c r="C40" s="33">
        <v>1725407.1000000003</v>
      </c>
      <c r="D40" s="33">
        <v>841484.80000000005</v>
      </c>
      <c r="E40" s="33">
        <v>2566891.9000000004</v>
      </c>
      <c r="F40" s="33"/>
      <c r="G40" s="33"/>
      <c r="H40" s="33"/>
      <c r="I40" s="40">
        <v>0.30451</v>
      </c>
      <c r="K40" s="40">
        <v>0.21320900000000001</v>
      </c>
      <c r="M40" s="45">
        <f t="shared" si="3"/>
        <v>704815.84874420008</v>
      </c>
    </row>
    <row r="41" spans="1:13" x14ac:dyDescent="0.2">
      <c r="A41" s="34" t="s">
        <v>66</v>
      </c>
      <c r="C41" s="32">
        <f>SUM(C36:C40)</f>
        <v>16632730.599999996</v>
      </c>
      <c r="D41" s="32">
        <f t="shared" ref="D41:E41" si="4">SUM(D36:D40)</f>
        <v>7896484.9999999991</v>
      </c>
      <c r="E41" s="32">
        <f t="shared" si="4"/>
        <v>24529215.599999994</v>
      </c>
      <c r="F41" s="32"/>
      <c r="G41" s="32"/>
      <c r="H41" s="32"/>
      <c r="M41" s="47">
        <f>SUM(M36:M40)</f>
        <v>14801860.617826097</v>
      </c>
    </row>
    <row r="42" spans="1:13" x14ac:dyDescent="0.2">
      <c r="B42" s="32"/>
      <c r="G42" s="32"/>
      <c r="H42" s="32"/>
    </row>
    <row r="43" spans="1:13" x14ac:dyDescent="0.2">
      <c r="A43" s="34" t="s">
        <v>17</v>
      </c>
      <c r="B43" s="32" t="s">
        <v>56</v>
      </c>
      <c r="F43" s="32">
        <v>49695212.699999996</v>
      </c>
      <c r="G43" s="32">
        <v>24682854</v>
      </c>
      <c r="H43" s="32">
        <v>74378066.699999988</v>
      </c>
      <c r="I43" s="46">
        <v>1.7437000000000001E-2</v>
      </c>
      <c r="K43" s="46">
        <v>1.7772E-2</v>
      </c>
      <c r="M43" s="41">
        <f t="shared" ref="M43:M45" si="5">I43*F43+K43*G43</f>
        <v>1305199.1051379</v>
      </c>
    </row>
    <row r="44" spans="1:13" x14ac:dyDescent="0.2">
      <c r="A44" s="34" t="s">
        <v>17</v>
      </c>
      <c r="B44" s="32" t="s">
        <v>58</v>
      </c>
      <c r="F44" s="32">
        <v>77146338</v>
      </c>
      <c r="G44" s="32">
        <v>38898245</v>
      </c>
      <c r="H44" s="32">
        <v>116044583</v>
      </c>
      <c r="I44" s="46">
        <v>1.2116999999999999E-2</v>
      </c>
      <c r="K44" s="46">
        <v>1.2395E-2</v>
      </c>
      <c r="M44" s="41">
        <f t="shared" si="5"/>
        <v>1416925.924321</v>
      </c>
    </row>
    <row r="45" spans="1:13" x14ac:dyDescent="0.2">
      <c r="A45" s="34" t="s">
        <v>17</v>
      </c>
      <c r="B45" s="32" t="s">
        <v>11</v>
      </c>
      <c r="C45" s="44"/>
      <c r="D45" s="44"/>
      <c r="E45" s="44"/>
      <c r="F45" s="33">
        <v>21337661.399999999</v>
      </c>
      <c r="G45" s="33">
        <v>10599980.4</v>
      </c>
      <c r="H45" s="33">
        <v>31937641.799999997</v>
      </c>
      <c r="I45" s="46">
        <v>8.2480000000000001E-3</v>
      </c>
      <c r="K45" s="46">
        <v>8.3479999999999995E-3</v>
      </c>
      <c r="M45" s="45">
        <f t="shared" si="5"/>
        <v>264481.66760639998</v>
      </c>
    </row>
    <row r="46" spans="1:13" x14ac:dyDescent="0.2">
      <c r="A46" s="34" t="s">
        <v>67</v>
      </c>
      <c r="F46" s="32">
        <f>SUM(F43:F45)</f>
        <v>148179212.09999999</v>
      </c>
      <c r="G46" s="32">
        <f t="shared" ref="G46:H46" si="6">SUM(G43:G45)</f>
        <v>74181079.400000006</v>
      </c>
      <c r="H46" s="32">
        <f t="shared" si="6"/>
        <v>222360291.5</v>
      </c>
      <c r="M46" s="47">
        <f>SUM(M43:M45)</f>
        <v>2986606.6970652998</v>
      </c>
    </row>
    <row r="47" spans="1:13" x14ac:dyDescent="0.2"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 x14ac:dyDescent="0.2">
      <c r="A48" s="34" t="s">
        <v>18</v>
      </c>
      <c r="C48" s="43">
        <f>C46+C41+C34+C29+C23+C17</f>
        <v>34792767.29999999</v>
      </c>
      <c r="D48" s="43">
        <f t="shared" ref="D48:H48" si="7">D46+D41+D34+D29+D23+D17</f>
        <v>17010465.599999998</v>
      </c>
      <c r="E48" s="43">
        <f t="shared" si="7"/>
        <v>51803232.899999991</v>
      </c>
      <c r="F48" s="43">
        <f t="shared" si="7"/>
        <v>8529310758.1000004</v>
      </c>
      <c r="G48" s="43">
        <f t="shared" si="7"/>
        <v>4126554346.4000001</v>
      </c>
      <c r="H48" s="43">
        <f t="shared" si="7"/>
        <v>12655865104.5</v>
      </c>
      <c r="M48" s="41">
        <f t="shared" ref="M48" si="8">M46+M41+M34+M29+M23+M17</f>
        <v>202349721.5082553</v>
      </c>
    </row>
    <row r="51" spans="1:7" x14ac:dyDescent="0.2">
      <c r="A51" s="34" t="s">
        <v>81</v>
      </c>
    </row>
    <row r="53" spans="1:7" x14ac:dyDescent="0.2">
      <c r="A53" s="34" t="s">
        <v>11</v>
      </c>
      <c r="C53" s="49">
        <v>0.388932</v>
      </c>
      <c r="D53" s="35"/>
      <c r="E53" s="35"/>
      <c r="F53" s="35"/>
      <c r="G53" s="35"/>
    </row>
    <row r="54" spans="1:7" x14ac:dyDescent="0.2">
      <c r="A54" s="34" t="s">
        <v>56</v>
      </c>
      <c r="C54" s="49">
        <v>0.224467</v>
      </c>
      <c r="D54" s="35"/>
      <c r="E54" s="35"/>
      <c r="F54" s="35"/>
      <c r="G54" s="35"/>
    </row>
    <row r="55" spans="1:7" x14ac:dyDescent="0.2">
      <c r="A55" s="34" t="s">
        <v>74</v>
      </c>
      <c r="C55" s="49">
        <v>2.6976E-2</v>
      </c>
      <c r="D55" s="35"/>
      <c r="E55" s="35"/>
      <c r="F55" s="35"/>
      <c r="G55" s="35"/>
    </row>
    <row r="56" spans="1:7" x14ac:dyDescent="0.2">
      <c r="A56" s="34" t="s">
        <v>57</v>
      </c>
      <c r="C56" s="49">
        <v>0.28987499999999999</v>
      </c>
      <c r="D56" s="35"/>
      <c r="E56" s="35"/>
      <c r="F56" s="35"/>
      <c r="G56" s="35"/>
    </row>
    <row r="57" spans="1:7" x14ac:dyDescent="0.2">
      <c r="A57" s="34" t="s">
        <v>63</v>
      </c>
      <c r="C57" s="49">
        <v>2.3222E-2</v>
      </c>
      <c r="D57" s="35"/>
      <c r="E57" s="35"/>
      <c r="F57" s="35"/>
      <c r="G57" s="35"/>
    </row>
    <row r="58" spans="1:7" x14ac:dyDescent="0.2">
      <c r="A58" s="34" t="s">
        <v>60</v>
      </c>
      <c r="C58" s="49">
        <v>1.4881999999999999E-2</v>
      </c>
      <c r="D58" s="35"/>
      <c r="E58" s="35"/>
      <c r="F58" s="35"/>
      <c r="G58" s="35"/>
    </row>
    <row r="59" spans="1:7" x14ac:dyDescent="0.2">
      <c r="A59" s="51" t="s">
        <v>75</v>
      </c>
      <c r="B59" s="48"/>
      <c r="C59" s="49">
        <v>2.7973000000000001E-2</v>
      </c>
      <c r="D59" s="35"/>
      <c r="E59" s="35"/>
      <c r="F59" s="35"/>
      <c r="G59" s="35"/>
    </row>
    <row r="60" spans="1:7" x14ac:dyDescent="0.2">
      <c r="A60" s="34" t="s">
        <v>76</v>
      </c>
      <c r="C60" s="50">
        <v>3.673E-3</v>
      </c>
      <c r="D60" s="35"/>
      <c r="E60" s="35"/>
      <c r="F60" s="35"/>
      <c r="G60" s="35"/>
    </row>
    <row r="61" spans="1:7" x14ac:dyDescent="0.2">
      <c r="A61" s="48" t="s">
        <v>22</v>
      </c>
      <c r="C61" s="49">
        <f>SUM(C53:C60)</f>
        <v>1</v>
      </c>
      <c r="D61" s="35"/>
      <c r="E61" s="35"/>
      <c r="F61" s="35"/>
      <c r="G61" s="35"/>
    </row>
    <row r="62" spans="1:7" x14ac:dyDescent="0.2">
      <c r="C62" s="35"/>
      <c r="D62" s="35"/>
      <c r="E62" s="35"/>
      <c r="F62" s="35"/>
      <c r="G62" s="35"/>
    </row>
  </sheetData>
  <mergeCells count="3">
    <mergeCell ref="C10:M10"/>
    <mergeCell ref="C12:G12"/>
    <mergeCell ref="C13:G13"/>
  </mergeCells>
  <pageMargins left="0.7" right="0.7" top="0.75" bottom="0.75" header="0.3" footer="0.3"/>
  <pageSetup scale="53" orientation="landscape" r:id="rId1"/>
  <headerFooter>
    <oddFooter>&amp;LSponsored by: Jennifer L. Jackson</oddFooter>
  </headerFooter>
  <colBreaks count="1" manualBreakCount="1">
    <brk id="13" max="6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10" zoomScale="82" zoomScaleNormal="82" workbookViewId="0">
      <selection activeCell="K17" sqref="K17"/>
    </sheetView>
  </sheetViews>
  <sheetFormatPr defaultRowHeight="12.75" x14ac:dyDescent="0.2"/>
  <cols>
    <col min="1" max="1" width="45.140625" style="34" customWidth="1"/>
    <col min="2" max="2" width="22.42578125" style="34" customWidth="1"/>
    <col min="3" max="3" width="14.42578125" style="34" customWidth="1"/>
    <col min="4" max="5" width="14.140625" style="34" customWidth="1"/>
    <col min="6" max="6" width="17.42578125" style="34" bestFit="1" customWidth="1"/>
    <col min="7" max="7" width="16.7109375" style="34" bestFit="1" customWidth="1"/>
    <col min="8" max="8" width="16.5703125" style="34" customWidth="1"/>
    <col min="9" max="9" width="22" style="34" customWidth="1"/>
    <col min="10" max="10" width="4.140625" style="34" customWidth="1"/>
    <col min="11" max="11" width="22.42578125" style="34" customWidth="1"/>
    <col min="12" max="12" width="5.85546875" style="34" customWidth="1"/>
    <col min="13" max="13" width="16" style="34" customWidth="1"/>
    <col min="14" max="16384" width="9.140625" style="34"/>
  </cols>
  <sheetData>
    <row r="1" spans="1:13" ht="13.5" thickBot="1" x14ac:dyDescent="0.25"/>
    <row r="2" spans="1:13" x14ac:dyDescent="0.2">
      <c r="A2" s="21" t="s">
        <v>43</v>
      </c>
    </row>
    <row r="3" spans="1:13" x14ac:dyDescent="0.2">
      <c r="A3" s="22" t="s">
        <v>44</v>
      </c>
    </row>
    <row r="4" spans="1:13" x14ac:dyDescent="0.2">
      <c r="A4" s="23" t="s">
        <v>47</v>
      </c>
    </row>
    <row r="5" spans="1:13" x14ac:dyDescent="0.2">
      <c r="A5" s="23" t="s">
        <v>45</v>
      </c>
    </row>
    <row r="6" spans="1:13" ht="13.5" thickBot="1" x14ac:dyDescent="0.25">
      <c r="A6" s="24" t="s">
        <v>46</v>
      </c>
    </row>
    <row r="8" spans="1:13" x14ac:dyDescent="0.2">
      <c r="A8" s="34" t="s">
        <v>0</v>
      </c>
    </row>
    <row r="9" spans="1:13" x14ac:dyDescent="0.2">
      <c r="A9" s="34" t="s">
        <v>1</v>
      </c>
    </row>
    <row r="10" spans="1:13" x14ac:dyDescent="0.2">
      <c r="C10" s="57" t="s">
        <v>23</v>
      </c>
      <c r="D10" s="58"/>
      <c r="E10" s="58"/>
      <c r="F10" s="58"/>
      <c r="G10" s="58"/>
      <c r="H10" s="58"/>
      <c r="I10" s="58"/>
      <c r="J10" s="58"/>
      <c r="K10" s="58"/>
      <c r="L10" s="58"/>
      <c r="M10" s="59"/>
    </row>
    <row r="12" spans="1:13" x14ac:dyDescent="0.2">
      <c r="C12" s="60" t="s">
        <v>4</v>
      </c>
      <c r="D12" s="60"/>
      <c r="E12" s="60"/>
      <c r="F12" s="60"/>
      <c r="G12" s="60"/>
      <c r="H12" s="36"/>
    </row>
    <row r="13" spans="1:13" x14ac:dyDescent="0.2">
      <c r="A13" s="34" t="s">
        <v>30</v>
      </c>
      <c r="C13" s="60" t="s">
        <v>5</v>
      </c>
      <c r="D13" s="60"/>
      <c r="E13" s="60"/>
      <c r="F13" s="60"/>
      <c r="G13" s="60"/>
      <c r="H13" s="36"/>
      <c r="I13" s="36" t="s">
        <v>68</v>
      </c>
      <c r="J13" s="36"/>
      <c r="K13" s="36" t="s">
        <v>69</v>
      </c>
      <c r="L13" s="36"/>
    </row>
    <row r="14" spans="1:13" x14ac:dyDescent="0.2">
      <c r="C14" s="36" t="s">
        <v>70</v>
      </c>
      <c r="D14" s="36" t="s">
        <v>71</v>
      </c>
      <c r="E14" s="36"/>
      <c r="F14" s="36" t="s">
        <v>70</v>
      </c>
      <c r="G14" s="36" t="s">
        <v>71</v>
      </c>
      <c r="H14" s="36"/>
      <c r="M14" s="37" t="s">
        <v>72</v>
      </c>
    </row>
    <row r="15" spans="1:13" x14ac:dyDescent="0.2">
      <c r="A15" s="37" t="s">
        <v>3</v>
      </c>
      <c r="B15" s="38" t="s">
        <v>73</v>
      </c>
      <c r="C15" s="39" t="s">
        <v>6</v>
      </c>
      <c r="D15" s="39" t="s">
        <v>6</v>
      </c>
      <c r="E15" s="39" t="s">
        <v>54</v>
      </c>
      <c r="F15" s="39" t="s">
        <v>7</v>
      </c>
      <c r="G15" s="39" t="s">
        <v>7</v>
      </c>
      <c r="H15" s="39" t="s">
        <v>55</v>
      </c>
      <c r="I15" s="38" t="s">
        <v>9</v>
      </c>
      <c r="K15" s="38" t="s">
        <v>9</v>
      </c>
      <c r="L15" s="38"/>
    </row>
    <row r="17" spans="1:13" x14ac:dyDescent="0.2">
      <c r="A17" s="34" t="s">
        <v>11</v>
      </c>
      <c r="B17" s="32" t="s">
        <v>11</v>
      </c>
      <c r="F17" s="32">
        <v>1712009110</v>
      </c>
      <c r="G17" s="32">
        <v>8474911130</v>
      </c>
      <c r="H17" s="32">
        <v>10186920240</v>
      </c>
      <c r="I17" s="40">
        <v>3.0370000000000002E-3</v>
      </c>
      <c r="J17" s="40"/>
      <c r="K17" s="40">
        <v>2.9729999999999999E-3</v>
      </c>
      <c r="L17" s="32"/>
      <c r="M17" s="41">
        <f>K17*G17+I17*F17</f>
        <v>30395282.456560001</v>
      </c>
    </row>
    <row r="18" spans="1:13" x14ac:dyDescent="0.2">
      <c r="B18" s="32"/>
      <c r="G18" s="32"/>
      <c r="H18" s="32"/>
    </row>
    <row r="19" spans="1:13" x14ac:dyDescent="0.2">
      <c r="A19" s="34" t="s">
        <v>12</v>
      </c>
      <c r="B19" s="32"/>
      <c r="G19" s="32"/>
      <c r="H19" s="32"/>
    </row>
    <row r="20" spans="1:13" x14ac:dyDescent="0.2">
      <c r="A20" s="42" t="s">
        <v>13</v>
      </c>
      <c r="B20" s="32" t="s">
        <v>56</v>
      </c>
      <c r="F20" s="32">
        <v>64725153</v>
      </c>
      <c r="G20" s="32">
        <v>334414054</v>
      </c>
      <c r="H20" s="32">
        <v>399139207</v>
      </c>
      <c r="I20" s="40">
        <v>8.2100000000000003E-3</v>
      </c>
      <c r="J20" s="40"/>
      <c r="K20" s="40">
        <v>8.1790000000000005E-3</v>
      </c>
      <c r="M20" s="41">
        <f>I20*F20+K20*G20</f>
        <v>3266566.0537960003</v>
      </c>
    </row>
    <row r="21" spans="1:13" x14ac:dyDescent="0.2">
      <c r="A21" s="42" t="s">
        <v>13</v>
      </c>
      <c r="B21" s="32" t="s">
        <v>57</v>
      </c>
      <c r="C21" s="32">
        <v>3850.3</v>
      </c>
      <c r="D21" s="32">
        <v>20799.999999999996</v>
      </c>
      <c r="E21" s="43">
        <v>24650.299999999996</v>
      </c>
      <c r="H21" s="32"/>
      <c r="I21" s="40">
        <v>0.846418</v>
      </c>
      <c r="K21" s="40">
        <v>0.83213400000000004</v>
      </c>
      <c r="M21" s="41">
        <f>I21*C21+K21*D21</f>
        <v>20567.350425399996</v>
      </c>
    </row>
    <row r="22" spans="1:13" x14ac:dyDescent="0.2">
      <c r="A22" s="42" t="s">
        <v>13</v>
      </c>
      <c r="B22" s="32" t="s">
        <v>58</v>
      </c>
      <c r="C22" s="44"/>
      <c r="D22" s="44"/>
      <c r="E22" s="44"/>
      <c r="F22" s="33">
        <v>5319910</v>
      </c>
      <c r="G22" s="33">
        <v>26531355</v>
      </c>
      <c r="H22" s="33">
        <v>31851265</v>
      </c>
      <c r="I22" s="40">
        <v>4.3829999999999997E-3</v>
      </c>
      <c r="K22" s="40">
        <v>4.4219999999999997E-3</v>
      </c>
      <c r="M22" s="45">
        <f>I22*F22+K22*G22</f>
        <v>140638.81734000001</v>
      </c>
    </row>
    <row r="23" spans="1:13" x14ac:dyDescent="0.2">
      <c r="A23" s="42" t="s">
        <v>59</v>
      </c>
      <c r="B23" s="32"/>
      <c r="C23" s="32">
        <f>SUM(C20:C22)</f>
        <v>3850.3</v>
      </c>
      <c r="D23" s="32">
        <f t="shared" ref="D23:H23" si="0">SUM(D20:D22)</f>
        <v>20799.999999999996</v>
      </c>
      <c r="E23" s="32">
        <f t="shared" si="0"/>
        <v>24650.299999999996</v>
      </c>
      <c r="F23" s="32">
        <f t="shared" si="0"/>
        <v>70045063</v>
      </c>
      <c r="G23" s="32">
        <f t="shared" si="0"/>
        <v>360945409</v>
      </c>
      <c r="H23" s="32">
        <f t="shared" si="0"/>
        <v>430990472</v>
      </c>
      <c r="M23" s="41">
        <f>SUM(M20:M22)</f>
        <v>3427772.2215614002</v>
      </c>
    </row>
    <row r="24" spans="1:13" x14ac:dyDescent="0.2">
      <c r="A24" s="42"/>
      <c r="B24" s="32"/>
      <c r="G24" s="32"/>
      <c r="H24" s="32"/>
    </row>
    <row r="25" spans="1:13" x14ac:dyDescent="0.2">
      <c r="A25" s="42" t="s">
        <v>14</v>
      </c>
      <c r="B25" s="32" t="s">
        <v>56</v>
      </c>
      <c r="F25" s="32">
        <v>217795326</v>
      </c>
      <c r="G25" s="32">
        <v>1275567368</v>
      </c>
      <c r="H25" s="32">
        <v>1493362694</v>
      </c>
      <c r="I25" s="46">
        <v>8.2100000000000003E-3</v>
      </c>
      <c r="K25" s="46">
        <v>8.1790000000000005E-3</v>
      </c>
      <c r="M25" s="41">
        <f>I25*F25+K25*G25</f>
        <v>12220965.129332002</v>
      </c>
    </row>
    <row r="26" spans="1:13" x14ac:dyDescent="0.2">
      <c r="A26" s="42" t="s">
        <v>14</v>
      </c>
      <c r="B26" s="32" t="s">
        <v>57</v>
      </c>
      <c r="C26" s="32">
        <v>3505931.6</v>
      </c>
      <c r="D26" s="32">
        <v>17441417.800000001</v>
      </c>
      <c r="E26" s="32">
        <v>20947349.400000002</v>
      </c>
      <c r="F26" s="32"/>
      <c r="G26" s="32"/>
      <c r="H26" s="32"/>
      <c r="I26" s="46">
        <v>0.846418</v>
      </c>
      <c r="K26" s="46">
        <v>0.83213400000000004</v>
      </c>
      <c r="M26" s="41">
        <f>I26*C26+K26*D26</f>
        <v>17481080.372594003</v>
      </c>
    </row>
    <row r="27" spans="1:13" x14ac:dyDescent="0.2">
      <c r="A27" s="42" t="s">
        <v>14</v>
      </c>
      <c r="B27" s="32" t="s">
        <v>58</v>
      </c>
      <c r="F27" s="32">
        <v>24473016</v>
      </c>
      <c r="G27" s="32">
        <v>153966300</v>
      </c>
      <c r="H27" s="32">
        <v>178439316</v>
      </c>
      <c r="I27" s="46">
        <v>4.3829999999999997E-3</v>
      </c>
      <c r="K27" s="46">
        <v>4.4219999999999997E-3</v>
      </c>
      <c r="M27" s="41">
        <f>I27*F27+K27*G27</f>
        <v>788104.20772799989</v>
      </c>
    </row>
    <row r="28" spans="1:13" x14ac:dyDescent="0.2">
      <c r="A28" s="42" t="s">
        <v>14</v>
      </c>
      <c r="B28" s="32" t="s">
        <v>60</v>
      </c>
      <c r="C28" s="33">
        <v>3915.6</v>
      </c>
      <c r="D28" s="33">
        <v>6403.9999999999991</v>
      </c>
      <c r="E28" s="33">
        <v>10319.599999999999</v>
      </c>
      <c r="F28" s="44"/>
      <c r="G28" s="33"/>
      <c r="H28" s="33"/>
      <c r="I28" s="40">
        <v>7.1098999999999996E-2</v>
      </c>
      <c r="J28" s="40"/>
      <c r="K28" s="40">
        <v>6.7493999999999998E-2</v>
      </c>
      <c r="M28" s="45">
        <f>I28*C28+K28*D28</f>
        <v>710.62682039999981</v>
      </c>
    </row>
    <row r="29" spans="1:13" x14ac:dyDescent="0.2">
      <c r="A29" s="42" t="s">
        <v>61</v>
      </c>
      <c r="B29" s="32"/>
      <c r="C29" s="32">
        <f>SUM(C25:C28)</f>
        <v>3509847.2</v>
      </c>
      <c r="D29" s="32">
        <f t="shared" ref="D29:H29" si="1">SUM(D25:D28)</f>
        <v>17447821.800000001</v>
      </c>
      <c r="E29" s="32">
        <f t="shared" si="1"/>
        <v>20957669.000000004</v>
      </c>
      <c r="F29" s="32">
        <f t="shared" si="1"/>
        <v>242268342</v>
      </c>
      <c r="G29" s="32">
        <f t="shared" si="1"/>
        <v>1429533668</v>
      </c>
      <c r="H29" s="32">
        <f t="shared" si="1"/>
        <v>1671802010</v>
      </c>
      <c r="M29" s="47">
        <f>SUM(M25:M28)</f>
        <v>30490860.336474404</v>
      </c>
    </row>
    <row r="30" spans="1:13" x14ac:dyDescent="0.2">
      <c r="B30" s="32"/>
      <c r="G30" s="32"/>
      <c r="H30" s="32"/>
    </row>
    <row r="31" spans="1:13" x14ac:dyDescent="0.2">
      <c r="A31" s="34" t="s">
        <v>15</v>
      </c>
      <c r="B31" s="32" t="s">
        <v>56</v>
      </c>
      <c r="F31" s="32">
        <v>1482921</v>
      </c>
      <c r="G31" s="32">
        <v>26607970</v>
      </c>
      <c r="H31" s="32">
        <v>28090891</v>
      </c>
      <c r="I31" s="46">
        <v>8.2100000000000003E-3</v>
      </c>
      <c r="K31" s="46">
        <v>8.1790000000000005E-3</v>
      </c>
      <c r="M31" s="41">
        <f>I31*F31+K31*G31</f>
        <v>229801.36804</v>
      </c>
    </row>
    <row r="32" spans="1:13" x14ac:dyDescent="0.2">
      <c r="A32" s="34" t="s">
        <v>15</v>
      </c>
      <c r="B32" s="32" t="s">
        <v>57</v>
      </c>
      <c r="C32" s="32">
        <v>1035514.7999999999</v>
      </c>
      <c r="D32" s="32">
        <v>5256183.2000000011</v>
      </c>
      <c r="E32" s="32">
        <v>6291698.0000000009</v>
      </c>
      <c r="F32" s="32"/>
      <c r="G32" s="32"/>
      <c r="H32" s="32"/>
      <c r="I32" s="46">
        <v>0.846418</v>
      </c>
      <c r="K32" s="46">
        <v>0.83213400000000004</v>
      </c>
      <c r="M32" s="41">
        <f>I32*C32+K32*D32</f>
        <v>5250327.116935201</v>
      </c>
    </row>
    <row r="33" spans="1:13" x14ac:dyDescent="0.2">
      <c r="A33" s="34" t="s">
        <v>15</v>
      </c>
      <c r="B33" s="32" t="s">
        <v>58</v>
      </c>
      <c r="C33" s="44"/>
      <c r="D33" s="44"/>
      <c r="E33" s="44"/>
      <c r="F33" s="33">
        <v>18423600</v>
      </c>
      <c r="G33" s="33">
        <v>97277600</v>
      </c>
      <c r="H33" s="33">
        <v>115701200</v>
      </c>
      <c r="I33" s="46">
        <v>4.3829999999999997E-3</v>
      </c>
      <c r="K33" s="46">
        <v>4.4219999999999997E-3</v>
      </c>
      <c r="M33" s="45">
        <f>I33*F33+K33*G33</f>
        <v>510912.18599999999</v>
      </c>
    </row>
    <row r="34" spans="1:13" x14ac:dyDescent="0.2">
      <c r="A34" s="34" t="s">
        <v>62</v>
      </c>
      <c r="B34" s="32"/>
      <c r="C34" s="32">
        <f>SUM(C31:C33)</f>
        <v>1035514.7999999999</v>
      </c>
      <c r="D34" s="32">
        <f t="shared" ref="D34:H34" si="2">SUM(D31:D33)</f>
        <v>5256183.2000000011</v>
      </c>
      <c r="E34" s="32">
        <f t="shared" si="2"/>
        <v>6291698.0000000009</v>
      </c>
      <c r="F34" s="32">
        <f t="shared" si="2"/>
        <v>19906521</v>
      </c>
      <c r="G34" s="32">
        <f t="shared" si="2"/>
        <v>123885570</v>
      </c>
      <c r="H34" s="32">
        <f t="shared" si="2"/>
        <v>143792091</v>
      </c>
      <c r="M34" s="47">
        <f>SUM(M31:M33)</f>
        <v>5991040.6709752008</v>
      </c>
    </row>
    <row r="35" spans="1:13" x14ac:dyDescent="0.2">
      <c r="B35" s="32"/>
      <c r="G35" s="32"/>
      <c r="H35" s="32"/>
    </row>
    <row r="36" spans="1:13" x14ac:dyDescent="0.2">
      <c r="A36" s="34" t="s">
        <v>16</v>
      </c>
      <c r="B36" s="32" t="s">
        <v>57</v>
      </c>
      <c r="C36" s="32">
        <v>3083.7</v>
      </c>
      <c r="D36" s="32">
        <v>13803.7</v>
      </c>
      <c r="E36" s="32">
        <v>16887.400000000001</v>
      </c>
      <c r="F36" s="32"/>
      <c r="G36" s="32"/>
      <c r="H36" s="32"/>
      <c r="I36" s="46">
        <v>0.846418</v>
      </c>
      <c r="K36" s="46">
        <v>0.83213400000000004</v>
      </c>
      <c r="M36" s="41">
        <f t="shared" ref="M36:M40" si="3">I36*C36+K36*D36</f>
        <v>14096.627282400001</v>
      </c>
    </row>
    <row r="37" spans="1:13" x14ac:dyDescent="0.2">
      <c r="A37" s="34" t="s">
        <v>16</v>
      </c>
      <c r="B37" s="32" t="s">
        <v>63</v>
      </c>
      <c r="C37" s="32">
        <v>780365.7</v>
      </c>
      <c r="D37" s="32">
        <v>3809112</v>
      </c>
      <c r="E37" s="32">
        <v>4589477.7</v>
      </c>
      <c r="F37" s="32"/>
      <c r="G37" s="32"/>
      <c r="H37" s="32"/>
      <c r="I37" s="40">
        <v>0.42011100000000001</v>
      </c>
      <c r="K37" s="40">
        <v>0.33007799999999998</v>
      </c>
      <c r="M37" s="41">
        <f t="shared" si="3"/>
        <v>1585144.2853286997</v>
      </c>
    </row>
    <row r="38" spans="1:13" x14ac:dyDescent="0.2">
      <c r="A38" s="34" t="s">
        <v>16</v>
      </c>
      <c r="B38" s="32" t="s">
        <v>64</v>
      </c>
      <c r="C38" s="32">
        <v>479457.50000000006</v>
      </c>
      <c r="D38" s="32">
        <v>2212636.399999999</v>
      </c>
      <c r="E38" s="32">
        <v>2692093.899999999</v>
      </c>
      <c r="F38" s="32"/>
      <c r="G38" s="32"/>
      <c r="H38" s="32"/>
      <c r="I38" s="40">
        <v>0.541354</v>
      </c>
      <c r="K38" s="40">
        <v>0.53755699999999995</v>
      </c>
      <c r="M38" s="41">
        <f t="shared" si="3"/>
        <v>1448974.4207297994</v>
      </c>
    </row>
    <row r="39" spans="1:13" x14ac:dyDescent="0.2">
      <c r="A39" s="34" t="s">
        <v>16</v>
      </c>
      <c r="B39" s="32" t="s">
        <v>60</v>
      </c>
      <c r="C39" s="32">
        <v>2549872</v>
      </c>
      <c r="D39" s="32">
        <v>12113992.699999999</v>
      </c>
      <c r="E39" s="32">
        <v>14663864.699999999</v>
      </c>
      <c r="F39" s="32"/>
      <c r="G39" s="32"/>
      <c r="H39" s="32"/>
      <c r="I39" s="40">
        <v>7.1098999999999996E-2</v>
      </c>
      <c r="K39" s="40">
        <v>6.7493999999999998E-2</v>
      </c>
      <c r="M39" s="41">
        <f t="shared" si="3"/>
        <v>998915.17262179987</v>
      </c>
    </row>
    <row r="40" spans="1:13" x14ac:dyDescent="0.2">
      <c r="A40" s="34" t="s">
        <v>16</v>
      </c>
      <c r="B40" s="32" t="s">
        <v>65</v>
      </c>
      <c r="C40" s="33">
        <v>432358.40000000002</v>
      </c>
      <c r="D40" s="33">
        <v>2134533.5</v>
      </c>
      <c r="E40" s="33">
        <v>2566891.9</v>
      </c>
      <c r="F40" s="33"/>
      <c r="G40" s="33"/>
      <c r="H40" s="33"/>
      <c r="I40" s="40">
        <v>8.3917000000000005E-2</v>
      </c>
      <c r="K40" s="40">
        <v>6.6618999999999998E-2</v>
      </c>
      <c r="M40" s="45">
        <f t="shared" si="3"/>
        <v>178482.70708929998</v>
      </c>
    </row>
    <row r="41" spans="1:13" x14ac:dyDescent="0.2">
      <c r="A41" s="34" t="s">
        <v>66</v>
      </c>
      <c r="C41" s="32">
        <f>SUM(C36:C40)</f>
        <v>4245137.3</v>
      </c>
      <c r="D41" s="32">
        <f t="shared" ref="D41:E41" si="4">SUM(D36:D40)</f>
        <v>20284078.299999997</v>
      </c>
      <c r="E41" s="32">
        <f t="shared" si="4"/>
        <v>24529215.599999998</v>
      </c>
      <c r="F41" s="32"/>
      <c r="G41" s="32"/>
      <c r="H41" s="32"/>
      <c r="M41" s="47">
        <f>SUM(M36:M40)</f>
        <v>4225613.213051999</v>
      </c>
    </row>
    <row r="42" spans="1:13" x14ac:dyDescent="0.2">
      <c r="B42" s="32"/>
      <c r="G42" s="32"/>
      <c r="H42" s="32"/>
    </row>
    <row r="43" spans="1:13" x14ac:dyDescent="0.2">
      <c r="A43" s="34" t="s">
        <v>17</v>
      </c>
      <c r="B43" s="32" t="s">
        <v>56</v>
      </c>
      <c r="F43" s="32">
        <v>12452939.1</v>
      </c>
      <c r="G43" s="32">
        <v>61925127.599999994</v>
      </c>
      <c r="H43" s="32">
        <v>74378066.699999988</v>
      </c>
      <c r="I43" s="46">
        <v>8.2100000000000003E-3</v>
      </c>
      <c r="K43" s="46">
        <v>8.1790000000000005E-3</v>
      </c>
      <c r="M43" s="41">
        <f t="shared" ref="M43:M45" si="5">I43*F43+K43*G43</f>
        <v>608724.24865139998</v>
      </c>
    </row>
    <row r="44" spans="1:13" x14ac:dyDescent="0.2">
      <c r="A44" s="34" t="s">
        <v>17</v>
      </c>
      <c r="B44" s="32" t="s">
        <v>58</v>
      </c>
      <c r="F44" s="32">
        <v>19203065</v>
      </c>
      <c r="G44" s="32">
        <v>96841518</v>
      </c>
      <c r="H44" s="32">
        <v>116044583</v>
      </c>
      <c r="I44" s="46">
        <v>4.3829999999999997E-3</v>
      </c>
      <c r="K44" s="46">
        <v>4.4219999999999997E-3</v>
      </c>
      <c r="M44" s="41">
        <f t="shared" si="5"/>
        <v>512400.22649099998</v>
      </c>
    </row>
    <row r="45" spans="1:13" x14ac:dyDescent="0.2">
      <c r="A45" s="34" t="s">
        <v>17</v>
      </c>
      <c r="B45" s="32" t="s">
        <v>11</v>
      </c>
      <c r="C45" s="44"/>
      <c r="D45" s="44"/>
      <c r="E45" s="44"/>
      <c r="F45" s="33">
        <v>5343476.7</v>
      </c>
      <c r="G45" s="33">
        <v>26594165.099999998</v>
      </c>
      <c r="H45" s="33">
        <v>31937641.799999997</v>
      </c>
      <c r="I45" s="46">
        <v>3.0370000000000002E-3</v>
      </c>
      <c r="K45" s="46">
        <v>2.9729999999999999E-3</v>
      </c>
      <c r="M45" s="45">
        <f t="shared" si="5"/>
        <v>95292.591580199994</v>
      </c>
    </row>
    <row r="46" spans="1:13" x14ac:dyDescent="0.2">
      <c r="A46" s="34" t="s">
        <v>67</v>
      </c>
      <c r="F46" s="32">
        <f>SUM(F43:F45)</f>
        <v>36999480.800000004</v>
      </c>
      <c r="G46" s="32">
        <f t="shared" ref="G46:H46" si="6">SUM(G43:G45)</f>
        <v>185360810.69999999</v>
      </c>
      <c r="H46" s="32">
        <f t="shared" si="6"/>
        <v>222360291.5</v>
      </c>
      <c r="M46" s="47">
        <f>SUM(M43:M45)</f>
        <v>1216417.0667226</v>
      </c>
    </row>
    <row r="47" spans="1:13" x14ac:dyDescent="0.2"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 x14ac:dyDescent="0.2">
      <c r="A48" s="34" t="s">
        <v>18</v>
      </c>
      <c r="C48" s="43">
        <f>C46+C41+C34+C29+C23+C17</f>
        <v>8794349.6000000015</v>
      </c>
      <c r="D48" s="43">
        <f t="shared" ref="D48:H48" si="7">D46+D41+D34+D29+D23+D17</f>
        <v>43008883.299999997</v>
      </c>
      <c r="E48" s="43">
        <f t="shared" si="7"/>
        <v>51803232.899999999</v>
      </c>
      <c r="F48" s="43">
        <f t="shared" si="7"/>
        <v>2081228516.8</v>
      </c>
      <c r="G48" s="43">
        <f t="shared" si="7"/>
        <v>10574636587.700001</v>
      </c>
      <c r="H48" s="43">
        <f t="shared" si="7"/>
        <v>12655865104.5</v>
      </c>
      <c r="M48" s="41">
        <f t="shared" ref="M48" si="8">M46+M41+M34+M29+M23+M17</f>
        <v>75746985.965345606</v>
      </c>
    </row>
    <row r="51" spans="1:6" x14ac:dyDescent="0.2">
      <c r="A51" s="34" t="s">
        <v>77</v>
      </c>
    </row>
    <row r="53" spans="1:6" x14ac:dyDescent="0.2">
      <c r="A53" s="34" t="s">
        <v>11</v>
      </c>
      <c r="C53" s="49">
        <v>0.39285300000000001</v>
      </c>
      <c r="D53" s="35"/>
      <c r="E53" s="35"/>
      <c r="F53" s="35"/>
    </row>
    <row r="54" spans="1:6" x14ac:dyDescent="0.2">
      <c r="A54" s="34" t="s">
        <v>56</v>
      </c>
      <c r="C54" s="49">
        <v>0.22631999999999999</v>
      </c>
      <c r="D54" s="35"/>
      <c r="E54" s="35"/>
      <c r="F54" s="35"/>
    </row>
    <row r="55" spans="1:6" x14ac:dyDescent="0.2">
      <c r="A55" s="34" t="s">
        <v>74</v>
      </c>
      <c r="C55" s="49">
        <v>2.7123999999999999E-2</v>
      </c>
      <c r="D55" s="35"/>
      <c r="E55" s="35"/>
      <c r="F55" s="35"/>
    </row>
    <row r="56" spans="1:6" x14ac:dyDescent="0.2">
      <c r="A56" s="34" t="s">
        <v>57</v>
      </c>
      <c r="C56" s="49">
        <v>0.29428799999999999</v>
      </c>
      <c r="D56" s="35"/>
      <c r="E56" s="35"/>
      <c r="F56" s="35"/>
    </row>
    <row r="57" spans="1:6" x14ac:dyDescent="0.2">
      <c r="A57" s="34" t="s">
        <v>63</v>
      </c>
      <c r="C57" s="49">
        <v>2.2117999999999999E-2</v>
      </c>
      <c r="D57" s="35"/>
      <c r="E57" s="35"/>
      <c r="F57" s="35"/>
    </row>
    <row r="58" spans="1:6" x14ac:dyDescent="0.2">
      <c r="A58" s="34" t="s">
        <v>60</v>
      </c>
      <c r="C58" s="49">
        <v>1.4922E-2</v>
      </c>
      <c r="D58" s="35"/>
      <c r="E58" s="35"/>
      <c r="F58" s="35"/>
    </row>
    <row r="59" spans="1:6" x14ac:dyDescent="0.2">
      <c r="A59" s="51" t="s">
        <v>75</v>
      </c>
      <c r="B59" s="48"/>
      <c r="C59" s="49">
        <v>1.9841999999999999E-2</v>
      </c>
      <c r="D59" s="35"/>
      <c r="E59" s="35"/>
      <c r="F59" s="35"/>
    </row>
    <row r="60" spans="1:6" x14ac:dyDescent="0.2">
      <c r="A60" s="34" t="s">
        <v>76</v>
      </c>
      <c r="C60" s="50">
        <v>2.5330000000000001E-3</v>
      </c>
      <c r="D60" s="35"/>
      <c r="E60" s="35"/>
      <c r="F60" s="35"/>
    </row>
    <row r="61" spans="1:6" x14ac:dyDescent="0.2">
      <c r="A61" s="48" t="s">
        <v>22</v>
      </c>
      <c r="C61" s="49">
        <f>SUM(C53:C60)</f>
        <v>1</v>
      </c>
      <c r="D61" s="35"/>
      <c r="E61" s="35"/>
      <c r="F61" s="35"/>
    </row>
  </sheetData>
  <mergeCells count="3">
    <mergeCell ref="C10:M10"/>
    <mergeCell ref="C12:G12"/>
    <mergeCell ref="C13:G13"/>
  </mergeCells>
  <pageMargins left="0.7" right="0.7" top="0.75" bottom="0.75" header="0.3" footer="0.3"/>
  <pageSetup scale="53" orientation="landscape" r:id="rId1"/>
  <headerFooter>
    <oddFooter>&amp;LSponsored by: Jennifer L. Jackson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DA5B1E78-3F7D-4CDB-9FB2-5F36D1854D4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AMS</vt:lpstr>
      <vt:lpstr>DCRF</vt:lpstr>
      <vt:lpstr>EECR</vt:lpstr>
      <vt:lpstr>NDC</vt:lpstr>
      <vt:lpstr>TCRF</vt:lpstr>
      <vt:lpstr>TC2</vt:lpstr>
      <vt:lpstr>TC3</vt:lpstr>
      <vt:lpstr>'TC2'!Print_Area</vt:lpstr>
      <vt:lpstr>'TC3'!Print_Area</vt:lpstr>
      <vt:lpstr>AMS!Print_Titles</vt:lpstr>
      <vt:lpstr>DCRF!Print_Titles</vt:lpstr>
      <vt:lpstr>EECR!Print_Titles</vt:lpstr>
      <vt:lpstr>TCRF!Print_Titles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d897737</dc:creator>
  <cp:lastModifiedBy>s254353</cp:lastModifiedBy>
  <cp:lastPrinted>2019-04-27T16:30:22Z</cp:lastPrinted>
  <dcterms:created xsi:type="dcterms:W3CDTF">2019-04-25T19:55:46Z</dcterms:created>
  <dcterms:modified xsi:type="dcterms:W3CDTF">2019-04-27T16:30:29Z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f1dc8086-ef88-432d-b9df-738b8bb542b6</vt:lpwstr>
  </property>
  <property fmtid="{D5CDD505-2E9C-101B-9397-08002B2CF9AE}" pid="3" name="bjDocumentSecurityLabel">
    <vt:lpwstr>Uncategorized</vt:lpwstr>
  </property>
  <property fmtid="{D5CDD505-2E9C-101B-9397-08002B2CF9AE}" pid="4" name="bjSaver">
    <vt:lpwstr>s0CFOxPpaCrub5jyFhmO+1P/cuv0nSox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