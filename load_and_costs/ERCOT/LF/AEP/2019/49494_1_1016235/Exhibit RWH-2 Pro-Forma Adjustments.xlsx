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RegCaseMgmt\2019 AEPTX RATE CASE\TESTIMONY\HAMLETT\"/>
    </mc:Choice>
  </mc:AlternateContent>
  <bookViews>
    <workbookView xWindow="0" yWindow="0" windowWidth="28800" windowHeight="12300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Sheet1!$A$7:$K$52</definedName>
    <definedName name="_xlnm.Print_Titles" localSheetId="0">Sheet1!$1:$6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1" i="1" l="1"/>
  <c r="B51" i="1" l="1"/>
  <c r="F51" i="1" l="1"/>
  <c r="E51" i="1"/>
  <c r="H52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9" i="1"/>
  <c r="H10" i="1"/>
  <c r="H11" i="1"/>
  <c r="H12" i="1"/>
  <c r="H13" i="1"/>
  <c r="H14" i="1"/>
  <c r="H15" i="1"/>
  <c r="H16" i="1"/>
  <c r="H17" i="1"/>
  <c r="H18" i="1"/>
  <c r="H19" i="1"/>
  <c r="H20" i="1"/>
  <c r="H8" i="1"/>
  <c r="H51" i="1" l="1"/>
  <c r="F48" i="1"/>
  <c r="E48" i="1"/>
  <c r="F32" i="1"/>
  <c r="E32" i="1"/>
  <c r="F52" i="1" l="1"/>
  <c r="F50" i="1"/>
  <c r="E52" i="1"/>
  <c r="E50" i="1"/>
  <c r="C48" i="1"/>
  <c r="B48" i="1"/>
  <c r="I48" i="1" l="1"/>
  <c r="I50" i="1"/>
  <c r="I51" i="1"/>
  <c r="J51" i="1" s="1"/>
  <c r="I52" i="1"/>
  <c r="G48" i="1"/>
  <c r="G50" i="1"/>
  <c r="J50" i="1" s="1"/>
  <c r="G51" i="1"/>
  <c r="G52" i="1"/>
  <c r="D48" i="1"/>
  <c r="D49" i="1"/>
  <c r="D50" i="1"/>
  <c r="D51" i="1"/>
  <c r="D52" i="1"/>
  <c r="C52" i="1"/>
  <c r="C50" i="1"/>
  <c r="C49" i="1"/>
  <c r="B52" i="1"/>
  <c r="B50" i="1"/>
  <c r="B49" i="1"/>
  <c r="F45" i="1"/>
  <c r="E45" i="1"/>
  <c r="F44" i="1"/>
  <c r="I44" i="1" s="1"/>
  <c r="E44" i="1"/>
  <c r="B47" i="1"/>
  <c r="C46" i="1"/>
  <c r="C45" i="1"/>
  <c r="C44" i="1"/>
  <c r="B46" i="1"/>
  <c r="D46" i="1" s="1"/>
  <c r="B45" i="1"/>
  <c r="B44" i="1"/>
  <c r="D44" i="1" s="1"/>
  <c r="G26" i="1"/>
  <c r="F26" i="1"/>
  <c r="F43" i="1"/>
  <c r="E43" i="1"/>
  <c r="F36" i="1"/>
  <c r="E36" i="1"/>
  <c r="F42" i="1"/>
  <c r="I42" i="1" s="1"/>
  <c r="E42" i="1"/>
  <c r="F41" i="1"/>
  <c r="E41" i="1"/>
  <c r="F40" i="1"/>
  <c r="E40" i="1"/>
  <c r="F39" i="1"/>
  <c r="E39" i="1"/>
  <c r="F38" i="1"/>
  <c r="E38" i="1"/>
  <c r="F37" i="1"/>
  <c r="G37" i="1" s="1"/>
  <c r="E37" i="1"/>
  <c r="F33" i="1"/>
  <c r="E33" i="1"/>
  <c r="F30" i="1"/>
  <c r="E30" i="1"/>
  <c r="F29" i="1"/>
  <c r="E29" i="1"/>
  <c r="F27" i="1"/>
  <c r="E27" i="1"/>
  <c r="E26" i="1"/>
  <c r="F25" i="1"/>
  <c r="I29" i="1"/>
  <c r="G43" i="1"/>
  <c r="G40" i="1"/>
  <c r="I39" i="1"/>
  <c r="I38" i="1"/>
  <c r="E25" i="1"/>
  <c r="F23" i="1"/>
  <c r="E23" i="1"/>
  <c r="D45" i="1"/>
  <c r="C23" i="1"/>
  <c r="C43" i="1"/>
  <c r="B43" i="1"/>
  <c r="C36" i="1"/>
  <c r="B36" i="1"/>
  <c r="C42" i="1"/>
  <c r="B42" i="1"/>
  <c r="C41" i="1"/>
  <c r="B41" i="1"/>
  <c r="C40" i="1"/>
  <c r="B40" i="1"/>
  <c r="D40" i="1" s="1"/>
  <c r="C39" i="1"/>
  <c r="B39" i="1"/>
  <c r="C38" i="1"/>
  <c r="B38" i="1"/>
  <c r="C37" i="1"/>
  <c r="B37" i="1"/>
  <c r="C30" i="1"/>
  <c r="B30" i="1"/>
  <c r="C33" i="1"/>
  <c r="D33" i="1" s="1"/>
  <c r="B33" i="1"/>
  <c r="C27" i="1"/>
  <c r="I27" i="1" s="1"/>
  <c r="B27" i="1"/>
  <c r="C26" i="1"/>
  <c r="B26" i="1"/>
  <c r="C25" i="1"/>
  <c r="I25" i="1" s="1"/>
  <c r="B25" i="1"/>
  <c r="B24" i="1"/>
  <c r="B23" i="1"/>
  <c r="F35" i="1"/>
  <c r="E35" i="1"/>
  <c r="F34" i="1"/>
  <c r="F31" i="1"/>
  <c r="F28" i="1"/>
  <c r="F24" i="1"/>
  <c r="E34" i="1"/>
  <c r="G34" i="1" s="1"/>
  <c r="G32" i="1"/>
  <c r="E31" i="1"/>
  <c r="E28" i="1"/>
  <c r="E24" i="1"/>
  <c r="I35" i="1"/>
  <c r="I36" i="1"/>
  <c r="I40" i="1"/>
  <c r="I45" i="1"/>
  <c r="I46" i="1"/>
  <c r="G46" i="1"/>
  <c r="D35" i="1"/>
  <c r="D37" i="1"/>
  <c r="D38" i="1"/>
  <c r="D42" i="1"/>
  <c r="C35" i="1"/>
  <c r="C34" i="1"/>
  <c r="C32" i="1"/>
  <c r="C31" i="1"/>
  <c r="C29" i="1"/>
  <c r="C28" i="1"/>
  <c r="C24" i="1"/>
  <c r="I24" i="1" s="1"/>
  <c r="B35" i="1"/>
  <c r="B34" i="1"/>
  <c r="B32" i="1"/>
  <c r="B31" i="1"/>
  <c r="B29" i="1"/>
  <c r="B28" i="1"/>
  <c r="C20" i="1"/>
  <c r="I20" i="1" s="1"/>
  <c r="C19" i="1"/>
  <c r="B19" i="1"/>
  <c r="F19" i="1"/>
  <c r="E19" i="1"/>
  <c r="F18" i="1"/>
  <c r="F17" i="1"/>
  <c r="G17" i="1" s="1"/>
  <c r="E18" i="1"/>
  <c r="G18" i="1" s="1"/>
  <c r="E17" i="1"/>
  <c r="F16" i="1"/>
  <c r="E16" i="1"/>
  <c r="C18" i="1"/>
  <c r="B18" i="1"/>
  <c r="C17" i="1"/>
  <c r="B17" i="1"/>
  <c r="C16" i="1"/>
  <c r="I16" i="1" s="1"/>
  <c r="B16" i="1"/>
  <c r="C14" i="1"/>
  <c r="F15" i="1"/>
  <c r="G15" i="1" s="1"/>
  <c r="E15" i="1"/>
  <c r="C15" i="1"/>
  <c r="B15" i="1"/>
  <c r="B14" i="1"/>
  <c r="F14" i="1"/>
  <c r="G14" i="1" s="1"/>
  <c r="E14" i="1"/>
  <c r="C13" i="1"/>
  <c r="D13" i="1" s="1"/>
  <c r="C12" i="1"/>
  <c r="B12" i="1"/>
  <c r="C11" i="1"/>
  <c r="D11" i="1" s="1"/>
  <c r="B10" i="1"/>
  <c r="F12" i="1"/>
  <c r="G12" i="1" s="1"/>
  <c r="E12" i="1"/>
  <c r="E10" i="1"/>
  <c r="E8" i="1"/>
  <c r="G8" i="1" s="1"/>
  <c r="C9" i="1"/>
  <c r="I9" i="1" s="1"/>
  <c r="B8" i="1"/>
  <c r="D8" i="1" s="1"/>
  <c r="G9" i="1"/>
  <c r="G10" i="1"/>
  <c r="J10" i="1" s="1"/>
  <c r="G11" i="1"/>
  <c r="G13" i="1"/>
  <c r="G16" i="1"/>
  <c r="G20" i="1"/>
  <c r="G23" i="1"/>
  <c r="G24" i="1"/>
  <c r="G25" i="1"/>
  <c r="G28" i="1"/>
  <c r="G30" i="1"/>
  <c r="G31" i="1"/>
  <c r="I10" i="1"/>
  <c r="I18" i="1"/>
  <c r="I28" i="1"/>
  <c r="I31" i="1"/>
  <c r="I32" i="1"/>
  <c r="I34" i="1"/>
  <c r="I8" i="1"/>
  <c r="D10" i="1"/>
  <c r="D17" i="1"/>
  <c r="D18" i="1"/>
  <c r="D26" i="1"/>
  <c r="D28" i="1"/>
  <c r="D29" i="1"/>
  <c r="D30" i="1"/>
  <c r="D31" i="1"/>
  <c r="D32" i="1"/>
  <c r="D34" i="1"/>
  <c r="J48" i="1" l="1"/>
  <c r="J52" i="1"/>
  <c r="G45" i="1"/>
  <c r="G44" i="1"/>
  <c r="J44" i="1" s="1"/>
  <c r="J46" i="1"/>
  <c r="J45" i="1"/>
  <c r="I37" i="1"/>
  <c r="I30" i="1"/>
  <c r="J30" i="1" s="1"/>
  <c r="G33" i="1"/>
  <c r="I43" i="1"/>
  <c r="G36" i="1"/>
  <c r="J36" i="1" s="1"/>
  <c r="G42" i="1"/>
  <c r="J42" i="1" s="1"/>
  <c r="I41" i="1"/>
  <c r="G41" i="1"/>
  <c r="J41" i="1" s="1"/>
  <c r="G39" i="1"/>
  <c r="J39" i="1" s="1"/>
  <c r="G38" i="1"/>
  <c r="J38" i="1" s="1"/>
  <c r="G29" i="1"/>
  <c r="J29" i="1" s="1"/>
  <c r="G27" i="1"/>
  <c r="J27" i="1" s="1"/>
  <c r="I23" i="1"/>
  <c r="D43" i="1"/>
  <c r="D36" i="1"/>
  <c r="D41" i="1"/>
  <c r="J40" i="1"/>
  <c r="D39" i="1"/>
  <c r="J37" i="1"/>
  <c r="I33" i="1"/>
  <c r="D27" i="1"/>
  <c r="I26" i="1"/>
  <c r="G35" i="1"/>
  <c r="J35" i="1" s="1"/>
  <c r="J25" i="1"/>
  <c r="J34" i="1"/>
  <c r="J32" i="1"/>
  <c r="J31" i="1"/>
  <c r="J28" i="1"/>
  <c r="J24" i="1"/>
  <c r="D24" i="1"/>
  <c r="D23" i="1"/>
  <c r="J23" i="1"/>
  <c r="D25" i="1"/>
  <c r="D20" i="1"/>
  <c r="J20" i="1"/>
  <c r="D19" i="1"/>
  <c r="I19" i="1"/>
  <c r="G19" i="1"/>
  <c r="I17" i="1"/>
  <c r="J18" i="1"/>
  <c r="J17" i="1"/>
  <c r="D16" i="1"/>
  <c r="J16" i="1"/>
  <c r="I15" i="1"/>
  <c r="D15" i="1"/>
  <c r="J15" i="1"/>
  <c r="I13" i="1"/>
  <c r="J13" i="1" s="1"/>
  <c r="D12" i="1"/>
  <c r="I11" i="1"/>
  <c r="J11" i="1" s="1"/>
  <c r="I12" i="1"/>
  <c r="J12" i="1" s="1"/>
  <c r="J9" i="1"/>
  <c r="D9" i="1"/>
  <c r="J8" i="1"/>
  <c r="J43" i="1" l="1"/>
  <c r="J26" i="1"/>
  <c r="J33" i="1"/>
  <c r="J19" i="1"/>
  <c r="I14" i="1" l="1"/>
  <c r="J14" i="1" s="1"/>
  <c r="D14" i="1"/>
  <c r="C47" i="1" l="1"/>
  <c r="D47" i="1" s="1"/>
  <c r="E47" i="1"/>
  <c r="G47" i="1" s="1"/>
  <c r="J47" i="1" s="1"/>
  <c r="F47" i="1"/>
  <c r="I47" i="1"/>
  <c r="E49" i="1" l="1"/>
  <c r="G49" i="1" s="1"/>
  <c r="J49" i="1" s="1"/>
  <c r="F49" i="1"/>
  <c r="I49" i="1"/>
</calcChain>
</file>

<file path=xl/sharedStrings.xml><?xml version="1.0" encoding="utf-8"?>
<sst xmlns="http://schemas.openxmlformats.org/spreadsheetml/2006/main" count="105" uniqueCount="64">
  <si>
    <t>AEP Texas</t>
  </si>
  <si>
    <t>Pro-Forma Adjustments</t>
  </si>
  <si>
    <t>Test Year Ending December 31, 2018</t>
  </si>
  <si>
    <t>Description</t>
  </si>
  <si>
    <t>Transmission</t>
  </si>
  <si>
    <t>Distribution</t>
  </si>
  <si>
    <t>Total</t>
  </si>
  <si>
    <t>Sponsor</t>
  </si>
  <si>
    <t>Central Division</t>
  </si>
  <si>
    <t>North Division</t>
  </si>
  <si>
    <t>AEP Texas Total</t>
  </si>
  <si>
    <t>Rate Base</t>
  </si>
  <si>
    <t>Remaining Interim TCOS Plant in Service</t>
  </si>
  <si>
    <t>Hamlett</t>
  </si>
  <si>
    <t>Remaining Interim TCOS Accum. Depr.</t>
  </si>
  <si>
    <t>ADFIT</t>
  </si>
  <si>
    <t>Kelly</t>
  </si>
  <si>
    <t>Remove Hurricane Harvey Plant in Service</t>
  </si>
  <si>
    <t>Remove Hurricane Harvey Accum. Depr.</t>
  </si>
  <si>
    <t>Allocate RWIP to Plant Accounts</t>
  </si>
  <si>
    <t>Remove Plant Held for Future Use</t>
  </si>
  <si>
    <t>Prepayment Misc. (13 Month Average)</t>
  </si>
  <si>
    <t>Materials &amp; Supplies (13 Month Average)</t>
  </si>
  <si>
    <t>Prepayment Pension (Remove Capital)</t>
  </si>
  <si>
    <t>Prepayment Med-D (Remove Capital)</t>
  </si>
  <si>
    <t>Remove Unprotected Excess ADFIT</t>
  </si>
  <si>
    <t>Remove Catastrophe Reserve Hurricane Harvey</t>
  </si>
  <si>
    <t>Expenses</t>
  </si>
  <si>
    <t>Annualize Payroll</t>
  </si>
  <si>
    <t>Remove TCOS</t>
  </si>
  <si>
    <t>Adjust AEPSC</t>
  </si>
  <si>
    <t>Adjust Annual Incentive to Target</t>
  </si>
  <si>
    <t>Adjust Long-Term Incentive to Target</t>
  </si>
  <si>
    <t>Remove Energy Efficiency</t>
  </si>
  <si>
    <t>Remove Non-Recurring</t>
  </si>
  <si>
    <t>Reclass O&amp;M Between Functions</t>
  </si>
  <si>
    <t>Adjust Bad Debt Expense</t>
  </si>
  <si>
    <t>Eliminate Sales &amp; Reclass Rental</t>
  </si>
  <si>
    <t>Remove Misc. Employee Expenses</t>
  </si>
  <si>
    <t>Adjust Distribution O&amp;M</t>
  </si>
  <si>
    <t>Include Test Year Capitalized Vegetation Management</t>
  </si>
  <si>
    <t>Hamlett, Carlin</t>
  </si>
  <si>
    <t>Frantz</t>
  </si>
  <si>
    <t>Coad</t>
  </si>
  <si>
    <t>Hamlett, Hughes</t>
  </si>
  <si>
    <t>Reclassify Bank Credit Line Fees</t>
  </si>
  <si>
    <t xml:space="preserve">Increase Catastrophic Loss </t>
  </si>
  <si>
    <t>Adjust Pension</t>
  </si>
  <si>
    <t>Adjust OPEBs</t>
  </si>
  <si>
    <t>Adjust SFAS 112</t>
  </si>
  <si>
    <t>Adjust Group Insurance Expense</t>
  </si>
  <si>
    <t>Adjust Regulatory Expense</t>
  </si>
  <si>
    <t>Annualize Intangible Plant Amortization</t>
  </si>
  <si>
    <t>Remove Securitization/Restructuring Items</t>
  </si>
  <si>
    <t>Depreciation Expense</t>
  </si>
  <si>
    <t>Remove AMI Related Items</t>
  </si>
  <si>
    <t>Payroll Taxes</t>
  </si>
  <si>
    <t>Ad Valorem Taxes</t>
  </si>
  <si>
    <t>Gross Margin Tax</t>
  </si>
  <si>
    <t>Sales Tax</t>
  </si>
  <si>
    <t>Wilson, Hamlett</t>
  </si>
  <si>
    <t>Cash, Hamlett</t>
  </si>
  <si>
    <t>Reclassify Dues, Advertising &amp; Contributions</t>
  </si>
  <si>
    <t>Municipal/State Franchise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</si>
</sst>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1" applyNumberFormat="1" applyFont="1"/>
    <xf numFmtId="0" fontId="0" fillId="0" borderId="0" xfId="0" applyBorder="1"/>
    <xf numFmtId="0" fontId="2" fillId="0" borderId="2" xfId="0" applyFont="1" applyBorder="1" applyAlignment="1">
      <alignment horizontal="center"/>
    </xf>
    <xf numFmtId="164" fontId="0" fillId="0" borderId="0" xfId="1" applyNumberFormat="1" applyFont="1" applyFill="1"/>
    <xf numFmtId="38" fontId="0" fillId="0" borderId="0" xfId="1" applyNumberFormat="1" applyFont="1" applyFill="1"/>
    <xf numFmtId="0" fontId="0" fillId="0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tso376\AppData\Local\Microsoft\Windows\INetCache\Content.Outlook\4MGN4K64\AEPTexas%20Central%20Div%20Filing%20Schedules%20TYE%2012-31-18%20(00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tso376\AppData\Local\Microsoft\Windows\INetCache\Content.Outlook\4MGN4K64\AEP%20Texas%20North%20Div%20Filing%20Schedules%20TYE%2012-31-18%20(004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tso376\AppData\Local\Microsoft\Windows\INetCache\Content.Outlook\4MGN4K64\AEP%20Texas%20North%20Div%20Filing%20Schedules%20TYE%2012-31-18%20(006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VAD\DRA\AEP%20Texas%20Base%20Case%202018\AEPTexas%20Central%20Div%20WorkPaper%20Schedules%20TYE%2012-31-18%20%20RAND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tso376\AppData\Local\Microsoft\Windows\INetCache\Content.Outlook\4MGN4K64\AEPTexas%20Central%20Div%20Filing%20Schedules%20TYE%2012-31-18%20(0000000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tso376\AppData\Local\Microsoft\Windows\INetCache\Content.Outlook\4MGN4K64\AEPTexas%20Central%20Div%20Filing%20Schedules%20TYE%2012-31-18%20(00000005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tso376\AppData\Local\Microsoft\Windows\INetCache\Content.Outlook\4MGN4K64\AEP%20Texas%20North%20Div%20Filing%20Schedules%20TYE%2012-31-18%20(0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-DELETE"/>
      <sheetName val="Macros"/>
      <sheetName val="I-A"/>
      <sheetName val="I-A-1"/>
      <sheetName val="II-B"/>
      <sheetName val="Attachment II-B"/>
      <sheetName val="II-B-1 Plant"/>
      <sheetName val="Attachment II-B-1 Plant"/>
      <sheetName val="II-B-2 General Plant"/>
      <sheetName val="II-B-3 Comm. Equip."/>
      <sheetName val="II-B-4 CWIP"/>
      <sheetName val="II-B-5 Depreciation"/>
      <sheetName val="Attachment II-B-5 Depreciation"/>
      <sheetName val="II-B-6 Plant Future"/>
      <sheetName val="II-B-7 Accum. Provisions"/>
      <sheetName val="II-B-8 M&amp;S"/>
      <sheetName val="II-B-9 CWCapital"/>
      <sheetName val="II-B-10 Prepayments"/>
      <sheetName val="II-B-11 Rate Base Other"/>
      <sheetName val="II-B-12 Reg. Assets"/>
      <sheetName val="II-B-13 Gain on Disposition"/>
      <sheetName val="II-C-1 ROR"/>
      <sheetName val="II-C-1.1 ROR Method"/>
      <sheetName val="II-C-2.1"/>
      <sheetName val="Attachment II-C-2.1"/>
      <sheetName val="II-C-2.2"/>
      <sheetName val="II-C-2.2a"/>
      <sheetName val="II-C-2.3"/>
      <sheetName val="II-C-2.3a"/>
      <sheetName val="II-C-2.4"/>
      <sheetName val="II-C-2.4a"/>
      <sheetName val="II-C-2.5"/>
      <sheetName val="II-C-2-5"/>
      <sheetName val="II-C-2.5.1"/>
      <sheetName val="II-C-2.6"/>
      <sheetName val="Attachment II-C-2.6 "/>
      <sheetName val="II-C-2.7"/>
      <sheetName val="II-C-2.8 "/>
      <sheetName val="II-C-2.9 "/>
      <sheetName val="II-C-2.10 "/>
      <sheetName val="II-C-3"/>
      <sheetName val="II-D-1 O&amp;M"/>
      <sheetName val="II-D-1 O&amp;M part 2"/>
      <sheetName val="Attachment II-D-1 O&amp;M"/>
      <sheetName val="II-D-1.1 Mthly O&amp;M (all)"/>
      <sheetName val="II-D-1.1 Mthly O&amp;M (Tran)"/>
      <sheetName val="II-D-1.1Mthly O&amp;M (Dist)"/>
      <sheetName val="II-D-1.1 Mthly O&amp;M (Meter)"/>
      <sheetName val="II-D-1.1 Mthly O&amp;M (TDCS)"/>
      <sheetName val="II-D-2 A&amp;G"/>
      <sheetName val="II-D-2 A&amp;G part 2"/>
      <sheetName val="Attachment II D-2 A&amp;G"/>
      <sheetName val="II-D-2.1 Mthly A&amp;G (all)"/>
      <sheetName val="II-D-2.1 Mthly A&amp;G (Tran)"/>
      <sheetName val="II-D-2.1 Mthly A&amp;G (Dist)"/>
      <sheetName val="II-D-2.1 Mthly A&amp;G (Meter)"/>
      <sheetName val="II-D-2.1 Mthly A&amp;G (TDCS)"/>
      <sheetName val="II D-2.2 Bad Debt"/>
      <sheetName val="II D-2.2 Bad Debt (Part 2)"/>
      <sheetName val="II D-2.2 Bad Debt (Part 3)"/>
      <sheetName val="II-D-2.3 Adv.Contr.&amp;Dues"/>
      <sheetName val="II-D-2.4 Advertising"/>
      <sheetName val="II-D-2.4a Advertising Capital"/>
      <sheetName val="II-D-2.5Contributions&amp;Donations"/>
      <sheetName val="WP II-D-2.5-1 Educational "/>
      <sheetName val="WP II-D-2.5-2 Com Service"/>
      <sheetName val="WP II-D-2.5-3 Econ Devel"/>
      <sheetName val="WP II-D-2.5-4 Industry"/>
      <sheetName val="II-D-2.6 Dues Summary"/>
      <sheetName val="II-D-2.6a Industry"/>
      <sheetName val="II-D-2.6b Business Economic"/>
      <sheetName val="II-D-2.6c Professional"/>
      <sheetName val="II-D-2.6d Educational"/>
      <sheetName val="II-D-2.6e Community Serv"/>
      <sheetName val="II-D-2.6f Other"/>
      <sheetName val="II-D-2.6g Political"/>
      <sheetName val="II-D-2.7 Outside Services"/>
      <sheetName val="II-D-2.7-1 Outside Services"/>
      <sheetName val="II-D-2.7-2 Outside Services"/>
      <sheetName val="II-D-2.7-3 Outside Services"/>
      <sheetName val="II-D-2.8 Factoring"/>
      <sheetName val="II-D-2-9 Rents and Leases"/>
      <sheetName val="II-D-3 PAYROLL"/>
      <sheetName val="II-D-3.1 Payroll Narrative"/>
      <sheetName val="II-D-3.2 Reg and Overtime"/>
      <sheetName val="II-D-3.3 Union"/>
      <sheetName val="II-D-3.4 Exp vs Capital"/>
      <sheetName val="II-D-3.5 No. of Employees"/>
      <sheetName val="II-D-3.6 Non Standard Pay"/>
      <sheetName val="II-D-3.8 Pension"/>
      <sheetName val="II-D-3.9 OPEB"/>
      <sheetName val="II-D-4 Exclusions"/>
      <sheetName val="II-E-1 Dep. Exp."/>
      <sheetName val="Attachment II-E-1-1"/>
      <sheetName val="Attachment II-E-1-2"/>
      <sheetName val="Attachment II-E-1.3 Depr Rates"/>
      <sheetName val="II-E-2 Taxes Other"/>
      <sheetName val="Attachment II-E-2"/>
      <sheetName val="II-E-2.1 Ad valorem"/>
      <sheetName val="II-E-3 FIT"/>
      <sheetName val="II-E-3-Attach"/>
      <sheetName val="II-E-3.1"/>
      <sheetName val="Attachment II-E-3.1"/>
      <sheetName val="Attachment II-E-3.1.1"/>
      <sheetName val="II-E-3.2"/>
      <sheetName val="II-E-3.3"/>
      <sheetName val="II-E-3.4"/>
      <sheetName val="II-F Alloc_Factor"/>
      <sheetName val="II-F Alloc_Data"/>
      <sheetName val="II-E-3.5 ADFIT"/>
      <sheetName val="II-E-3.6"/>
      <sheetName val="II-E-3.7"/>
      <sheetName val="II-E-3.8"/>
      <sheetName val="II-E-3.9 ITC"/>
      <sheetName val="II-E-3.10"/>
      <sheetName val="II-E-3.11"/>
      <sheetName val="II-E-3.12 ITC Utilized"/>
      <sheetName val="II-E-3.13 ITC Elections"/>
      <sheetName val="II-E-3.14 Accum Def ITC"/>
      <sheetName val="II-E-3.15"/>
      <sheetName val="II-E-3.16"/>
      <sheetName val="II-E-3.17"/>
      <sheetName val="II-E-3.18"/>
      <sheetName val="II-E-3.19"/>
      <sheetName val="II-E-3.20"/>
      <sheetName val="II-E-3.21"/>
      <sheetName val="II-E-3.22"/>
      <sheetName val="II-E-3.23 Pg 1"/>
      <sheetName val="II-E-3.23 Pg 2"/>
      <sheetName val="II-E-3.23 Pg 3"/>
      <sheetName val="II-E-3.24"/>
      <sheetName val="II-E-4 Other Expenses"/>
      <sheetName val="II-E-4.1"/>
      <sheetName val="II-E-4.2"/>
      <sheetName val="II-E-4.3"/>
      <sheetName val="II-E-4.4 Reg Comm Exp"/>
      <sheetName val="II E-4.5 Rate Case Expense"/>
      <sheetName val="II-E-5 Other Revenues"/>
      <sheetName val="II-G"/>
      <sheetName val="II-I-1"/>
      <sheetName val="III-A Wholesale TCOS"/>
      <sheetName val="III-B"/>
      <sheetName val="III-E-5"/>
      <sheetName val="IV-J-1-Revenue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9">
          <cell r="E49">
            <v>-3164358.84</v>
          </cell>
        </row>
        <row r="85">
          <cell r="F85">
            <v>-86195754.83365804</v>
          </cell>
        </row>
      </sheetData>
      <sheetData sheetId="8"/>
      <sheetData sheetId="9">
        <row r="14">
          <cell r="G14">
            <v>-1925527.0673419912</v>
          </cell>
        </row>
      </sheetData>
      <sheetData sheetId="10"/>
      <sheetData sheetId="11"/>
      <sheetData sheetId="12">
        <row r="60">
          <cell r="E60">
            <v>-55702</v>
          </cell>
          <cell r="G60">
            <v>-5513499.5789999999</v>
          </cell>
        </row>
        <row r="106">
          <cell r="F106">
            <v>8784383</v>
          </cell>
          <cell r="G106">
            <v>-7762519.3269999987</v>
          </cell>
        </row>
      </sheetData>
      <sheetData sheetId="13">
        <row r="16">
          <cell r="G16">
            <v>-1809575.72</v>
          </cell>
        </row>
      </sheetData>
      <sheetData sheetId="14"/>
      <sheetData sheetId="15">
        <row r="34">
          <cell r="P34">
            <v>11764735.464000002</v>
          </cell>
          <cell r="Q34">
            <v>12187415.579384616</v>
          </cell>
        </row>
        <row r="40">
          <cell r="P40">
            <v>29731670.985000003</v>
          </cell>
          <cell r="Q40">
            <v>27143744.888846155</v>
          </cell>
        </row>
      </sheetData>
      <sheetData sheetId="16"/>
      <sheetData sheetId="17">
        <row r="48">
          <cell r="P48">
            <v>227989</v>
          </cell>
          <cell r="Q48">
            <v>192093.46153846153</v>
          </cell>
        </row>
        <row r="49">
          <cell r="P49">
            <v>0</v>
          </cell>
          <cell r="Q49">
            <v>302.30769230769232</v>
          </cell>
        </row>
        <row r="50">
          <cell r="P50">
            <v>405000</v>
          </cell>
          <cell r="Q50">
            <v>342692.30769230769</v>
          </cell>
        </row>
        <row r="51">
          <cell r="S51">
            <v>4508633.797728911</v>
          </cell>
        </row>
        <row r="53">
          <cell r="P53">
            <v>145586</v>
          </cell>
          <cell r="Q53">
            <v>146820.69230769231</v>
          </cell>
        </row>
        <row r="54">
          <cell r="P54">
            <v>148117</v>
          </cell>
          <cell r="Q54">
            <v>90198.692307692312</v>
          </cell>
        </row>
        <row r="55">
          <cell r="S55">
            <v>652929.45992435073</v>
          </cell>
        </row>
        <row r="62">
          <cell r="P62">
            <v>658074</v>
          </cell>
          <cell r="Q62">
            <v>618851.76923076925</v>
          </cell>
        </row>
        <row r="63">
          <cell r="P63">
            <v>0</v>
          </cell>
          <cell r="Q63">
            <v>2839.2307692307691</v>
          </cell>
        </row>
        <row r="64">
          <cell r="P64">
            <v>-175667</v>
          </cell>
          <cell r="Q64">
            <v>-204378.23076923078</v>
          </cell>
        </row>
        <row r="65">
          <cell r="S65">
            <v>54519469.669011265</v>
          </cell>
        </row>
        <row r="67">
          <cell r="P67">
            <v>1043255</v>
          </cell>
          <cell r="Q67">
            <v>1302565.7692307692</v>
          </cell>
        </row>
        <row r="68">
          <cell r="P68">
            <v>87643</v>
          </cell>
          <cell r="Q68">
            <v>76326.38461538461</v>
          </cell>
        </row>
        <row r="69">
          <cell r="S69">
            <v>10190720.602567812</v>
          </cell>
        </row>
      </sheetData>
      <sheetData sheetId="18"/>
      <sheetData sheetId="19">
        <row r="18">
          <cell r="G18">
            <v>-161633110.1153391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48">
          <cell r="F148">
            <v>126935.87022176971</v>
          </cell>
          <cell r="G148">
            <v>0</v>
          </cell>
          <cell r="I148">
            <v>-129855.54999999987</v>
          </cell>
          <cell r="J148">
            <v>-252693.55196252605</v>
          </cell>
          <cell r="K148">
            <v>-1493.1138046903568</v>
          </cell>
          <cell r="L148">
            <v>0</v>
          </cell>
          <cell r="M148">
            <v>405000</v>
          </cell>
          <cell r="N148">
            <v>1.1823431123048067E-11</v>
          </cell>
          <cell r="O148">
            <v>-2500</v>
          </cell>
          <cell r="P148">
            <v>-9585.23</v>
          </cell>
          <cell r="Q148">
            <v>-816.32999999999993</v>
          </cell>
          <cell r="R148">
            <v>0</v>
          </cell>
          <cell r="S148">
            <v>255107</v>
          </cell>
          <cell r="T148">
            <v>0</v>
          </cell>
        </row>
        <row r="201">
          <cell r="F201">
            <v>1353280.8402054331</v>
          </cell>
          <cell r="G201">
            <v>-266755984.88000003</v>
          </cell>
          <cell r="I201">
            <v>153784.8499999996</v>
          </cell>
          <cell r="J201">
            <v>-988249.52654378046</v>
          </cell>
          <cell r="K201">
            <v>-78405.478398948981</v>
          </cell>
          <cell r="L201">
            <v>-13760632.820000002</v>
          </cell>
          <cell r="M201">
            <v>-405000</v>
          </cell>
          <cell r="N201">
            <v>1.4551915228366852E-11</v>
          </cell>
          <cell r="O201">
            <v>-789340.03</v>
          </cell>
          <cell r="P201">
            <v>-232349.36000000002</v>
          </cell>
          <cell r="Q201">
            <v>-16642.920000000002</v>
          </cell>
          <cell r="R201">
            <v>4000000</v>
          </cell>
          <cell r="S201">
            <v>2726923</v>
          </cell>
          <cell r="T201">
            <v>-0.99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>
        <row r="46">
          <cell r="F46">
            <v>976.37606198745129</v>
          </cell>
          <cell r="G46">
            <v>-1527145.25</v>
          </cell>
          <cell r="H46">
            <v>-1535.0830750093094</v>
          </cell>
          <cell r="I46">
            <v>-7.8201492912356363</v>
          </cell>
          <cell r="J46">
            <v>0</v>
          </cell>
          <cell r="K46">
            <v>0</v>
          </cell>
          <cell r="L46">
            <v>98080.62</v>
          </cell>
          <cell r="M46">
            <v>1474260.5706810639</v>
          </cell>
          <cell r="N46">
            <v>44046.242970633699</v>
          </cell>
          <cell r="O46">
            <v>422426.42303478473</v>
          </cell>
          <cell r="P46">
            <v>337436.43343017722</v>
          </cell>
          <cell r="Q46">
            <v>-31866.836509000976</v>
          </cell>
          <cell r="R46">
            <v>303741.967159811</v>
          </cell>
          <cell r="S46">
            <v>-191990.69</v>
          </cell>
        </row>
        <row r="61">
          <cell r="F61">
            <v>172996.56486598364</v>
          </cell>
          <cell r="G61">
            <v>-2142622.8499999996</v>
          </cell>
          <cell r="H61">
            <v>-241115.94556680715</v>
          </cell>
          <cell r="I61">
            <v>-11455.954064769679</v>
          </cell>
          <cell r="J61">
            <v>-36970.35</v>
          </cell>
          <cell r="K61">
            <v>0</v>
          </cell>
          <cell r="L61">
            <v>121265.56999999999</v>
          </cell>
          <cell r="M61">
            <v>47899.971539232181</v>
          </cell>
          <cell r="N61">
            <v>-137932.71417956077</v>
          </cell>
          <cell r="O61">
            <v>3378809.0121353194</v>
          </cell>
          <cell r="P61">
            <v>3035350.1661428716</v>
          </cell>
          <cell r="Q61">
            <v>-913152.98271983676</v>
          </cell>
          <cell r="R61">
            <v>381086.73284018895</v>
          </cell>
          <cell r="S61">
            <v>-1101088.1900000004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>
        <row r="26">
          <cell r="E26">
            <v>502412.26999999955</v>
          </cell>
          <cell r="F26">
            <v>1250382.8800000008</v>
          </cell>
        </row>
        <row r="33">
          <cell r="E33">
            <v>0</v>
          </cell>
          <cell r="F33">
            <v>3030075.84</v>
          </cell>
        </row>
        <row r="39">
          <cell r="E39">
            <v>0</v>
          </cell>
          <cell r="F39">
            <v>-9370902</v>
          </cell>
        </row>
        <row r="45">
          <cell r="E45">
            <v>0</v>
          </cell>
          <cell r="F45">
            <v>-70880.509999999995</v>
          </cell>
        </row>
      </sheetData>
      <sheetData sheetId="94">
        <row r="41">
          <cell r="U41">
            <v>17891948.902602673</v>
          </cell>
        </row>
        <row r="85">
          <cell r="U85">
            <v>9271118.8463117499</v>
          </cell>
        </row>
      </sheetData>
      <sheetData sheetId="95"/>
      <sheetData sheetId="96"/>
      <sheetData sheetId="97">
        <row r="72">
          <cell r="F72">
            <v>8452126.273194097</v>
          </cell>
          <cell r="G72">
            <v>0</v>
          </cell>
          <cell r="I72">
            <v>-16748.653271608393</v>
          </cell>
        </row>
        <row r="103">
          <cell r="F103">
            <v>1811782.3817832842</v>
          </cell>
          <cell r="G103">
            <v>455436.55006119609</v>
          </cell>
          <cell r="I103">
            <v>-42451.304570317967</v>
          </cell>
        </row>
      </sheetData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33">
          <cell r="G33">
            <v>-7777131.1799999997</v>
          </cell>
        </row>
        <row r="34">
          <cell r="G34">
            <v>-9652252.2200000007</v>
          </cell>
        </row>
        <row r="37">
          <cell r="G37">
            <v>-9804913.6600000001</v>
          </cell>
        </row>
        <row r="51">
          <cell r="G51">
            <v>-494514.04</v>
          </cell>
        </row>
        <row r="52">
          <cell r="G52">
            <v>-4523456</v>
          </cell>
        </row>
        <row r="53">
          <cell r="G53">
            <v>-8083801.9400000004</v>
          </cell>
        </row>
        <row r="54">
          <cell r="G54">
            <v>2177378.64</v>
          </cell>
        </row>
        <row r="55">
          <cell r="G55">
            <v>-9957006.4600000009</v>
          </cell>
        </row>
        <row r="71">
          <cell r="G71">
            <v>-1860314.74</v>
          </cell>
        </row>
        <row r="72">
          <cell r="G72">
            <v>-17016810</v>
          </cell>
        </row>
        <row r="73">
          <cell r="G73">
            <v>-30410493</v>
          </cell>
        </row>
        <row r="78">
          <cell r="G78">
            <v>59430744.869999997</v>
          </cell>
        </row>
        <row r="79">
          <cell r="G79">
            <v>84094791.900000006</v>
          </cell>
        </row>
        <row r="96">
          <cell r="G96">
            <v>126634.62</v>
          </cell>
        </row>
        <row r="99">
          <cell r="G99">
            <v>10455154.960000001</v>
          </cell>
        </row>
        <row r="105">
          <cell r="G105">
            <v>8191091.0700000003</v>
          </cell>
        </row>
        <row r="106">
          <cell r="G106">
            <v>-37457310</v>
          </cell>
        </row>
        <row r="108">
          <cell r="G108">
            <v>141873428.94000006</v>
          </cell>
        </row>
        <row r="137">
          <cell r="G137">
            <v>-1083019.03</v>
          </cell>
        </row>
        <row r="138">
          <cell r="G138">
            <v>-1748559</v>
          </cell>
        </row>
        <row r="139">
          <cell r="G139">
            <v>-84821.66</v>
          </cell>
        </row>
        <row r="140">
          <cell r="G140">
            <v>0</v>
          </cell>
        </row>
        <row r="141">
          <cell r="G141">
            <v>904811.68</v>
          </cell>
        </row>
        <row r="142">
          <cell r="G142">
            <v>-750168.37</v>
          </cell>
        </row>
        <row r="159">
          <cell r="G159">
            <v>-4074214.46</v>
          </cell>
        </row>
        <row r="160">
          <cell r="G160">
            <v>-6577912</v>
          </cell>
        </row>
        <row r="162">
          <cell r="G162">
            <v>-319091</v>
          </cell>
        </row>
        <row r="181">
          <cell r="G181">
            <v>3403815.38</v>
          </cell>
        </row>
        <row r="182">
          <cell r="G182">
            <v>-2822061.98</v>
          </cell>
        </row>
        <row r="184">
          <cell r="G184">
            <v>-4058068.5900000008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I-A"/>
      <sheetName val="I-A-1"/>
      <sheetName val="I-A-2"/>
      <sheetName val="II-B Summary of Rate Base"/>
      <sheetName val="II-B-1 Plant"/>
      <sheetName val="Attachment II-B-1 Plant"/>
      <sheetName val="II-B-2 General Plant"/>
      <sheetName val="Attachment II-B-2"/>
      <sheetName val="II-B-3 Comm. Equip."/>
      <sheetName val="Attachment II-B-3"/>
      <sheetName val="II-B-4 CWIP"/>
      <sheetName val="II-B-5 Depreciation"/>
      <sheetName val="Attachment II-B-5-1"/>
      <sheetName val="II-B-6 Plant Held For Future"/>
      <sheetName val="II-B-7 Accum. Provisions"/>
      <sheetName val="Attachment II-B-7"/>
      <sheetName val="II-B-8 M&amp;S"/>
      <sheetName val="Attachment II-B-8"/>
      <sheetName val="II-B-9 CWCapital"/>
      <sheetName val="II-B-10 Prepayments"/>
      <sheetName val="Attachment  II-B-10"/>
      <sheetName val="II-B-11 Rate Base Other"/>
      <sheetName val="II-B-12 Reg. Assets"/>
      <sheetName val="II-B-13 Gain or Loss"/>
      <sheetName val="II-B-14 Pension Funding"/>
      <sheetName val="II-C-1 ROR"/>
      <sheetName val="II-C-1.1 ROR Method"/>
      <sheetName val="II-C-2.1"/>
      <sheetName val="II-C-2.2"/>
      <sheetName val="II-C-2.2a"/>
      <sheetName val="II-C-2.3"/>
      <sheetName val="II-C-2.3a"/>
      <sheetName val="II-C-2.4"/>
      <sheetName val="II-C-2.4a"/>
      <sheetName val="II-C-2.5"/>
      <sheetName val="II-C-2.5.1"/>
      <sheetName val="II-C-2.6"/>
      <sheetName val="Attachment II-C-2.6 "/>
      <sheetName val="II-C-2.7"/>
      <sheetName val="II-C-2.8"/>
      <sheetName val="II-C-2.9"/>
      <sheetName val="II-C-2.10"/>
      <sheetName val="II-C-3"/>
      <sheetName val="II-D-1 O&amp;M"/>
      <sheetName val="II-D-1 O&amp;M (Part 2)"/>
      <sheetName val="Attachment II-D-1 O&amp;M"/>
      <sheetName val="II-D-1.1 Mthly O&amp;M (all)"/>
      <sheetName val="II-D-1.1 Mthly O&amp;M (Tran)"/>
      <sheetName val="II-D-1.1Mthly O&amp;M (Dist)"/>
      <sheetName val="II-D-1.1 Mthly O&amp;M (Meter)"/>
      <sheetName val="II-D-1.1 Mthly O&amp;M (TDCS)"/>
      <sheetName val="II-D-2 A&amp;G"/>
      <sheetName val="II-D-2 A&amp;G (Part 2)"/>
      <sheetName val="Attachment II D-2 A&amp;G"/>
      <sheetName val="II-D-2.1 Mthly A&amp;G (all)"/>
      <sheetName val="II-D-2.1 Mthly A&amp;G (Dist)"/>
      <sheetName val="II-D-2.1 Mthly A&amp;G (Tran)"/>
      <sheetName val="II-D-2.1 Mthly A&amp;G (Meter)"/>
      <sheetName val="II-D-2.1 Mthly A&amp;G (TDCS)"/>
      <sheetName val="II D-2.2 Bad Debt"/>
      <sheetName val="II D-2.2 Bad Debt (Part 2)"/>
      <sheetName val="II D-2.2 Bad Debt (Part 3)"/>
      <sheetName val="II-D-2.3 Adv. Contr.&amp;Dues"/>
      <sheetName val="II-D-2.4 Advertising"/>
      <sheetName val="II-D-2.4a Advertising Capital"/>
      <sheetName val="II-D-2.5Contributions&amp;Donat"/>
      <sheetName val="II-D-2.6 Dues Summary"/>
      <sheetName val="II-D-2.6a Industry"/>
      <sheetName val="II-D-2.6b Business Economic"/>
      <sheetName val="II-D-2.6c Professional"/>
      <sheetName val="II-D-2.7 Outside Services TY"/>
      <sheetName val="II-D-2.7-1 Outside Services"/>
      <sheetName val="II-D-2.7-2 Outside Services"/>
      <sheetName val="II-D-2.7-3 Outside Services"/>
      <sheetName val="II-D-2.8 Factoring"/>
      <sheetName val="II-D-2-9 Rents and Leases"/>
      <sheetName val="II-D-3 Payroll"/>
      <sheetName val="II-D-3.1 Payroll Narrative"/>
      <sheetName val="II-D-3.2 Reg and Overtime"/>
      <sheetName val="II-D-3.3 Union"/>
      <sheetName val="II-D-3.4 Exp vs Capital"/>
      <sheetName val="II-D-3.5 No. of Employees"/>
      <sheetName val="II-D-3.6 Non Standard Pay"/>
      <sheetName val="II-D-3.8 Pension Expense"/>
      <sheetName val="II-D-3.9 PostRetirement Benefit"/>
      <sheetName val="II-D-4 Exclusions"/>
      <sheetName val="II-E-1 Dep. Exp."/>
      <sheetName val="Attachment II-E-1.1"/>
      <sheetName val="Attachment II-E-1.2"/>
      <sheetName val="Attachment II-E-1.3 Depr Rates"/>
      <sheetName val="II-E-2 Taxes Other"/>
      <sheetName val="Attachment II-E-2"/>
      <sheetName val="II-E-2.1 Ad valorem"/>
      <sheetName val="II-E-3 FIT"/>
      <sheetName val="II-E-3-Attach"/>
      <sheetName val="II-E-3.1"/>
      <sheetName val="Attachment II-E-3.1.1"/>
      <sheetName val="II-E-3.2"/>
      <sheetName val="II-E-3.3"/>
      <sheetName val="II-E-3.4"/>
      <sheetName val="II-E-3.5 ADFIT"/>
      <sheetName val="II-E-3.6"/>
      <sheetName val="II-E-3.7"/>
      <sheetName val="II-E-3.8"/>
      <sheetName val="II-E-3.9 ITC"/>
      <sheetName val="II-E-3.10"/>
      <sheetName val="II-E-3.11"/>
      <sheetName val="II-E-3.12 ITC Utilized"/>
      <sheetName val="II-E-3.13 ITC Elections"/>
      <sheetName val="II-E-3.14 Accum Def ITC"/>
      <sheetName val="Attachment II-E-3.1"/>
      <sheetName val="II-E-3.15"/>
      <sheetName val="II-E-3.16"/>
      <sheetName val="II-E-3.17"/>
      <sheetName val="II-E-3.18"/>
      <sheetName val="II-E-3.19"/>
      <sheetName val="II-E-3.20"/>
      <sheetName val="II-E-3.21"/>
      <sheetName val="II-E-3.22"/>
      <sheetName val="II-E-3.23 Pg 1"/>
      <sheetName val="II-E-3.23 Pg 2"/>
      <sheetName val="II-E-3.23 Pg 3"/>
      <sheetName val="II-E-3.24"/>
      <sheetName val="II-E-4 Other Expenses"/>
      <sheetName val="II E-4.1"/>
      <sheetName val="II E-4.2"/>
      <sheetName val="II E-4.3"/>
      <sheetName val="II E-4.4 Reg Comm Exp"/>
      <sheetName val="II-E-4.5 Rate Case Exp "/>
      <sheetName val="II-E-5 Other Revenues"/>
      <sheetName val="II-G"/>
      <sheetName val="III-A-1 Wholesale TCOS"/>
      <sheetName val="III-B"/>
      <sheetName val="III-E-5"/>
      <sheetName val="IV-J-1-Revenue Summary"/>
      <sheetName val="TCOS Calculation"/>
      <sheetName val="II-F-1 Alloc_Data"/>
      <sheetName val="II-F-1 Alloc_Factor"/>
    </sheetNames>
    <sheetDataSet>
      <sheetData sheetId="0"/>
      <sheetData sheetId="1"/>
      <sheetData sheetId="2"/>
      <sheetData sheetId="3"/>
      <sheetData sheetId="4"/>
      <sheetData sheetId="5"/>
      <sheetData sheetId="6">
        <row r="49">
          <cell r="E49">
            <v>-2228246.63</v>
          </cell>
        </row>
      </sheetData>
      <sheetData sheetId="7"/>
      <sheetData sheetId="8">
        <row r="33">
          <cell r="F33">
            <v>1258230.69</v>
          </cell>
        </row>
      </sheetData>
      <sheetData sheetId="9"/>
      <sheetData sheetId="10"/>
      <sheetData sheetId="11"/>
      <sheetData sheetId="12"/>
      <sheetData sheetId="13">
        <row r="78">
          <cell r="E78">
            <v>425639.30161900003</v>
          </cell>
        </row>
        <row r="150">
          <cell r="F150">
            <v>-15100733.448999999</v>
          </cell>
        </row>
        <row r="222">
          <cell r="F222">
            <v>-1936308.1039999998</v>
          </cell>
        </row>
      </sheetData>
      <sheetData sheetId="14"/>
      <sheetData sheetId="15"/>
      <sheetData sheetId="16"/>
      <sheetData sheetId="17">
        <row r="28">
          <cell r="P28">
            <v>2742529.1379999998</v>
          </cell>
          <cell r="Q28">
            <v>2989578.1387692313</v>
          </cell>
        </row>
        <row r="32">
          <cell r="P32">
            <v>4681616.68</v>
          </cell>
          <cell r="Q32">
            <v>4957164.1515384605</v>
          </cell>
        </row>
      </sheetData>
      <sheetData sheetId="18"/>
      <sheetData sheetId="19"/>
      <sheetData sheetId="20"/>
      <sheetData sheetId="21">
        <row r="13">
          <cell r="D13">
            <v>-2309011.9343335577</v>
          </cell>
        </row>
        <row r="14">
          <cell r="D14">
            <v>3147650.2746153842</v>
          </cell>
        </row>
        <row r="17">
          <cell r="E17">
            <v>-901266.37577347865</v>
          </cell>
        </row>
        <row r="18">
          <cell r="D18">
            <v>1228608.3553846155</v>
          </cell>
        </row>
        <row r="19">
          <cell r="C19">
            <v>80055.145076923072</v>
          </cell>
        </row>
        <row r="27">
          <cell r="D27">
            <v>-17832121.189403385</v>
          </cell>
        </row>
        <row r="28">
          <cell r="D28">
            <v>27673211.332307681</v>
          </cell>
        </row>
        <row r="31">
          <cell r="E31">
            <v>-4693039.6446083076</v>
          </cell>
        </row>
        <row r="32">
          <cell r="D32">
            <v>7282805.1592307696</v>
          </cell>
        </row>
        <row r="33">
          <cell r="C33">
            <v>19937.434153846232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104">
          <cell r="R104">
            <v>25545</v>
          </cell>
        </row>
        <row r="150">
          <cell r="F150">
            <v>132603.31019500858</v>
          </cell>
          <cell r="G150">
            <v>0</v>
          </cell>
          <cell r="H150">
            <v>-99449.449999999895</v>
          </cell>
          <cell r="I150">
            <v>-117795.66419836748</v>
          </cell>
          <cell r="J150">
            <v>-765.2729466297186</v>
          </cell>
          <cell r="K150">
            <v>0</v>
          </cell>
          <cell r="L150">
            <v>0</v>
          </cell>
          <cell r="M150">
            <v>1.4779288903810084E-11</v>
          </cell>
          <cell r="N150">
            <v>-2.15</v>
          </cell>
          <cell r="P150">
            <v>-160.16999999999999</v>
          </cell>
          <cell r="Q150">
            <v>0</v>
          </cell>
          <cell r="S150">
            <v>-40</v>
          </cell>
        </row>
        <row r="184">
          <cell r="R184">
            <v>1077394</v>
          </cell>
        </row>
        <row r="204">
          <cell r="F204">
            <v>155341.34087949616</v>
          </cell>
          <cell r="G204">
            <v>-60638221.039999999</v>
          </cell>
          <cell r="H204">
            <v>59966.540000000008</v>
          </cell>
          <cell r="I204">
            <v>-207639.17459231769</v>
          </cell>
          <cell r="J204">
            <v>-3098.868119332511</v>
          </cell>
          <cell r="K204">
            <v>-3122298.4699999997</v>
          </cell>
          <cell r="L204">
            <v>0</v>
          </cell>
          <cell r="M204">
            <v>3.3004710076056654E-12</v>
          </cell>
          <cell r="N204">
            <v>156998.64000000001</v>
          </cell>
          <cell r="P204">
            <v>-1762.55</v>
          </cell>
          <cell r="Q204">
            <v>1000000</v>
          </cell>
          <cell r="S204">
            <v>0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>
        <row r="41">
          <cell r="F41">
            <v>127.97371185180924</v>
          </cell>
          <cell r="G41">
            <v>-802871.59</v>
          </cell>
          <cell r="H41">
            <v>-49.007591795808693</v>
          </cell>
          <cell r="I41">
            <v>0.11886255489926345</v>
          </cell>
          <cell r="J41">
            <v>0</v>
          </cell>
          <cell r="K41">
            <v>0</v>
          </cell>
          <cell r="M41">
            <v>58628.52</v>
          </cell>
          <cell r="N41">
            <v>0</v>
          </cell>
          <cell r="O41">
            <v>49667.414817844823</v>
          </cell>
          <cell r="P41">
            <v>265852.73095799587</v>
          </cell>
          <cell r="Q41">
            <v>0</v>
          </cell>
          <cell r="R41">
            <v>12458.741851333703</v>
          </cell>
          <cell r="S41">
            <v>82194.320340872815</v>
          </cell>
          <cell r="T41">
            <v>-77467.349999999991</v>
          </cell>
        </row>
        <row r="56">
          <cell r="F56">
            <v>12196.881506545857</v>
          </cell>
          <cell r="G56">
            <v>-557577.92000000004</v>
          </cell>
          <cell r="H56">
            <v>-38817.270985348201</v>
          </cell>
          <cell r="I56">
            <v>-1339.3480347816951</v>
          </cell>
          <cell r="J56">
            <v>0</v>
          </cell>
          <cell r="K56">
            <v>0</v>
          </cell>
          <cell r="L56">
            <v>-513.54999999999995</v>
          </cell>
          <cell r="M56">
            <v>47631.239999999991</v>
          </cell>
          <cell r="N56">
            <v>1450000</v>
          </cell>
          <cell r="O56">
            <v>-185382.93190750829</v>
          </cell>
          <cell r="P56">
            <v>1328985.2376840576</v>
          </cell>
          <cell r="Q56">
            <v>-50550.074941989711</v>
          </cell>
          <cell r="R56">
            <v>-303298.65998397442</v>
          </cell>
          <cell r="S56">
            <v>71900.649659127172</v>
          </cell>
          <cell r="T56">
            <v>-105678.48999999999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23">
          <cell r="E23">
            <v>266616.89000000013</v>
          </cell>
          <cell r="F23">
            <v>316063.21999999974</v>
          </cell>
        </row>
        <row r="34">
          <cell r="E34">
            <v>0</v>
          </cell>
          <cell r="F34">
            <v>1219675.2</v>
          </cell>
        </row>
      </sheetData>
      <sheetData sheetId="89">
        <row r="44">
          <cell r="U44">
            <v>3675324.4993984415</v>
          </cell>
        </row>
        <row r="85">
          <cell r="U85">
            <v>-4851353.148964474</v>
          </cell>
        </row>
      </sheetData>
      <sheetData sheetId="90"/>
      <sheetData sheetId="91"/>
      <sheetData sheetId="92">
        <row r="72">
          <cell r="E72">
            <v>25653.70005225802</v>
          </cell>
          <cell r="G72">
            <v>0</v>
          </cell>
          <cell r="I72">
            <v>-2804.4271843761139</v>
          </cell>
        </row>
        <row r="103">
          <cell r="G103">
            <v>-29000.926186315715</v>
          </cell>
          <cell r="I103">
            <v>-791.32560986533633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>
        <row r="48">
          <cell r="G48">
            <v>-274554.01</v>
          </cell>
        </row>
        <row r="49">
          <cell r="G49">
            <v>-1612590</v>
          </cell>
        </row>
        <row r="51">
          <cell r="G51">
            <v>-2061513.91</v>
          </cell>
        </row>
        <row r="52">
          <cell r="G52">
            <v>250521.61</v>
          </cell>
        </row>
        <row r="53">
          <cell r="G53">
            <v>-1514810.28</v>
          </cell>
        </row>
        <row r="67">
          <cell r="G67">
            <v>-1032846.04</v>
          </cell>
        </row>
        <row r="68">
          <cell r="G68">
            <v>-6066410</v>
          </cell>
        </row>
        <row r="70">
          <cell r="G70">
            <v>-7755219</v>
          </cell>
        </row>
        <row r="101">
          <cell r="G101">
            <v>942438.41999999993</v>
          </cell>
        </row>
        <row r="102">
          <cell r="G102">
            <v>-5698572</v>
          </cell>
        </row>
        <row r="106">
          <cell r="G106">
            <v>-3332336.9699999988</v>
          </cell>
        </row>
        <row r="136">
          <cell r="G136">
            <v>-985157.33</v>
          </cell>
        </row>
        <row r="137">
          <cell r="G137">
            <v>-88034</v>
          </cell>
        </row>
        <row r="139">
          <cell r="G139">
            <v>-360017.67</v>
          </cell>
        </row>
        <row r="140">
          <cell r="G140">
            <v>734269.83999999985</v>
          </cell>
        </row>
        <row r="141">
          <cell r="G141">
            <v>-122306.15</v>
          </cell>
        </row>
        <row r="155">
          <cell r="G155">
            <v>-3706068.04</v>
          </cell>
        </row>
        <row r="156">
          <cell r="G156">
            <v>-331176</v>
          </cell>
        </row>
        <row r="158">
          <cell r="G158">
            <v>-1354352</v>
          </cell>
        </row>
        <row r="181">
          <cell r="G181">
            <v>2762253.2</v>
          </cell>
        </row>
        <row r="182">
          <cell r="G182">
            <v>-460104.09</v>
          </cell>
        </row>
        <row r="186">
          <cell r="G186">
            <v>-1229147.1800000006</v>
          </cell>
        </row>
      </sheetData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I-A"/>
      <sheetName val="I-A-1"/>
      <sheetName val="I-A-2"/>
      <sheetName val="II-B Summary of Rate Base"/>
      <sheetName val="II-B-1 Plant"/>
      <sheetName val="Attachment II-B-1 Plant"/>
      <sheetName val="II-B-2 General Plant"/>
      <sheetName val="Attachment II-B-2"/>
      <sheetName val="II-B-3 Comm. Equip."/>
      <sheetName val="II-B-4 CWIP"/>
      <sheetName val="II-B-5 Depreciation"/>
      <sheetName val="Attachment II-B-5"/>
      <sheetName val="II-B-6 Plant Held For Future"/>
      <sheetName val="II-B-7 Accum. Provisions"/>
      <sheetName val="Attachment II-B-7"/>
      <sheetName val="II-B-8 M&amp;S"/>
      <sheetName val="Attachment II-B-8"/>
      <sheetName val="II-B-9 CWCapital"/>
      <sheetName val="II-B-10 Prepayments"/>
      <sheetName val="Attachment  II-B-10"/>
      <sheetName val="II-B-11 Rate Base Other"/>
      <sheetName val="II-B-12 Reg. Assets"/>
      <sheetName val="II-B-13 Gain or Loss"/>
      <sheetName val="II-B-14 Pension Funding"/>
      <sheetName val="II-C-1 ROR"/>
      <sheetName val="II-C-1.1 ROR Method"/>
      <sheetName val="II-C-2.1"/>
      <sheetName val="II-C-2.2"/>
      <sheetName val="II-C-2.2a"/>
      <sheetName val="II-C-2.3"/>
      <sheetName val="II-C-2.3a"/>
      <sheetName val="II-C-2.4"/>
      <sheetName val="II-C-2.4a"/>
      <sheetName val="II-C-2-5"/>
      <sheetName val="II-C-2.5.1"/>
      <sheetName val="II-C-2.6"/>
      <sheetName val="Attachment II-C-2.6 "/>
      <sheetName val="II-C-2.7"/>
      <sheetName val="II-C-2.8 "/>
      <sheetName val="II-C-2.9 "/>
      <sheetName val="II-C-2.10 "/>
      <sheetName val="II-C-3"/>
      <sheetName val="II-D-1 O&amp;M"/>
      <sheetName val="II-D-1 O&amp;M (Part 2)"/>
      <sheetName val="Attachment II-D-1 O&amp;M"/>
      <sheetName val="II-D-1.1 Mthly O&amp;M (all)"/>
      <sheetName val="II-D-1.1 Mthly O&amp;M (Tran)"/>
      <sheetName val="II-D-1.1Mthly O&amp;M (Dist)"/>
      <sheetName val="II-D-1.1 Mthly O&amp;M (Meter)"/>
      <sheetName val="II-D-1.1 Mthly O&amp;M (TDCS)"/>
      <sheetName val="II-D-2 A&amp;G"/>
      <sheetName val="II-D-2 A&amp;G (Part 2)"/>
      <sheetName val="Attachment II D-2 A&amp;G"/>
      <sheetName val="II-D-2.1 Mthly A&amp;G (all)"/>
      <sheetName val="II-D-2.1 Mthly A&amp;G (Dist)"/>
      <sheetName val="II-D-2.1 Mthly A&amp;G (Tran)"/>
      <sheetName val="II-D-2.1 Mthly A&amp;G (Meter)"/>
      <sheetName val="II-D-2.1 Mthly A&amp;G (TDCS)"/>
      <sheetName val="II D-2.2 Bad Debt"/>
      <sheetName val="II D-2.2 Bad Debt (Part 2)"/>
      <sheetName val="II D-2.2 Bad Debt (Part 3)"/>
      <sheetName val="II-D-2.3 Adv. Contr.&amp;Dues"/>
      <sheetName val="II-D-2.4 Advertising"/>
      <sheetName val="II-D-2.4a Advertising Capital"/>
      <sheetName val="II-D-2.5Contributions&amp;Donat"/>
      <sheetName val="II-D-2.6 Dues Summary"/>
      <sheetName val="II-D-2.6a Industry"/>
      <sheetName val="II-D-2.6b Business Economic"/>
      <sheetName val="II-D-2.6c Professional"/>
      <sheetName val="II-D-2.7 Outside Services TY"/>
      <sheetName val="II-D-2.7-1 Outside Services"/>
      <sheetName val="II-D-2.7-2 Outside Services"/>
      <sheetName val="II-D-2.7-3 Outside Services"/>
      <sheetName val="II-D-2.8 Factoring"/>
      <sheetName val="II-D-2-9 Rents and Leases"/>
      <sheetName val="II-D-3 Payroll"/>
      <sheetName val="II-D-3.1 Payroll Narrative"/>
      <sheetName val="II-D-3.2 Reg and Overtime"/>
      <sheetName val="II-D-3.3 Union"/>
      <sheetName val="II-D-3.4 Exp vs Capital"/>
      <sheetName val="II-D-3.5 No. of Employees"/>
      <sheetName val="II-D-3.6 Non Standard Pay"/>
      <sheetName val="II-D-3.8 Pension Expense"/>
      <sheetName val="II-D-3.9 PostRetirement Benefit"/>
      <sheetName val="II-D-4 Exclusions"/>
      <sheetName val="II-E-1 Dep. Exp."/>
      <sheetName val="Attachment II-E-1.1"/>
      <sheetName val="Attachment II-E-1.2"/>
      <sheetName val="Attachment II-E-1.3 Depr Rates"/>
      <sheetName val="II-E-2 Taxes Other"/>
      <sheetName val="Attachment II-E-2"/>
      <sheetName val="II-E-2.1 Ad valorem"/>
      <sheetName val="II-E-3 FIT"/>
      <sheetName val="II-E-3-Attach"/>
      <sheetName val="II-E-3.1"/>
      <sheetName val="Attachment II-E-3.1.1"/>
      <sheetName val="II-E-3.2"/>
      <sheetName val="II-E-3.3"/>
      <sheetName val="II-E-3.4"/>
      <sheetName val="II-E-3.5 ADFIT"/>
      <sheetName val="II-E-3.6"/>
      <sheetName val="II-E-3.7"/>
      <sheetName val="II-E-3.8"/>
      <sheetName val="II-E-3.9 ITC"/>
      <sheetName val="II-E-3.10"/>
      <sheetName val="II-E-3.11"/>
      <sheetName val="II-E-3.12 ITC Utilized"/>
      <sheetName val="II-E-3.13 ITC Elections"/>
      <sheetName val="II-E-3.14 Accum Def ITC"/>
      <sheetName val="Attachment II-E-3.1"/>
      <sheetName val="II-E-3.15"/>
      <sheetName val="II-E-3.16"/>
      <sheetName val="II-E-3.17"/>
      <sheetName val="II-E-3.18"/>
      <sheetName val="II-E-3.19"/>
      <sheetName val="II-E-3.20"/>
      <sheetName val="II-E-3.21"/>
      <sheetName val="II-E-3.22"/>
      <sheetName val="II-E-3.23 Pg 1"/>
      <sheetName val="II-E-3.23 Pg 2"/>
      <sheetName val="II-E-3.23 Pg 3"/>
      <sheetName val="II-E-3.24"/>
      <sheetName val="II-E-4 Other Expenses"/>
      <sheetName val="II E-4.1"/>
      <sheetName val="II E-4.2"/>
      <sheetName val="II E-4.3"/>
      <sheetName val="II E-4.4 Reg Comm Exp"/>
      <sheetName val="II-E-4.5 Rate Case Exp "/>
      <sheetName val="II-E-5 Other Revenues"/>
      <sheetName val="II-G"/>
      <sheetName val="III-A-1 Wholesale TCOS"/>
      <sheetName val="III-B"/>
      <sheetName val="III-E-5"/>
      <sheetName val="IV-J-1-Revenue Summary"/>
      <sheetName val="TCOS Calculation"/>
      <sheetName val="II-F-1 Alloc_Data"/>
      <sheetName val="II-F-1 Alloc_Fac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150">
          <cell r="O150">
            <v>-3532.0800000000013</v>
          </cell>
        </row>
        <row r="204">
          <cell r="O204">
            <v>-53890.009999999995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49">
          <cell r="E49">
            <v>1056.7203686120483</v>
          </cell>
        </row>
        <row r="80">
          <cell r="E80">
            <v>-6237.631206928525</v>
          </cell>
        </row>
      </sheetData>
      <sheetData sheetId="92">
        <row r="30">
          <cell r="D30">
            <v>9414167.7920031641</v>
          </cell>
          <cell r="E30">
            <v>1105837.8461577035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 II-E-2-4 Gross Margin tax"/>
      <sheetName val="WP II-B.1 Prepayments"/>
      <sheetName val="WP II-B.2 Material and Supplies"/>
      <sheetName val="WP II-B.3 Catastrophe"/>
      <sheetName val="WP II-B.4 Prepaid Pension"/>
      <sheetName val="WP II-B.5 Plant held for Future"/>
      <sheetName val="WP II-B.6 PRW MED-D"/>
      <sheetName val="WP II-B-1-1 TCOS "/>
      <sheetName val="WP II-B-1-2"/>
      <sheetName val="WP II-B-5-1"/>
      <sheetName val="WP II-B-9.1 D Lead Lag"/>
      <sheetName val="WP II-B-9.2 T Lead Lag"/>
      <sheetName val="WP II-D-1-1 Payroll"/>
      <sheetName val="WP II-D-1-2 TCOS"/>
      <sheetName val="WP II-D-1-3 AEPSC"/>
      <sheetName val="WP II-D-1-4 ICP"/>
      <sheetName val="WP II-D-1-5 LTIP"/>
      <sheetName val="WP II-D-1-6 DSM"/>
      <sheetName val="WP II-D-1-7 NONRECURRING"/>
      <sheetName val="WP II-D-1-8 Functionalization"/>
      <sheetName val="WP II-D-1-9 Bad Debt"/>
      <sheetName val="WP II-D-1-10 Sales Expenses"/>
      <sheetName val="WP II-D-1-11 EMP EXP"/>
      <sheetName val="WP II-D-1-12 Distibution OM"/>
      <sheetName val="WP II-D-1-13 Tree Trimming"/>
      <sheetName val="WP II-D-2-1 Cr Line Fees"/>
      <sheetName val="WP II-D-2-2 Catastrophe reserve"/>
      <sheetName val="WP II-D-2-3 ASC 715-30 Pension"/>
      <sheetName val="WP II-D-2-4 ASC 715 OPEB"/>
      <sheetName val="WP II-D-2-4-1 OPEB_FAS 112"/>
      <sheetName val="WP II-D-2-5 SFAS 112"/>
      <sheetName val="WP II-D-2-6 GRP INS"/>
      <sheetName val="WP II-D-2-7 Dues and Contr Exp"/>
      <sheetName val="WP II-D-2-8 Reg Comm Exp"/>
      <sheetName val="WP II-E-2-1 FICA"/>
      <sheetName val="WP II-E-2-2 Ad Valorem"/>
      <sheetName val="WP II-E-2-3 Municipal Fees"/>
      <sheetName val="WP II-E-1-x Amort. Exp"/>
      <sheetName val="WP II-E-2-5 Sales and Use"/>
      <sheetName val="WP II-E-4.5 Rate Case Exp Est"/>
      <sheetName val="WP II-E-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27">
          <cell r="F27">
            <v>-9451.1265390850094</v>
          </cell>
          <cell r="G27">
            <v>15309.845498651683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-DELETE"/>
      <sheetName val="Macros"/>
      <sheetName val="I-A"/>
      <sheetName val="I-A-1"/>
      <sheetName val="I-A-2"/>
      <sheetName val="II-B"/>
      <sheetName val="Attachment II-B"/>
      <sheetName val="II-B-1 Plant"/>
      <sheetName val="Attachment II-B-1 Plant"/>
      <sheetName val="II-B-2 General Plant"/>
      <sheetName val="II-B-3 Comm. Equip."/>
      <sheetName val="II-B-4 CWIP"/>
      <sheetName val="II-B-5 Depreciation"/>
      <sheetName val="Attachment II-B-5 Depreciation"/>
      <sheetName val="II-B-6 Plant Future"/>
      <sheetName val="II-B-7 Accum. Provisions"/>
      <sheetName val="II-B-8 M&amp;S"/>
      <sheetName val="II-B-8-1 M&amp;S MONTHLY"/>
      <sheetName val="II-B-9 CWCapital"/>
      <sheetName val="II-B-10 Prepayments"/>
      <sheetName val="II-B-10-1 Prepayments (MONTHLY)"/>
      <sheetName val="II-B-11 Rate Base Other"/>
      <sheetName val="II-B-12 Reg. Assets"/>
      <sheetName val="II-B-13 Gain on Disposition"/>
      <sheetName val="II-C-1 ROR"/>
      <sheetName val="II-C-1.1 ROR Method"/>
      <sheetName val="II-C-2.1"/>
      <sheetName val="II-C-2.5"/>
      <sheetName val="II-C-2.2"/>
      <sheetName val="II-C-2.2a"/>
      <sheetName val="II-C-2.3"/>
      <sheetName val="II-C-2.3a"/>
      <sheetName val="II-C-2.4"/>
      <sheetName val="II-C-2.4a"/>
      <sheetName val="II-C-2-5"/>
      <sheetName val="II-C-2.5.1"/>
      <sheetName val="II-C-2.6"/>
      <sheetName val="II-C-2.7"/>
      <sheetName val="II-C-2.8 "/>
      <sheetName val="II-C-2.9 "/>
      <sheetName val="II-C-2.10 "/>
      <sheetName val="II-C-3"/>
      <sheetName val="II-D-1 O&amp;M"/>
      <sheetName val="II-D-1 O&amp;M part 2"/>
      <sheetName val="Attachment II-D-1 O&amp;M"/>
      <sheetName val="II-D-1.1 Mthly O&amp;M (all)"/>
      <sheetName val="II-D-1.1 Mthly O&amp;M (Tran)"/>
      <sheetName val="II-D-1.1Mthly O&amp;M (Dist)"/>
      <sheetName val="II-D-1.1 Mthly O&amp;M (Meter)"/>
      <sheetName val="II-D-1.1 Mthly O&amp;M (TDCS)"/>
      <sheetName val="II-D-2 A&amp;G"/>
      <sheetName val="II-D-2 A&amp;G part 2"/>
      <sheetName val="Attachment II D-2 A&amp;G"/>
      <sheetName val="II-D-2.1 Mthly A&amp;G (all)"/>
      <sheetName val="II-D-2.1 Mthly A&amp;G (Tran)"/>
      <sheetName val="II-D-2.1 Mthly A&amp;G (Dist)"/>
      <sheetName val="II-D-2.1 Mthly A&amp;G (Meter)"/>
      <sheetName val="II-D-2.1 Mthly A&amp;G (TDCS)"/>
      <sheetName val="II D-2.2 Bad Debt"/>
      <sheetName val="II D-2.2 Bad Debt (Part 2)"/>
      <sheetName val="II D-2.2 Bad Debt (Part 3)"/>
      <sheetName val="II-D-2.3 Adv.Contr.&amp;Dues"/>
      <sheetName val="II-D-2.4 Advertising"/>
      <sheetName val="II-D-2.4a Advertising Capital"/>
      <sheetName val="II-D-2.5Contributions&amp;Donations"/>
      <sheetName val="II-D-2.6 Dues Summary"/>
      <sheetName val="II-D-2.6 Dues Summary AEPSC"/>
      <sheetName val="II-D-2.6a Industry"/>
      <sheetName val="II-D-2.6a Industry AEPSC"/>
      <sheetName val="II-D-2.6b Business Economic"/>
      <sheetName val="II-D-2.6b Business Econ AEPSC"/>
      <sheetName val="II-D-2.6c Professional"/>
      <sheetName val="II-D-2.6c Professional AEPSC"/>
      <sheetName val="II-D-2.6d Educational"/>
      <sheetName val="II-D-2.6d Educational AEPSC"/>
      <sheetName val="II-D-2.6e Community Serv"/>
      <sheetName val="II-D-2.6e Community Serv AEPSC"/>
      <sheetName val="II-D-2.6f Other"/>
      <sheetName val="II-D-2.6f Other AEPSC"/>
      <sheetName val="II-D-2.6g Political"/>
      <sheetName val="II-D-2.6g Political AEPSC"/>
      <sheetName val="II-D-2.7 Outside Services"/>
      <sheetName val="II-D-2.7 Outside Services AEPSC"/>
      <sheetName val="II-D-2.7-1 Outside Services"/>
      <sheetName val="II-D-2.7.1 Outside Serv AEPSC"/>
      <sheetName val="II-D-2.7-2 Outside Services"/>
      <sheetName val="II-D-2.7.2 Outside Serv AEPSC"/>
      <sheetName val="II-D-2.7-3 Outside Services"/>
      <sheetName val="II-D-2.7.3 Outside Serv AEPSC"/>
      <sheetName val="II-D-2.8 Factoring"/>
      <sheetName val="II-D-2-9 Rents and Leases"/>
      <sheetName val="II-D-3 PAYROLL"/>
      <sheetName val="II-D-3.1 Payroll Narrative"/>
      <sheetName val="II-D-3.2 Reg and Overtime"/>
      <sheetName val="II-D-3.3 Union"/>
      <sheetName val="II-D-3.4 Exp vs Capital"/>
      <sheetName val="II-D-3.5 No. of Employees"/>
      <sheetName val="II-D-3.6 Non Standard Pay"/>
      <sheetName val="II-D-3.8 Pension"/>
      <sheetName val="II-D-3.9 OPEB"/>
      <sheetName val="II-D-4 Exclusions"/>
      <sheetName val="II-E-1 Dep. Exp."/>
      <sheetName val="Attachment II-E-1-1"/>
      <sheetName val="Attachment II-E-1-2"/>
      <sheetName val="Attachment II-E-1-3 Depr Rates"/>
      <sheetName val="II-E-2 Taxes Other"/>
      <sheetName val="Attachment II-E-2"/>
      <sheetName val="II-E-2.1 Ad valorem"/>
      <sheetName val="II-E-3 FIT"/>
      <sheetName val="II-E-3-Attach"/>
      <sheetName val="II-E-3.1"/>
      <sheetName val="Attachment II-E-3.1"/>
      <sheetName val="Attachment II-E-3.1.1"/>
      <sheetName val="II-E-3.2"/>
      <sheetName val="II-E-3.3"/>
      <sheetName val="II-E-3.4"/>
      <sheetName val="II-E-3.5 ADFIT"/>
      <sheetName val="II-E-3.6"/>
      <sheetName val="II-E-3.7"/>
      <sheetName val="II-E-3.8"/>
      <sheetName val="II-E-3.9 ITC"/>
      <sheetName val="II-E-3.10"/>
      <sheetName val="II-E-3.11"/>
      <sheetName val="WP II-B-9.2 T Lead Lag"/>
      <sheetName val="II-E-3.12 ITC Utilized"/>
      <sheetName val="II-E-3.13 ITC Elections"/>
      <sheetName val="II-E-3.14 Accum Def ITC"/>
      <sheetName val="II-E-3.15"/>
      <sheetName val="II-E-3.16"/>
      <sheetName val="II-E-3.17"/>
      <sheetName val="II-E-3.18"/>
      <sheetName val="II-E-3.19"/>
      <sheetName val="II-E-3.20"/>
      <sheetName val="II-E-3.21"/>
      <sheetName val="II-E-3.22"/>
      <sheetName val="II-E-3.23 Pg 1"/>
      <sheetName val="II-E-3.23 Pg 2"/>
      <sheetName val="II-E-3.23 Pg 3"/>
      <sheetName val="II-E-3.24"/>
      <sheetName val="II-E-4 Other Expenses"/>
      <sheetName val="II-E-4.1"/>
      <sheetName val="II-E-4.2"/>
      <sheetName val="II-E-4.3"/>
      <sheetName val="II-E-4.4 Reg Comm Exp"/>
      <sheetName val="II E-4.5 Rate Case Expense"/>
      <sheetName val="II-E-5 Other Revenues"/>
      <sheetName val="II-F Alloc_Factor"/>
      <sheetName val="II-F Alloc_Data"/>
      <sheetName val="III-A Wholesale TCOS"/>
      <sheetName val="III-A-1 Wholesale TCOS"/>
      <sheetName val="III-B"/>
      <sheetName val="III-E-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69">
          <cell r="H69">
            <v>325354.9713429847</v>
          </cell>
        </row>
      </sheetData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-DELETE"/>
      <sheetName val="Macros"/>
      <sheetName val="I-A"/>
      <sheetName val="I-A-1"/>
      <sheetName val="I-A-2"/>
      <sheetName val="II-B"/>
      <sheetName val="Attachment II-B"/>
      <sheetName val="II-B-1 Plant"/>
      <sheetName val="Attachment II-B-1 Plant"/>
      <sheetName val="II-B-2 General Plant"/>
      <sheetName val="II-B-3 Comm. Equip."/>
      <sheetName val="II-B-4 CWIP"/>
      <sheetName val="II-B-5 Depreciation"/>
      <sheetName val="Attachment II-B-5 Depreciation"/>
      <sheetName val="II-B-6 Plant Future"/>
      <sheetName val="II-B-7 Accum. Provisions"/>
      <sheetName val="II-B-8 M&amp;S"/>
      <sheetName val="II-B-8-1 M&amp;S MONTHLY"/>
      <sheetName val="II-B-9 CWCapital"/>
      <sheetName val="II-B-10 Prepayments"/>
      <sheetName val="II-B-10-1 Prepayments (MONTHLY)"/>
      <sheetName val="II-B-11 Rate Base Other"/>
      <sheetName val="II-B-12 Reg. Assets"/>
      <sheetName val="II-B-13 Gain on Disposition"/>
      <sheetName val="II-B-14 Pension Funding"/>
      <sheetName val="II-C-1 ROR"/>
      <sheetName val="II-C-1.1 ROR Method"/>
      <sheetName val="II-C-2.1"/>
      <sheetName val="II-C-2.5"/>
      <sheetName val="II-C-2.2"/>
      <sheetName val="II-C-2.2a"/>
      <sheetName val="II-C-2.3"/>
      <sheetName val="II-C-2.3a"/>
      <sheetName val="II-C-2.4"/>
      <sheetName val="II-C-2.4a"/>
      <sheetName val="II-C-2-5"/>
      <sheetName val="II-C-2.5.1"/>
      <sheetName val="II-C-2.6"/>
      <sheetName val="II-C-2.7"/>
      <sheetName val="II-C-2.8 "/>
      <sheetName val="II-C-2.9 "/>
      <sheetName val="II-C-2.10 "/>
      <sheetName val="II-C-3"/>
      <sheetName val="II-D-1 O&amp;M"/>
      <sheetName val="II-D-1 O&amp;M part 2"/>
      <sheetName val="Attachment II-D-1 O&amp;M"/>
      <sheetName val="II-D-1.1 Mthly O&amp;M (all)"/>
      <sheetName val="II-D-1.1 Mthly O&amp;M (Tran)"/>
      <sheetName val="II-D-1.1Mthly O&amp;M (Dist)"/>
      <sheetName val="II-D-1.1 Mthly O&amp;M (Meter)"/>
      <sheetName val="II-D-1.1 Mthly O&amp;M (TDCS)"/>
      <sheetName val="II-D-2 A&amp;G"/>
      <sheetName val="II-D-2 A&amp;G part 2"/>
      <sheetName val="Attachment II D-2 A&amp;G"/>
      <sheetName val="II-D-2.1 Mthly A&amp;G (all)"/>
      <sheetName val="II-D-2.1 Mthly A&amp;G (Tran)"/>
      <sheetName val="II-D-2.1 Mthly A&amp;G (Dist)"/>
      <sheetName val="II-D-2.1 Mthly A&amp;G (Meter)"/>
      <sheetName val="II-D-2.1 Mthly A&amp;G (TDCS)"/>
      <sheetName val="II D-2.2 Bad Debt"/>
      <sheetName val="II D-2.2 Bad Debt (Part 2)"/>
      <sheetName val="II D-2.2 Bad Debt (Part 3)"/>
      <sheetName val="II-D-2.3 Adv.Contr.&amp;Dues"/>
      <sheetName val="II-D-2.4 Advertising"/>
      <sheetName val="II-D-2.4a Advertising Capital"/>
      <sheetName val="II-D-2.5Contributions&amp;Donations"/>
      <sheetName val="II-D-2.5 Contr &amp; Don AEPSC"/>
      <sheetName val="II-D-2.6 Dues Summary"/>
      <sheetName val="II-D-2.6 Dues Summary AEPSC"/>
      <sheetName val="II-D-2.6a Industry"/>
      <sheetName val="II-D-2.6a Industry AEPSC"/>
      <sheetName val="II-D-2.6b Business Economic"/>
      <sheetName val="II-D-2.6b Business Econ AEPSC"/>
      <sheetName val="II-D-2.6c Professional"/>
      <sheetName val="II-D-2.6c Professional AEPSC"/>
      <sheetName val="II-D-2.6d Educational"/>
      <sheetName val="II-D-2.6d Educational AEPSC"/>
      <sheetName val="II-D-2.6e Community Serv"/>
      <sheetName val="II-D-2.6e Community Serv AEPSC"/>
      <sheetName val="II-D-2.6f Other"/>
      <sheetName val="II-D-2.6f Other AEPSC"/>
      <sheetName val="II-D-2.6g Political"/>
      <sheetName val="II-D-2.6g Political AEPSC"/>
      <sheetName val="II-D-2.7 Outside Services"/>
      <sheetName val="II-D-2.7 Outside Services AEPSC"/>
      <sheetName val="II-D-2.7-1 Outside Services"/>
      <sheetName val="II-D-2.7.1 Outside Serv AEPSC"/>
      <sheetName val="II-D-2.7-2 Outside Services"/>
      <sheetName val="II-D-2.7.2 Outside Serv AEPSC"/>
      <sheetName val="II-D-2.7-3 Outside Services"/>
      <sheetName val="II-D-2.7.3 Outside Serv AEPSC"/>
      <sheetName val="II-D-2.8 Factoring"/>
      <sheetName val="II-D-2-9 Rents and Leases"/>
      <sheetName val="II-D-3 PAYROLL"/>
      <sheetName val="II-D-3.1 Payroll Narrative"/>
      <sheetName val="II-D-3.2 Reg and Overtime"/>
      <sheetName val="II-D-3.3 Union"/>
      <sheetName val="II-D-3.4 Exp vs Capital"/>
      <sheetName val="II-D-3.5 No. of Employees"/>
      <sheetName val="II-D-3.6 Non Standard Pay"/>
      <sheetName val="II-D-3.8 Pension"/>
      <sheetName val="II-D-3.9 OPEB"/>
      <sheetName val="II-D-4 Exclusions"/>
      <sheetName val="II-E-1 Dep. Exp."/>
      <sheetName val="Attachment II-E-1-1"/>
      <sheetName val="Attachment II-E-1-2"/>
      <sheetName val="Attachment II-E-1-3 Depr Rates"/>
      <sheetName val="II-E-2 Taxes Other"/>
      <sheetName val="Attachment II-E-2"/>
      <sheetName val="II-E-2.1 Ad valorem"/>
      <sheetName val="II-E-3 FIT"/>
      <sheetName val="II-E-3-Attach"/>
      <sheetName val="II-E-3.1"/>
      <sheetName val="Attachment II-E-3.1"/>
      <sheetName val="Attachment II-E-3.1.1"/>
      <sheetName val="II-E-3.2"/>
      <sheetName val="II-E-3.3"/>
      <sheetName val="II-E-3.4"/>
      <sheetName val="II-E-3.5 ADFIT"/>
      <sheetName val="II-E-3.6"/>
      <sheetName val="II-E-3.7"/>
      <sheetName val="II-E-3.8"/>
      <sheetName val="II-E-3.9 ITC"/>
      <sheetName val="II-E-3.10"/>
      <sheetName val="II-E-3.11"/>
      <sheetName val="II-E-3.12 ITC Utilized"/>
      <sheetName val="II-E-3.13 ITC Elections"/>
      <sheetName val="II-E-3.14 Accum Def ITC"/>
      <sheetName val="II-E-3.15"/>
      <sheetName val="II-E-3.16"/>
      <sheetName val="II-E-3.17"/>
      <sheetName val="II-E-3.18"/>
      <sheetName val="II-E-3.19"/>
      <sheetName val="II-E-3.20"/>
      <sheetName val="II-E-3.21"/>
      <sheetName val="II-E-3.22"/>
      <sheetName val="II-E-3.23 Pg 1"/>
      <sheetName val="II-E-3.23 Pg 2"/>
      <sheetName val="II-E-3.23 Pg 3"/>
      <sheetName val="II-E-3.24"/>
      <sheetName val="II-E-4 Other Expenses"/>
      <sheetName val="II-E-4.1"/>
      <sheetName val="II-E-4.2"/>
      <sheetName val="II-E-4.3"/>
      <sheetName val="II-E-4.4 Reg Comm Exp"/>
      <sheetName val="II E-4.5 Rate Case Expense"/>
      <sheetName val="II-E-5 Other Revenues"/>
      <sheetName val="II-F Alloc_Factor"/>
      <sheetName val="II-F Alloc_Data"/>
      <sheetName val="II-G"/>
      <sheetName val="III-A Wholesale TCOS"/>
      <sheetName val="III-A-1 Wholesale TCOS"/>
      <sheetName val="III-B"/>
      <sheetName val="III-E-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100">
          <cell r="H100">
            <v>732396.74751723884</v>
          </cell>
        </row>
      </sheetData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I-A"/>
      <sheetName val="I-A-1"/>
      <sheetName val="I-A-2"/>
      <sheetName val="II-B Summary of Rate Base"/>
      <sheetName val="II-B-1 Plant"/>
      <sheetName val="Attachment II-B-1 Plant"/>
      <sheetName val="II-B-2 General Plant"/>
      <sheetName val="Attachment II-B-2"/>
      <sheetName val="II-B-3 Comm. Equip."/>
      <sheetName val="II-B-4 CWIP"/>
      <sheetName val="II-B-5 Depreciation"/>
      <sheetName val="Attachment II-B-5"/>
      <sheetName val="II-B-6 Plant Held For Future"/>
      <sheetName val="II-B-7 Accum. Provisions"/>
      <sheetName val="Attachment II-B-7"/>
      <sheetName val="II-B-8 M&amp;S"/>
      <sheetName val="II-B-8 M&amp;S (Monthly)"/>
      <sheetName val="Attachment II-B-8"/>
      <sheetName val="II-B-9 CWCapital"/>
      <sheetName val="II-B-10 Prepayments"/>
      <sheetName val="II-B-10 Prepayments (Monthly)"/>
      <sheetName val="Attachment  II-B-10"/>
      <sheetName val="II-B-11 Rate Base Other"/>
      <sheetName val="II-B-12 Reg. Assets"/>
      <sheetName val="II-B-13 Gain or Loss"/>
      <sheetName val="II-B-14 Pension Funding"/>
      <sheetName val="II-C-1 ROR"/>
      <sheetName val="II-C-1.1 ROR Method"/>
      <sheetName val="II-C-2.1"/>
      <sheetName val="II-C-2.2"/>
      <sheetName val="II-C-2.2a"/>
      <sheetName val="II-C-2.3"/>
      <sheetName val="II-C-2.3a"/>
      <sheetName val="II-C-2.4"/>
      <sheetName val="II-C-2.4a"/>
      <sheetName val="II-C-2.5"/>
      <sheetName val="II-C-2.5.1"/>
      <sheetName val="II-C-2.6"/>
      <sheetName val="Attachment II-C-2.6 "/>
      <sheetName val="II-C-2.7"/>
      <sheetName val="II-C-2.8 "/>
      <sheetName val="II-C-2.9 "/>
      <sheetName val="II-C-2.10 "/>
      <sheetName val="II-C-3"/>
      <sheetName val="II-D-1 O&amp;M"/>
      <sheetName val="II-D-1 O&amp;M (Part 2)"/>
      <sheetName val="Attachment II-D-1 O&amp;M"/>
      <sheetName val="II-D-1.1 Mthly O&amp;M (all)"/>
      <sheetName val="II-D-1.1 Mthly O&amp;M (Tran)"/>
      <sheetName val="II-D-1.1Mthly O&amp;M (Dist)"/>
      <sheetName val="II-D-1.1 Mthly O&amp;M (Meter)"/>
      <sheetName val="II-D-1.1 Mthly O&amp;M (TDCS)"/>
      <sheetName val="II-D-2 A&amp;G"/>
      <sheetName val="II-D-2 A&amp;G (Part 2)"/>
      <sheetName val="Attachment II D-2 A&amp;G"/>
      <sheetName val="II-D-2.1 Mthly A&amp;G (all)"/>
      <sheetName val="II-D-2.1 Mthly A&amp;G (Tran)"/>
      <sheetName val="II-D-2.1 Mthly A&amp;G (Dist)"/>
      <sheetName val="II-D-2.1 Mthly A&amp;G (Meter)"/>
      <sheetName val="II-D-2.1 Mthly A&amp;G (TDCS)"/>
      <sheetName val="II D-2.2 Bad Debt"/>
      <sheetName val="II D-2.2 Bad Debt (Part 2)"/>
      <sheetName val="II D-2.2 Bad Debt (Part 3)"/>
      <sheetName val="II-D-2.3 Adv. Contr.&amp;Dues"/>
      <sheetName val="II-D-2.4 Advertising"/>
      <sheetName val="II-D-2.4a Advertising Capital"/>
      <sheetName val="II-D-2.5Contributions&amp;Donat"/>
      <sheetName val="II-D-2.6 Dues Summary"/>
      <sheetName val="II-D-2.6a Industry"/>
      <sheetName val="II-D-2.6b Business Economic"/>
      <sheetName val="II-D-2.6c Professional"/>
      <sheetName val="II-D-2.7 Outside Services TY"/>
      <sheetName val="II-D-2.7-1 Outside Services"/>
      <sheetName val="II-D-2.7-2 Outside Services"/>
      <sheetName val="II-D-2.7-3 Outside Services"/>
      <sheetName val="II-D-2.8 Factoring"/>
      <sheetName val="II-D-2-9 Rents and Leases"/>
      <sheetName val="II-D-3 Payroll"/>
      <sheetName val="II-D-3.1 Payroll Narrative"/>
      <sheetName val="II-D-3.2 Reg and Overtime"/>
      <sheetName val="II-D-3.3 Union"/>
      <sheetName val="II-D-3.4 Exp vs Capital"/>
      <sheetName val="II-D-3.5 No. of Employees"/>
      <sheetName val="II-D-3.6 Non Standard Pay"/>
      <sheetName val="II-D-3.8 Pension Expense"/>
      <sheetName val="II-D-3.9 PostRetirement Benefit"/>
      <sheetName val="II-D-4 Exclusions"/>
      <sheetName val="II-E-1 Dep. Exp."/>
      <sheetName val="Attachment II-E-1.1"/>
      <sheetName val="Attachment II-E-1.2"/>
      <sheetName val="Attachment II-E-1.3 Depr Rates"/>
      <sheetName val="II-E-2 Taxes Other"/>
      <sheetName val="Attachment II-E-2"/>
      <sheetName val="II-E-2.1 Ad valorem"/>
      <sheetName val="II-E-3 FIT"/>
      <sheetName val="II-E-3-Attach"/>
      <sheetName val="II-E-3.1"/>
      <sheetName val="Attachment II-E-3.1.1"/>
      <sheetName val="II-E-3.2"/>
      <sheetName val="II-E-3.3"/>
      <sheetName val="II-E-3.4"/>
      <sheetName val="II-E-3.5 ADFIT"/>
      <sheetName val="II-E-3.6"/>
      <sheetName val="II-E-3.7"/>
      <sheetName val="II-E-3.8"/>
      <sheetName val="II-E-3.9 ITC"/>
      <sheetName val="II-E-3.10"/>
      <sheetName val="II-E-3.11"/>
      <sheetName val="II-E-3.12 ITC Utilized"/>
      <sheetName val="II-E-3.13 ITC Elections"/>
      <sheetName val="II-E-3.14 Accum Def ITC"/>
      <sheetName val="Attachment II-E-3.1"/>
      <sheetName val="II-E-3.15"/>
      <sheetName val="II-E-3.16"/>
      <sheetName val="II-E-3.17"/>
      <sheetName val="II-E-3.18"/>
      <sheetName val="II-E-3.19"/>
      <sheetName val="II-E-3.20"/>
      <sheetName val="II-E-3.21"/>
      <sheetName val="II-E-3.22"/>
      <sheetName val="II-E-3.23 Pg 1"/>
      <sheetName val="II-E-3.23 Pg 2"/>
      <sheetName val="II-E-3.23 Pg 3"/>
      <sheetName val="II-E-3.24"/>
      <sheetName val="II-E-4 Other Expenses"/>
      <sheetName val="II E-4.1"/>
      <sheetName val="II E-4.2"/>
      <sheetName val="II E-4.3"/>
      <sheetName val="II E-4.4 Reg Comm Exp"/>
      <sheetName val="II-E-4.5 Rate Case Exp "/>
      <sheetName val="II-E-5 Other Revenues"/>
      <sheetName val="II-G"/>
      <sheetName val="III-A-1 Wholesale TCOS"/>
      <sheetName val="III-B"/>
      <sheetName val="III-E-5"/>
      <sheetName val="II-F-1 Alloc_Data"/>
      <sheetName val="II-F-1 Alloc_Fac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>
        <row r="69">
          <cell r="H69">
            <v>214680.34725294012</v>
          </cell>
        </row>
        <row r="100">
          <cell r="H100">
            <v>20541.41621733355</v>
          </cell>
        </row>
      </sheetData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A50" sqref="A50"/>
    </sheetView>
  </sheetViews>
  <sheetFormatPr defaultRowHeight="15" x14ac:dyDescent="0.25"/>
  <cols>
    <col min="1" max="1" width="50" bestFit="1" customWidth="1"/>
    <col min="2" max="2" width="12.7109375" customWidth="1"/>
    <col min="3" max="4" width="13.42578125" bestFit="1" customWidth="1"/>
    <col min="5" max="8" width="12.7109375" customWidth="1"/>
    <col min="9" max="10" width="13.42578125" bestFit="1" customWidth="1"/>
    <col min="11" max="11" width="15.85546875" bestFit="1" customWidth="1"/>
  </cols>
  <sheetData>
    <row r="1" spans="1:1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5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5" spans="1:11" x14ac:dyDescent="0.25">
      <c r="B5" s="9" t="s">
        <v>8</v>
      </c>
      <c r="C5" s="9"/>
      <c r="D5" s="9"/>
      <c r="E5" s="9" t="s">
        <v>9</v>
      </c>
      <c r="F5" s="9"/>
      <c r="G5" s="9"/>
      <c r="H5" s="9" t="s">
        <v>10</v>
      </c>
      <c r="I5" s="9"/>
      <c r="J5" s="9"/>
    </row>
    <row r="6" spans="1:11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4</v>
      </c>
      <c r="F6" s="1" t="s">
        <v>5</v>
      </c>
      <c r="G6" s="1" t="s">
        <v>6</v>
      </c>
      <c r="H6" s="1" t="s">
        <v>4</v>
      </c>
      <c r="I6" s="1" t="s">
        <v>5</v>
      </c>
      <c r="J6" s="1" t="s">
        <v>6</v>
      </c>
      <c r="K6" s="1" t="s">
        <v>7</v>
      </c>
    </row>
    <row r="7" spans="1:11" x14ac:dyDescent="0.25">
      <c r="A7" s="5" t="s">
        <v>11</v>
      </c>
      <c r="G7" s="8"/>
      <c r="J7" s="8"/>
    </row>
    <row r="8" spans="1:11" x14ac:dyDescent="0.25">
      <c r="A8" s="4" t="s">
        <v>12</v>
      </c>
      <c r="B8" s="6">
        <f>'[1]Attachment II-B-1 Plant'!$E$49</f>
        <v>-3164358.84</v>
      </c>
      <c r="C8" s="6">
        <v>0</v>
      </c>
      <c r="D8" s="6">
        <f>B8+C8</f>
        <v>-3164358.84</v>
      </c>
      <c r="E8" s="6">
        <f>'[2]Attachment II-B-1 Plant'!$E$49+'[2]Attachment II-B-2'!$F$33</f>
        <v>-970015.94</v>
      </c>
      <c r="F8" s="6">
        <v>0</v>
      </c>
      <c r="G8" s="6">
        <f>E8+F8</f>
        <v>-970015.94</v>
      </c>
      <c r="H8" s="6">
        <f>B8+E8</f>
        <v>-4134374.78</v>
      </c>
      <c r="I8" s="3">
        <f>C8+F8</f>
        <v>0</v>
      </c>
      <c r="J8" s="6">
        <f>H8+I8</f>
        <v>-4134374.78</v>
      </c>
      <c r="K8" t="s">
        <v>13</v>
      </c>
    </row>
    <row r="9" spans="1:11" x14ac:dyDescent="0.25">
      <c r="A9" t="s">
        <v>17</v>
      </c>
      <c r="B9" s="6">
        <v>0</v>
      </c>
      <c r="C9" s="6">
        <f>'[1]Attachment II-B-1 Plant'!$F$85+'[1]II-B-3 Comm. Equip.'!$G$14</f>
        <v>-88121281.901000038</v>
      </c>
      <c r="D9" s="6">
        <f t="shared" ref="D9:D52" si="0">B9+C9</f>
        <v>-88121281.901000038</v>
      </c>
      <c r="E9" s="6">
        <v>0</v>
      </c>
      <c r="F9" s="6">
        <v>0</v>
      </c>
      <c r="G9" s="6">
        <f t="shared" ref="G9:G52" si="1">E9+F9</f>
        <v>0</v>
      </c>
      <c r="H9" s="6">
        <f t="shared" ref="H9:H20" si="2">B9+E9</f>
        <v>0</v>
      </c>
      <c r="I9" s="3">
        <f t="shared" ref="I9:I34" si="3">C9+F9</f>
        <v>-88121281.901000038</v>
      </c>
      <c r="J9" s="6">
        <f t="shared" ref="J9:J34" si="4">H9+I9</f>
        <v>-88121281.901000038</v>
      </c>
      <c r="K9" t="s">
        <v>13</v>
      </c>
    </row>
    <row r="10" spans="1:11" x14ac:dyDescent="0.25">
      <c r="A10" t="s">
        <v>14</v>
      </c>
      <c r="B10" s="6">
        <f>'[1]Attachment II-B-5 Depreciation'!$E$60</f>
        <v>-55702</v>
      </c>
      <c r="C10" s="6">
        <v>0</v>
      </c>
      <c r="D10" s="6">
        <f t="shared" si="0"/>
        <v>-55702</v>
      </c>
      <c r="E10" s="6">
        <f>'[2]Attachment II-B-5-1'!$E$78</f>
        <v>425639.30161900003</v>
      </c>
      <c r="F10" s="6">
        <v>0</v>
      </c>
      <c r="G10" s="6">
        <f t="shared" si="1"/>
        <v>425639.30161900003</v>
      </c>
      <c r="H10" s="6">
        <f t="shared" si="2"/>
        <v>369937.30161900003</v>
      </c>
      <c r="I10" s="3">
        <f t="shared" si="3"/>
        <v>0</v>
      </c>
      <c r="J10" s="6">
        <f t="shared" si="4"/>
        <v>369937.30161900003</v>
      </c>
      <c r="K10" t="s">
        <v>13</v>
      </c>
    </row>
    <row r="11" spans="1:11" x14ac:dyDescent="0.25">
      <c r="A11" t="s">
        <v>18</v>
      </c>
      <c r="B11" s="6">
        <v>0</v>
      </c>
      <c r="C11" s="6">
        <f>'[1]Attachment II-B-5 Depreciation'!$F$106</f>
        <v>8784383</v>
      </c>
      <c r="D11" s="6">
        <f t="shared" si="0"/>
        <v>8784383</v>
      </c>
      <c r="E11" s="6">
        <v>0</v>
      </c>
      <c r="F11" s="6">
        <v>0</v>
      </c>
      <c r="G11" s="6">
        <f t="shared" si="1"/>
        <v>0</v>
      </c>
      <c r="H11" s="6">
        <f t="shared" si="2"/>
        <v>0</v>
      </c>
      <c r="I11" s="3">
        <f t="shared" si="3"/>
        <v>8784383</v>
      </c>
      <c r="J11" s="6">
        <f t="shared" si="4"/>
        <v>8784383</v>
      </c>
      <c r="K11" t="s">
        <v>13</v>
      </c>
    </row>
    <row r="12" spans="1:11" x14ac:dyDescent="0.25">
      <c r="A12" t="s">
        <v>19</v>
      </c>
      <c r="B12" s="6">
        <f>'[1]Attachment II-B-5 Depreciation'!$G$60</f>
        <v>-5513499.5789999999</v>
      </c>
      <c r="C12" s="6">
        <f>'[1]Attachment II-B-5 Depreciation'!$G$106</f>
        <v>-7762519.3269999987</v>
      </c>
      <c r="D12" s="6">
        <f t="shared" si="0"/>
        <v>-13276018.905999999</v>
      </c>
      <c r="E12" s="6">
        <f>'[2]Attachment II-B-5-1'!$F$150</f>
        <v>-15100733.448999999</v>
      </c>
      <c r="F12" s="6">
        <f>'[2]Attachment II-B-5-1'!$F$222</f>
        <v>-1936308.1039999998</v>
      </c>
      <c r="G12" s="6">
        <f t="shared" si="1"/>
        <v>-17037041.552999999</v>
      </c>
      <c r="H12" s="6">
        <f t="shared" si="2"/>
        <v>-20614233.027999997</v>
      </c>
      <c r="I12" s="3">
        <f t="shared" si="3"/>
        <v>-9698827.430999998</v>
      </c>
      <c r="J12" s="6">
        <f t="shared" si="4"/>
        <v>-30313060.458999995</v>
      </c>
      <c r="K12" t="s">
        <v>13</v>
      </c>
    </row>
    <row r="13" spans="1:11" x14ac:dyDescent="0.25">
      <c r="A13" t="s">
        <v>20</v>
      </c>
      <c r="B13" s="6">
        <v>0</v>
      </c>
      <c r="C13" s="6">
        <f>'[1]II-B-6 Plant Future'!$G$16</f>
        <v>-1809575.72</v>
      </c>
      <c r="D13" s="6">
        <f t="shared" si="0"/>
        <v>-1809575.72</v>
      </c>
      <c r="E13" s="6">
        <v>0</v>
      </c>
      <c r="F13" s="6">
        <v>0</v>
      </c>
      <c r="G13" s="6">
        <f t="shared" si="1"/>
        <v>0</v>
      </c>
      <c r="H13" s="6">
        <f t="shared" si="2"/>
        <v>0</v>
      </c>
      <c r="I13" s="3">
        <f t="shared" si="3"/>
        <v>-1809575.72</v>
      </c>
      <c r="J13" s="6">
        <f t="shared" si="4"/>
        <v>-1809575.72</v>
      </c>
      <c r="K13" t="s">
        <v>13</v>
      </c>
    </row>
    <row r="14" spans="1:11" x14ac:dyDescent="0.25">
      <c r="A14" t="s">
        <v>15</v>
      </c>
      <c r="B14" s="6">
        <f>'[1]II-E-3.7'!$G$184</f>
        <v>-4058068.5900000008</v>
      </c>
      <c r="C14" s="6">
        <f>'[1]II-E-3.7'!$G$108-'[1]II-E-3.7'!$G$78-'[1]II-E-3.7'!$G$79-'[1]II-E-3.7'!$G$96-'[1]II-E-3.7'!$G$99-'[1]II-E-3.7'!$G$33-'[1]II-E-3.7'!$G$34-'[1]II-E-3.7'!$G$37</f>
        <v>15000399.650000045</v>
      </c>
      <c r="D14" s="6">
        <f t="shared" si="0"/>
        <v>10942331.060000043</v>
      </c>
      <c r="E14" s="6">
        <f>'[2]II-E-3.7'!$G$186</f>
        <v>-1229147.1800000006</v>
      </c>
      <c r="F14" s="6">
        <f>'[2]II-E-3.7'!$G$106</f>
        <v>-3332336.9699999988</v>
      </c>
      <c r="G14" s="6">
        <f t="shared" si="1"/>
        <v>-4561484.1499999994</v>
      </c>
      <c r="H14" s="6">
        <f t="shared" si="2"/>
        <v>-5287215.7700000014</v>
      </c>
      <c r="I14" s="3">
        <f t="shared" si="3"/>
        <v>11668062.680000046</v>
      </c>
      <c r="J14" s="6">
        <f t="shared" si="4"/>
        <v>6380846.9100000449</v>
      </c>
      <c r="K14" t="s">
        <v>16</v>
      </c>
    </row>
    <row r="15" spans="1:11" x14ac:dyDescent="0.25">
      <c r="A15" t="s">
        <v>22</v>
      </c>
      <c r="B15" s="6">
        <f>'[1]II-B-8 M&amp;S'!$Q$34-'[1]II-B-8 M&amp;S'!$P$34</f>
        <v>422680.1153846141</v>
      </c>
      <c r="C15" s="6">
        <f>'[1]II-B-8 M&amp;S'!$Q$40-'[1]II-B-8 M&amp;S'!$P$40</f>
        <v>-2587926.0961538479</v>
      </c>
      <c r="D15" s="6">
        <f t="shared" si="0"/>
        <v>-2165245.9807692338</v>
      </c>
      <c r="E15" s="6">
        <f>'[2]II-B-8 M&amp;S'!$Q$28-'[2]II-B-8 M&amp;S'!$P$28</f>
        <v>247049.00076923147</v>
      </c>
      <c r="F15" s="6">
        <f>'[2]II-B-8 M&amp;S'!$Q$32-'[2]II-B-8 M&amp;S'!$P$32</f>
        <v>275547.47153846081</v>
      </c>
      <c r="G15" s="6">
        <f t="shared" si="1"/>
        <v>522596.47230769228</v>
      </c>
      <c r="H15" s="6">
        <f t="shared" si="2"/>
        <v>669729.11615384556</v>
      </c>
      <c r="I15" s="3">
        <f t="shared" si="3"/>
        <v>-2312378.6246153871</v>
      </c>
      <c r="J15" s="6">
        <f t="shared" si="4"/>
        <v>-1642649.5084615415</v>
      </c>
      <c r="K15" t="s">
        <v>13</v>
      </c>
    </row>
    <row r="16" spans="1:11" x14ac:dyDescent="0.25">
      <c r="A16" t="s">
        <v>21</v>
      </c>
      <c r="B16" s="6">
        <f>SUM('[1]II-B-10 Prepayments'!$Q$48:$Q$50)-SUM('[1]II-B-10 Prepayments'!$P$48:$P$50)+SUM('[1]II-B-10 Prepayments'!$Q$53:$Q$54)-SUM('[1]II-B-10 Prepayments'!$P$53:$P$54)</f>
        <v>-154584.5384615385</v>
      </c>
      <c r="C16" s="7">
        <f>SUM('[1]II-B-10 Prepayments'!$Q$62:$Q$64)-SUM('[1]II-B-10 Prepayments'!$P$62:$P$64)+SUM('[1]II-B-10 Prepayments'!$Q$67:$Q$68)-SUM('[1]II-B-10 Prepayments'!$P$67:$P$68)</f>
        <v>182899.92307692301</v>
      </c>
      <c r="D16" s="6">
        <f t="shared" si="0"/>
        <v>28315.384615384508</v>
      </c>
      <c r="E16" s="6">
        <f>'[2]Attachment  II-B-10'!$C$19</f>
        <v>80055.145076923072</v>
      </c>
      <c r="F16" s="6">
        <f>'[2]Attachment  II-B-10'!$C$33</f>
        <v>19937.434153846232</v>
      </c>
      <c r="G16" s="6">
        <f t="shared" si="1"/>
        <v>99992.579230769305</v>
      </c>
      <c r="H16" s="6">
        <f t="shared" si="2"/>
        <v>-74529.393384615425</v>
      </c>
      <c r="I16" s="3">
        <f t="shared" si="3"/>
        <v>202837.35723076924</v>
      </c>
      <c r="J16" s="6">
        <f t="shared" si="4"/>
        <v>128307.96384615381</v>
      </c>
      <c r="K16" t="s">
        <v>13</v>
      </c>
    </row>
    <row r="17" spans="1:11" x14ac:dyDescent="0.25">
      <c r="A17" t="s">
        <v>23</v>
      </c>
      <c r="B17" s="6">
        <f>'[1]II-B-10 Prepayments'!$S$51</f>
        <v>4508633.797728911</v>
      </c>
      <c r="C17" s="6">
        <f>'[1]II-B-10 Prepayments'!$S$65</f>
        <v>54519469.669011265</v>
      </c>
      <c r="D17" s="6">
        <f t="shared" si="0"/>
        <v>59028103.466740176</v>
      </c>
      <c r="E17" s="6">
        <f>'[2]Attachment  II-B-10'!$D$13+'[2]Attachment  II-B-10'!$D$14</f>
        <v>838638.34028182644</v>
      </c>
      <c r="F17" s="6">
        <f>'[2]Attachment  II-B-10'!$D$27+'[2]Attachment  II-B-10'!$D$28</f>
        <v>9841090.1429042965</v>
      </c>
      <c r="G17" s="6">
        <f t="shared" si="1"/>
        <v>10679728.483186122</v>
      </c>
      <c r="H17" s="6">
        <f t="shared" si="2"/>
        <v>5347272.1380107375</v>
      </c>
      <c r="I17" s="3">
        <f t="shared" si="3"/>
        <v>64360559.811915562</v>
      </c>
      <c r="J17" s="6">
        <f t="shared" si="4"/>
        <v>69707831.949926302</v>
      </c>
      <c r="K17" t="s">
        <v>13</v>
      </c>
    </row>
    <row r="18" spans="1:11" x14ac:dyDescent="0.25">
      <c r="A18" t="s">
        <v>24</v>
      </c>
      <c r="B18" s="6">
        <f>'[1]II-B-10 Prepayments'!$S$55</f>
        <v>652929.45992435073</v>
      </c>
      <c r="C18" s="6">
        <f>'[1]II-B-10 Prepayments'!$S$69</f>
        <v>10190720.602567812</v>
      </c>
      <c r="D18" s="6">
        <f t="shared" si="0"/>
        <v>10843650.062492164</v>
      </c>
      <c r="E18" s="6">
        <f>'[2]Attachment  II-B-10'!$E$17+'[2]Attachment  II-B-10'!$D$18</f>
        <v>327341.97961113683</v>
      </c>
      <c r="F18" s="6">
        <f>'[2]Attachment  II-B-10'!$E$31+'[2]Attachment  II-B-10'!$D$32</f>
        <v>2589765.514622462</v>
      </c>
      <c r="G18" s="6">
        <f t="shared" si="1"/>
        <v>2917107.4942335989</v>
      </c>
      <c r="H18" s="6">
        <f t="shared" si="2"/>
        <v>980271.43953548756</v>
      </c>
      <c r="I18" s="3">
        <f t="shared" si="3"/>
        <v>12780486.117190275</v>
      </c>
      <c r="J18" s="6">
        <f t="shared" si="4"/>
        <v>13760757.556725763</v>
      </c>
      <c r="K18" t="s">
        <v>13</v>
      </c>
    </row>
    <row r="19" spans="1:11" x14ac:dyDescent="0.25">
      <c r="A19" t="s">
        <v>25</v>
      </c>
      <c r="B19" s="6">
        <f>-('[1]II-E-3.7'!$G$137+'[1]II-E-3.7'!$G$138+'[1]II-E-3.7'!$G$139+'[1]II-E-3.7'!$G$140+'[1]II-E-3.7'!$G$141+'[1]II-E-3.7'!$G$142+'[1]II-E-3.7'!$G$159+'[1]II-E-3.7'!$G$160+'[1]II-E-3.7'!$G$162+'[1]II-E-3.7'!$G$181+'[1]II-E-3.7'!$G$182)</f>
        <v>13151220.440000001</v>
      </c>
      <c r="C19" s="6">
        <f>-('[1]II-E-3.7'!$G$51+'[1]II-E-3.7'!$G$52+'[1]II-E-3.7'!$G$53+'[1]II-E-3.7'!$G$54+'[1]II-E-3.7'!$G$55+'[1]II-E-3.7'!$G$71+'[1]II-E-3.7'!$G$72+'[1]II-E-3.7'!$G$73+'[1]II-E-3.7'!$G$105+'[1]II-E-3.7'!$G$106)</f>
        <v>99435236.469999999</v>
      </c>
      <c r="D19" s="6">
        <f t="shared" si="0"/>
        <v>112586456.91</v>
      </c>
      <c r="E19" s="6">
        <f>-('[2]II-E-3.7'!$G$136+'[2]II-E-3.7'!$G$137+'[2]II-E-3.7'!$G$139+'[2]II-E-3.7'!$G$140+'[2]II-E-3.7'!$G$141+'[2]II-E-3.7'!$G$155+'[2]II-E-3.7'!$G$156+'[2]II-E-3.7'!$G$158+'[2]II-E-3.7'!$G$181+'[2]II-E-3.7'!$G$182)</f>
        <v>3910692.24</v>
      </c>
      <c r="F19" s="6">
        <f>-('[2]II-E-3.7'!$G$48+'[2]II-E-3.7'!$G$49+'[2]II-E-3.7'!$G$51+'[2]II-E-3.7'!$G$52+'[2]II-E-3.7'!$G$53+'[2]II-E-3.7'!$G$67+'[2]II-E-3.7'!$G$68+'[2]II-E-3.7'!$G$70+'[2]II-E-3.7'!$G$101+'[2]II-E-3.7'!$G$102)</f>
        <v>24823555.210000001</v>
      </c>
      <c r="G19" s="6">
        <f t="shared" si="1"/>
        <v>28734247.450000003</v>
      </c>
      <c r="H19" s="6">
        <f t="shared" si="2"/>
        <v>17061912.68</v>
      </c>
      <c r="I19" s="3">
        <f t="shared" si="3"/>
        <v>124258791.68000001</v>
      </c>
      <c r="J19" s="6">
        <f t="shared" si="4"/>
        <v>141320704.36000001</v>
      </c>
      <c r="K19" t="s">
        <v>16</v>
      </c>
    </row>
    <row r="20" spans="1:11" x14ac:dyDescent="0.25">
      <c r="A20" t="s">
        <v>26</v>
      </c>
      <c r="B20" s="6">
        <v>0</v>
      </c>
      <c r="C20" s="6">
        <f>'[1]II-B-12 Reg. Assets'!$G$18</f>
        <v>-161633110.1153391</v>
      </c>
      <c r="D20" s="6">
        <f t="shared" si="0"/>
        <v>-161633110.1153391</v>
      </c>
      <c r="E20" s="6">
        <v>0</v>
      </c>
      <c r="F20" s="6">
        <v>0</v>
      </c>
      <c r="G20" s="6">
        <f t="shared" si="1"/>
        <v>0</v>
      </c>
      <c r="H20" s="6">
        <f t="shared" si="2"/>
        <v>0</v>
      </c>
      <c r="I20" s="3">
        <f t="shared" si="3"/>
        <v>-161633110.1153391</v>
      </c>
      <c r="J20" s="6">
        <f t="shared" si="4"/>
        <v>-161633110.1153391</v>
      </c>
      <c r="K20" t="s">
        <v>13</v>
      </c>
    </row>
    <row r="21" spans="1:11" x14ac:dyDescent="0.25">
      <c r="B21" s="6"/>
      <c r="C21" s="6"/>
      <c r="D21" s="6"/>
      <c r="E21" s="6"/>
      <c r="F21" s="6"/>
      <c r="G21" s="6"/>
      <c r="H21" s="6"/>
      <c r="I21" s="3"/>
      <c r="J21" s="6"/>
    </row>
    <row r="22" spans="1:11" x14ac:dyDescent="0.25">
      <c r="A22" s="2" t="s">
        <v>27</v>
      </c>
      <c r="B22" s="6"/>
      <c r="C22" s="6"/>
      <c r="D22" s="6"/>
      <c r="E22" s="6"/>
      <c r="F22" s="6"/>
      <c r="G22" s="6"/>
      <c r="H22" s="6"/>
      <c r="I22" s="3"/>
      <c r="J22" s="6"/>
    </row>
    <row r="23" spans="1:11" x14ac:dyDescent="0.25">
      <c r="A23" t="s">
        <v>28</v>
      </c>
      <c r="B23" s="6">
        <f>'[1]Attachment II-D-1 O&amp;M'!$F$148+'[1]Attachment II D-2 A&amp;G'!$F$46</f>
        <v>127912.24628375717</v>
      </c>
      <c r="C23" s="6">
        <f>+'[1]Attachment II D-2 A&amp;G'!$F$61+'[1]Attachment II-D-1 O&amp;M'!$F$201</f>
        <v>1526277.4050714166</v>
      </c>
      <c r="D23" s="6">
        <f t="shared" si="0"/>
        <v>1654189.6513551739</v>
      </c>
      <c r="E23" s="6">
        <f>'[2]Attachment II-D-1 O&amp;M'!$F$150+'[2]Attachment II D-2 A&amp;G'!$F$41</f>
        <v>132731.28390686039</v>
      </c>
      <c r="F23" s="6">
        <f>'[2]Attachment II-D-1 O&amp;M'!$F$204+'[2]Attachment II D-2 A&amp;G'!$F$56</f>
        <v>167538.22238604201</v>
      </c>
      <c r="G23" s="6">
        <f t="shared" si="1"/>
        <v>300269.5062929024</v>
      </c>
      <c r="H23" s="6">
        <f t="shared" ref="H23:H52" si="5">B23+E23</f>
        <v>260643.53019061754</v>
      </c>
      <c r="I23" s="3">
        <f t="shared" si="3"/>
        <v>1693815.6274574585</v>
      </c>
      <c r="J23" s="6">
        <f t="shared" si="4"/>
        <v>1954459.1576480761</v>
      </c>
      <c r="K23" t="s">
        <v>41</v>
      </c>
    </row>
    <row r="24" spans="1:11" x14ac:dyDescent="0.25">
      <c r="A24" t="s">
        <v>29</v>
      </c>
      <c r="B24" s="6">
        <f>'[1]Attachment II-D-1 O&amp;M'!$G$148</f>
        <v>0</v>
      </c>
      <c r="C24" s="6">
        <f>'[1]Attachment II-D-1 O&amp;M'!$G$201</f>
        <v>-266755984.88000003</v>
      </c>
      <c r="D24" s="6">
        <f t="shared" si="0"/>
        <v>-266755984.88000003</v>
      </c>
      <c r="E24" s="6">
        <f>'[2]Attachment II-D-1 O&amp;M'!$G$150</f>
        <v>0</v>
      </c>
      <c r="F24" s="6">
        <f>'[2]Attachment II-D-1 O&amp;M'!$G$204</f>
        <v>-60638221.039999999</v>
      </c>
      <c r="G24" s="6">
        <f t="shared" si="1"/>
        <v>-60638221.039999999</v>
      </c>
      <c r="H24" s="6">
        <f t="shared" si="5"/>
        <v>0</v>
      </c>
      <c r="I24" s="3">
        <f t="shared" si="3"/>
        <v>-327394205.92000002</v>
      </c>
      <c r="J24" s="6">
        <f t="shared" si="4"/>
        <v>-327394205.92000002</v>
      </c>
      <c r="K24" t="s">
        <v>13</v>
      </c>
    </row>
    <row r="25" spans="1:11" x14ac:dyDescent="0.25">
      <c r="A25" t="s">
        <v>30</v>
      </c>
      <c r="B25" s="6">
        <f>'[1]Attachment II-D-1 O&amp;M'!$I$148+'[1]Attachment II D-2 A&amp;G'!$G$46</f>
        <v>-1657000.7999999998</v>
      </c>
      <c r="C25" s="6">
        <f>'[1]Attachment II-D-1 O&amp;M'!$I$201+'[1]Attachment II D-2 A&amp;G'!$G$61</f>
        <v>-1988838</v>
      </c>
      <c r="D25" s="6">
        <f t="shared" si="0"/>
        <v>-3645838.8</v>
      </c>
      <c r="E25" s="6">
        <f>'[2]Attachment II-D-1 O&amp;M'!$H$150+'[2]Attachment II D-2 A&amp;G'!$G$41</f>
        <v>-902321.0399999998</v>
      </c>
      <c r="F25" s="6">
        <f>'[2]Attachment II-D-1 O&amp;M'!$H$204+'[2]Attachment II D-2 A&amp;G'!$G$56</f>
        <v>-497611.38</v>
      </c>
      <c r="G25" s="6">
        <f t="shared" si="1"/>
        <v>-1399932.42</v>
      </c>
      <c r="H25" s="6">
        <f t="shared" si="5"/>
        <v>-2559321.84</v>
      </c>
      <c r="I25" s="3">
        <f t="shared" si="3"/>
        <v>-2486449.38</v>
      </c>
      <c r="J25" s="6">
        <f t="shared" si="4"/>
        <v>-5045771.22</v>
      </c>
      <c r="K25" t="s">
        <v>42</v>
      </c>
    </row>
    <row r="26" spans="1:11" x14ac:dyDescent="0.25">
      <c r="A26" t="s">
        <v>31</v>
      </c>
      <c r="B26" s="6">
        <f>'[1]Attachment II-D-1 O&amp;M'!$J$148+'[1]Attachment II D-2 A&amp;G'!$H$46</f>
        <v>-254228.63503753536</v>
      </c>
      <c r="C26" s="6">
        <f>'[1]Attachment II-D-1 O&amp;M'!$J$201+'[1]Attachment II D-2 A&amp;G'!$H$61</f>
        <v>-1229365.4721105876</v>
      </c>
      <c r="D26" s="6">
        <f t="shared" si="0"/>
        <v>-1483594.107148123</v>
      </c>
      <c r="E26" s="6">
        <f>'[2]Attachment II-D-1 O&amp;M'!$I$150+'[2]Attachment II D-2 A&amp;G'!$H$41</f>
        <v>-117844.67179016328</v>
      </c>
      <c r="F26" s="6">
        <f>'[2]Attachment II-D-1 O&amp;M'!$I$204+'[2]Attachment II D-2 A&amp;G'!$H$56</f>
        <v>-246456.4455776659</v>
      </c>
      <c r="G26" s="6">
        <f>E26+F26</f>
        <v>-364301.1173678292</v>
      </c>
      <c r="H26" s="6">
        <f t="shared" si="5"/>
        <v>-372073.30682769866</v>
      </c>
      <c r="I26" s="3">
        <f t="shared" si="3"/>
        <v>-1475821.9176882536</v>
      </c>
      <c r="J26" s="6">
        <f t="shared" si="4"/>
        <v>-1847895.2245159522</v>
      </c>
      <c r="K26" t="s">
        <v>41</v>
      </c>
    </row>
    <row r="27" spans="1:11" x14ac:dyDescent="0.25">
      <c r="A27" t="s">
        <v>32</v>
      </c>
      <c r="B27" s="6">
        <f>'[1]Attachment II-D-1 O&amp;M'!$K$148+'[1]Attachment II D-2 A&amp;G'!$I$46</f>
        <v>-1500.9339539815924</v>
      </c>
      <c r="C27" s="6">
        <f>'[1]Attachment II-D-1 O&amp;M'!$K$201+'[1]Attachment II D-2 A&amp;G'!$I$61</f>
        <v>-89861.432463718666</v>
      </c>
      <c r="D27" s="6">
        <f t="shared" si="0"/>
        <v>-91362.366417700265</v>
      </c>
      <c r="E27" s="6">
        <f>'[2]Attachment II-D-1 O&amp;M'!$J$150+'[2]Attachment II D-2 A&amp;G'!$I$41</f>
        <v>-765.15408407481937</v>
      </c>
      <c r="F27" s="6">
        <f>'[2]Attachment II-D-1 O&amp;M'!$J$204+'[2]Attachment II D-2 A&amp;G'!$I$56</f>
        <v>-4438.2161541142059</v>
      </c>
      <c r="G27" s="6">
        <f t="shared" si="1"/>
        <v>-5203.3702381890253</v>
      </c>
      <c r="H27" s="6">
        <f t="shared" si="5"/>
        <v>-2266.0880380564117</v>
      </c>
      <c r="I27" s="3">
        <f t="shared" si="3"/>
        <v>-94299.648617832878</v>
      </c>
      <c r="J27" s="6">
        <f t="shared" si="4"/>
        <v>-96565.736655889283</v>
      </c>
      <c r="K27" t="s">
        <v>41</v>
      </c>
    </row>
    <row r="28" spans="1:11" x14ac:dyDescent="0.25">
      <c r="A28" t="s">
        <v>33</v>
      </c>
      <c r="B28" s="6">
        <f>'[1]Attachment II-D-1 O&amp;M'!$L$148</f>
        <v>0</v>
      </c>
      <c r="C28" s="6">
        <f>'[1]Attachment II-D-1 O&amp;M'!$L$201</f>
        <v>-13760632.820000002</v>
      </c>
      <c r="D28" s="6">
        <f t="shared" si="0"/>
        <v>-13760632.820000002</v>
      </c>
      <c r="E28" s="6">
        <f>'[2]Attachment II-D-1 O&amp;M'!$K$150</f>
        <v>0</v>
      </c>
      <c r="F28" s="6">
        <f>'[2]Attachment II-D-1 O&amp;M'!$K$204</f>
        <v>-3122298.4699999997</v>
      </c>
      <c r="G28" s="6">
        <f t="shared" si="1"/>
        <v>-3122298.4699999997</v>
      </c>
      <c r="H28" s="6">
        <f t="shared" si="5"/>
        <v>0</v>
      </c>
      <c r="I28" s="3">
        <f t="shared" si="3"/>
        <v>-16882931.290000003</v>
      </c>
      <c r="J28" s="6">
        <f t="shared" si="4"/>
        <v>-16882931.290000003</v>
      </c>
      <c r="K28" t="s">
        <v>13</v>
      </c>
    </row>
    <row r="29" spans="1:11" x14ac:dyDescent="0.25">
      <c r="A29" t="s">
        <v>34</v>
      </c>
      <c r="B29" s="6">
        <f>'[1]Attachment II-D-1 O&amp;M'!$M$148</f>
        <v>405000</v>
      </c>
      <c r="C29" s="6">
        <f>'[1]Attachment II-D-1 O&amp;M'!$M$201</f>
        <v>-405000</v>
      </c>
      <c r="D29" s="6">
        <f t="shared" si="0"/>
        <v>0</v>
      </c>
      <c r="E29" s="6">
        <f>'[2]Attachment II-D-1 O&amp;M'!$L$150+'[2]Attachment II D-2 A&amp;G'!$J$41</f>
        <v>0</v>
      </c>
      <c r="F29" s="6">
        <f>'[2]Attachment II-D-1 O&amp;M'!$L$204+'[2]Attachment II D-2 A&amp;G'!$J$56</f>
        <v>0</v>
      </c>
      <c r="G29" s="6">
        <f t="shared" si="1"/>
        <v>0</v>
      </c>
      <c r="H29" s="6">
        <f t="shared" si="5"/>
        <v>405000</v>
      </c>
      <c r="I29" s="3">
        <f t="shared" si="3"/>
        <v>-405000</v>
      </c>
      <c r="J29" s="6">
        <f t="shared" si="4"/>
        <v>0</v>
      </c>
      <c r="K29" t="s">
        <v>13</v>
      </c>
    </row>
    <row r="30" spans="1:11" x14ac:dyDescent="0.25">
      <c r="A30" t="s">
        <v>35</v>
      </c>
      <c r="B30" s="6">
        <f>'[1]Attachment II-D-1 O&amp;M'!$N$148+'[1]Attachment II D-2 A&amp;G'!$K$46</f>
        <v>1.1823431123048067E-11</v>
      </c>
      <c r="C30" s="6">
        <f>'[1]Attachment II-D-1 O&amp;M'!$N$201+'[1]Attachment II D-2 A&amp;G'!$K$61</f>
        <v>1.4551915228366852E-11</v>
      </c>
      <c r="D30" s="6">
        <f t="shared" si="0"/>
        <v>2.6375346351414919E-11</v>
      </c>
      <c r="E30" s="6">
        <f>'[2]Attachment II-D-1 O&amp;M'!$M$150+'[2]Attachment II D-2 A&amp;G'!$K$41</f>
        <v>1.4779288903810084E-11</v>
      </c>
      <c r="F30" s="6">
        <f>'[2]Attachment II-D-1 O&amp;M'!$M$204+'[2]Attachment II D-2 A&amp;G'!$K$56</f>
        <v>3.3004710076056654E-12</v>
      </c>
      <c r="G30" s="6">
        <f t="shared" si="1"/>
        <v>1.8079759911415749E-11</v>
      </c>
      <c r="H30" s="6">
        <f t="shared" si="5"/>
        <v>2.6602720026858151E-11</v>
      </c>
      <c r="I30" s="3">
        <f t="shared" si="3"/>
        <v>1.7852386235972517E-11</v>
      </c>
      <c r="J30" s="6">
        <f t="shared" si="4"/>
        <v>4.4455106262830668E-11</v>
      </c>
      <c r="K30" t="s">
        <v>13</v>
      </c>
    </row>
    <row r="31" spans="1:11" x14ac:dyDescent="0.25">
      <c r="A31" t="s">
        <v>36</v>
      </c>
      <c r="B31" s="6">
        <f>'[1]Attachment II-D-1 O&amp;M'!$O$148</f>
        <v>-2500</v>
      </c>
      <c r="C31" s="6">
        <f>'[1]Attachment II-D-1 O&amp;M'!$O$201</f>
        <v>-789340.03</v>
      </c>
      <c r="D31" s="6">
        <f t="shared" si="0"/>
        <v>-791840.03</v>
      </c>
      <c r="E31" s="6">
        <f>'[2]Attachment II-D-1 O&amp;M'!$N$150</f>
        <v>-2.15</v>
      </c>
      <c r="F31" s="6">
        <f>'[2]Attachment II-D-1 O&amp;M'!$N$204</f>
        <v>156998.64000000001</v>
      </c>
      <c r="G31" s="6">
        <f t="shared" si="1"/>
        <v>156996.49000000002</v>
      </c>
      <c r="H31" s="6">
        <f t="shared" si="5"/>
        <v>-2502.15</v>
      </c>
      <c r="I31" s="3">
        <f t="shared" si="3"/>
        <v>-632341.39</v>
      </c>
      <c r="J31" s="6">
        <f t="shared" si="4"/>
        <v>-634843.54</v>
      </c>
      <c r="K31" t="s">
        <v>13</v>
      </c>
    </row>
    <row r="32" spans="1:11" x14ac:dyDescent="0.25">
      <c r="A32" t="s">
        <v>37</v>
      </c>
      <c r="B32" s="6">
        <f>'[1]Attachment II-D-1 O&amp;M'!$P$148</f>
        <v>-9585.23</v>
      </c>
      <c r="C32" s="6">
        <f>'[1]Attachment II-D-1 O&amp;M'!$P$201</f>
        <v>-232349.36000000002</v>
      </c>
      <c r="D32" s="6">
        <f t="shared" si="0"/>
        <v>-241934.59000000003</v>
      </c>
      <c r="E32" s="6">
        <f>'[3]Attachment II-D-1 O&amp;M'!$O$150</f>
        <v>-3532.0800000000013</v>
      </c>
      <c r="F32" s="6">
        <f>'[3]Attachment II-D-1 O&amp;M'!$O$204</f>
        <v>-53890.009999999995</v>
      </c>
      <c r="G32" s="6">
        <f t="shared" si="1"/>
        <v>-57422.09</v>
      </c>
      <c r="H32" s="6">
        <f t="shared" si="5"/>
        <v>-13117.310000000001</v>
      </c>
      <c r="I32" s="3">
        <f t="shared" si="3"/>
        <v>-286239.37</v>
      </c>
      <c r="J32" s="6">
        <f t="shared" si="4"/>
        <v>-299356.68</v>
      </c>
      <c r="K32" t="s">
        <v>13</v>
      </c>
    </row>
    <row r="33" spans="1:11" x14ac:dyDescent="0.25">
      <c r="A33" t="s">
        <v>38</v>
      </c>
      <c r="B33" s="6">
        <f>'[1]Attachment II-D-1 O&amp;M'!$Q$148+'[1]Attachment II D-2 A&amp;G'!$J$46</f>
        <v>-816.32999999999993</v>
      </c>
      <c r="C33" s="6">
        <f>'[1]Attachment II-D-1 O&amp;M'!$Q$201+'[1]Attachment II D-2 A&amp;G'!$J$61</f>
        <v>-53613.270000000004</v>
      </c>
      <c r="D33" s="6">
        <f t="shared" si="0"/>
        <v>-54429.600000000006</v>
      </c>
      <c r="E33" s="6">
        <f>'[2]Attachment II-D-1 O&amp;M'!$P$150+'[2]Attachment II D-2 A&amp;G'!$L$41</f>
        <v>-160.16999999999999</v>
      </c>
      <c r="F33" s="6">
        <f>'[2]Attachment II-D-1 O&amp;M'!$P$204+'[2]Attachment II D-2 A&amp;G'!$L$56</f>
        <v>-2276.1</v>
      </c>
      <c r="G33" s="6">
        <f t="shared" si="1"/>
        <v>-2436.27</v>
      </c>
      <c r="H33" s="6">
        <f t="shared" si="5"/>
        <v>-976.49999999999989</v>
      </c>
      <c r="I33" s="3">
        <f t="shared" si="3"/>
        <v>-55889.37</v>
      </c>
      <c r="J33" s="6">
        <f t="shared" si="4"/>
        <v>-56865.87</v>
      </c>
      <c r="K33" t="s">
        <v>13</v>
      </c>
    </row>
    <row r="34" spans="1:11" x14ac:dyDescent="0.25">
      <c r="A34" t="s">
        <v>39</v>
      </c>
      <c r="B34" s="6">
        <f>'[1]Attachment II-D-1 O&amp;M'!$R$148</f>
        <v>0</v>
      </c>
      <c r="C34" s="6">
        <f>'[1]Attachment II-D-1 O&amp;M'!$R$201</f>
        <v>4000000</v>
      </c>
      <c r="D34" s="6">
        <f t="shared" si="0"/>
        <v>4000000</v>
      </c>
      <c r="E34" s="6">
        <f>'[2]Attachment II-D-1 O&amp;M'!$Q$150</f>
        <v>0</v>
      </c>
      <c r="F34" s="6">
        <f>'[2]Attachment II-D-1 O&amp;M'!$Q$204</f>
        <v>1000000</v>
      </c>
      <c r="G34" s="6">
        <f t="shared" si="1"/>
        <v>1000000</v>
      </c>
      <c r="H34" s="6">
        <f t="shared" si="5"/>
        <v>0</v>
      </c>
      <c r="I34" s="3">
        <f t="shared" si="3"/>
        <v>5000000</v>
      </c>
      <c r="J34" s="6">
        <f t="shared" si="4"/>
        <v>5000000</v>
      </c>
      <c r="K34" t="s">
        <v>43</v>
      </c>
    </row>
    <row r="35" spans="1:11" x14ac:dyDescent="0.25">
      <c r="A35" t="s">
        <v>40</v>
      </c>
      <c r="B35" s="6">
        <f>'[1]Attachment II-D-1 O&amp;M'!$S$148</f>
        <v>255107</v>
      </c>
      <c r="C35" s="6">
        <f>'[1]Attachment II-D-1 O&amp;M'!$S$201</f>
        <v>2726923</v>
      </c>
      <c r="D35" s="6">
        <f t="shared" si="0"/>
        <v>2982030</v>
      </c>
      <c r="E35" s="6">
        <f>'[2]Attachment II-D-1 O&amp;M'!$R$104</f>
        <v>25545</v>
      </c>
      <c r="F35" s="6">
        <f>'[2]Attachment II-D-1 O&amp;M'!$R$184</f>
        <v>1077394</v>
      </c>
      <c r="G35" s="6">
        <f t="shared" si="1"/>
        <v>1102939</v>
      </c>
      <c r="H35" s="6">
        <f t="shared" si="5"/>
        <v>280652</v>
      </c>
      <c r="I35" s="3">
        <f t="shared" ref="I35:I47" si="6">C35+F35</f>
        <v>3804317</v>
      </c>
      <c r="J35" s="6">
        <f t="shared" ref="J35:J47" si="7">H35+I35</f>
        <v>4084969</v>
      </c>
      <c r="K35" t="s">
        <v>13</v>
      </c>
    </row>
    <row r="36" spans="1:11" x14ac:dyDescent="0.25">
      <c r="A36" t="s">
        <v>62</v>
      </c>
      <c r="B36" s="6">
        <f>'[1]Attachment II-D-1 O&amp;M'!$T$148+'[1]Attachment II D-2 A&amp;G'!$R$46</f>
        <v>303741.967159811</v>
      </c>
      <c r="C36" s="6">
        <f>'[1]Attachment II-D-1 O&amp;M'!$T$201+'[1]Attachment II D-2 A&amp;G'!$R$61</f>
        <v>381085.74284018896</v>
      </c>
      <c r="D36" s="6">
        <f t="shared" si="0"/>
        <v>684827.71</v>
      </c>
      <c r="E36" s="6">
        <f>'[2]Attachment II-D-1 O&amp;M'!$S$150+'[2]Attachment II D-2 A&amp;G'!$S$41</f>
        <v>82154.320340872815</v>
      </c>
      <c r="F36" s="6">
        <f>'[2]Attachment II-D-1 O&amp;M'!$S$204+'[2]Attachment II D-2 A&amp;G'!$S$56</f>
        <v>71900.649659127172</v>
      </c>
      <c r="G36" s="6">
        <f t="shared" si="1"/>
        <v>154054.96999999997</v>
      </c>
      <c r="H36" s="6">
        <f t="shared" si="5"/>
        <v>385896.2875006838</v>
      </c>
      <c r="I36" s="3">
        <f t="shared" si="6"/>
        <v>452986.39249931613</v>
      </c>
      <c r="J36" s="6">
        <f t="shared" si="7"/>
        <v>838882.67999999993</v>
      </c>
      <c r="K36" t="s">
        <v>44</v>
      </c>
    </row>
    <row r="37" spans="1:11" x14ac:dyDescent="0.25">
      <c r="A37" t="s">
        <v>45</v>
      </c>
      <c r="B37" s="6">
        <f>'[1]Attachment II D-2 A&amp;G'!$L$46</f>
        <v>98080.62</v>
      </c>
      <c r="C37" s="6">
        <f>'[1]Attachment II D-2 A&amp;G'!$L$61</f>
        <v>121265.56999999999</v>
      </c>
      <c r="D37" s="6">
        <f t="shared" si="0"/>
        <v>219346.19</v>
      </c>
      <c r="E37" s="6">
        <f>'[2]Attachment II D-2 A&amp;G'!$M$41</f>
        <v>58628.52</v>
      </c>
      <c r="F37" s="6">
        <f>'[2]Attachment II D-2 A&amp;G'!$M$56</f>
        <v>47631.239999999991</v>
      </c>
      <c r="G37" s="6">
        <f t="shared" si="1"/>
        <v>106259.75999999998</v>
      </c>
      <c r="H37" s="6">
        <f t="shared" si="5"/>
        <v>156709.13999999998</v>
      </c>
      <c r="I37" s="3">
        <f t="shared" si="6"/>
        <v>168896.81</v>
      </c>
      <c r="J37" s="6">
        <f t="shared" si="7"/>
        <v>325605.94999999995</v>
      </c>
      <c r="K37" t="s">
        <v>13</v>
      </c>
    </row>
    <row r="38" spans="1:11" x14ac:dyDescent="0.25">
      <c r="A38" t="s">
        <v>46</v>
      </c>
      <c r="B38" s="6">
        <f>'[1]Attachment II D-2 A&amp;G'!$M$46</f>
        <v>1474260.5706810639</v>
      </c>
      <c r="C38" s="6">
        <f>'[1]Attachment II D-2 A&amp;G'!$M$61</f>
        <v>47899.971539232181</v>
      </c>
      <c r="D38" s="6">
        <f t="shared" si="0"/>
        <v>1522160.5422202961</v>
      </c>
      <c r="E38" s="6">
        <f>'[2]Attachment II D-2 A&amp;G'!$N$41</f>
        <v>0</v>
      </c>
      <c r="F38" s="6">
        <f>'[2]Attachment II D-2 A&amp;G'!$N$56</f>
        <v>1450000</v>
      </c>
      <c r="G38" s="6">
        <f t="shared" si="1"/>
        <v>1450000</v>
      </c>
      <c r="H38" s="6">
        <f t="shared" si="5"/>
        <v>1474260.5706810639</v>
      </c>
      <c r="I38" s="3">
        <f t="shared" si="6"/>
        <v>1497899.9715392322</v>
      </c>
      <c r="J38" s="6">
        <f t="shared" si="7"/>
        <v>2972160.5422202963</v>
      </c>
      <c r="K38" t="s">
        <v>60</v>
      </c>
    </row>
    <row r="39" spans="1:11" x14ac:dyDescent="0.25">
      <c r="A39" t="s">
        <v>47</v>
      </c>
      <c r="B39" s="6">
        <f>'[1]Attachment II D-2 A&amp;G'!$N$46</f>
        <v>44046.242970633699</v>
      </c>
      <c r="C39" s="6">
        <f>'[1]Attachment II D-2 A&amp;G'!$N$61</f>
        <v>-137932.71417956077</v>
      </c>
      <c r="D39" s="6">
        <f t="shared" si="0"/>
        <v>-93886.471208927076</v>
      </c>
      <c r="E39" s="6">
        <f>'[2]Attachment II D-2 A&amp;G'!$O$41</f>
        <v>49667.414817844823</v>
      </c>
      <c r="F39" s="6">
        <f>'[2]Attachment II D-2 A&amp;G'!$O$56</f>
        <v>-185382.93190750829</v>
      </c>
      <c r="G39" s="6">
        <f t="shared" si="1"/>
        <v>-135715.51708966348</v>
      </c>
      <c r="H39" s="6">
        <f t="shared" si="5"/>
        <v>93713.657788478522</v>
      </c>
      <c r="I39" s="3">
        <f t="shared" si="6"/>
        <v>-323315.64608706906</v>
      </c>
      <c r="J39" s="6">
        <f t="shared" si="7"/>
        <v>-229601.98829859053</v>
      </c>
      <c r="K39" t="s">
        <v>13</v>
      </c>
    </row>
    <row r="40" spans="1:11" x14ac:dyDescent="0.25">
      <c r="A40" t="s">
        <v>48</v>
      </c>
      <c r="B40" s="6">
        <f>'[1]Attachment II D-2 A&amp;G'!$O$46</f>
        <v>422426.42303478473</v>
      </c>
      <c r="C40" s="6">
        <f>'[1]Attachment II D-2 A&amp;G'!$O$61</f>
        <v>3378809.0121353194</v>
      </c>
      <c r="D40" s="6">
        <f t="shared" si="0"/>
        <v>3801235.4351701043</v>
      </c>
      <c r="E40" s="6">
        <f>'[2]Attachment II D-2 A&amp;G'!$P$41</f>
        <v>265852.73095799587</v>
      </c>
      <c r="F40" s="6">
        <f>'[2]Attachment II D-2 A&amp;G'!$P$56</f>
        <v>1328985.2376840576</v>
      </c>
      <c r="G40" s="6">
        <f t="shared" si="1"/>
        <v>1594837.9686420534</v>
      </c>
      <c r="H40" s="6">
        <f t="shared" si="5"/>
        <v>688279.1539927806</v>
      </c>
      <c r="I40" s="3">
        <f t="shared" si="6"/>
        <v>4707794.2498193774</v>
      </c>
      <c r="J40" s="6">
        <f t="shared" si="7"/>
        <v>5396073.4038121579</v>
      </c>
      <c r="K40" t="s">
        <v>13</v>
      </c>
    </row>
    <row r="41" spans="1:11" x14ac:dyDescent="0.25">
      <c r="A41" t="s">
        <v>49</v>
      </c>
      <c r="B41" s="6">
        <f>'[1]Attachment II D-2 A&amp;G'!$P$46</f>
        <v>337436.43343017722</v>
      </c>
      <c r="C41" s="6">
        <f>'[1]Attachment II D-2 A&amp;G'!$P$61</f>
        <v>3035350.1661428716</v>
      </c>
      <c r="D41" s="6">
        <f t="shared" si="0"/>
        <v>3372786.5995730488</v>
      </c>
      <c r="E41" s="6">
        <f>'[2]Attachment II D-2 A&amp;G'!$Q$41</f>
        <v>0</v>
      </c>
      <c r="F41" s="6">
        <f>'[2]Attachment II D-2 A&amp;G'!$Q$56</f>
        <v>-50550.074941989711</v>
      </c>
      <c r="G41" s="6">
        <f t="shared" si="1"/>
        <v>-50550.074941989711</v>
      </c>
      <c r="H41" s="6">
        <f t="shared" si="5"/>
        <v>337436.43343017722</v>
      </c>
      <c r="I41" s="3">
        <f t="shared" si="6"/>
        <v>2984800.0912008821</v>
      </c>
      <c r="J41" s="6">
        <f t="shared" si="7"/>
        <v>3322236.5246310593</v>
      </c>
      <c r="K41" t="s">
        <v>13</v>
      </c>
    </row>
    <row r="42" spans="1:11" x14ac:dyDescent="0.25">
      <c r="A42" t="s">
        <v>50</v>
      </c>
      <c r="B42" s="6">
        <f>'[1]Attachment II D-2 A&amp;G'!$Q$46</f>
        <v>-31866.836509000976</v>
      </c>
      <c r="C42" s="6">
        <f>'[1]Attachment II D-2 A&amp;G'!$Q$61</f>
        <v>-913152.98271983676</v>
      </c>
      <c r="D42" s="6">
        <f t="shared" si="0"/>
        <v>-945019.81922883773</v>
      </c>
      <c r="E42" s="6">
        <f>'[2]Attachment II D-2 A&amp;G'!$R$41</f>
        <v>12458.741851333703</v>
      </c>
      <c r="F42" s="6">
        <f>'[2]Attachment II D-2 A&amp;G'!$R$56</f>
        <v>-303298.65998397442</v>
      </c>
      <c r="G42" s="6">
        <f t="shared" si="1"/>
        <v>-290839.91813264071</v>
      </c>
      <c r="H42" s="6">
        <f t="shared" si="5"/>
        <v>-19408.094657667272</v>
      </c>
      <c r="I42" s="3">
        <f t="shared" si="6"/>
        <v>-1216451.6427038112</v>
      </c>
      <c r="J42" s="6">
        <f t="shared" si="7"/>
        <v>-1235859.7373614784</v>
      </c>
      <c r="K42" t="s">
        <v>13</v>
      </c>
    </row>
    <row r="43" spans="1:11" x14ac:dyDescent="0.25">
      <c r="A43" t="s">
        <v>51</v>
      </c>
      <c r="B43" s="6">
        <f>'[1]Attachment II D-2 A&amp;G'!$S$46</f>
        <v>-191990.69</v>
      </c>
      <c r="C43" s="6">
        <f>'[1]Attachment II D-2 A&amp;G'!$S$61</f>
        <v>-1101088.1900000004</v>
      </c>
      <c r="D43" s="6">
        <f t="shared" si="0"/>
        <v>-1293078.8800000004</v>
      </c>
      <c r="E43" s="6">
        <f>'[2]Attachment II D-2 A&amp;G'!$T$41</f>
        <v>-77467.349999999991</v>
      </c>
      <c r="F43" s="6">
        <f>'[2]Attachment II D-2 A&amp;G'!$T$56</f>
        <v>-105678.48999999999</v>
      </c>
      <c r="G43" s="6">
        <f t="shared" si="1"/>
        <v>-183145.83999999997</v>
      </c>
      <c r="H43" s="6">
        <f t="shared" si="5"/>
        <v>-269458.03999999998</v>
      </c>
      <c r="I43" s="3">
        <f t="shared" si="6"/>
        <v>-1206766.6800000004</v>
      </c>
      <c r="J43" s="6">
        <f t="shared" si="7"/>
        <v>-1476224.7200000004</v>
      </c>
      <c r="K43" t="s">
        <v>13</v>
      </c>
    </row>
    <row r="44" spans="1:11" x14ac:dyDescent="0.25">
      <c r="A44" t="s">
        <v>52</v>
      </c>
      <c r="B44" s="6">
        <f>'[1]Attachment II-E-1-1'!$E$26</f>
        <v>502412.26999999955</v>
      </c>
      <c r="C44" s="6">
        <f>'[1]Attachment II-E-1-1'!$F$26</f>
        <v>1250382.8800000008</v>
      </c>
      <c r="D44" s="6">
        <f t="shared" si="0"/>
        <v>1752795.1500000004</v>
      </c>
      <c r="E44" s="6">
        <f>'[2]Attachment II-E-1.1'!$E$23</f>
        <v>266616.89000000013</v>
      </c>
      <c r="F44" s="6">
        <f>'[2]Attachment II-E-1.1'!$F$23</f>
        <v>316063.21999999974</v>
      </c>
      <c r="G44" s="6">
        <f t="shared" si="1"/>
        <v>582680.10999999987</v>
      </c>
      <c r="H44" s="6">
        <f t="shared" si="5"/>
        <v>769029.15999999968</v>
      </c>
      <c r="I44" s="3">
        <f t="shared" si="6"/>
        <v>1566446.1000000006</v>
      </c>
      <c r="J44" s="6">
        <f t="shared" si="7"/>
        <v>2335475.2600000002</v>
      </c>
      <c r="K44" t="s">
        <v>13</v>
      </c>
    </row>
    <row r="45" spans="1:11" x14ac:dyDescent="0.25">
      <c r="A45" t="s">
        <v>55</v>
      </c>
      <c r="B45" s="6">
        <f>'[1]Attachment II-E-1-1'!$E$33</f>
        <v>0</v>
      </c>
      <c r="C45" s="6">
        <f>'[1]Attachment II-E-1-1'!$F$33</f>
        <v>3030075.84</v>
      </c>
      <c r="D45" s="6">
        <f t="shared" si="0"/>
        <v>3030075.84</v>
      </c>
      <c r="E45" s="6">
        <f>'[2]Attachment II-E-1.1'!$E$34</f>
        <v>0</v>
      </c>
      <c r="F45" s="6">
        <f>'[2]Attachment II-E-1.1'!$F$34</f>
        <v>1219675.2</v>
      </c>
      <c r="G45" s="6">
        <f t="shared" si="1"/>
        <v>1219675.2</v>
      </c>
      <c r="H45" s="6">
        <f t="shared" si="5"/>
        <v>0</v>
      </c>
      <c r="I45" s="3">
        <f t="shared" si="6"/>
        <v>4249751.04</v>
      </c>
      <c r="J45" s="6">
        <f t="shared" si="7"/>
        <v>4249751.04</v>
      </c>
      <c r="K45" t="s">
        <v>13</v>
      </c>
    </row>
    <row r="46" spans="1:11" x14ac:dyDescent="0.25">
      <c r="A46" t="s">
        <v>53</v>
      </c>
      <c r="B46" s="6">
        <f>'[1]Attachment II-E-1-1'!$E$39+'[1]Attachment II-E-1-1'!$E$45</f>
        <v>0</v>
      </c>
      <c r="C46" s="6">
        <f>'[1]Attachment II-E-1-1'!$F$39+'[1]Attachment II-E-1-1'!$F$45</f>
        <v>-9441782.5099999998</v>
      </c>
      <c r="D46" s="6">
        <f t="shared" si="0"/>
        <v>-9441782.5099999998</v>
      </c>
      <c r="E46" s="6">
        <v>0</v>
      </c>
      <c r="F46" s="6">
        <v>0</v>
      </c>
      <c r="G46" s="6">
        <f t="shared" si="1"/>
        <v>0</v>
      </c>
      <c r="H46" s="6">
        <f t="shared" si="5"/>
        <v>0</v>
      </c>
      <c r="I46" s="3">
        <f t="shared" si="6"/>
        <v>-9441782.5099999998</v>
      </c>
      <c r="J46" s="6">
        <f t="shared" si="7"/>
        <v>-9441782.5099999998</v>
      </c>
      <c r="K46" t="s">
        <v>13</v>
      </c>
    </row>
    <row r="47" spans="1:11" x14ac:dyDescent="0.25">
      <c r="A47" t="s">
        <v>54</v>
      </c>
      <c r="B47" s="6">
        <f>'[1]Attachment II-E-1-2'!$U$41</f>
        <v>17891948.902602673</v>
      </c>
      <c r="C47" s="6">
        <f>'[1]Attachment II-E-1-2'!$U$85</f>
        <v>9271118.8463117499</v>
      </c>
      <c r="D47" s="6">
        <f t="shared" si="0"/>
        <v>27163067.748914421</v>
      </c>
      <c r="E47" s="6">
        <f>'[2]Attachment II-E-1.2'!$U$44</f>
        <v>3675324.4993984415</v>
      </c>
      <c r="F47" s="6">
        <f>'[2]Attachment II-E-1.2'!$U$85</f>
        <v>-4851353.148964474</v>
      </c>
      <c r="G47" s="6">
        <f t="shared" si="1"/>
        <v>-1176028.6495660325</v>
      </c>
      <c r="H47" s="6">
        <f t="shared" si="5"/>
        <v>21567273.402001113</v>
      </c>
      <c r="I47" s="3">
        <f t="shared" si="6"/>
        <v>4419765.6973472759</v>
      </c>
      <c r="J47" s="6">
        <f t="shared" si="7"/>
        <v>25987039.099348389</v>
      </c>
      <c r="K47" t="s">
        <v>61</v>
      </c>
    </row>
    <row r="48" spans="1:11" x14ac:dyDescent="0.25">
      <c r="A48" t="s">
        <v>56</v>
      </c>
      <c r="B48" s="6">
        <f>'[4]WP II-E-2-1 FICA'!$F$27</f>
        <v>-9451.1265390850094</v>
      </c>
      <c r="C48" s="6">
        <f>'[4]WP II-E-2-1 FICA'!$G$27</f>
        <v>15309.845498651683</v>
      </c>
      <c r="D48" s="6">
        <f t="shared" si="0"/>
        <v>5858.7189595666732</v>
      </c>
      <c r="E48" s="6">
        <f>'[3]Attachment II-E-2'!$E$49</f>
        <v>1056.7203686120483</v>
      </c>
      <c r="F48" s="6">
        <f>'[3]Attachment II-E-2'!$E$80</f>
        <v>-6237.631206928525</v>
      </c>
      <c r="G48" s="6">
        <f t="shared" si="1"/>
        <v>-5180.9108383164767</v>
      </c>
      <c r="H48" s="6">
        <f t="shared" si="5"/>
        <v>-8394.4061704729611</v>
      </c>
      <c r="I48" s="3">
        <f t="shared" ref="I48:I52" si="8">C48+F48</f>
        <v>9072.2142917231577</v>
      </c>
      <c r="J48" s="6">
        <f t="shared" ref="J48:J52" si="9">H48+I48</f>
        <v>677.80812125019656</v>
      </c>
      <c r="K48" t="s">
        <v>13</v>
      </c>
    </row>
    <row r="49" spans="1:11" x14ac:dyDescent="0.25">
      <c r="A49" t="s">
        <v>57</v>
      </c>
      <c r="B49" s="6">
        <f>'[1]Attachment II-E-2'!$F$72</f>
        <v>8452126.273194097</v>
      </c>
      <c r="C49" s="6">
        <f>'[1]Attachment II-E-2'!$F$103</f>
        <v>1811782.3817832842</v>
      </c>
      <c r="D49" s="6">
        <f t="shared" si="0"/>
        <v>10263908.654977381</v>
      </c>
      <c r="E49" s="6">
        <f>'[3]II-E-2.1 Ad valorem'!$D$30</f>
        <v>9414167.7920031641</v>
      </c>
      <c r="F49" s="6">
        <f>'[3]II-E-2.1 Ad valorem'!$E$30</f>
        <v>1105837.8461577035</v>
      </c>
      <c r="G49" s="6">
        <f t="shared" si="1"/>
        <v>10520005.638160868</v>
      </c>
      <c r="H49" s="6">
        <f t="shared" si="5"/>
        <v>17866294.065197259</v>
      </c>
      <c r="I49" s="3">
        <f t="shared" si="8"/>
        <v>2917620.2279409878</v>
      </c>
      <c r="J49" s="6">
        <f t="shared" si="9"/>
        <v>20783914.293138247</v>
      </c>
      <c r="K49" t="s">
        <v>13</v>
      </c>
    </row>
    <row r="50" spans="1:11" x14ac:dyDescent="0.25">
      <c r="A50" t="s">
        <v>63</v>
      </c>
      <c r="B50" s="6">
        <f>'[1]Attachment II-E-2'!$G$72</f>
        <v>0</v>
      </c>
      <c r="C50" s="6">
        <f>'[1]Attachment II-E-2'!$G$103</f>
        <v>455436.55006119609</v>
      </c>
      <c r="D50" s="6">
        <f t="shared" si="0"/>
        <v>455436.55006119609</v>
      </c>
      <c r="E50" s="6">
        <f>'[2]Attachment II-E-2'!$G$72</f>
        <v>0</v>
      </c>
      <c r="F50" s="6">
        <f>'[2]Attachment II-E-2'!$G$103</f>
        <v>-29000.926186315715</v>
      </c>
      <c r="G50" s="6">
        <f t="shared" si="1"/>
        <v>-29000.926186315715</v>
      </c>
      <c r="H50" s="6">
        <f t="shared" si="5"/>
        <v>0</v>
      </c>
      <c r="I50" s="3">
        <f t="shared" si="8"/>
        <v>426435.62387488037</v>
      </c>
      <c r="J50" s="6">
        <f t="shared" si="9"/>
        <v>426435.62387488037</v>
      </c>
      <c r="K50" t="s">
        <v>13</v>
      </c>
    </row>
    <row r="51" spans="1:11" x14ac:dyDescent="0.25">
      <c r="A51" s="8" t="s">
        <v>58</v>
      </c>
      <c r="B51" s="6">
        <f>'[5]Attachment II-E-2'!$H$69</f>
        <v>325354.9713429847</v>
      </c>
      <c r="C51" s="6">
        <f>'[6]Attachment II-E-2'!$H$100</f>
        <v>732396.74751723884</v>
      </c>
      <c r="D51" s="6">
        <f t="shared" si="0"/>
        <v>1057751.7188602234</v>
      </c>
      <c r="E51" s="6">
        <f>'[7]Attachment II-E-2'!$H$69</f>
        <v>214680.34725294012</v>
      </c>
      <c r="F51" s="6">
        <f>'[7]Attachment II-E-2'!$H$100</f>
        <v>20541.41621733355</v>
      </c>
      <c r="G51" s="6">
        <f t="shared" si="1"/>
        <v>235221.76347027367</v>
      </c>
      <c r="H51" s="6">
        <f t="shared" si="5"/>
        <v>540035.31859592488</v>
      </c>
      <c r="I51" s="6">
        <f t="shared" si="8"/>
        <v>752938.16373457236</v>
      </c>
      <c r="J51" s="6">
        <f t="shared" si="9"/>
        <v>1292973.4823304974</v>
      </c>
      <c r="K51" s="8" t="s">
        <v>13</v>
      </c>
    </row>
    <row r="52" spans="1:11" x14ac:dyDescent="0.25">
      <c r="A52" t="s">
        <v>59</v>
      </c>
      <c r="B52" s="6">
        <f>'[1]Attachment II-E-2'!$I$72</f>
        <v>-16748.653271608393</v>
      </c>
      <c r="C52" s="6">
        <f>'[1]Attachment II-E-2'!$I$103</f>
        <v>-42451.304570317967</v>
      </c>
      <c r="D52" s="6">
        <f t="shared" si="0"/>
        <v>-59199.957841926356</v>
      </c>
      <c r="E52" s="6">
        <f>'[2]Attachment II-E-2'!$I$72</f>
        <v>-2804.4271843761139</v>
      </c>
      <c r="F52" s="6">
        <f>'[2]Attachment II-E-2'!$I$103</f>
        <v>-791.32560986533633</v>
      </c>
      <c r="G52" s="6">
        <f t="shared" si="1"/>
        <v>-3595.7527942414504</v>
      </c>
      <c r="H52" s="6">
        <f t="shared" si="5"/>
        <v>-19553.080455984506</v>
      </c>
      <c r="I52" s="3">
        <f t="shared" si="8"/>
        <v>-43242.630180183303</v>
      </c>
      <c r="J52" s="6">
        <f t="shared" si="9"/>
        <v>-62795.710636167809</v>
      </c>
      <c r="K52" t="s">
        <v>13</v>
      </c>
    </row>
    <row r="53" spans="1:11" x14ac:dyDescent="0.25">
      <c r="B53" s="3"/>
      <c r="C53" s="3"/>
      <c r="D53" s="3"/>
      <c r="E53" s="3"/>
      <c r="F53" s="3"/>
      <c r="G53" s="6"/>
      <c r="H53" s="3"/>
      <c r="I53" s="3"/>
      <c r="J53" s="6"/>
    </row>
    <row r="54" spans="1:11" x14ac:dyDescent="0.25">
      <c r="B54" s="3"/>
      <c r="C54" s="3"/>
      <c r="D54" s="3"/>
      <c r="E54" s="3"/>
      <c r="F54" s="3"/>
      <c r="G54" s="6"/>
      <c r="H54" s="3"/>
      <c r="I54" s="3"/>
      <c r="J54" s="3"/>
    </row>
    <row r="55" spans="1:11" x14ac:dyDescent="0.25">
      <c r="B55" s="3"/>
      <c r="C55" s="3"/>
      <c r="D55" s="3"/>
      <c r="E55" s="3"/>
      <c r="F55" s="3"/>
      <c r="G55" s="3"/>
      <c r="H55" s="3"/>
      <c r="I55" s="3"/>
      <c r="J55" s="3"/>
    </row>
    <row r="56" spans="1:11" x14ac:dyDescent="0.25">
      <c r="B56" s="3"/>
      <c r="C56" s="3"/>
      <c r="D56" s="3"/>
      <c r="E56" s="3"/>
      <c r="F56" s="3"/>
      <c r="G56" s="3"/>
      <c r="H56" s="3"/>
      <c r="I56" s="3"/>
      <c r="J56" s="3"/>
    </row>
    <row r="57" spans="1:11" x14ac:dyDescent="0.25">
      <c r="B57" s="3"/>
      <c r="C57" s="3"/>
      <c r="D57" s="3"/>
      <c r="E57" s="3"/>
      <c r="F57" s="3"/>
      <c r="G57" s="3"/>
      <c r="H57" s="3"/>
      <c r="I57" s="3"/>
      <c r="J57" s="3"/>
    </row>
    <row r="58" spans="1:11" x14ac:dyDescent="0.25">
      <c r="B58" s="3"/>
      <c r="C58" s="3"/>
      <c r="D58" s="3"/>
      <c r="E58" s="3"/>
      <c r="F58" s="3"/>
      <c r="G58" s="3"/>
      <c r="H58" s="3"/>
      <c r="I58" s="3"/>
      <c r="J58" s="3"/>
    </row>
    <row r="59" spans="1:11" x14ac:dyDescent="0.25">
      <c r="B59" s="3"/>
      <c r="C59" s="3"/>
      <c r="D59" s="3"/>
      <c r="E59" s="3"/>
      <c r="F59" s="3"/>
      <c r="G59" s="3"/>
      <c r="H59" s="3"/>
      <c r="I59" s="3"/>
      <c r="J59" s="3"/>
    </row>
  </sheetData>
  <mergeCells count="6">
    <mergeCell ref="B5:D5"/>
    <mergeCell ref="E5:G5"/>
    <mergeCell ref="H5:J5"/>
    <mergeCell ref="A1:K1"/>
    <mergeCell ref="A2:K2"/>
    <mergeCell ref="A3:K3"/>
  </mergeCells>
  <printOptions horizontalCentered="1"/>
  <pageMargins left="0.45" right="0.45" top="0.75" bottom="0.75" header="0.3" footer="0.3"/>
  <pageSetup scale="70" orientation="landscape" r:id="rId1"/>
  <headerFooter>
    <oddHeader>&amp;R 
EXHHIBIT RWH-2
Page &amp;P of &amp;N</oddHeader>
  </headerFooter>
  <rowBreaks count="1" manualBreakCount="1">
    <brk id="21" max="10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c5f8eb12-5b27-439d-aaa6-3402af626fa3" value=""/>
  <element uid="c64218ab-b8d1-40b6-a478-cb8be1e10ecc" value=""/>
</sisl>
</file>

<file path=customXml/itemProps1.xml><?xml version="1.0" encoding="utf-8"?>
<ds:datastoreItem xmlns:ds="http://schemas.openxmlformats.org/officeDocument/2006/customXml" ds:itemID="{1AD7F5B8-9E21-4AAA-9496-B21D3121161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dtso376</dc:creator>
  <cp:keywords>AEP Public</cp:keywords>
  <cp:lastModifiedBy>stso258</cp:lastModifiedBy>
  <cp:lastPrinted>2019-04-26T01:47:18Z</cp:lastPrinted>
  <dcterms:created xsi:type="dcterms:W3CDTF">2019-04-12T14:05:53Z</dcterms:created>
  <dcterms:modified xsi:type="dcterms:W3CDTF">2019-04-26T01:47:28Z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afac6e39-5a13-4a55-be2a-126b8814f4f0</vt:lpwstr>
  </property>
  <property fmtid="{D5CDD505-2E9C-101B-9397-08002B2CF9AE}" pid="3" name="bjSaver">
    <vt:lpwstr>iNiTJ4zAA14YA4hwENwQC7QYVWjrZe+F</vt:lpwstr>
  </property>
  <property fmtid="{D5CDD505-2E9C-101B-9397-08002B2CF9AE}" pid="4" name="bjDocumentSecurityLabel">
    <vt:lpwstr>AEP Public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uid="c5f8eb12-5b27-439d-aaa6-3402af626fa3" value="" /&gt;&lt;element uid="c64218ab-b8d1-40b6-a478-cb8be1e10ecc" value="" /&gt;&lt;/sisl&gt;</vt:lpwstr>
  </property>
  <property fmtid="{D5CDD505-2E9C-101B-9397-08002B2CF9AE}" pid="7" name="Visual Markings Removed">
    <vt:lpwstr>No</vt:lpwstr>
  </property>
</Properties>
</file>