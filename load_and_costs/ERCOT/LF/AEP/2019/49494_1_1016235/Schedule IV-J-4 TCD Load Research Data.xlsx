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harenow.sp.aepsc.com/shsvcs/regsvcs/aeptexas/2018 Base Rate Case/Schedules/Central Schedules/"/>
    </mc:Choice>
  </mc:AlternateContent>
  <bookViews>
    <workbookView xWindow="0" yWindow="0" windowWidth="17900" windowHeight="5810"/>
  </bookViews>
  <sheets>
    <sheet name="IV-J-4(a) TCD" sheetId="9" r:id="rId1"/>
    <sheet name="IV-J-4(b1) TCD" sheetId="11" r:id="rId2"/>
    <sheet name="IV-J-4(b2) TCD" sheetId="12" r:id="rId3"/>
    <sheet name="IV-J-4(c) TCD" sheetId="10" r:id="rId4"/>
  </sheets>
  <externalReferences>
    <externalReference r:id="rId5"/>
    <externalReference r:id="rId6"/>
    <externalReference r:id="rId7"/>
  </externalReferences>
  <definedNames>
    <definedName name="a">#REF!</definedName>
    <definedName name="_xlnm.Criteria">[1]DECAPAR!#REF!</definedName>
    <definedName name="_xlnm.Data_Form">[1]DECAPAR!#REF!</definedName>
    <definedName name="_xlnm.Extract">[1]DECAPAR!#REF!</definedName>
    <definedName name="page1">#REF!</definedName>
    <definedName name="page10">#REF!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_xlnm.Print_Area" localSheetId="1">'IV-J-4(b1) TCD'!$A$1:$J$394</definedName>
    <definedName name="_xlnm.Print_Area" localSheetId="2">'IV-J-4(b2) TCD'!$A$1:$K$227</definedName>
    <definedName name="_xlnm.Print_Area" localSheetId="3">'IV-J-4(c) TCD'!$A$1:$E$13</definedName>
    <definedName name="_xlnm.Print_Titles" localSheetId="3">'IV-J-4(c) TCD'!$2:$9</definedName>
    <definedName name="q">[2]Summary!#REF!</definedName>
    <definedName name="ResBasic" localSheetId="0">[3]Summary!#REF!</definedName>
    <definedName name="ResBasic" localSheetId="3">[3]Summary!#REF!</definedName>
    <definedName name="ResBasic">#REF!</definedName>
    <definedName name="ResEconomy1" localSheetId="0">[3]Summary!#REF!</definedName>
    <definedName name="ResEconomy1" localSheetId="3">[3]Summary!#REF!</definedName>
    <definedName name="ResEconomy1">#REF!</definedName>
    <definedName name="ResEconomy2" localSheetId="0">[3]Summary!#REF!</definedName>
    <definedName name="ResEconomy2" localSheetId="3">[3]Summary!#REF!</definedName>
    <definedName name="ResEconomy2">#REF!</definedName>
    <definedName name="ResSummary">#REF!</definedName>
    <definedName name="ResWaterHeating" localSheetId="0">[3]Summary!#REF!</definedName>
    <definedName name="ResWaterHeating" localSheetId="3">[3]Summary!#REF!</definedName>
    <definedName name="ResWaterHeating">#REF!</definedName>
    <definedName name="test">[2]Summary!#REF!</definedName>
    <definedName name="test1">[2]Summary!#REF!</definedName>
    <definedName name="total">#REF!</definedName>
    <definedName name="w">[2]Summary!#REF!</definedName>
  </definedNames>
  <calcPr calcId="162913"/>
</workbook>
</file>

<file path=xl/calcChain.xml><?xml version="1.0" encoding="utf-8"?>
<calcChain xmlns="http://schemas.openxmlformats.org/spreadsheetml/2006/main">
  <c r="A188" i="12" l="1"/>
  <c r="A128" i="12"/>
  <c r="A64" i="12"/>
  <c r="A71" i="11"/>
  <c r="A332" i="11" s="1"/>
  <c r="B207" i="12"/>
  <c r="B208" i="12" s="1"/>
  <c r="B209" i="12" s="1"/>
  <c r="B210" i="12" s="1"/>
  <c r="B211" i="12" s="1"/>
  <c r="B212" i="12" s="1"/>
  <c r="B213" i="12" s="1"/>
  <c r="B214" i="12" s="1"/>
  <c r="B194" i="12"/>
  <c r="B195" i="12" s="1"/>
  <c r="B196" i="12" s="1"/>
  <c r="B197" i="12" s="1"/>
  <c r="B198" i="12" s="1"/>
  <c r="B199" i="12" s="1"/>
  <c r="B200" i="12" s="1"/>
  <c r="B201" i="12" s="1"/>
  <c r="F109" i="12"/>
  <c r="F110" i="12" s="1"/>
  <c r="F111" i="12" s="1"/>
  <c r="F112" i="12" s="1"/>
  <c r="F113" i="12" s="1"/>
  <c r="F114" i="12" s="1"/>
  <c r="F115" i="12" s="1"/>
  <c r="F116" i="12" s="1"/>
  <c r="F117" i="12" s="1"/>
  <c r="F118" i="12" s="1"/>
  <c r="B109" i="12"/>
  <c r="B110" i="12" s="1"/>
  <c r="B111" i="12" s="1"/>
  <c r="B112" i="12" s="1"/>
  <c r="B113" i="12" s="1"/>
  <c r="B114" i="12" s="1"/>
  <c r="B115" i="12" s="1"/>
  <c r="B116" i="12" s="1"/>
  <c r="B117" i="12" s="1"/>
  <c r="B118" i="12" s="1"/>
  <c r="B119" i="12" s="1"/>
  <c r="B120" i="12" s="1"/>
  <c r="B121" i="12" s="1"/>
  <c r="B122" i="12" s="1"/>
  <c r="B123" i="12" s="1"/>
  <c r="B124" i="12" s="1"/>
  <c r="F194" i="12"/>
  <c r="F195" i="12" s="1"/>
  <c r="F196" i="12" s="1"/>
  <c r="F197" i="12" s="1"/>
  <c r="F198" i="12" s="1"/>
  <c r="F199" i="12" s="1"/>
  <c r="F200" i="12" s="1"/>
  <c r="F201" i="12" s="1"/>
  <c r="B220" i="12"/>
  <c r="B221" i="12" s="1"/>
  <c r="B222" i="12" s="1"/>
  <c r="B223" i="12" s="1"/>
  <c r="F207" i="12"/>
  <c r="F208" i="12" s="1"/>
  <c r="F209" i="12" s="1"/>
  <c r="F210" i="12" s="1"/>
  <c r="F211" i="12" s="1"/>
  <c r="F212" i="12" s="1"/>
  <c r="B174" i="12"/>
  <c r="B175" i="12" s="1"/>
  <c r="B176" i="12" s="1"/>
  <c r="B177" i="12" s="1"/>
  <c r="B178" i="12" s="1"/>
  <c r="B179" i="12" s="1"/>
  <c r="B180" i="12" s="1"/>
  <c r="B181" i="12" s="1"/>
  <c r="B182" i="12" s="1"/>
  <c r="B183" i="12" s="1"/>
  <c r="B184" i="12" s="1"/>
  <c r="B165" i="12"/>
  <c r="B166" i="12" s="1"/>
  <c r="B167" i="12" s="1"/>
  <c r="B168" i="12" s="1"/>
  <c r="B145" i="12"/>
  <c r="B146" i="12" s="1"/>
  <c r="B147" i="12" s="1"/>
  <c r="B148" i="12" s="1"/>
  <c r="B149" i="12" s="1"/>
  <c r="B150" i="12" s="1"/>
  <c r="B151" i="12" s="1"/>
  <c r="B152" i="12" s="1"/>
  <c r="B153" i="12" s="1"/>
  <c r="B154" i="12" s="1"/>
  <c r="B155" i="12" s="1"/>
  <c r="B156" i="12" s="1"/>
  <c r="B157" i="12" s="1"/>
  <c r="B158" i="12" s="1"/>
  <c r="B159" i="12" s="1"/>
  <c r="J134" i="12"/>
  <c r="J135" i="12" s="1"/>
  <c r="J136" i="12" s="1"/>
  <c r="J137" i="12" s="1"/>
  <c r="J138" i="12" s="1"/>
  <c r="J139" i="12" s="1"/>
  <c r="J140" i="12" s="1"/>
  <c r="F134" i="12"/>
  <c r="F135" i="12" s="1"/>
  <c r="F136" i="12" s="1"/>
  <c r="F137" i="12" s="1"/>
  <c r="B134" i="12"/>
  <c r="B135" i="12" s="1"/>
  <c r="B136" i="12" s="1"/>
  <c r="F94" i="12"/>
  <c r="F95" i="12" s="1"/>
  <c r="F96" i="12" s="1"/>
  <c r="F97" i="12" s="1"/>
  <c r="F98" i="12" s="1"/>
  <c r="F99" i="12" s="1"/>
  <c r="F100" i="12" s="1"/>
  <c r="F101" i="12" s="1"/>
  <c r="F102" i="12" s="1"/>
  <c r="F103" i="12" s="1"/>
  <c r="B94" i="12"/>
  <c r="B95" i="12" s="1"/>
  <c r="B96" i="12" s="1"/>
  <c r="B97" i="12" s="1"/>
  <c r="B98" i="12" s="1"/>
  <c r="B99" i="12" s="1"/>
  <c r="B100" i="12" s="1"/>
  <c r="B101" i="12" s="1"/>
  <c r="B102" i="12" s="1"/>
  <c r="B103" i="12" s="1"/>
  <c r="J70" i="12"/>
  <c r="J71" i="12" s="1"/>
  <c r="J72" i="12" s="1"/>
  <c r="J73" i="12" s="1"/>
  <c r="J74" i="12" s="1"/>
  <c r="J75" i="12" s="1"/>
  <c r="J76" i="12" s="1"/>
  <c r="J77" i="12" s="1"/>
  <c r="J78" i="12" s="1"/>
  <c r="J79" i="12" s="1"/>
  <c r="J80" i="12" s="1"/>
  <c r="J81" i="12" s="1"/>
  <c r="F70" i="12"/>
  <c r="F71" i="12" s="1"/>
  <c r="F72" i="12" s="1"/>
  <c r="F73" i="12" s="1"/>
  <c r="F74" i="12" s="1"/>
  <c r="F75" i="12" s="1"/>
  <c r="F76" i="12" s="1"/>
  <c r="F77" i="12" s="1"/>
  <c r="F78" i="12" s="1"/>
  <c r="F79" i="12" s="1"/>
  <c r="F80" i="12" s="1"/>
  <c r="F81" i="12" s="1"/>
  <c r="F82" i="12" s="1"/>
  <c r="F83" i="12" s="1"/>
  <c r="F84" i="12" s="1"/>
  <c r="F85" i="12" s="1"/>
  <c r="F86" i="12" s="1"/>
  <c r="F87" i="12" s="1"/>
  <c r="B70" i="12"/>
  <c r="B71" i="12" s="1"/>
  <c r="B72" i="12" s="1"/>
  <c r="B73" i="12" s="1"/>
  <c r="B74" i="12" s="1"/>
  <c r="B75" i="12" s="1"/>
  <c r="B76" i="12" s="1"/>
  <c r="B77" i="12" s="1"/>
  <c r="B78" i="12" s="1"/>
  <c r="B79" i="12" s="1"/>
  <c r="B80" i="12" s="1"/>
  <c r="B81" i="12" s="1"/>
  <c r="B82" i="12" s="1"/>
  <c r="B83" i="12" s="1"/>
  <c r="B84" i="12" s="1"/>
  <c r="B85" i="12" s="1"/>
  <c r="B86" i="12" s="1"/>
  <c r="B87" i="12" s="1"/>
  <c r="B88" i="12" s="1"/>
  <c r="B89" i="12" s="1"/>
  <c r="F36" i="12"/>
  <c r="F37" i="12" s="1"/>
  <c r="F38" i="12" s="1"/>
  <c r="F39" i="12" s="1"/>
  <c r="F40" i="12" s="1"/>
  <c r="F41" i="12" s="1"/>
  <c r="F42" i="12" s="1"/>
  <c r="F43" i="12" s="1"/>
  <c r="F44" i="12" s="1"/>
  <c r="F45" i="12" s="1"/>
  <c r="F46" i="12" s="1"/>
  <c r="F47" i="12" s="1"/>
  <c r="F48" i="12" s="1"/>
  <c r="F49" i="12" s="1"/>
  <c r="F50" i="12" s="1"/>
  <c r="F51" i="12" s="1"/>
  <c r="F52" i="12" s="1"/>
  <c r="F53" i="12" s="1"/>
  <c r="F54" i="12" s="1"/>
  <c r="F55" i="12" s="1"/>
  <c r="F56" i="12" s="1"/>
  <c r="F57" i="12" s="1"/>
  <c r="F58" i="12" s="1"/>
  <c r="F59" i="12" s="1"/>
  <c r="F60" i="12" s="1"/>
  <c r="B36" i="12"/>
  <c r="B37" i="12" s="1"/>
  <c r="B38" i="12" s="1"/>
  <c r="B39" i="12" s="1"/>
  <c r="B40" i="12" s="1"/>
  <c r="B41" i="12" s="1"/>
  <c r="B42" i="12" s="1"/>
  <c r="B43" i="12" s="1"/>
  <c r="B44" i="12" s="1"/>
  <c r="B45" i="12" s="1"/>
  <c r="B46" i="12" s="1"/>
  <c r="B47" i="12" s="1"/>
  <c r="B48" i="12" s="1"/>
  <c r="B49" i="12" s="1"/>
  <c r="B50" i="12" s="1"/>
  <c r="J10" i="12"/>
  <c r="J11" i="12" s="1"/>
  <c r="J12" i="12" s="1"/>
  <c r="J13" i="12" s="1"/>
  <c r="J14" i="12" s="1"/>
  <c r="J15" i="12" s="1"/>
  <c r="J16" i="12" s="1"/>
  <c r="J17" i="12" s="1"/>
  <c r="J18" i="12" s="1"/>
  <c r="J19" i="12" s="1"/>
  <c r="J20" i="12" s="1"/>
  <c r="J21" i="12" s="1"/>
  <c r="J22" i="12" s="1"/>
  <c r="J23" i="12" s="1"/>
  <c r="J24" i="12" s="1"/>
  <c r="J25" i="12" s="1"/>
  <c r="J26" i="12" s="1"/>
  <c r="J27" i="12" s="1"/>
  <c r="J28" i="12" s="1"/>
  <c r="J29" i="12" s="1"/>
  <c r="J30" i="12" s="1"/>
  <c r="F10" i="12"/>
  <c r="F11" i="12" s="1"/>
  <c r="F12" i="12" s="1"/>
  <c r="F13" i="12" s="1"/>
  <c r="F14" i="12" s="1"/>
  <c r="F15" i="12" s="1"/>
  <c r="F16" i="12" s="1"/>
  <c r="F17" i="12" s="1"/>
  <c r="F18" i="12" s="1"/>
  <c r="F19" i="12" s="1"/>
  <c r="F20" i="12" s="1"/>
  <c r="F21" i="12" s="1"/>
  <c r="F22" i="12" s="1"/>
  <c r="F23" i="12" s="1"/>
  <c r="B10" i="12"/>
  <c r="B11" i="12" s="1"/>
  <c r="B12" i="12" s="1"/>
  <c r="B13" i="12" s="1"/>
  <c r="B14" i="12" s="1"/>
  <c r="B15" i="12" s="1"/>
  <c r="B16" i="12" s="1"/>
  <c r="B17" i="12" s="1"/>
  <c r="B18" i="12" s="1"/>
  <c r="B19" i="12" s="1"/>
  <c r="B20" i="12" s="1"/>
  <c r="B21" i="12" s="1"/>
  <c r="B22" i="12" s="1"/>
  <c r="B23" i="12" s="1"/>
  <c r="B24" i="12" s="1"/>
  <c r="P11" i="9"/>
  <c r="P13" i="9"/>
  <c r="P15" i="9"/>
  <c r="P17" i="9"/>
  <c r="D19" i="9"/>
  <c r="E19" i="9"/>
  <c r="F19" i="9"/>
  <c r="G19" i="9"/>
  <c r="H19" i="9"/>
  <c r="I19" i="9"/>
  <c r="J19" i="9"/>
  <c r="K19" i="9"/>
  <c r="L19" i="9"/>
  <c r="M19" i="9"/>
  <c r="N19" i="9"/>
  <c r="O19" i="9"/>
  <c r="D24" i="9"/>
  <c r="P27" i="9"/>
  <c r="P29" i="9"/>
  <c r="P31" i="9"/>
  <c r="P33" i="9"/>
  <c r="D35" i="9"/>
  <c r="E35" i="9"/>
  <c r="F35" i="9"/>
  <c r="G35" i="9"/>
  <c r="H35" i="9"/>
  <c r="I35" i="9"/>
  <c r="J35" i="9"/>
  <c r="K35" i="9"/>
  <c r="L35" i="9"/>
  <c r="M35" i="9"/>
  <c r="N35" i="9"/>
  <c r="O35" i="9"/>
  <c r="D40" i="9"/>
  <c r="P43" i="9"/>
  <c r="P45" i="9"/>
  <c r="P47" i="9"/>
  <c r="P49" i="9"/>
  <c r="D51" i="9"/>
  <c r="E51" i="9"/>
  <c r="F51" i="9"/>
  <c r="G51" i="9"/>
  <c r="H51" i="9"/>
  <c r="I51" i="9"/>
  <c r="J51" i="9"/>
  <c r="K51" i="9"/>
  <c r="L51" i="9"/>
  <c r="M51" i="9"/>
  <c r="N51" i="9"/>
  <c r="O51" i="9"/>
  <c r="D56" i="9"/>
  <c r="P59" i="9"/>
  <c r="P61" i="9"/>
  <c r="P63" i="9"/>
  <c r="P65" i="9"/>
  <c r="D67" i="9"/>
  <c r="E67" i="9"/>
  <c r="F67" i="9"/>
  <c r="G67" i="9"/>
  <c r="H67" i="9"/>
  <c r="I67" i="9"/>
  <c r="J67" i="9"/>
  <c r="K67" i="9"/>
  <c r="L67" i="9"/>
  <c r="M67" i="9"/>
  <c r="N67" i="9"/>
  <c r="O67" i="9"/>
  <c r="B69" i="9"/>
  <c r="B71" i="9"/>
  <c r="D75" i="9"/>
  <c r="P78" i="9"/>
  <c r="P80" i="9"/>
  <c r="P82" i="9"/>
  <c r="P84" i="9"/>
  <c r="D86" i="9"/>
  <c r="E86" i="9"/>
  <c r="F86" i="9"/>
  <c r="G86" i="9"/>
  <c r="H86" i="9"/>
  <c r="I86" i="9"/>
  <c r="J86" i="9"/>
  <c r="K86" i="9"/>
  <c r="L86" i="9"/>
  <c r="M86" i="9"/>
  <c r="N86" i="9"/>
  <c r="O86" i="9"/>
  <c r="D90" i="9"/>
  <c r="P93" i="9"/>
  <c r="P95" i="9"/>
  <c r="P97" i="9"/>
  <c r="P99" i="9"/>
  <c r="D101" i="9"/>
  <c r="E101" i="9"/>
  <c r="F101" i="9"/>
  <c r="G101" i="9"/>
  <c r="H101" i="9"/>
  <c r="I101" i="9"/>
  <c r="J101" i="9"/>
  <c r="K101" i="9"/>
  <c r="L101" i="9"/>
  <c r="M101" i="9"/>
  <c r="N101" i="9"/>
  <c r="O101" i="9"/>
  <c r="D105" i="9"/>
  <c r="P108" i="9"/>
  <c r="P110" i="9"/>
  <c r="P112" i="9"/>
  <c r="P114" i="9"/>
  <c r="D116" i="9"/>
  <c r="E116" i="9"/>
  <c r="F116" i="9"/>
  <c r="G116" i="9"/>
  <c r="H116" i="9"/>
  <c r="I116" i="9"/>
  <c r="J116" i="9"/>
  <c r="K116" i="9"/>
  <c r="L116" i="9"/>
  <c r="M116" i="9"/>
  <c r="N116" i="9"/>
  <c r="O116" i="9"/>
  <c r="D120" i="9"/>
  <c r="P123" i="9"/>
  <c r="P125" i="9"/>
  <c r="P127" i="9"/>
  <c r="P129" i="9"/>
  <c r="D131" i="9"/>
  <c r="E131" i="9"/>
  <c r="F131" i="9"/>
  <c r="G131" i="9"/>
  <c r="H131" i="9"/>
  <c r="I131" i="9"/>
  <c r="J131" i="9"/>
  <c r="K131" i="9"/>
  <c r="L131" i="9"/>
  <c r="M131" i="9"/>
  <c r="N131" i="9"/>
  <c r="O131" i="9"/>
  <c r="A267" i="11" l="1"/>
  <c r="A202" i="11"/>
  <c r="A137" i="11"/>
  <c r="P86" i="9"/>
  <c r="P19" i="9"/>
  <c r="P101" i="9"/>
  <c r="P35" i="9"/>
  <c r="P116" i="9"/>
  <c r="P51" i="9"/>
  <c r="P131" i="9"/>
  <c r="P67" i="9"/>
</calcChain>
</file>

<file path=xl/sharedStrings.xml><?xml version="1.0" encoding="utf-8"?>
<sst xmlns="http://schemas.openxmlformats.org/spreadsheetml/2006/main" count="1429" uniqueCount="132">
  <si>
    <t xml:space="preserve"> </t>
  </si>
  <si>
    <t>LINE</t>
  </si>
  <si>
    <t>DESCRIPTION</t>
  </si>
  <si>
    <t>VOLT</t>
  </si>
  <si>
    <t>January</t>
  </si>
  <si>
    <t>February</t>
  </si>
  <si>
    <t>March</t>
  </si>
  <si>
    <t>April</t>
  </si>
  <si>
    <t>May</t>
  </si>
  <si>
    <t>June</t>
  </si>
  <si>
    <t>July</t>
  </si>
  <si>
    <t>August</t>
  </si>
  <si>
    <t>September</t>
  </si>
  <si>
    <t>October</t>
  </si>
  <si>
    <t>November</t>
  </si>
  <si>
    <t>December</t>
  </si>
  <si>
    <t>TOTAL</t>
  </si>
  <si>
    <t>SEC</t>
  </si>
  <si>
    <t>TRA</t>
  </si>
  <si>
    <t>Total at Source</t>
  </si>
  <si>
    <t>SECONDARY &gt; 10 kW IDR</t>
  </si>
  <si>
    <t>PRIMARY IDR</t>
  </si>
  <si>
    <t>PRI</t>
  </si>
  <si>
    <t>TRANSMISSION IDR</t>
  </si>
  <si>
    <t>Description of Methodology to Develop Demand Estimates</t>
  </si>
  <si>
    <t>RATE</t>
  </si>
  <si>
    <t>DEMAND ESTIMATE METHODOLOGY</t>
  </si>
  <si>
    <t>LIGHTING</t>
  </si>
  <si>
    <t>SFR</t>
  </si>
  <si>
    <t>Sum of Customer Unadjusted Non-Coincident Maximum Demands (At Source)</t>
  </si>
  <si>
    <t>Sum of Customer Unadjusted Non-Coincident Maximum Demands (At Meter)</t>
  </si>
  <si>
    <t>Rate Unadjusted Class Peak Demands (At Source)</t>
  </si>
  <si>
    <t>Rate Unadjusted Class Peak Demands (At Meter)</t>
  </si>
  <si>
    <t>Sum of Customer Adjusted Non-Coincident Maximum Demands (At Source)</t>
  </si>
  <si>
    <t>Sum of Customer Adjusted Non-Coincident Maximum Demands (At Meter)</t>
  </si>
  <si>
    <t>Rate Adjusted Class Peak Demands (At Source)</t>
  </si>
  <si>
    <t>Rate Adjusted Class Peak Demands (At Meter)</t>
  </si>
  <si>
    <t>Total at Meter</t>
  </si>
  <si>
    <t xml:space="preserve">Per the ERCOT aggregation method, lighting customers were assigned a profile based on the lights turning on at dusk and off at dawn. The ERCOT profiles are based on a calculated time of sunrise and sunset for each day of the year based on the latitude and longitude of weather stations included in each profile weather zone.
</t>
  </si>
  <si>
    <t xml:space="preserve">Customer peak demands were estimated using monthly coincidence factors for individual tariff codes within the class. The coincidence factor is the ratio of the class peak to the sum of the individual customer peaks. The coincidence factors for all lighting tariff codes were assumed to be 1.0 in all months since  lighting loads always turn on at dusk and off at dawn.
</t>
  </si>
  <si>
    <t>Rate Class</t>
  </si>
  <si>
    <t>Strata</t>
  </si>
  <si>
    <t xml:space="preserve">Class load shapes were developed using AEP's Customer Load Aggregation System. This system employs the same aggregation method used by ERCOT  for aggregation and market settlement of these customers. Each customer was assigned a load profile ID based on ERCOT protocols. The metered kWh for each monthly billing cycle for each premise were allocated to each 15-minute interval using backcast load profiles provided by ERCOT. The 15-minute load profiles for all customers in the class were then added together to obtain the total class load shape. Coincident peak and class peak demands were taken directly from the resulting class profile. For demand values at the source, losses were added to metered demands based on the 1998 system loss study performed by AEP-TCC. 
</t>
  </si>
  <si>
    <t>Stratum 1</t>
  </si>
  <si>
    <t>Stratum 2</t>
  </si>
  <si>
    <t>Stratum 3</t>
  </si>
  <si>
    <t>Stratum 4</t>
  </si>
  <si>
    <t>Count</t>
  </si>
  <si>
    <t>Adjusted demands for lighting were based on billed kWh for the calendar month of June 2006. Since AEP-TCC lighting tariffs are billed every month using the average monthly kWh for the year, monthly kWh used to determine demands were adjusted to the percent of annual usage during each calendar month, based on ERCOT profiles.</t>
  </si>
  <si>
    <t>September 2018</t>
  </si>
  <si>
    <t>October 2018</t>
  </si>
  <si>
    <t>November 2018</t>
  </si>
  <si>
    <t>December 2018</t>
  </si>
  <si>
    <t>January 2018</t>
  </si>
  <si>
    <t>March 2018</t>
  </si>
  <si>
    <t>April 2018</t>
  </si>
  <si>
    <t>May 2018</t>
  </si>
  <si>
    <t>June 2018</t>
  </si>
  <si>
    <t>Febuary 2018</t>
  </si>
  <si>
    <t>Annual KWH</t>
  </si>
  <si>
    <t>Mean KW</t>
  </si>
  <si>
    <t>July 2018</t>
  </si>
  <si>
    <t>August 2018</t>
  </si>
  <si>
    <t>GSLT10</t>
  </si>
  <si>
    <t>0 - 13134</t>
  </si>
  <si>
    <t>Sector</t>
  </si>
  <si>
    <t>0 - 17169</t>
  </si>
  <si>
    <t>&gt; 17169</t>
  </si>
  <si>
    <t>0 - 220</t>
  </si>
  <si>
    <t>0 - 67</t>
  </si>
  <si>
    <t>&gt; 67</t>
  </si>
  <si>
    <t>0 - 394</t>
  </si>
  <si>
    <t>13134 - 19580</t>
  </si>
  <si>
    <t>&gt; 19580</t>
  </si>
  <si>
    <t>0 - 4673</t>
  </si>
  <si>
    <t>4673 - 8813</t>
  </si>
  <si>
    <t>8813 - 14073</t>
  </si>
  <si>
    <t>14073 - 23990</t>
  </si>
  <si>
    <t>&gt; 458017</t>
  </si>
  <si>
    <t>0 - 7379</t>
  </si>
  <si>
    <t>&gt; 7379</t>
  </si>
  <si>
    <t>0 - 19</t>
  </si>
  <si>
    <t>19 - 41</t>
  </si>
  <si>
    <t>41 - 108</t>
  </si>
  <si>
    <t>&gt; 108</t>
  </si>
  <si>
    <t>0 - 755</t>
  </si>
  <si>
    <t>0 - 331</t>
  </si>
  <si>
    <t>&gt; 331</t>
  </si>
  <si>
    <t>Stratum 5</t>
  </si>
  <si>
    <t>Stratum Variable</t>
  </si>
  <si>
    <t>Stratum Range</t>
  </si>
  <si>
    <t>Number of Sample Meters</t>
  </si>
  <si>
    <t>Average kWh Consumption</t>
  </si>
  <si>
    <t xml:space="preserve"> Average Customer Non-Coincident Maximum Demand kW</t>
  </si>
  <si>
    <t>Contribution to Rate Class Peak kW</t>
  </si>
  <si>
    <t>Contribution to System Peak Demand kW</t>
  </si>
  <si>
    <t xml:space="preserve">RESIDENTIAL </t>
  </si>
  <si>
    <t>SECONDARY</t>
  </si>
  <si>
    <t xml:space="preserve"> &lt;= 10 kW</t>
  </si>
  <si>
    <t xml:space="preserve">SECONDARY </t>
  </si>
  <si>
    <t>&gt; 10 kW NON-IDR</t>
  </si>
  <si>
    <t>PRIMARY</t>
  </si>
  <si>
    <t xml:space="preserve"> NON-IDR</t>
  </si>
  <si>
    <t>RNH</t>
  </si>
  <si>
    <t>RHT</t>
  </si>
  <si>
    <t>CGSLT10</t>
  </si>
  <si>
    <t>GSNIDR</t>
  </si>
  <si>
    <t>CGS</t>
  </si>
  <si>
    <t>AGR</t>
  </si>
  <si>
    <t>IRIG</t>
  </si>
  <si>
    <t>GSPNIDR</t>
  </si>
  <si>
    <t>RESIDENTIAL SERVICE Sector: RNH</t>
  </si>
  <si>
    <t>Cum Count</t>
  </si>
  <si>
    <t>RESIDENTIAL Sector: RHT</t>
  </si>
  <si>
    <t>SECONDARY &lt;= 10 kW Sector: GSLT10</t>
  </si>
  <si>
    <t>SECONDARY &lt;= 10 kW Sector: CGSLT10</t>
  </si>
  <si>
    <t>SECONDARY &gt; 10 kW NON-IDR Sector: GSNIDR</t>
  </si>
  <si>
    <t>SECONDARY &gt; 10 kW NON-IDR Sector: CGS</t>
  </si>
  <si>
    <t>SECONDARY &gt; 10 kW NON-IDR Sector: AGR</t>
  </si>
  <si>
    <t>SECONDARY &gt; 10 kW NON-IDR Sector: IRIG</t>
  </si>
  <si>
    <t>PRIMARY NON-IDR Sector: GSPNIDR</t>
  </si>
  <si>
    <t>PRIMARY NON-IDR Sector: AGR</t>
  </si>
  <si>
    <t>Method by Which Contributions Were Obtained</t>
  </si>
  <si>
    <t xml:space="preserve">The contributions to rate class and system peak demand were obtained using the Kema Load Research Analysis System.  The Kema Load Research System uses a ratio estimation approach consistent with Association of Edison Illuminating Companies (AEIC) standards to optimally stratify the population and sample, calculate the stratum average demands per customer for each hour, and combine the strata through a weighted average methodology to arrive at class hourly values.  </t>
  </si>
  <si>
    <t>PUBLIC UTILITY OF COMMISSION OF TEXAS</t>
  </si>
  <si>
    <t>TEST YEAR ENDING 12/31/2018</t>
  </si>
  <si>
    <t>SCHEDULE IV-J-4(a)</t>
  </si>
  <si>
    <t>AEP TEXAS CENTRAL DIVISION</t>
  </si>
  <si>
    <t>SCHEDULE IV-J-4(b)</t>
  </si>
  <si>
    <t>Annual
KWH</t>
  </si>
  <si>
    <t>Cum
Count</t>
  </si>
  <si>
    <t>SCHEDULE IV-J-4(c)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</si>
</sst>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0.0000%"/>
    <numFmt numFmtId="166" formatCode="0_);\(0\)"/>
    <numFmt numFmtId="167" formatCode="#,##0.000"/>
  </numFmts>
  <fonts count="10" x14ac:knownFonts="1">
    <font>
      <sz val="10"/>
      <name val="Arial"/>
    </font>
    <font>
      <sz val="10"/>
      <name val="Arial"/>
      <family val="2"/>
    </font>
    <font>
      <sz val="10"/>
      <name val="Helv"/>
    </font>
    <font>
      <sz val="8"/>
      <name val="Arial"/>
      <family val="2"/>
    </font>
    <font>
      <b/>
      <sz val="10"/>
      <name val="Arial"/>
      <family val="2"/>
    </font>
    <font>
      <sz val="10"/>
      <name val="Arial"/>
      <family val="2"/>
    </font>
    <font>
      <b/>
      <sz val="10"/>
      <color indexed="8"/>
      <name val="Arial"/>
      <family val="2"/>
    </font>
    <font>
      <sz val="10"/>
      <color indexed="8"/>
      <name val="Arial"/>
      <family val="2"/>
    </font>
    <font>
      <sz val="10"/>
      <color indexed="12"/>
      <name val="Arial"/>
      <family val="2"/>
    </font>
    <font>
      <sz val="1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top/>
      <bottom/>
      <diagonal/>
    </border>
    <border>
      <left/>
      <right/>
      <top/>
      <bottom style="double">
        <color indexed="64"/>
      </bottom>
      <diagonal/>
    </border>
  </borders>
  <cellStyleXfs count="4">
    <xf numFmtId="0" fontId="0" fillId="0" borderId="0"/>
    <xf numFmtId="43" fontId="1" fillId="0" borderId="0" applyFont="0" applyFill="0" applyBorder="0" applyAlignment="0" applyProtection="0"/>
    <xf numFmtId="3" fontId="2" fillId="0" borderId="0" applyFont="0" applyFill="0" applyBorder="0" applyAlignment="0" applyProtection="0"/>
    <xf numFmtId="165" fontId="1" fillId="0" borderId="0" applyFont="0" applyFill="0" applyBorder="0" applyAlignment="0" applyProtection="0"/>
  </cellStyleXfs>
  <cellXfs count="106">
    <xf numFmtId="0" fontId="0" fillId="0" borderId="0" xfId="0"/>
    <xf numFmtId="0" fontId="4" fillId="0" borderId="0" xfId="0" applyFont="1" applyAlignment="1">
      <alignment horizontal="centerContinuous"/>
    </xf>
    <xf numFmtId="0" fontId="5" fillId="0" borderId="0" xfId="0" applyFont="1" applyAlignment="1">
      <alignment horizontal="centerContinuous"/>
    </xf>
    <xf numFmtId="0" fontId="5" fillId="0" borderId="0" xfId="0" applyFont="1" applyAlignment="1">
      <alignment horizontal="centerContinuous" vertical="top"/>
    </xf>
    <xf numFmtId="0" fontId="5" fillId="0" borderId="0" xfId="0" applyFont="1" applyAlignment="1"/>
    <xf numFmtId="0" fontId="6" fillId="0" borderId="0" xfId="0" applyFont="1" applyFill="1" applyAlignment="1">
      <alignment horizontal="centerContinuous"/>
    </xf>
    <xf numFmtId="0" fontId="5" fillId="0" borderId="0" xfId="0" applyFont="1" applyAlignment="1">
      <alignment horizontal="left"/>
    </xf>
    <xf numFmtId="0" fontId="4" fillId="0" borderId="0" xfId="0" applyFont="1" applyAlignment="1"/>
    <xf numFmtId="0" fontId="4" fillId="0" borderId="0" xfId="0" applyFont="1" applyAlignment="1">
      <alignment horizontal="center"/>
    </xf>
    <xf numFmtId="0" fontId="5" fillId="0" borderId="0" xfId="0" applyFont="1" applyAlignment="1">
      <alignment vertical="top" wrapText="1"/>
    </xf>
    <xf numFmtId="0" fontId="6" fillId="0" borderId="0" xfId="0" applyFont="1" applyAlignment="1"/>
    <xf numFmtId="0" fontId="5" fillId="0" borderId="0" xfId="0" applyFont="1" applyAlignment="1">
      <alignment horizontal="center"/>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center"/>
    </xf>
    <xf numFmtId="0" fontId="4" fillId="0" borderId="1" xfId="0" applyFont="1" applyBorder="1" applyAlignment="1">
      <alignment vertical="top" wrapText="1"/>
    </xf>
    <xf numFmtId="0" fontId="5" fillId="0" borderId="0" xfId="0" applyFont="1" applyAlignment="1">
      <alignment horizontal="left" vertical="top" wrapText="1"/>
    </xf>
    <xf numFmtId="0" fontId="5" fillId="0" borderId="0" xfId="0" applyFont="1" applyAlignment="1">
      <alignment horizontal="center" vertical="top" wrapText="1"/>
    </xf>
    <xf numFmtId="0" fontId="5" fillId="0" borderId="0" xfId="0" quotePrefix="1" applyFont="1" applyAlignment="1">
      <alignment horizontal="left" vertical="top" wrapText="1"/>
    </xf>
    <xf numFmtId="0" fontId="3" fillId="0" borderId="0" xfId="0" quotePrefix="1" applyFont="1" applyFill="1" applyAlignment="1">
      <alignment horizontal="center"/>
    </xf>
    <xf numFmtId="0" fontId="3" fillId="0" borderId="0" xfId="0" applyFont="1" applyFill="1"/>
    <xf numFmtId="0" fontId="5" fillId="0" borderId="0" xfId="0" applyFont="1"/>
    <xf numFmtId="164" fontId="6" fillId="0" borderId="0" xfId="1" applyNumberFormat="1" applyFont="1" applyAlignment="1">
      <alignment horizontal="center"/>
    </xf>
    <xf numFmtId="0" fontId="5" fillId="0" borderId="0" xfId="0" applyFont="1" applyBorder="1" applyAlignment="1">
      <alignment horizontal="center"/>
    </xf>
    <xf numFmtId="0" fontId="4" fillId="0" borderId="0" xfId="0" applyFont="1"/>
    <xf numFmtId="0" fontId="5" fillId="0" borderId="2" xfId="0" quotePrefix="1"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0" fontId="4" fillId="0" borderId="0" xfId="0" applyFont="1" applyAlignment="1">
      <alignment horizontal="left"/>
    </xf>
    <xf numFmtId="1" fontId="5" fillId="0" borderId="0" xfId="0" applyNumberFormat="1" applyFont="1" applyAlignment="1">
      <alignment horizontal="center"/>
    </xf>
    <xf numFmtId="2" fontId="5" fillId="0" borderId="0" xfId="0" applyNumberFormat="1" applyFont="1" applyAlignment="1">
      <alignment horizontal="center"/>
    </xf>
    <xf numFmtId="2" fontId="5" fillId="0" borderId="0" xfId="0" applyNumberFormat="1" applyFont="1" applyBorder="1" applyAlignment="1">
      <alignment horizontal="center"/>
    </xf>
    <xf numFmtId="2" fontId="0" fillId="0" borderId="0" xfId="0" applyNumberFormat="1" applyBorder="1" applyAlignment="1">
      <alignment horizontal="center"/>
    </xf>
    <xf numFmtId="0" fontId="6" fillId="0" borderId="0" xfId="0" applyFont="1" applyFill="1" applyAlignment="1">
      <alignment horizontal="left"/>
    </xf>
    <xf numFmtId="0" fontId="4" fillId="0" borderId="0" xfId="0" applyFont="1" applyAlignment="1">
      <alignment horizontal="centerContinuous" wrapText="1"/>
    </xf>
    <xf numFmtId="0" fontId="4" fillId="0" borderId="0" xfId="0" applyFont="1" applyAlignment="1">
      <alignment horizontal="center" wrapText="1"/>
    </xf>
    <xf numFmtId="49" fontId="4" fillId="0" borderId="0" xfId="0" quotePrefix="1" applyNumberFormat="1" applyFont="1" applyAlignment="1">
      <alignment horizontal="centerContinuous"/>
    </xf>
    <xf numFmtId="0" fontId="5" fillId="0" borderId="0" xfId="0" applyFont="1" applyAlignment="1">
      <alignment wrapText="1"/>
    </xf>
    <xf numFmtId="164" fontId="6" fillId="0" borderId="0" xfId="1" applyNumberFormat="1" applyFont="1" applyAlignment="1">
      <alignment horizontal="center" wrapText="1"/>
    </xf>
    <xf numFmtId="0" fontId="0" fillId="0" borderId="0" xfId="0" applyAlignment="1">
      <alignment wrapText="1"/>
    </xf>
    <xf numFmtId="0" fontId="5" fillId="0" borderId="0" xfId="0" applyFont="1" applyFill="1" applyAlignment="1">
      <alignment horizontal="centerContinuous"/>
    </xf>
    <xf numFmtId="0" fontId="5" fillId="0" borderId="0" xfId="0" applyFont="1" applyFill="1"/>
    <xf numFmtId="0" fontId="4" fillId="0" borderId="0" xfId="0" applyFont="1" applyAlignment="1">
      <alignment horizontal="right"/>
    </xf>
    <xf numFmtId="0" fontId="4" fillId="0" borderId="0" xfId="0" applyFont="1" applyAlignment="1">
      <alignment horizontal="right" wrapText="1"/>
    </xf>
    <xf numFmtId="0" fontId="0" fillId="0" borderId="0" xfId="0" applyAlignment="1">
      <alignment horizontal="right" wrapText="1"/>
    </xf>
    <xf numFmtId="1" fontId="0" fillId="0" borderId="0" xfId="0" applyNumberFormat="1"/>
    <xf numFmtId="1" fontId="1" fillId="0" borderId="0" xfId="0" applyNumberFormat="1" applyFont="1" applyAlignment="1">
      <alignment horizontal="center"/>
    </xf>
    <xf numFmtId="0" fontId="1" fillId="0" borderId="0" xfId="0" applyFont="1" applyAlignment="1">
      <alignment horizontal="center"/>
    </xf>
    <xf numFmtId="0" fontId="1" fillId="0" borderId="0" xfId="0" applyFont="1" applyBorder="1" applyAlignment="1">
      <alignment horizontal="center"/>
    </xf>
    <xf numFmtId="0" fontId="1" fillId="0" borderId="0" xfId="0" quotePrefix="1"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Continuous"/>
    </xf>
    <xf numFmtId="0" fontId="1" fillId="0" borderId="0" xfId="0" applyFont="1"/>
    <xf numFmtId="164" fontId="5" fillId="0" borderId="0" xfId="1" applyNumberFormat="1" applyFont="1" applyAlignment="1">
      <alignment horizontal="center"/>
    </xf>
    <xf numFmtId="0" fontId="1" fillId="0" borderId="0" xfId="0" applyFont="1" applyAlignment="1">
      <alignment wrapText="1"/>
    </xf>
    <xf numFmtId="0" fontId="1" fillId="0" borderId="0" xfId="0" applyFont="1" applyBorder="1"/>
    <xf numFmtId="164" fontId="0" fillId="0" borderId="0" xfId="1" applyNumberFormat="1" applyFont="1"/>
    <xf numFmtId="0" fontId="5" fillId="0" borderId="0" xfId="0" applyFont="1" applyFill="1" applyBorder="1"/>
    <xf numFmtId="0" fontId="5" fillId="0" borderId="0" xfId="0" applyFont="1" applyFill="1" applyBorder="1" applyAlignment="1">
      <alignment horizontal="center"/>
    </xf>
    <xf numFmtId="37" fontId="9" fillId="0" borderId="0" xfId="1" applyNumberFormat="1" applyFont="1" applyFill="1" applyBorder="1" applyAlignment="1">
      <alignment horizontal="right"/>
    </xf>
    <xf numFmtId="0" fontId="4" fillId="0" borderId="0" xfId="0" applyFont="1" applyFill="1" applyBorder="1" applyAlignment="1">
      <alignment horizontal="center"/>
    </xf>
    <xf numFmtId="37" fontId="5" fillId="0" borderId="0" xfId="1" applyNumberFormat="1" applyFont="1" applyFill="1" applyBorder="1" applyAlignment="1">
      <alignment horizontal="centerContinuous"/>
    </xf>
    <xf numFmtId="0" fontId="6" fillId="0" borderId="0" xfId="0" applyFont="1" applyFill="1" applyBorder="1" applyAlignment="1">
      <alignment horizontal="left"/>
    </xf>
    <xf numFmtId="1" fontId="6" fillId="0" borderId="0" xfId="1" applyNumberFormat="1" applyFont="1" applyFill="1" applyBorder="1" applyAlignment="1">
      <alignment horizontal="center"/>
    </xf>
    <xf numFmtId="164" fontId="6" fillId="0" borderId="0" xfId="1" applyNumberFormat="1" applyFont="1" applyFill="1" applyBorder="1"/>
    <xf numFmtId="164" fontId="4" fillId="0" borderId="0" xfId="1" applyNumberFormat="1" applyFont="1" applyFill="1" applyBorder="1"/>
    <xf numFmtId="164" fontId="7" fillId="0" borderId="0" xfId="1" applyNumberFormat="1" applyFont="1" applyFill="1" applyBorder="1"/>
    <xf numFmtId="166" fontId="6" fillId="0" borderId="0" xfId="1" quotePrefix="1" applyNumberFormat="1" applyFont="1" applyFill="1" applyBorder="1" applyAlignment="1">
      <alignment horizontal="center"/>
    </xf>
    <xf numFmtId="164" fontId="6" fillId="0" borderId="0" xfId="1" quotePrefix="1" applyNumberFormat="1" applyFont="1" applyFill="1" applyBorder="1" applyAlignment="1">
      <alignment horizontal="center"/>
    </xf>
    <xf numFmtId="164" fontId="6" fillId="0" borderId="0" xfId="1" applyNumberFormat="1" applyFont="1" applyFill="1" applyBorder="1" applyAlignment="1">
      <alignment horizontal="center"/>
    </xf>
    <xf numFmtId="164" fontId="4" fillId="0" borderId="0" xfId="1" applyNumberFormat="1" applyFont="1" applyFill="1" applyBorder="1" applyAlignment="1">
      <alignment horizontal="center"/>
    </xf>
    <xf numFmtId="0" fontId="5" fillId="0" borderId="0" xfId="0" quotePrefix="1" applyFont="1" applyFill="1" applyBorder="1" applyAlignment="1">
      <alignment horizontal="center"/>
    </xf>
    <xf numFmtId="167" fontId="8" fillId="0" borderId="0" xfId="1" applyNumberFormat="1" applyFont="1" applyFill="1" applyBorder="1"/>
    <xf numFmtId="167" fontId="5" fillId="0" borderId="0" xfId="1" applyNumberFormat="1" applyFont="1" applyFill="1" applyBorder="1"/>
    <xf numFmtId="167" fontId="5" fillId="0" borderId="0" xfId="0" applyNumberFormat="1" applyFont="1" applyFill="1" applyBorder="1" applyAlignment="1">
      <alignment horizontal="center"/>
    </xf>
    <xf numFmtId="167" fontId="7" fillId="0" borderId="0" xfId="1" applyNumberFormat="1" applyFont="1" applyFill="1" applyBorder="1"/>
    <xf numFmtId="167" fontId="5" fillId="0" borderId="0" xfId="0" applyNumberFormat="1" applyFont="1" applyFill="1" applyBorder="1" applyAlignment="1">
      <alignment horizontal="right"/>
    </xf>
    <xf numFmtId="167" fontId="7" fillId="0" borderId="0" xfId="1" applyNumberFormat="1" applyFont="1" applyFill="1" applyBorder="1" applyAlignment="1">
      <alignment horizontal="right"/>
    </xf>
    <xf numFmtId="0" fontId="4" fillId="0" borderId="0" xfId="0" applyFont="1" applyFill="1" applyBorder="1"/>
    <xf numFmtId="167" fontId="8" fillId="0" borderId="0" xfId="0" applyNumberFormat="1" applyFont="1" applyFill="1" applyBorder="1" applyAlignment="1">
      <alignment horizontal="right"/>
    </xf>
    <xf numFmtId="3" fontId="5" fillId="0" borderId="0" xfId="1" applyNumberFormat="1" applyFont="1" applyFill="1" applyBorder="1"/>
    <xf numFmtId="3" fontId="7" fillId="0" borderId="0" xfId="1" applyNumberFormat="1" applyFont="1" applyFill="1" applyBorder="1"/>
    <xf numFmtId="164" fontId="5" fillId="0" borderId="0" xfId="1" applyNumberFormat="1" applyFont="1" applyFill="1" applyBorder="1"/>
    <xf numFmtId="167" fontId="8" fillId="0" borderId="3" xfId="1" applyNumberFormat="1" applyFont="1" applyFill="1" applyBorder="1"/>
    <xf numFmtId="167" fontId="5" fillId="0" borderId="4" xfId="0" applyNumberFormat="1" applyFont="1" applyFill="1" applyBorder="1" applyAlignment="1">
      <alignment horizontal="center"/>
    </xf>
    <xf numFmtId="167" fontId="7" fillId="0" borderId="4" xfId="1" applyNumberFormat="1" applyFont="1" applyFill="1" applyBorder="1"/>
    <xf numFmtId="167" fontId="5" fillId="0" borderId="4" xfId="1" applyNumberFormat="1" applyFont="1" applyFill="1" applyBorder="1"/>
    <xf numFmtId="0" fontId="6" fillId="0" borderId="0" xfId="0" applyFont="1" applyFill="1" applyAlignment="1">
      <alignment horizontal="center"/>
    </xf>
    <xf numFmtId="0" fontId="1" fillId="0" borderId="0" xfId="0" applyFont="1" applyFill="1" applyBorder="1"/>
    <xf numFmtId="164" fontId="1" fillId="0" borderId="0" xfId="1" applyNumberFormat="1" applyFont="1" applyFill="1" applyBorder="1"/>
    <xf numFmtId="0" fontId="0" fillId="0" borderId="0" xfId="0" applyAlignment="1"/>
    <xf numFmtId="43" fontId="4" fillId="0" borderId="0" xfId="1" applyFont="1" applyFill="1" applyBorder="1" applyAlignment="1">
      <alignment horizontal="center"/>
    </xf>
    <xf numFmtId="0" fontId="0" fillId="0" borderId="0" xfId="0" applyAlignment="1">
      <alignment horizontal="center"/>
    </xf>
    <xf numFmtId="0" fontId="1" fillId="0" borderId="0" xfId="0" applyFont="1" applyAlignment="1"/>
    <xf numFmtId="0" fontId="1" fillId="0" borderId="0" xfId="0" applyFont="1" applyAlignment="1">
      <alignment horizontal="centerContinuous" vertical="top"/>
    </xf>
    <xf numFmtId="0" fontId="6" fillId="0" borderId="0" xfId="0" applyFont="1" applyFill="1" applyAlignment="1">
      <alignment horizontal="center" wrapText="1"/>
    </xf>
    <xf numFmtId="0" fontId="4" fillId="0" borderId="0" xfId="0" applyFont="1" applyAlignment="1">
      <alignment wrapText="1"/>
    </xf>
    <xf numFmtId="0" fontId="5" fillId="0" borderId="0" xfId="0" applyFont="1" applyAlignment="1">
      <alignment horizontal="left" wrapText="1"/>
    </xf>
    <xf numFmtId="43" fontId="4" fillId="0" borderId="0" xfId="1" applyFont="1" applyFill="1" applyBorder="1" applyAlignment="1">
      <alignment horizontal="center"/>
    </xf>
    <xf numFmtId="0" fontId="4" fillId="0" borderId="0" xfId="0" applyFont="1" applyFill="1" applyBorder="1" applyAlignment="1">
      <alignment horizontal="center"/>
    </xf>
    <xf numFmtId="0" fontId="0" fillId="0" borderId="0" xfId="0" applyAlignment="1"/>
    <xf numFmtId="0" fontId="0" fillId="0" borderId="0" xfId="0" applyAlignment="1">
      <alignment horizontal="center"/>
    </xf>
    <xf numFmtId="0" fontId="6" fillId="0" borderId="0" xfId="0" applyFont="1" applyFill="1" applyAlignment="1">
      <alignment horizontal="center"/>
    </xf>
    <xf numFmtId="0" fontId="4" fillId="0" borderId="0" xfId="0" applyFont="1" applyAlignment="1">
      <alignment horizontal="center"/>
    </xf>
    <xf numFmtId="0" fontId="0" fillId="0" borderId="0" xfId="0" applyAlignment="1">
      <alignment horizontal="center" wrapText="1"/>
    </xf>
    <xf numFmtId="0" fontId="6" fillId="0" borderId="0" xfId="0" applyFont="1" applyFill="1" applyAlignment="1">
      <alignment horizontal="left"/>
    </xf>
  </cellXfs>
  <cellStyles count="4">
    <cellStyle name="Comma" xfId="1" builtinId="3"/>
    <cellStyle name="Comma(0)" xfId="2"/>
    <cellStyle name="Normal" xfId="0" builtinId="0"/>
    <cellStyle name="Percent(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EXCEL\SWEPCO\dryrun\RVCAPAK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ndows\TEMP\Q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A\EXCEL\CPL\CPL%20Rate%20Case\Final\Q7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1.1"/>
      <sheetName val="Summary"/>
      <sheetName val="Fuel Adjustment"/>
      <sheetName val="Embed Fuel"/>
      <sheetName val="Base Revenue"/>
      <sheetName val="DECAPAR"/>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RS"/>
      <sheetName val="SRS "/>
      <sheetName val="RSWH "/>
      <sheetName val="RSTOU"/>
      <sheetName val="GS"/>
      <sheetName val="LP"/>
      <sheetName val="IP"/>
      <sheetName val="PS"/>
      <sheetName val="Irr 28"/>
      <sheetName val="Irr 29"/>
      <sheetName val="CG"/>
      <sheetName val="CG-TOU"/>
      <sheetName val="Rec Lights"/>
      <sheetName val="MPS"/>
      <sheetName val="Security"/>
      <sheetName val="Flood"/>
      <sheetName val="Flood-Cust. Owned"/>
      <sheetName val="Street Lighting"/>
      <sheetName val="Sheet9"/>
      <sheetName val="Street"/>
      <sheetName val="Security-Adjustments"/>
      <sheetName val="Security-Adj. Revenue"/>
      <sheetName val="Security Lights"/>
      <sheetName val="Flood Lights"/>
      <sheetName val="Flood Lights-Cust. Own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Summary"/>
      <sheetName val="ERS"/>
      <sheetName val="SRS "/>
      <sheetName val="RSWH "/>
      <sheetName val="RSTOU"/>
      <sheetName val="SH, WH, UMS"/>
      <sheetName val="GS"/>
      <sheetName val="LP"/>
      <sheetName val="PS"/>
      <sheetName val="IP"/>
      <sheetName val="CG "/>
      <sheetName val="Irr 28"/>
      <sheetName val="Irr 29"/>
      <sheetName val="Rec Lights"/>
      <sheetName val="MPS"/>
      <sheetName val="Security Lights"/>
      <sheetName val="Flood Lights"/>
      <sheetName val="Street Lighting"/>
      <sheetName val="Traffic Lighting"/>
      <sheetName val="Flood_CustOwn"/>
      <sheetName val="LI68"/>
      <sheetName val="Wholesale"/>
      <sheetName val="Robstown"/>
      <sheetName val="KWH"/>
      <sheetName val="KW"/>
      <sheetName val="Whol Prof"/>
      <sheetName val="BFCust"/>
      <sheetName val="Block kw"/>
      <sheetName val="Block kWh"/>
      <sheetName val="Whtr Adj"/>
      <sheetName val="Cust Ad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1"/>
  <sheetViews>
    <sheetView tabSelected="1" view="pageBreakPreview" zoomScaleNormal="100" zoomScaleSheetLayoutView="100" workbookViewId="0"/>
  </sheetViews>
  <sheetFormatPr defaultColWidth="9.1796875" defaultRowHeight="12.5" x14ac:dyDescent="0.25"/>
  <cols>
    <col min="1" max="1" width="5.1796875" style="57" bestFit="1" customWidth="1"/>
    <col min="2" max="2" width="24.453125" style="57" bestFit="1" customWidth="1"/>
    <col min="3" max="3" width="8" style="58" bestFit="1" customWidth="1"/>
    <col min="4" max="5" width="14.453125" style="58" bestFit="1" customWidth="1"/>
    <col min="6" max="6" width="14" style="58" bestFit="1" customWidth="1"/>
    <col min="7" max="7" width="14.1796875" style="66" bestFit="1" customWidth="1"/>
    <col min="8" max="8" width="14" style="66" bestFit="1" customWidth="1"/>
    <col min="9" max="10" width="14.1796875" style="66" bestFit="1" customWidth="1"/>
    <col min="11" max="11" width="14" style="66" bestFit="1" customWidth="1"/>
    <col min="12" max="12" width="15.453125" style="66" bestFit="1" customWidth="1"/>
    <col min="13" max="13" width="14" style="66" bestFit="1" customWidth="1"/>
    <col min="14" max="14" width="14.7265625" style="66" bestFit="1" customWidth="1"/>
    <col min="15" max="15" width="14.453125" style="66" customWidth="1"/>
    <col min="16" max="16" width="15.453125" style="82" bestFit="1" customWidth="1"/>
    <col min="17" max="16384" width="9.1796875" style="57"/>
  </cols>
  <sheetData>
    <row r="1" spans="1:16" s="88" customFormat="1" ht="13" x14ac:dyDescent="0.3">
      <c r="B1" s="98" t="s">
        <v>124</v>
      </c>
      <c r="C1" s="98"/>
      <c r="D1" s="98"/>
      <c r="E1" s="98"/>
      <c r="F1" s="98"/>
      <c r="G1" s="98"/>
      <c r="H1" s="98"/>
      <c r="I1" s="98"/>
      <c r="J1" s="98"/>
      <c r="K1" s="98"/>
      <c r="L1" s="98"/>
      <c r="M1" s="98"/>
      <c r="N1" s="98"/>
      <c r="O1" s="98"/>
      <c r="P1" s="89"/>
    </row>
    <row r="2" spans="1:16" ht="13" x14ac:dyDescent="0.3">
      <c r="B2" s="99" t="s">
        <v>127</v>
      </c>
      <c r="C2" s="100"/>
      <c r="D2" s="100"/>
      <c r="E2" s="100"/>
      <c r="F2" s="100"/>
      <c r="G2" s="100"/>
      <c r="H2" s="100"/>
      <c r="I2" s="100"/>
      <c r="J2" s="100"/>
      <c r="K2" s="100"/>
      <c r="L2" s="100"/>
      <c r="M2" s="100"/>
      <c r="N2" s="100"/>
      <c r="O2" s="100"/>
      <c r="P2" s="57"/>
    </row>
    <row r="3" spans="1:16" s="88" customFormat="1" ht="13" x14ac:dyDescent="0.3">
      <c r="B3" s="99" t="s">
        <v>126</v>
      </c>
      <c r="C3" s="100"/>
      <c r="D3" s="100"/>
      <c r="E3" s="100"/>
      <c r="F3" s="100"/>
      <c r="G3" s="100"/>
      <c r="H3" s="100"/>
      <c r="I3" s="100"/>
      <c r="J3" s="100"/>
      <c r="K3" s="100"/>
      <c r="L3" s="100"/>
      <c r="M3" s="100"/>
      <c r="N3" s="100"/>
      <c r="O3" s="100"/>
    </row>
    <row r="4" spans="1:16" ht="13" x14ac:dyDescent="0.3">
      <c r="B4" s="99" t="s">
        <v>125</v>
      </c>
      <c r="C4" s="100"/>
      <c r="D4" s="100"/>
      <c r="E4" s="100"/>
      <c r="F4" s="100"/>
      <c r="G4" s="100"/>
      <c r="H4" s="100"/>
      <c r="I4" s="100"/>
      <c r="J4" s="100"/>
      <c r="K4" s="100"/>
      <c r="L4" s="100"/>
      <c r="M4" s="100"/>
      <c r="N4" s="100"/>
      <c r="O4" s="100"/>
      <c r="P4" s="57"/>
    </row>
    <row r="5" spans="1:16" ht="13" x14ac:dyDescent="0.3">
      <c r="B5" s="60"/>
      <c r="C5" s="90"/>
      <c r="D5" s="90"/>
      <c r="E5" s="90"/>
      <c r="F5" s="90"/>
      <c r="G5" s="90"/>
      <c r="H5" s="90"/>
      <c r="I5" s="90"/>
      <c r="J5" s="90"/>
      <c r="K5" s="90"/>
      <c r="L5" s="90"/>
      <c r="M5" s="90"/>
      <c r="N5" s="90"/>
      <c r="O5" s="90"/>
      <c r="P5" s="57"/>
    </row>
    <row r="6" spans="1:16" ht="13" x14ac:dyDescent="0.3">
      <c r="B6" s="99" t="s">
        <v>29</v>
      </c>
      <c r="C6" s="99"/>
      <c r="D6" s="99"/>
      <c r="E6" s="99"/>
      <c r="F6" s="99"/>
      <c r="G6" s="99"/>
      <c r="H6" s="99"/>
      <c r="I6" s="99"/>
      <c r="J6" s="99"/>
      <c r="K6" s="99"/>
      <c r="L6" s="99"/>
      <c r="M6" s="99"/>
      <c r="N6" s="99"/>
      <c r="O6" s="61" t="s">
        <v>0</v>
      </c>
      <c r="P6" s="57"/>
    </row>
    <row r="7" spans="1:16" ht="13" x14ac:dyDescent="0.3">
      <c r="B7" s="60"/>
      <c r="C7" s="60"/>
      <c r="D7" s="60"/>
      <c r="E7" s="60"/>
      <c r="F7" s="60"/>
      <c r="G7" s="60"/>
      <c r="H7" s="60"/>
      <c r="I7" s="60"/>
      <c r="J7" s="60"/>
      <c r="K7" s="60"/>
      <c r="L7" s="60"/>
      <c r="M7" s="60"/>
      <c r="N7" s="60"/>
      <c r="O7" s="60"/>
      <c r="P7" s="57"/>
    </row>
    <row r="8" spans="1:16" ht="13" x14ac:dyDescent="0.3">
      <c r="B8" s="62"/>
      <c r="D8" s="63">
        <v>2018</v>
      </c>
      <c r="E8" s="64"/>
      <c r="F8" s="65"/>
      <c r="H8" s="64"/>
      <c r="I8" s="64"/>
      <c r="J8" s="67"/>
      <c r="K8" s="64"/>
      <c r="L8" s="64"/>
      <c r="M8" s="68"/>
      <c r="N8" s="64"/>
      <c r="O8" s="64"/>
      <c r="P8" s="65"/>
    </row>
    <row r="9" spans="1:16" ht="13" x14ac:dyDescent="0.3">
      <c r="A9" s="60" t="s">
        <v>1</v>
      </c>
      <c r="B9" s="60" t="s">
        <v>2</v>
      </c>
      <c r="C9" s="60" t="s">
        <v>3</v>
      </c>
      <c r="D9" s="69" t="s">
        <v>4</v>
      </c>
      <c r="E9" s="69" t="s">
        <v>5</v>
      </c>
      <c r="F9" s="69" t="s">
        <v>6</v>
      </c>
      <c r="G9" s="69" t="s">
        <v>7</v>
      </c>
      <c r="H9" s="69" t="s">
        <v>8</v>
      </c>
      <c r="I9" s="69" t="s">
        <v>9</v>
      </c>
      <c r="J9" s="69" t="s">
        <v>10</v>
      </c>
      <c r="K9" s="69" t="s">
        <v>11</v>
      </c>
      <c r="L9" s="69" t="s">
        <v>12</v>
      </c>
      <c r="M9" s="69" t="s">
        <v>13</v>
      </c>
      <c r="N9" s="69" t="s">
        <v>14</v>
      </c>
      <c r="O9" s="69" t="s">
        <v>15</v>
      </c>
      <c r="P9" s="70" t="s">
        <v>16</v>
      </c>
    </row>
    <row r="10" spans="1:16" ht="13" x14ac:dyDescent="0.3">
      <c r="A10" s="60"/>
      <c r="B10" s="60"/>
      <c r="C10" s="60"/>
      <c r="D10" s="69"/>
      <c r="E10" s="69"/>
      <c r="F10" s="69"/>
      <c r="G10" s="69"/>
      <c r="H10" s="69"/>
      <c r="I10" s="69"/>
      <c r="J10" s="69"/>
      <c r="K10" s="69"/>
      <c r="L10" s="69"/>
      <c r="M10" s="69"/>
      <c r="N10" s="69"/>
      <c r="O10" s="69"/>
      <c r="P10" s="70"/>
    </row>
    <row r="11" spans="1:16" ht="14.5" x14ac:dyDescent="0.35">
      <c r="A11" s="71">
        <v>4</v>
      </c>
      <c r="B11" s="57" t="s">
        <v>20</v>
      </c>
      <c r="C11" s="58" t="s">
        <v>17</v>
      </c>
      <c r="D11" s="59">
        <v>162308.42973819253</v>
      </c>
      <c r="E11" s="59">
        <v>154671.59939999689</v>
      </c>
      <c r="F11" s="59">
        <v>150124.09738669495</v>
      </c>
      <c r="G11" s="59">
        <v>159525.18896198898</v>
      </c>
      <c r="H11" s="59">
        <v>151541.42477154353</v>
      </c>
      <c r="I11" s="59">
        <v>175645.944863585</v>
      </c>
      <c r="J11" s="59">
        <v>174342.80416368059</v>
      </c>
      <c r="K11" s="59">
        <v>167498.11551610378</v>
      </c>
      <c r="L11" s="59">
        <v>214760.79480438289</v>
      </c>
      <c r="M11" s="59">
        <v>198575.36405770059</v>
      </c>
      <c r="N11" s="59">
        <v>195434.85861982172</v>
      </c>
      <c r="O11" s="59">
        <v>161033.71805749531</v>
      </c>
      <c r="P11" s="83">
        <f>SUM(D11:O11)</f>
        <v>2065462.3403411868</v>
      </c>
    </row>
    <row r="12" spans="1:16" x14ac:dyDescent="0.25">
      <c r="A12" s="71"/>
      <c r="D12" s="73"/>
      <c r="E12" s="73"/>
      <c r="F12" s="73"/>
      <c r="G12" s="73"/>
      <c r="H12" s="73"/>
      <c r="I12" s="73"/>
      <c r="J12" s="73"/>
      <c r="K12" s="73"/>
      <c r="L12" s="73"/>
      <c r="M12" s="73"/>
      <c r="N12" s="73"/>
      <c r="O12" s="73"/>
      <c r="P12" s="72"/>
    </row>
    <row r="13" spans="1:16" ht="14.5" x14ac:dyDescent="0.35">
      <c r="A13" s="71">
        <v>7</v>
      </c>
      <c r="B13" s="57" t="s">
        <v>21</v>
      </c>
      <c r="C13" s="58" t="s">
        <v>22</v>
      </c>
      <c r="D13" s="59">
        <v>463081.03321501665</v>
      </c>
      <c r="E13" s="59">
        <v>430507.58509659872</v>
      </c>
      <c r="F13" s="59">
        <v>426164.86512259702</v>
      </c>
      <c r="G13" s="59">
        <v>428601.41980530747</v>
      </c>
      <c r="H13" s="59">
        <v>448380.27506815287</v>
      </c>
      <c r="I13" s="59">
        <v>489016.82136577257</v>
      </c>
      <c r="J13" s="59">
        <v>471244.44716195349</v>
      </c>
      <c r="K13" s="59">
        <v>467390.3759192893</v>
      </c>
      <c r="L13" s="59">
        <v>525441.2857252229</v>
      </c>
      <c r="M13" s="59">
        <v>476200.20456169825</v>
      </c>
      <c r="N13" s="59">
        <v>522474.92017916561</v>
      </c>
      <c r="O13" s="59">
        <v>441841.36846095813</v>
      </c>
      <c r="P13" s="83">
        <f>SUM(D13:O13)</f>
        <v>5590344.6016817326</v>
      </c>
    </row>
    <row r="14" spans="1:16" x14ac:dyDescent="0.25">
      <c r="A14" s="71"/>
      <c r="D14" s="73"/>
      <c r="E14" s="73"/>
      <c r="F14" s="73"/>
      <c r="G14" s="73"/>
      <c r="H14" s="73"/>
      <c r="I14" s="73"/>
      <c r="J14" s="73"/>
      <c r="K14" s="73"/>
      <c r="L14" s="73"/>
      <c r="M14" s="73"/>
      <c r="N14" s="73"/>
      <c r="O14" s="73"/>
      <c r="P14" s="72"/>
    </row>
    <row r="15" spans="1:16" ht="14.5" x14ac:dyDescent="0.35">
      <c r="A15" s="71">
        <v>9</v>
      </c>
      <c r="B15" s="57" t="s">
        <v>23</v>
      </c>
      <c r="C15" s="58" t="s">
        <v>18</v>
      </c>
      <c r="D15" s="59">
        <v>1114646.0823380684</v>
      </c>
      <c r="E15" s="59">
        <v>909053.33450309501</v>
      </c>
      <c r="F15" s="59">
        <v>1067267.7946017894</v>
      </c>
      <c r="G15" s="59">
        <v>1135613.3040887071</v>
      </c>
      <c r="H15" s="59">
        <v>1160910.4772396307</v>
      </c>
      <c r="I15" s="59">
        <v>1185445.0990025839</v>
      </c>
      <c r="J15" s="59">
        <v>730780.88245829602</v>
      </c>
      <c r="K15" s="59">
        <v>741337.50321769377</v>
      </c>
      <c r="L15" s="59">
        <v>910936.14657336473</v>
      </c>
      <c r="M15" s="59">
        <v>627070.0063390251</v>
      </c>
      <c r="N15" s="59">
        <v>1228493.3724492153</v>
      </c>
      <c r="O15" s="59">
        <v>715170.07622916251</v>
      </c>
      <c r="P15" s="83">
        <f>SUM(D15:O15)</f>
        <v>11526724.079040632</v>
      </c>
    </row>
    <row r="16" spans="1:16" x14ac:dyDescent="0.25">
      <c r="D16" s="74"/>
      <c r="E16" s="74"/>
      <c r="F16" s="74"/>
      <c r="G16" s="75"/>
      <c r="H16" s="75"/>
      <c r="I16" s="75"/>
      <c r="J16" s="75"/>
      <c r="K16" s="75"/>
      <c r="L16" s="75"/>
      <c r="M16" s="75"/>
      <c r="N16" s="75"/>
      <c r="O16" s="75"/>
      <c r="P16" s="73"/>
    </row>
    <row r="17" spans="1:16" x14ac:dyDescent="0.25">
      <c r="A17" s="58">
        <v>12</v>
      </c>
      <c r="B17" s="57" t="s">
        <v>28</v>
      </c>
      <c r="C17" s="58" t="s">
        <v>22</v>
      </c>
      <c r="D17" s="76"/>
      <c r="E17" s="76"/>
      <c r="F17" s="76"/>
      <c r="G17" s="77"/>
      <c r="H17" s="77"/>
      <c r="I17" s="77"/>
      <c r="J17" s="77"/>
      <c r="K17" s="77"/>
      <c r="L17" s="77"/>
      <c r="M17" s="77"/>
      <c r="N17" s="77"/>
      <c r="O17" s="77"/>
      <c r="P17" s="72">
        <f>SUM(D17:O17)</f>
        <v>0</v>
      </c>
    </row>
    <row r="18" spans="1:16" ht="13" thickBot="1" x14ac:dyDescent="0.3">
      <c r="A18" s="58"/>
      <c r="D18" s="84"/>
      <c r="E18" s="84"/>
      <c r="F18" s="84"/>
      <c r="G18" s="85"/>
      <c r="H18" s="85"/>
      <c r="I18" s="85"/>
      <c r="J18" s="85"/>
      <c r="K18" s="85"/>
      <c r="L18" s="85"/>
      <c r="M18" s="85"/>
      <c r="N18" s="85"/>
      <c r="O18" s="85"/>
      <c r="P18" s="86"/>
    </row>
    <row r="19" spans="1:16" ht="13.5" thickTop="1" x14ac:dyDescent="0.3">
      <c r="B19" s="78" t="s">
        <v>19</v>
      </c>
      <c r="D19" s="79">
        <f>D11+D13+D15+D17</f>
        <v>1740035.5452912776</v>
      </c>
      <c r="E19" s="79">
        <f t="shared" ref="E19:O19" si="0">E11+E13+E15+E17</f>
        <v>1494232.5189996907</v>
      </c>
      <c r="F19" s="79">
        <f t="shared" si="0"/>
        <v>1643556.7571110814</v>
      </c>
      <c r="G19" s="79">
        <f t="shared" si="0"/>
        <v>1723739.9128560035</v>
      </c>
      <c r="H19" s="79">
        <f t="shared" si="0"/>
        <v>1760832.1770793269</v>
      </c>
      <c r="I19" s="79">
        <f t="shared" si="0"/>
        <v>1850107.8652319415</v>
      </c>
      <c r="J19" s="79">
        <f t="shared" si="0"/>
        <v>1376368.13378393</v>
      </c>
      <c r="K19" s="79">
        <f t="shared" si="0"/>
        <v>1376225.9946530869</v>
      </c>
      <c r="L19" s="79">
        <f t="shared" si="0"/>
        <v>1651138.2271029705</v>
      </c>
      <c r="M19" s="79">
        <f t="shared" si="0"/>
        <v>1301845.5749584241</v>
      </c>
      <c r="N19" s="79">
        <f t="shared" si="0"/>
        <v>1946403.1512482027</v>
      </c>
      <c r="O19" s="79">
        <f t="shared" si="0"/>
        <v>1318045.1627476159</v>
      </c>
      <c r="P19" s="72">
        <f>SUM(D19:O19)</f>
        <v>19182531.021063551</v>
      </c>
    </row>
    <row r="20" spans="1:16" ht="13" x14ac:dyDescent="0.3">
      <c r="B20" s="78"/>
      <c r="D20" s="79"/>
      <c r="E20" s="79"/>
      <c r="F20" s="79"/>
      <c r="G20" s="79"/>
      <c r="H20" s="79"/>
      <c r="I20" s="79"/>
      <c r="J20" s="79"/>
      <c r="K20" s="79"/>
      <c r="L20" s="79"/>
      <c r="M20" s="79"/>
      <c r="N20" s="79"/>
      <c r="O20" s="79"/>
      <c r="P20" s="72"/>
    </row>
    <row r="22" spans="1:16" ht="13" x14ac:dyDescent="0.3">
      <c r="B22" s="99" t="s">
        <v>30</v>
      </c>
      <c r="C22" s="101"/>
      <c r="D22" s="101"/>
      <c r="E22" s="101"/>
      <c r="F22" s="101"/>
      <c r="G22" s="101"/>
      <c r="H22" s="101"/>
      <c r="I22" s="101"/>
      <c r="J22" s="101"/>
      <c r="K22" s="101"/>
      <c r="L22" s="101"/>
      <c r="M22" s="101"/>
      <c r="N22" s="101"/>
      <c r="O22" s="101" t="s">
        <v>0</v>
      </c>
      <c r="P22" s="57"/>
    </row>
    <row r="23" spans="1:16" ht="13" x14ac:dyDescent="0.3">
      <c r="B23" s="60"/>
      <c r="C23" s="60"/>
      <c r="D23" s="60"/>
      <c r="E23" s="60"/>
      <c r="F23" s="60"/>
      <c r="G23" s="60"/>
      <c r="H23" s="60"/>
      <c r="I23" s="60"/>
      <c r="J23" s="60"/>
      <c r="K23" s="60"/>
      <c r="L23" s="60"/>
      <c r="M23" s="60"/>
      <c r="N23" s="60"/>
      <c r="O23" s="60"/>
      <c r="P23" s="57"/>
    </row>
    <row r="24" spans="1:16" ht="13" x14ac:dyDescent="0.3">
      <c r="B24" s="62"/>
      <c r="D24" s="63">
        <f>D8</f>
        <v>2018</v>
      </c>
      <c r="E24" s="64"/>
      <c r="F24" s="65"/>
      <c r="H24" s="64"/>
      <c r="I24" s="64"/>
      <c r="J24" s="67"/>
      <c r="K24" s="64"/>
      <c r="L24" s="64"/>
      <c r="M24" s="68"/>
      <c r="N24" s="64"/>
      <c r="O24" s="64"/>
      <c r="P24" s="65"/>
    </row>
    <row r="25" spans="1:16" ht="13" x14ac:dyDescent="0.3">
      <c r="A25" s="60" t="s">
        <v>1</v>
      </c>
      <c r="B25" s="60" t="s">
        <v>2</v>
      </c>
      <c r="C25" s="60" t="s">
        <v>3</v>
      </c>
      <c r="D25" s="69" t="s">
        <v>4</v>
      </c>
      <c r="E25" s="69" t="s">
        <v>5</v>
      </c>
      <c r="F25" s="69" t="s">
        <v>6</v>
      </c>
      <c r="G25" s="69" t="s">
        <v>7</v>
      </c>
      <c r="H25" s="69" t="s">
        <v>8</v>
      </c>
      <c r="I25" s="69" t="s">
        <v>9</v>
      </c>
      <c r="J25" s="69" t="s">
        <v>10</v>
      </c>
      <c r="K25" s="69" t="s">
        <v>11</v>
      </c>
      <c r="L25" s="69" t="s">
        <v>12</v>
      </c>
      <c r="M25" s="69" t="s">
        <v>13</v>
      </c>
      <c r="N25" s="69" t="s">
        <v>14</v>
      </c>
      <c r="O25" s="69" t="s">
        <v>15</v>
      </c>
      <c r="P25" s="70" t="s">
        <v>16</v>
      </c>
    </row>
    <row r="26" spans="1:16" ht="13" x14ac:dyDescent="0.3">
      <c r="A26" s="60"/>
      <c r="B26" s="60"/>
      <c r="C26" s="60"/>
      <c r="D26" s="69"/>
      <c r="E26" s="69"/>
      <c r="F26" s="69"/>
      <c r="G26" s="69"/>
      <c r="H26" s="69"/>
      <c r="I26" s="69"/>
      <c r="J26" s="69"/>
      <c r="K26" s="69"/>
      <c r="L26" s="69"/>
      <c r="M26" s="69"/>
      <c r="N26" s="69"/>
      <c r="O26" s="69"/>
      <c r="P26" s="70"/>
    </row>
    <row r="27" spans="1:16" ht="14.5" x14ac:dyDescent="0.35">
      <c r="A27" s="71">
        <v>4</v>
      </c>
      <c r="B27" s="57" t="s">
        <v>20</v>
      </c>
      <c r="C27" s="58" t="s">
        <v>17</v>
      </c>
      <c r="D27" s="59">
        <v>150847.06940481471</v>
      </c>
      <c r="E27" s="59">
        <v>143749.51151508105</v>
      </c>
      <c r="F27" s="59">
        <v>139523.12997146318</v>
      </c>
      <c r="G27" s="59">
        <v>148260.36632836019</v>
      </c>
      <c r="H27" s="59">
        <v>140840.3732146913</v>
      </c>
      <c r="I27" s="59">
        <v>163242.75996169538</v>
      </c>
      <c r="J27" s="59">
        <v>162031.64014543078</v>
      </c>
      <c r="K27" s="59">
        <v>155670.2871020872</v>
      </c>
      <c r="L27" s="59">
        <v>199595.5266867255</v>
      </c>
      <c r="M27" s="59">
        <v>184553.02520279243</v>
      </c>
      <c r="N27" s="59">
        <v>181634.28559993842</v>
      </c>
      <c r="O27" s="59">
        <v>149662.3711012243</v>
      </c>
      <c r="P27" s="83">
        <f>SUM(D27:O27)</f>
        <v>1919610.3462343044</v>
      </c>
    </row>
    <row r="28" spans="1:16" x14ac:dyDescent="0.25">
      <c r="A28" s="71"/>
      <c r="D28" s="73"/>
      <c r="E28" s="73"/>
      <c r="F28" s="73"/>
      <c r="G28" s="73"/>
      <c r="H28" s="73"/>
      <c r="I28" s="73"/>
      <c r="J28" s="73"/>
      <c r="K28" s="73"/>
      <c r="L28" s="73"/>
      <c r="M28" s="73"/>
      <c r="N28" s="73"/>
      <c r="O28" s="73"/>
      <c r="P28" s="72"/>
    </row>
    <row r="29" spans="1:16" ht="14.5" x14ac:dyDescent="0.35">
      <c r="A29" s="71">
        <v>7</v>
      </c>
      <c r="B29" s="57" t="s">
        <v>21</v>
      </c>
      <c r="C29" s="58" t="s">
        <v>22</v>
      </c>
      <c r="D29" s="59">
        <v>442453.83540828247</v>
      </c>
      <c r="E29" s="59">
        <v>411331.31900460401</v>
      </c>
      <c r="F29" s="59">
        <v>407182.03848827368</v>
      </c>
      <c r="G29" s="59">
        <v>409510.06077211158</v>
      </c>
      <c r="H29" s="59">
        <v>428407.89882493438</v>
      </c>
      <c r="I29" s="59">
        <v>467234.35570290318</v>
      </c>
      <c r="J29" s="59">
        <v>450253.62324621488</v>
      </c>
      <c r="K29" s="59">
        <v>446571.22539153585</v>
      </c>
      <c r="L29" s="59">
        <v>502036.35103974969</v>
      </c>
      <c r="M29" s="59">
        <v>454988.63442481338</v>
      </c>
      <c r="N29" s="59">
        <v>499202.11746303871</v>
      </c>
      <c r="O29" s="59">
        <v>422160.25726716296</v>
      </c>
      <c r="P29" s="83">
        <f>SUM(D29:O29)</f>
        <v>5341331.7170336246</v>
      </c>
    </row>
    <row r="30" spans="1:16" x14ac:dyDescent="0.25">
      <c r="A30" s="71"/>
      <c r="D30" s="73"/>
      <c r="E30" s="73"/>
      <c r="F30" s="73"/>
      <c r="G30" s="73"/>
      <c r="H30" s="73"/>
      <c r="I30" s="73"/>
      <c r="J30" s="73"/>
      <c r="K30" s="73"/>
      <c r="L30" s="73"/>
      <c r="M30" s="73"/>
      <c r="N30" s="73"/>
      <c r="O30" s="73"/>
      <c r="P30" s="72"/>
    </row>
    <row r="31" spans="1:16" ht="14.5" x14ac:dyDescent="0.35">
      <c r="A31" s="71">
        <v>9</v>
      </c>
      <c r="B31" s="57" t="s">
        <v>23</v>
      </c>
      <c r="C31" s="58" t="s">
        <v>18</v>
      </c>
      <c r="D31" s="59">
        <v>1096110.8479000782</v>
      </c>
      <c r="E31" s="59">
        <v>893936.86216390342</v>
      </c>
      <c r="F31" s="59">
        <v>1049520.4045606686</v>
      </c>
      <c r="G31" s="59">
        <v>1116729.4097695048</v>
      </c>
      <c r="H31" s="59">
        <v>1141605.9211135998</v>
      </c>
      <c r="I31" s="59">
        <v>1165732.5613894877</v>
      </c>
      <c r="J31" s="59">
        <v>718628.86829542043</v>
      </c>
      <c r="K31" s="59">
        <v>729009.9450469499</v>
      </c>
      <c r="L31" s="59">
        <v>895788.36531587329</v>
      </c>
      <c r="M31" s="59">
        <v>616642.58030604979</v>
      </c>
      <c r="N31" s="59">
        <v>1208064.9934106413</v>
      </c>
      <c r="O31" s="59">
        <v>703277.65114824567</v>
      </c>
      <c r="P31" s="83">
        <f>SUM(D31:O31)</f>
        <v>11335048.410420422</v>
      </c>
    </row>
    <row r="32" spans="1:16" x14ac:dyDescent="0.25">
      <c r="D32" s="74"/>
      <c r="E32" s="74"/>
      <c r="F32" s="74"/>
      <c r="G32" s="75"/>
      <c r="H32" s="75"/>
      <c r="I32" s="75"/>
      <c r="J32" s="75"/>
      <c r="K32" s="75"/>
      <c r="L32" s="75"/>
      <c r="M32" s="75"/>
      <c r="N32" s="75"/>
      <c r="O32" s="75"/>
      <c r="P32" s="73"/>
    </row>
    <row r="33" spans="1:16" x14ac:dyDescent="0.25">
      <c r="A33" s="58">
        <v>12</v>
      </c>
      <c r="B33" s="57" t="s">
        <v>28</v>
      </c>
      <c r="C33" s="58" t="s">
        <v>22</v>
      </c>
      <c r="D33" s="76"/>
      <c r="E33" s="76"/>
      <c r="F33" s="76"/>
      <c r="G33" s="77"/>
      <c r="H33" s="77"/>
      <c r="I33" s="77"/>
      <c r="J33" s="77"/>
      <c r="K33" s="77"/>
      <c r="L33" s="77"/>
      <c r="M33" s="77"/>
      <c r="N33" s="77"/>
      <c r="O33" s="77"/>
      <c r="P33" s="72">
        <f>SUM(D33:O33)</f>
        <v>0</v>
      </c>
    </row>
    <row r="34" spans="1:16" ht="13" thickBot="1" x14ac:dyDescent="0.3">
      <c r="A34" s="58"/>
      <c r="D34" s="84"/>
      <c r="E34" s="84"/>
      <c r="F34" s="84"/>
      <c r="G34" s="85"/>
      <c r="H34" s="85"/>
      <c r="I34" s="85"/>
      <c r="J34" s="85"/>
      <c r="K34" s="85"/>
      <c r="L34" s="85"/>
      <c r="M34" s="85"/>
      <c r="N34" s="85"/>
      <c r="O34" s="85"/>
      <c r="P34" s="86"/>
    </row>
    <row r="35" spans="1:16" ht="13.5" thickTop="1" x14ac:dyDescent="0.3">
      <c r="B35" s="78" t="s">
        <v>37</v>
      </c>
      <c r="D35" s="79">
        <f>D27+D29+D31+D33</f>
        <v>1689411.7527131755</v>
      </c>
      <c r="E35" s="79">
        <f t="shared" ref="E35:O35" si="1">E27+E29+E31+E33</f>
        <v>1449017.6926835885</v>
      </c>
      <c r="F35" s="79">
        <f t="shared" si="1"/>
        <v>1596225.5730204056</v>
      </c>
      <c r="G35" s="79">
        <f t="shared" si="1"/>
        <v>1674499.8368699765</v>
      </c>
      <c r="H35" s="79">
        <f t="shared" si="1"/>
        <v>1710854.1931532254</v>
      </c>
      <c r="I35" s="79">
        <f t="shared" si="1"/>
        <v>1796209.6770540862</v>
      </c>
      <c r="J35" s="79">
        <f t="shared" si="1"/>
        <v>1330914.1316870661</v>
      </c>
      <c r="K35" s="79">
        <f t="shared" si="1"/>
        <v>1331251.4575405731</v>
      </c>
      <c r="L35" s="79">
        <f t="shared" si="1"/>
        <v>1597420.2430423484</v>
      </c>
      <c r="M35" s="79">
        <f t="shared" si="1"/>
        <v>1256184.2399336556</v>
      </c>
      <c r="N35" s="79">
        <f t="shared" si="1"/>
        <v>1888901.3964736185</v>
      </c>
      <c r="O35" s="79">
        <f t="shared" si="1"/>
        <v>1275100.2795166329</v>
      </c>
      <c r="P35" s="72">
        <f>SUM(D35:O35)</f>
        <v>18595990.473688357</v>
      </c>
    </row>
    <row r="36" spans="1:16" ht="13" x14ac:dyDescent="0.3">
      <c r="B36" s="78"/>
      <c r="D36" s="79"/>
      <c r="E36" s="79"/>
      <c r="F36" s="79"/>
      <c r="G36" s="79"/>
      <c r="H36" s="79"/>
      <c r="I36" s="79"/>
      <c r="J36" s="79"/>
      <c r="K36" s="79"/>
      <c r="L36" s="79"/>
      <c r="M36" s="79"/>
      <c r="N36" s="79"/>
      <c r="O36" s="79"/>
      <c r="P36" s="72"/>
    </row>
    <row r="37" spans="1:16" x14ac:dyDescent="0.25">
      <c r="A37" s="71"/>
      <c r="D37" s="80"/>
      <c r="E37" s="80"/>
      <c r="F37" s="80"/>
      <c r="G37" s="80"/>
      <c r="H37" s="80"/>
      <c r="I37" s="80"/>
      <c r="J37" s="80"/>
      <c r="K37" s="80"/>
      <c r="L37" s="80"/>
      <c r="M37" s="80"/>
      <c r="N37" s="80"/>
      <c r="O37" s="80"/>
      <c r="P37" s="81"/>
    </row>
    <row r="38" spans="1:16" ht="13" x14ac:dyDescent="0.3">
      <c r="B38" s="99" t="s">
        <v>31</v>
      </c>
      <c r="C38" s="99"/>
      <c r="D38" s="99"/>
      <c r="E38" s="99"/>
      <c r="F38" s="99"/>
      <c r="G38" s="99"/>
      <c r="H38" s="99"/>
      <c r="I38" s="99"/>
      <c r="J38" s="99"/>
      <c r="K38" s="99"/>
      <c r="L38" s="99"/>
      <c r="M38" s="99"/>
      <c r="N38" s="99"/>
      <c r="O38" s="61" t="s">
        <v>0</v>
      </c>
      <c r="P38" s="57"/>
    </row>
    <row r="39" spans="1:16" ht="13" x14ac:dyDescent="0.3">
      <c r="B39" s="60"/>
      <c r="C39" s="60"/>
      <c r="D39" s="60"/>
      <c r="E39" s="60"/>
      <c r="F39" s="60"/>
      <c r="G39" s="60"/>
      <c r="H39" s="60"/>
      <c r="I39" s="60"/>
      <c r="J39" s="60"/>
      <c r="K39" s="60"/>
      <c r="L39" s="60"/>
      <c r="M39" s="60"/>
      <c r="N39" s="60"/>
      <c r="O39" s="60"/>
      <c r="P39" s="57"/>
    </row>
    <row r="40" spans="1:16" ht="13" x14ac:dyDescent="0.3">
      <c r="B40" s="62"/>
      <c r="D40" s="63">
        <f>D8</f>
        <v>2018</v>
      </c>
      <c r="E40" s="64"/>
      <c r="F40" s="65"/>
      <c r="H40" s="64"/>
      <c r="I40" s="64"/>
      <c r="J40" s="67"/>
      <c r="K40" s="64"/>
      <c r="L40" s="64"/>
      <c r="M40" s="68"/>
      <c r="N40" s="64"/>
      <c r="O40" s="64"/>
      <c r="P40" s="65"/>
    </row>
    <row r="41" spans="1:16" ht="13" x14ac:dyDescent="0.3">
      <c r="A41" s="60" t="s">
        <v>1</v>
      </c>
      <c r="B41" s="60" t="s">
        <v>2</v>
      </c>
      <c r="C41" s="60" t="s">
        <v>3</v>
      </c>
      <c r="D41" s="69" t="s">
        <v>4</v>
      </c>
      <c r="E41" s="69" t="s">
        <v>5</v>
      </c>
      <c r="F41" s="69" t="s">
        <v>6</v>
      </c>
      <c r="G41" s="69" t="s">
        <v>7</v>
      </c>
      <c r="H41" s="69" t="s">
        <v>8</v>
      </c>
      <c r="I41" s="69" t="s">
        <v>9</v>
      </c>
      <c r="J41" s="69" t="s">
        <v>10</v>
      </c>
      <c r="K41" s="69" t="s">
        <v>11</v>
      </c>
      <c r="L41" s="69" t="s">
        <v>12</v>
      </c>
      <c r="M41" s="69" t="s">
        <v>13</v>
      </c>
      <c r="N41" s="69" t="s">
        <v>14</v>
      </c>
      <c r="O41" s="69" t="s">
        <v>15</v>
      </c>
      <c r="P41" s="70" t="s">
        <v>16</v>
      </c>
    </row>
    <row r="42" spans="1:16" ht="13" x14ac:dyDescent="0.3">
      <c r="A42" s="60"/>
      <c r="B42" s="60"/>
      <c r="C42" s="60"/>
      <c r="D42" s="69"/>
      <c r="E42" s="69"/>
      <c r="F42" s="69"/>
      <c r="G42" s="69"/>
      <c r="H42" s="69"/>
      <c r="I42" s="69"/>
      <c r="J42" s="69"/>
      <c r="K42" s="69"/>
      <c r="L42" s="69"/>
      <c r="M42" s="69"/>
      <c r="N42" s="69"/>
      <c r="O42" s="69"/>
      <c r="P42" s="70"/>
    </row>
    <row r="43" spans="1:16" ht="14.5" x14ac:dyDescent="0.35">
      <c r="A43" s="71">
        <v>4</v>
      </c>
      <c r="B43" s="57" t="s">
        <v>20</v>
      </c>
      <c r="C43" s="58" t="s">
        <v>17</v>
      </c>
      <c r="D43" s="59">
        <v>114705.68831771152</v>
      </c>
      <c r="E43" s="59">
        <v>121475.51297590388</v>
      </c>
      <c r="F43" s="59">
        <v>122122.80548068375</v>
      </c>
      <c r="G43" s="59">
        <v>132002.48604121446</v>
      </c>
      <c r="H43" s="59">
        <v>123849.05289036861</v>
      </c>
      <c r="I43" s="59">
        <v>143795.73685750758</v>
      </c>
      <c r="J43" s="59">
        <v>140770.24626409009</v>
      </c>
      <c r="K43" s="59">
        <v>141833.51512000276</v>
      </c>
      <c r="L43" s="59">
        <v>172892.4670496216</v>
      </c>
      <c r="M43" s="59">
        <v>162495.89909937783</v>
      </c>
      <c r="N43" s="59">
        <v>163768.89025771138</v>
      </c>
      <c r="O43" s="59">
        <v>121575.58846436428</v>
      </c>
      <c r="P43" s="83">
        <f>SUM(D43:O43)</f>
        <v>1661287.8888185576</v>
      </c>
    </row>
    <row r="44" spans="1:16" x14ac:dyDescent="0.25">
      <c r="A44" s="71"/>
      <c r="D44" s="73"/>
      <c r="E44" s="73"/>
      <c r="F44" s="73"/>
      <c r="G44" s="73"/>
      <c r="H44" s="73"/>
      <c r="I44" s="73"/>
      <c r="J44" s="73"/>
      <c r="K44" s="73"/>
      <c r="L44" s="73"/>
      <c r="M44" s="73"/>
      <c r="N44" s="73"/>
      <c r="O44" s="73"/>
      <c r="P44" s="72"/>
    </row>
    <row r="45" spans="1:16" ht="14.5" x14ac:dyDescent="0.35">
      <c r="A45" s="71">
        <v>7</v>
      </c>
      <c r="B45" s="57" t="s">
        <v>21</v>
      </c>
      <c r="C45" s="58" t="s">
        <v>22</v>
      </c>
      <c r="D45" s="59">
        <v>337541.66637578263</v>
      </c>
      <c r="E45" s="59">
        <v>346775.9443378693</v>
      </c>
      <c r="F45" s="59">
        <v>338640.20875806652</v>
      </c>
      <c r="G45" s="59">
        <v>339742.03224916966</v>
      </c>
      <c r="H45" s="59">
        <v>364440.09703217377</v>
      </c>
      <c r="I45" s="59">
        <v>399928.48363643623</v>
      </c>
      <c r="J45" s="59">
        <v>383487.53146257257</v>
      </c>
      <c r="K45" s="59">
        <v>383836.48517051782</v>
      </c>
      <c r="L45" s="59">
        <v>415909.13793770754</v>
      </c>
      <c r="M45" s="59">
        <v>373470.93866036233</v>
      </c>
      <c r="N45" s="59">
        <v>401316.10362780129</v>
      </c>
      <c r="O45" s="59">
        <v>327769.58448473358</v>
      </c>
      <c r="P45" s="83">
        <f>SUM(D45:O45)</f>
        <v>4412858.2137331925</v>
      </c>
    </row>
    <row r="46" spans="1:16" x14ac:dyDescent="0.25">
      <c r="A46" s="71"/>
      <c r="D46" s="73"/>
      <c r="E46" s="73"/>
      <c r="F46" s="73"/>
      <c r="G46" s="73"/>
      <c r="H46" s="73"/>
      <c r="I46" s="73"/>
      <c r="J46" s="73"/>
      <c r="K46" s="73"/>
      <c r="L46" s="73"/>
      <c r="M46" s="73"/>
      <c r="N46" s="73"/>
      <c r="O46" s="73"/>
      <c r="P46" s="72"/>
    </row>
    <row r="47" spans="1:16" ht="14.5" x14ac:dyDescent="0.35">
      <c r="A47" s="71">
        <v>9</v>
      </c>
      <c r="B47" s="57" t="s">
        <v>23</v>
      </c>
      <c r="C47" s="58" t="s">
        <v>18</v>
      </c>
      <c r="D47" s="59">
        <v>828633.82681139791</v>
      </c>
      <c r="E47" s="59">
        <v>675298.33932634583</v>
      </c>
      <c r="F47" s="59">
        <v>859838.42329742014</v>
      </c>
      <c r="G47" s="59">
        <v>859961.97174101206</v>
      </c>
      <c r="H47" s="59">
        <v>925814.56350216141</v>
      </c>
      <c r="I47" s="59">
        <v>886095.13916522346</v>
      </c>
      <c r="J47" s="59">
        <v>579449.37230928929</v>
      </c>
      <c r="K47" s="59">
        <v>632366.54448328947</v>
      </c>
      <c r="L47" s="59">
        <v>732305.23451161652</v>
      </c>
      <c r="M47" s="59">
        <v>437383.83343572583</v>
      </c>
      <c r="N47" s="59">
        <v>979347.82234725659</v>
      </c>
      <c r="O47" s="59">
        <v>555583.83718759147</v>
      </c>
      <c r="P47" s="83">
        <f>SUM(D47:O47)</f>
        <v>8952078.9081183299</v>
      </c>
    </row>
    <row r="48" spans="1:16" x14ac:dyDescent="0.25">
      <c r="D48" s="74"/>
      <c r="E48" s="74"/>
      <c r="F48" s="74"/>
      <c r="G48" s="75"/>
      <c r="H48" s="75"/>
      <c r="I48" s="75"/>
      <c r="J48" s="75"/>
      <c r="K48" s="75"/>
      <c r="L48" s="75"/>
      <c r="M48" s="75"/>
      <c r="N48" s="75"/>
      <c r="O48" s="75"/>
      <c r="P48" s="73"/>
    </row>
    <row r="49" spans="1:16" x14ac:dyDescent="0.25">
      <c r="A49" s="58">
        <v>12</v>
      </c>
      <c r="B49" s="57" t="s">
        <v>28</v>
      </c>
      <c r="C49" s="58" t="s">
        <v>22</v>
      </c>
      <c r="D49" s="76"/>
      <c r="E49" s="76"/>
      <c r="F49" s="76"/>
      <c r="G49" s="77"/>
      <c r="H49" s="77"/>
      <c r="I49" s="77"/>
      <c r="J49" s="77"/>
      <c r="K49" s="77"/>
      <c r="L49" s="77"/>
      <c r="M49" s="77"/>
      <c r="N49" s="77"/>
      <c r="O49" s="77"/>
      <c r="P49" s="72">
        <f>SUM(D49:O49)</f>
        <v>0</v>
      </c>
    </row>
    <row r="50" spans="1:16" ht="13" thickBot="1" x14ac:dyDescent="0.3">
      <c r="A50" s="58"/>
      <c r="D50" s="84"/>
      <c r="E50" s="84"/>
      <c r="F50" s="84"/>
      <c r="G50" s="85"/>
      <c r="H50" s="85"/>
      <c r="I50" s="85"/>
      <c r="J50" s="85"/>
      <c r="K50" s="85"/>
      <c r="L50" s="85"/>
      <c r="M50" s="85"/>
      <c r="N50" s="85"/>
      <c r="O50" s="85"/>
      <c r="P50" s="86"/>
    </row>
    <row r="51" spans="1:16" ht="13.5" thickTop="1" x14ac:dyDescent="0.3">
      <c r="B51" s="78" t="s">
        <v>19</v>
      </c>
      <c r="D51" s="79">
        <f>D43+D45+D47+D49</f>
        <v>1280881.1815048922</v>
      </c>
      <c r="E51" s="79">
        <f t="shared" ref="E51:O51" si="2">E43+E45+E47+E49</f>
        <v>1143549.796640119</v>
      </c>
      <c r="F51" s="79">
        <f t="shared" si="2"/>
        <v>1320601.4375361705</v>
      </c>
      <c r="G51" s="79">
        <f t="shared" si="2"/>
        <v>1331706.490031396</v>
      </c>
      <c r="H51" s="79">
        <f t="shared" si="2"/>
        <v>1414103.7134247038</v>
      </c>
      <c r="I51" s="79">
        <f t="shared" si="2"/>
        <v>1429819.3596591672</v>
      </c>
      <c r="J51" s="79">
        <f t="shared" si="2"/>
        <v>1103707.150035952</v>
      </c>
      <c r="K51" s="79">
        <f t="shared" si="2"/>
        <v>1158036.5447738101</v>
      </c>
      <c r="L51" s="79">
        <f t="shared" si="2"/>
        <v>1321106.8394989455</v>
      </c>
      <c r="M51" s="79">
        <f t="shared" si="2"/>
        <v>973350.67119546607</v>
      </c>
      <c r="N51" s="79">
        <f t="shared" si="2"/>
        <v>1544432.8162327693</v>
      </c>
      <c r="O51" s="79">
        <f t="shared" si="2"/>
        <v>1004929.0101366893</v>
      </c>
      <c r="P51" s="72">
        <f>SUM(D51:O51)</f>
        <v>15026225.010670079</v>
      </c>
    </row>
    <row r="52" spans="1:16" ht="13" x14ac:dyDescent="0.3">
      <c r="B52" s="78"/>
      <c r="D52" s="79"/>
      <c r="E52" s="79"/>
      <c r="F52" s="79"/>
      <c r="G52" s="79"/>
      <c r="H52" s="79"/>
      <c r="I52" s="79"/>
      <c r="J52" s="79"/>
      <c r="K52" s="79"/>
      <c r="L52" s="79"/>
      <c r="M52" s="79"/>
      <c r="N52" s="79"/>
      <c r="O52" s="79"/>
      <c r="P52" s="72"/>
    </row>
    <row r="53" spans="1:16" x14ac:dyDescent="0.25">
      <c r="A53" s="71"/>
      <c r="D53" s="80"/>
      <c r="E53" s="80"/>
      <c r="F53" s="80"/>
      <c r="G53" s="80"/>
      <c r="H53" s="80"/>
      <c r="I53" s="80"/>
      <c r="J53" s="80"/>
      <c r="K53" s="80"/>
      <c r="L53" s="80"/>
      <c r="M53" s="80"/>
      <c r="N53" s="80"/>
      <c r="O53" s="80"/>
      <c r="P53" s="81"/>
    </row>
    <row r="54" spans="1:16" ht="13" x14ac:dyDescent="0.3">
      <c r="B54" s="99" t="s">
        <v>32</v>
      </c>
      <c r="C54" s="99"/>
      <c r="D54" s="99"/>
      <c r="E54" s="99"/>
      <c r="F54" s="99"/>
      <c r="G54" s="99"/>
      <c r="H54" s="99"/>
      <c r="I54" s="99"/>
      <c r="J54" s="99"/>
      <c r="K54" s="99"/>
      <c r="L54" s="99"/>
      <c r="M54" s="99"/>
      <c r="N54" s="99"/>
      <c r="O54" s="61" t="s">
        <v>0</v>
      </c>
      <c r="P54" s="57"/>
    </row>
    <row r="55" spans="1:16" ht="13" x14ac:dyDescent="0.3">
      <c r="B55" s="60"/>
      <c r="C55" s="60"/>
      <c r="D55" s="60"/>
      <c r="E55" s="60"/>
      <c r="F55" s="60"/>
      <c r="G55" s="60"/>
      <c r="H55" s="60"/>
      <c r="I55" s="60"/>
      <c r="J55" s="60"/>
      <c r="K55" s="60"/>
      <c r="L55" s="60"/>
      <c r="M55" s="60"/>
      <c r="N55" s="60"/>
      <c r="O55" s="60"/>
      <c r="P55" s="57"/>
    </row>
    <row r="56" spans="1:16" ht="13" x14ac:dyDescent="0.3">
      <c r="B56" s="62"/>
      <c r="D56" s="63">
        <f>D8</f>
        <v>2018</v>
      </c>
      <c r="E56" s="64"/>
      <c r="F56" s="65"/>
      <c r="H56" s="64"/>
      <c r="I56" s="64"/>
      <c r="J56" s="67"/>
      <c r="K56" s="64"/>
      <c r="L56" s="64"/>
      <c r="M56" s="68"/>
      <c r="N56" s="64"/>
      <c r="O56" s="64"/>
      <c r="P56" s="65"/>
    </row>
    <row r="57" spans="1:16" ht="13" x14ac:dyDescent="0.3">
      <c r="A57" s="60" t="s">
        <v>1</v>
      </c>
      <c r="B57" s="60" t="s">
        <v>2</v>
      </c>
      <c r="C57" s="60" t="s">
        <v>3</v>
      </c>
      <c r="D57" s="69" t="s">
        <v>4</v>
      </c>
      <c r="E57" s="69" t="s">
        <v>5</v>
      </c>
      <c r="F57" s="69" t="s">
        <v>6</v>
      </c>
      <c r="G57" s="69" t="s">
        <v>7</v>
      </c>
      <c r="H57" s="69" t="s">
        <v>8</v>
      </c>
      <c r="I57" s="69" t="s">
        <v>9</v>
      </c>
      <c r="J57" s="69" t="s">
        <v>10</v>
      </c>
      <c r="K57" s="69" t="s">
        <v>11</v>
      </c>
      <c r="L57" s="69" t="s">
        <v>12</v>
      </c>
      <c r="M57" s="69" t="s">
        <v>13</v>
      </c>
      <c r="N57" s="69" t="s">
        <v>14</v>
      </c>
      <c r="O57" s="69" t="s">
        <v>15</v>
      </c>
      <c r="P57" s="70" t="s">
        <v>16</v>
      </c>
    </row>
    <row r="58" spans="1:16" ht="13" x14ac:dyDescent="0.3">
      <c r="A58" s="60"/>
      <c r="B58" s="60"/>
      <c r="C58" s="60"/>
      <c r="D58" s="69"/>
      <c r="E58" s="69"/>
      <c r="F58" s="69"/>
      <c r="G58" s="69"/>
      <c r="H58" s="69"/>
      <c r="I58" s="69"/>
      <c r="J58" s="69"/>
      <c r="K58" s="69"/>
      <c r="L58" s="69"/>
      <c r="M58" s="69"/>
      <c r="N58" s="69"/>
      <c r="O58" s="69"/>
      <c r="P58" s="70"/>
    </row>
    <row r="59" spans="1:16" ht="14.5" x14ac:dyDescent="0.35">
      <c r="A59" s="71">
        <v>4</v>
      </c>
      <c r="B59" s="57" t="s">
        <v>20</v>
      </c>
      <c r="C59" s="58" t="s">
        <v>17</v>
      </c>
      <c r="D59" s="59">
        <v>106605.78107187079</v>
      </c>
      <c r="E59" s="59">
        <v>112897.55662363974</v>
      </c>
      <c r="F59" s="59">
        <v>113499.14076533369</v>
      </c>
      <c r="G59" s="59">
        <v>122681.17069203375</v>
      </c>
      <c r="H59" s="59">
        <v>115103.48973992882</v>
      </c>
      <c r="I59" s="59">
        <v>133641.64469368165</v>
      </c>
      <c r="J59" s="59">
        <v>130829.79819707623</v>
      </c>
      <c r="K59" s="59">
        <v>131817.98464655734</v>
      </c>
      <c r="L59" s="59">
        <v>160683.71814496702</v>
      </c>
      <c r="M59" s="59">
        <v>151021.3006741555</v>
      </c>
      <c r="N59" s="59">
        <v>152204.39994954495</v>
      </c>
      <c r="O59" s="59">
        <v>112990.56531196146</v>
      </c>
      <c r="P59" s="83">
        <f>SUM(D59:O59)</f>
        <v>1543976.5505107511</v>
      </c>
    </row>
    <row r="60" spans="1:16" x14ac:dyDescent="0.25">
      <c r="A60" s="71"/>
      <c r="D60" s="73"/>
      <c r="E60" s="73"/>
      <c r="F60" s="73"/>
      <c r="G60" s="73"/>
      <c r="H60" s="73"/>
      <c r="I60" s="73"/>
      <c r="J60" s="73"/>
      <c r="K60" s="73"/>
      <c r="L60" s="73"/>
      <c r="M60" s="73"/>
      <c r="N60" s="73"/>
      <c r="O60" s="73"/>
      <c r="P60" s="72"/>
    </row>
    <row r="61" spans="1:16" ht="14.5" x14ac:dyDescent="0.35">
      <c r="A61" s="71">
        <v>7</v>
      </c>
      <c r="B61" s="57" t="s">
        <v>21</v>
      </c>
      <c r="C61" s="58" t="s">
        <v>22</v>
      </c>
      <c r="D61" s="59">
        <v>322506.41720565496</v>
      </c>
      <c r="E61" s="59">
        <v>331329.36914818105</v>
      </c>
      <c r="F61" s="59">
        <v>323556.02678915602</v>
      </c>
      <c r="G61" s="59">
        <v>324608.77132977551</v>
      </c>
      <c r="H61" s="59">
        <v>348206.7006479656</v>
      </c>
      <c r="I61" s="59">
        <v>382114.31430360227</v>
      </c>
      <c r="J61" s="59">
        <v>366405.69782974961</v>
      </c>
      <c r="K61" s="59">
        <v>366739.1079575374</v>
      </c>
      <c r="L61" s="59">
        <v>397383.13613126776</v>
      </c>
      <c r="M61" s="59">
        <v>356835.2780000022</v>
      </c>
      <c r="N61" s="59">
        <v>383440.12500028784</v>
      </c>
      <c r="O61" s="59">
        <v>313169.61694285751</v>
      </c>
      <c r="P61" s="83">
        <f>SUM(D61:O61)</f>
        <v>4216294.5612860378</v>
      </c>
    </row>
    <row r="62" spans="1:16" x14ac:dyDescent="0.25">
      <c r="A62" s="71"/>
      <c r="D62" s="73"/>
      <c r="E62" s="73"/>
      <c r="F62" s="73"/>
      <c r="G62" s="73"/>
      <c r="H62" s="73"/>
      <c r="I62" s="73"/>
      <c r="J62" s="73"/>
      <c r="K62" s="73"/>
      <c r="L62" s="73"/>
      <c r="M62" s="73"/>
      <c r="N62" s="73"/>
      <c r="O62" s="73"/>
      <c r="P62" s="72"/>
    </row>
    <row r="63" spans="1:16" ht="14.5" x14ac:dyDescent="0.35">
      <c r="A63" s="71">
        <v>9</v>
      </c>
      <c r="B63" s="57" t="s">
        <v>23</v>
      </c>
      <c r="C63" s="58" t="s">
        <v>18</v>
      </c>
      <c r="D63" s="59">
        <v>814854.63493465295</v>
      </c>
      <c r="E63" s="59">
        <v>664068.93365818588</v>
      </c>
      <c r="F63" s="59">
        <v>845540.33621207403</v>
      </c>
      <c r="G63" s="59">
        <v>845661.83019245765</v>
      </c>
      <c r="H63" s="59">
        <v>910419.37192294444</v>
      </c>
      <c r="I63" s="59">
        <v>871360.43422252068</v>
      </c>
      <c r="J63" s="59">
        <v>569813.82060289441</v>
      </c>
      <c r="K63" s="59">
        <v>621851.04334040324</v>
      </c>
      <c r="L63" s="59">
        <v>720127.87219283567</v>
      </c>
      <c r="M63" s="59">
        <v>430110.66213895608</v>
      </c>
      <c r="N63" s="59">
        <v>963062.43654527597</v>
      </c>
      <c r="O63" s="59">
        <v>546345.1408557212</v>
      </c>
      <c r="P63" s="83">
        <f>SUM(D63:O63)</f>
        <v>8803216.516818922</v>
      </c>
    </row>
    <row r="64" spans="1:16" x14ac:dyDescent="0.25">
      <c r="D64" s="74"/>
      <c r="E64" s="74"/>
      <c r="F64" s="74"/>
      <c r="G64" s="75"/>
      <c r="H64" s="75"/>
      <c r="I64" s="75"/>
      <c r="J64" s="75"/>
      <c r="K64" s="75"/>
      <c r="L64" s="75"/>
      <c r="M64" s="75"/>
      <c r="N64" s="75"/>
      <c r="O64" s="75"/>
      <c r="P64" s="73"/>
    </row>
    <row r="65" spans="1:16" x14ac:dyDescent="0.25">
      <c r="A65" s="58">
        <v>12</v>
      </c>
      <c r="B65" s="57" t="s">
        <v>28</v>
      </c>
      <c r="C65" s="58" t="s">
        <v>22</v>
      </c>
      <c r="D65" s="76"/>
      <c r="E65" s="76"/>
      <c r="F65" s="76"/>
      <c r="G65" s="77"/>
      <c r="H65" s="77"/>
      <c r="I65" s="77"/>
      <c r="J65" s="77"/>
      <c r="K65" s="77"/>
      <c r="L65" s="77"/>
      <c r="M65" s="77"/>
      <c r="N65" s="77"/>
      <c r="O65" s="77"/>
      <c r="P65" s="72">
        <f>SUM(D65:O65)</f>
        <v>0</v>
      </c>
    </row>
    <row r="66" spans="1:16" ht="13" thickBot="1" x14ac:dyDescent="0.3">
      <c r="A66" s="58"/>
      <c r="D66" s="84"/>
      <c r="E66" s="84"/>
      <c r="F66" s="84"/>
      <c r="G66" s="85"/>
      <c r="H66" s="85"/>
      <c r="I66" s="85"/>
      <c r="J66" s="85"/>
      <c r="K66" s="85"/>
      <c r="L66" s="85"/>
      <c r="M66" s="85"/>
      <c r="N66" s="85"/>
      <c r="O66" s="85"/>
      <c r="P66" s="86"/>
    </row>
    <row r="67" spans="1:16" ht="13.5" thickTop="1" x14ac:dyDescent="0.3">
      <c r="B67" s="78" t="s">
        <v>37</v>
      </c>
      <c r="D67" s="79">
        <f>D59+D61+D63+D65</f>
        <v>1243966.8332121787</v>
      </c>
      <c r="E67" s="79">
        <f t="shared" ref="E67:O67" si="3">E59+E61+E63+E65</f>
        <v>1108295.8594300067</v>
      </c>
      <c r="F67" s="79">
        <f t="shared" si="3"/>
        <v>1282595.5037665637</v>
      </c>
      <c r="G67" s="79">
        <f t="shared" si="3"/>
        <v>1292951.7722142669</v>
      </c>
      <c r="H67" s="79">
        <f t="shared" si="3"/>
        <v>1373729.5623108388</v>
      </c>
      <c r="I67" s="79">
        <f t="shared" si="3"/>
        <v>1387116.3932198046</v>
      </c>
      <c r="J67" s="79">
        <f t="shared" si="3"/>
        <v>1067049.3166297204</v>
      </c>
      <c r="K67" s="79">
        <f t="shared" si="3"/>
        <v>1120408.135944498</v>
      </c>
      <c r="L67" s="79">
        <f t="shared" si="3"/>
        <v>1278194.7264690704</v>
      </c>
      <c r="M67" s="79">
        <f t="shared" si="3"/>
        <v>937967.24081311375</v>
      </c>
      <c r="N67" s="79">
        <f t="shared" si="3"/>
        <v>1498706.9614951089</v>
      </c>
      <c r="O67" s="79">
        <f t="shared" si="3"/>
        <v>972505.32311054016</v>
      </c>
      <c r="P67" s="72">
        <f>SUM(D67:O67)</f>
        <v>14563487.628615711</v>
      </c>
    </row>
    <row r="68" spans="1:16" s="88" customFormat="1" ht="13" x14ac:dyDescent="0.3">
      <c r="B68" s="98" t="s">
        <v>124</v>
      </c>
      <c r="C68" s="101"/>
      <c r="D68" s="101"/>
      <c r="E68" s="101"/>
      <c r="F68" s="101"/>
      <c r="G68" s="101"/>
      <c r="H68" s="101"/>
      <c r="I68" s="101"/>
      <c r="J68" s="101"/>
      <c r="K68" s="101"/>
      <c r="L68" s="101"/>
      <c r="M68" s="101"/>
      <c r="N68" s="101"/>
      <c r="O68" s="101"/>
      <c r="P68" s="90"/>
    </row>
    <row r="69" spans="1:16" ht="13" x14ac:dyDescent="0.3">
      <c r="B69" s="99" t="str">
        <f>B2</f>
        <v>AEP TEXAS CENTRAL DIVISION</v>
      </c>
      <c r="C69" s="100"/>
      <c r="D69" s="100"/>
      <c r="E69" s="100"/>
      <c r="F69" s="100"/>
      <c r="G69" s="100"/>
      <c r="H69" s="100"/>
      <c r="I69" s="100"/>
      <c r="J69" s="100"/>
      <c r="K69" s="100"/>
      <c r="L69" s="100"/>
      <c r="M69" s="100"/>
      <c r="N69" s="100"/>
      <c r="O69" s="100"/>
      <c r="P69" s="57"/>
    </row>
    <row r="70" spans="1:16" s="88" customFormat="1" ht="13" x14ac:dyDescent="0.3">
      <c r="B70" s="99" t="s">
        <v>126</v>
      </c>
      <c r="C70" s="100"/>
      <c r="D70" s="100"/>
      <c r="E70" s="100"/>
      <c r="F70" s="100"/>
      <c r="G70" s="100"/>
      <c r="H70" s="100"/>
      <c r="I70" s="100"/>
      <c r="J70" s="100"/>
      <c r="K70" s="100"/>
      <c r="L70" s="100"/>
      <c r="M70" s="100"/>
      <c r="N70" s="100"/>
      <c r="O70" s="100"/>
    </row>
    <row r="71" spans="1:16" ht="13" x14ac:dyDescent="0.3">
      <c r="B71" s="99" t="str">
        <f>B4</f>
        <v>TEST YEAR ENDING 12/31/2018</v>
      </c>
      <c r="C71" s="100"/>
      <c r="D71" s="100"/>
      <c r="E71" s="100"/>
      <c r="F71" s="100"/>
      <c r="G71" s="100"/>
      <c r="H71" s="100"/>
      <c r="I71" s="100"/>
      <c r="J71" s="100"/>
      <c r="K71" s="100"/>
      <c r="L71" s="100"/>
      <c r="M71" s="100"/>
      <c r="N71" s="100"/>
      <c r="O71" s="100"/>
      <c r="P71" s="57"/>
    </row>
    <row r="72" spans="1:16" ht="13" x14ac:dyDescent="0.3">
      <c r="B72" s="60"/>
      <c r="C72" s="90"/>
      <c r="D72" s="90"/>
      <c r="E72" s="90"/>
      <c r="F72" s="90"/>
      <c r="G72" s="90"/>
      <c r="H72" s="90"/>
      <c r="I72" s="90"/>
      <c r="J72" s="90"/>
      <c r="K72" s="90"/>
      <c r="L72" s="90"/>
      <c r="M72" s="90"/>
      <c r="N72" s="90"/>
      <c r="O72" s="90"/>
      <c r="P72" s="57"/>
    </row>
    <row r="73" spans="1:16" ht="13" x14ac:dyDescent="0.3">
      <c r="B73" s="99" t="s">
        <v>33</v>
      </c>
      <c r="C73" s="99"/>
      <c r="D73" s="99"/>
      <c r="E73" s="99"/>
      <c r="F73" s="99"/>
      <c r="G73" s="99"/>
      <c r="H73" s="99"/>
      <c r="I73" s="99"/>
      <c r="J73" s="99"/>
      <c r="K73" s="99"/>
      <c r="L73" s="99"/>
      <c r="M73" s="99"/>
      <c r="N73" s="99"/>
      <c r="O73" s="100"/>
      <c r="P73" s="57"/>
    </row>
    <row r="74" spans="1:16" ht="13" x14ac:dyDescent="0.3">
      <c r="B74" s="60"/>
      <c r="C74" s="60"/>
      <c r="D74" s="60"/>
      <c r="E74" s="60"/>
      <c r="F74" s="60"/>
      <c r="G74" s="60"/>
      <c r="H74" s="60"/>
      <c r="I74" s="60"/>
      <c r="J74" s="60"/>
      <c r="K74" s="60"/>
      <c r="L74" s="60"/>
      <c r="M74" s="60"/>
      <c r="N74" s="60"/>
      <c r="O74" s="60"/>
      <c r="P74" s="57"/>
    </row>
    <row r="75" spans="1:16" ht="13" x14ac:dyDescent="0.3">
      <c r="B75" s="62"/>
      <c r="D75" s="63">
        <f>D8</f>
        <v>2018</v>
      </c>
      <c r="E75" s="64"/>
      <c r="F75" s="65"/>
      <c r="H75" s="64"/>
      <c r="I75" s="64"/>
      <c r="J75" s="67"/>
      <c r="K75" s="64"/>
      <c r="L75" s="64"/>
      <c r="M75" s="68"/>
      <c r="N75" s="64"/>
      <c r="O75" s="64"/>
      <c r="P75" s="65"/>
    </row>
    <row r="76" spans="1:16" ht="13" x14ac:dyDescent="0.3">
      <c r="A76" s="60" t="s">
        <v>1</v>
      </c>
      <c r="B76" s="60" t="s">
        <v>2</v>
      </c>
      <c r="C76" s="60" t="s">
        <v>3</v>
      </c>
      <c r="D76" s="69" t="s">
        <v>4</v>
      </c>
      <c r="E76" s="69" t="s">
        <v>5</v>
      </c>
      <c r="F76" s="69" t="s">
        <v>6</v>
      </c>
      <c r="G76" s="69" t="s">
        <v>7</v>
      </c>
      <c r="H76" s="69" t="s">
        <v>8</v>
      </c>
      <c r="I76" s="69" t="s">
        <v>9</v>
      </c>
      <c r="J76" s="69" t="s">
        <v>10</v>
      </c>
      <c r="K76" s="69" t="s">
        <v>11</v>
      </c>
      <c r="L76" s="69" t="s">
        <v>12</v>
      </c>
      <c r="M76" s="69" t="s">
        <v>13</v>
      </c>
      <c r="N76" s="69" t="s">
        <v>14</v>
      </c>
      <c r="O76" s="69" t="s">
        <v>15</v>
      </c>
      <c r="P76" s="70" t="s">
        <v>16</v>
      </c>
    </row>
    <row r="77" spans="1:16" ht="13" x14ac:dyDescent="0.3">
      <c r="A77" s="60"/>
      <c r="B77" s="60"/>
      <c r="C77" s="60"/>
      <c r="D77" s="69"/>
      <c r="E77" s="69"/>
      <c r="F77" s="69"/>
      <c r="G77" s="69"/>
      <c r="H77" s="69"/>
      <c r="I77" s="69"/>
      <c r="J77" s="69"/>
      <c r="K77" s="69"/>
      <c r="L77" s="69"/>
      <c r="M77" s="69"/>
      <c r="N77" s="69"/>
      <c r="O77" s="69"/>
      <c r="P77" s="70"/>
    </row>
    <row r="78" spans="1:16" ht="14.5" x14ac:dyDescent="0.35">
      <c r="A78" s="71">
        <v>4</v>
      </c>
      <c r="B78" s="57" t="s">
        <v>20</v>
      </c>
      <c r="C78" s="58" t="s">
        <v>17</v>
      </c>
      <c r="D78" s="59">
        <v>150544.30978064061</v>
      </c>
      <c r="E78" s="59">
        <v>143801.58494075565</v>
      </c>
      <c r="F78" s="59">
        <v>137597.28027956982</v>
      </c>
      <c r="G78" s="59">
        <v>148182.97131057916</v>
      </c>
      <c r="H78" s="59">
        <v>146349.64171726117</v>
      </c>
      <c r="I78" s="59">
        <v>163797.13033846076</v>
      </c>
      <c r="J78" s="59">
        <v>169178.79741837745</v>
      </c>
      <c r="K78" s="59">
        <v>159393.38120012762</v>
      </c>
      <c r="L78" s="59">
        <v>214903.04693236278</v>
      </c>
      <c r="M78" s="59">
        <v>199248.18320165918</v>
      </c>
      <c r="N78" s="59">
        <v>199803.02251726299</v>
      </c>
      <c r="O78" s="59">
        <v>163703.02605200306</v>
      </c>
      <c r="P78" s="83">
        <f>SUM(D78:O78)</f>
        <v>1996502.3756890602</v>
      </c>
    </row>
    <row r="79" spans="1:16" x14ac:dyDescent="0.25">
      <c r="A79" s="71"/>
      <c r="D79" s="73"/>
      <c r="E79" s="73"/>
      <c r="F79" s="73"/>
      <c r="G79" s="73"/>
      <c r="H79" s="73"/>
      <c r="I79" s="73"/>
      <c r="J79" s="73"/>
      <c r="K79" s="73"/>
      <c r="L79" s="73"/>
      <c r="M79" s="73"/>
      <c r="N79" s="73"/>
      <c r="O79" s="73"/>
      <c r="P79" s="72"/>
    </row>
    <row r="80" spans="1:16" ht="14.5" x14ac:dyDescent="0.35">
      <c r="A80" s="71">
        <v>7</v>
      </c>
      <c r="B80" s="57" t="s">
        <v>21</v>
      </c>
      <c r="C80" s="58" t="s">
        <v>22</v>
      </c>
      <c r="D80" s="59">
        <v>415689.32603105175</v>
      </c>
      <c r="E80" s="59">
        <v>429669.38259849878</v>
      </c>
      <c r="F80" s="59">
        <v>448457.82069249573</v>
      </c>
      <c r="G80" s="59">
        <v>448202.95960224909</v>
      </c>
      <c r="H80" s="59">
        <v>483653.00939021999</v>
      </c>
      <c r="I80" s="59">
        <v>485304.7442167913</v>
      </c>
      <c r="J80" s="59">
        <v>485792.26788851153</v>
      </c>
      <c r="K80" s="59">
        <v>494243.3496634895</v>
      </c>
      <c r="L80" s="59">
        <v>499107.8337145148</v>
      </c>
      <c r="M80" s="59">
        <v>492727.02836305613</v>
      </c>
      <c r="N80" s="59">
        <v>475681.30754145118</v>
      </c>
      <c r="O80" s="59">
        <v>448415.78950712836</v>
      </c>
      <c r="P80" s="83">
        <f>SUM(D80:O80)</f>
        <v>5606944.8192094583</v>
      </c>
    </row>
    <row r="81" spans="1:16" x14ac:dyDescent="0.25">
      <c r="A81" s="71"/>
      <c r="D81" s="73"/>
      <c r="E81" s="73"/>
      <c r="F81" s="73"/>
      <c r="G81" s="73"/>
      <c r="H81" s="73"/>
      <c r="I81" s="73"/>
      <c r="J81" s="73"/>
      <c r="K81" s="73"/>
      <c r="L81" s="73"/>
      <c r="M81" s="73"/>
      <c r="N81" s="73"/>
      <c r="O81" s="73"/>
      <c r="P81" s="72"/>
    </row>
    <row r="82" spans="1:16" ht="14.5" x14ac:dyDescent="0.35">
      <c r="A82" s="71">
        <v>9</v>
      </c>
      <c r="B82" s="57" t="s">
        <v>23</v>
      </c>
      <c r="C82" s="58" t="s">
        <v>18</v>
      </c>
      <c r="D82" s="59">
        <v>885548.38278647244</v>
      </c>
      <c r="E82" s="59">
        <v>960677.6155386297</v>
      </c>
      <c r="F82" s="59">
        <v>1093308.9900510598</v>
      </c>
      <c r="G82" s="59">
        <v>1194810.1789692373</v>
      </c>
      <c r="H82" s="59">
        <v>1147973.2743781349</v>
      </c>
      <c r="I82" s="59">
        <v>1033475.3393285248</v>
      </c>
      <c r="J82" s="59">
        <v>895986.69089613738</v>
      </c>
      <c r="K82" s="59">
        <v>828457.43824534456</v>
      </c>
      <c r="L82" s="59">
        <v>785914.39494438749</v>
      </c>
      <c r="M82" s="59">
        <v>1071112.9671732148</v>
      </c>
      <c r="N82" s="59">
        <v>919218.34991740505</v>
      </c>
      <c r="O82" s="59">
        <v>1011842.9167003875</v>
      </c>
      <c r="P82" s="83">
        <f>SUM(D82:O82)</f>
        <v>11828326.538928935</v>
      </c>
    </row>
    <row r="83" spans="1:16" x14ac:dyDescent="0.25">
      <c r="D83" s="74"/>
      <c r="E83" s="74"/>
      <c r="F83" s="74"/>
      <c r="G83" s="75"/>
      <c r="H83" s="75"/>
      <c r="I83" s="75"/>
      <c r="J83" s="75"/>
      <c r="K83" s="75"/>
      <c r="L83" s="75"/>
      <c r="M83" s="75"/>
      <c r="N83" s="75"/>
      <c r="O83" s="75"/>
      <c r="P83" s="73"/>
    </row>
    <row r="84" spans="1:16" x14ac:dyDescent="0.25">
      <c r="A84" s="58">
        <v>12</v>
      </c>
      <c r="B84" s="57" t="s">
        <v>28</v>
      </c>
      <c r="C84" s="58" t="s">
        <v>22</v>
      </c>
      <c r="D84" s="76"/>
      <c r="E84" s="76"/>
      <c r="F84" s="76"/>
      <c r="G84" s="77"/>
      <c r="H84" s="77"/>
      <c r="I84" s="77"/>
      <c r="J84" s="77"/>
      <c r="K84" s="77"/>
      <c r="L84" s="77"/>
      <c r="M84" s="77"/>
      <c r="N84" s="77"/>
      <c r="O84" s="77"/>
      <c r="P84" s="72">
        <f>SUM(D84:O84)</f>
        <v>0</v>
      </c>
    </row>
    <row r="85" spans="1:16" ht="13" thickBot="1" x14ac:dyDescent="0.3">
      <c r="A85" s="58"/>
      <c r="D85" s="84"/>
      <c r="E85" s="84"/>
      <c r="F85" s="84"/>
      <c r="G85" s="85"/>
      <c r="H85" s="85"/>
      <c r="I85" s="85"/>
      <c r="J85" s="85"/>
      <c r="K85" s="85"/>
      <c r="L85" s="85"/>
      <c r="M85" s="85"/>
      <c r="N85" s="85"/>
      <c r="O85" s="85"/>
      <c r="P85" s="86"/>
    </row>
    <row r="86" spans="1:16" ht="13.5" thickTop="1" x14ac:dyDescent="0.3">
      <c r="B86" s="78" t="s">
        <v>19</v>
      </c>
      <c r="D86" s="79">
        <f>D78+D80+D82+D84</f>
        <v>1451782.0185981649</v>
      </c>
      <c r="E86" s="79">
        <f t="shared" ref="E86:O86" si="4">E78+E80+E82+E84</f>
        <v>1534148.5830778843</v>
      </c>
      <c r="F86" s="79">
        <f t="shared" si="4"/>
        <v>1679364.0910231252</v>
      </c>
      <c r="G86" s="79">
        <f t="shared" si="4"/>
        <v>1791196.1098820656</v>
      </c>
      <c r="H86" s="79">
        <f t="shared" si="4"/>
        <v>1777975.9254856161</v>
      </c>
      <c r="I86" s="79">
        <f t="shared" si="4"/>
        <v>1682577.2138837767</v>
      </c>
      <c r="J86" s="79">
        <f t="shared" si="4"/>
        <v>1550957.7562030265</v>
      </c>
      <c r="K86" s="79">
        <f t="shared" si="4"/>
        <v>1482094.1691089617</v>
      </c>
      <c r="L86" s="79">
        <f t="shared" si="4"/>
        <v>1499925.2755912649</v>
      </c>
      <c r="M86" s="79">
        <f t="shared" si="4"/>
        <v>1763088.17873793</v>
      </c>
      <c r="N86" s="79">
        <f t="shared" si="4"/>
        <v>1594702.6799761192</v>
      </c>
      <c r="O86" s="79">
        <f t="shared" si="4"/>
        <v>1623961.7322595189</v>
      </c>
      <c r="P86" s="72">
        <f>SUM(D86:O86)</f>
        <v>19431773.733827457</v>
      </c>
    </row>
    <row r="87" spans="1:16" ht="13" x14ac:dyDescent="0.3">
      <c r="B87" s="78"/>
      <c r="D87" s="79"/>
      <c r="E87" s="79"/>
      <c r="F87" s="79"/>
      <c r="G87" s="79"/>
      <c r="H87" s="79"/>
      <c r="I87" s="79"/>
      <c r="J87" s="79"/>
      <c r="K87" s="79"/>
      <c r="L87" s="79"/>
      <c r="M87" s="79"/>
      <c r="N87" s="79"/>
      <c r="O87" s="79"/>
      <c r="P87" s="72"/>
    </row>
    <row r="88" spans="1:16" ht="13" x14ac:dyDescent="0.3">
      <c r="B88" s="99" t="s">
        <v>34</v>
      </c>
      <c r="C88" s="99"/>
      <c r="D88" s="99"/>
      <c r="E88" s="99"/>
      <c r="F88" s="99"/>
      <c r="G88" s="99"/>
      <c r="H88" s="99"/>
      <c r="I88" s="99"/>
      <c r="J88" s="99"/>
      <c r="K88" s="99"/>
      <c r="L88" s="99"/>
      <c r="M88" s="99"/>
      <c r="N88" s="99"/>
      <c r="O88" s="61" t="s">
        <v>0</v>
      </c>
      <c r="P88" s="57"/>
    </row>
    <row r="89" spans="1:16" ht="13" x14ac:dyDescent="0.3">
      <c r="B89" s="60"/>
      <c r="C89" s="60"/>
      <c r="D89" s="60"/>
      <c r="E89" s="60"/>
      <c r="F89" s="60"/>
      <c r="G89" s="60"/>
      <c r="H89" s="60"/>
      <c r="I89" s="60"/>
      <c r="J89" s="60"/>
      <c r="K89" s="60"/>
      <c r="L89" s="60"/>
      <c r="M89" s="60"/>
      <c r="N89" s="60"/>
      <c r="O89" s="60"/>
      <c r="P89" s="57"/>
    </row>
    <row r="90" spans="1:16" ht="13" x14ac:dyDescent="0.3">
      <c r="B90" s="62"/>
      <c r="D90" s="63">
        <f>D8</f>
        <v>2018</v>
      </c>
      <c r="E90" s="64"/>
      <c r="F90" s="65"/>
      <c r="H90" s="64"/>
      <c r="I90" s="64"/>
      <c r="J90" s="67"/>
      <c r="K90" s="64"/>
      <c r="L90" s="64"/>
      <c r="M90" s="68"/>
      <c r="N90" s="64"/>
      <c r="O90" s="64"/>
      <c r="P90" s="65"/>
    </row>
    <row r="91" spans="1:16" ht="13" x14ac:dyDescent="0.3">
      <c r="A91" s="60" t="s">
        <v>1</v>
      </c>
      <c r="B91" s="60" t="s">
        <v>2</v>
      </c>
      <c r="C91" s="60" t="s">
        <v>3</v>
      </c>
      <c r="D91" s="69" t="s">
        <v>4</v>
      </c>
      <c r="E91" s="69" t="s">
        <v>5</v>
      </c>
      <c r="F91" s="69" t="s">
        <v>6</v>
      </c>
      <c r="G91" s="69" t="s">
        <v>7</v>
      </c>
      <c r="H91" s="69" t="s">
        <v>8</v>
      </c>
      <c r="I91" s="69" t="s">
        <v>9</v>
      </c>
      <c r="J91" s="69" t="s">
        <v>10</v>
      </c>
      <c r="K91" s="69" t="s">
        <v>11</v>
      </c>
      <c r="L91" s="69" t="s">
        <v>12</v>
      </c>
      <c r="M91" s="69" t="s">
        <v>13</v>
      </c>
      <c r="N91" s="69" t="s">
        <v>14</v>
      </c>
      <c r="O91" s="69" t="s">
        <v>15</v>
      </c>
      <c r="P91" s="70" t="s">
        <v>16</v>
      </c>
    </row>
    <row r="92" spans="1:16" ht="13" x14ac:dyDescent="0.3">
      <c r="A92" s="60"/>
      <c r="B92" s="60"/>
      <c r="C92" s="60"/>
      <c r="D92" s="69"/>
      <c r="E92" s="69"/>
      <c r="F92" s="69"/>
      <c r="G92" s="69"/>
      <c r="H92" s="69"/>
      <c r="I92" s="69"/>
      <c r="J92" s="69"/>
      <c r="K92" s="69"/>
      <c r="L92" s="69"/>
      <c r="M92" s="69"/>
      <c r="N92" s="69"/>
      <c r="O92" s="69"/>
      <c r="P92" s="70"/>
    </row>
    <row r="93" spans="1:16" ht="14.5" x14ac:dyDescent="0.35">
      <c r="A93" s="71">
        <v>4</v>
      </c>
      <c r="B93" s="57" t="s">
        <v>20</v>
      </c>
      <c r="C93" s="58" t="s">
        <v>17</v>
      </c>
      <c r="D93" s="59">
        <v>139913.66919519007</v>
      </c>
      <c r="E93" s="59">
        <v>133647.07981631227</v>
      </c>
      <c r="F93" s="59">
        <v>127880.89023919574</v>
      </c>
      <c r="G93" s="59">
        <v>137719.0759220238</v>
      </c>
      <c r="H93" s="59">
        <v>136015.20633957989</v>
      </c>
      <c r="I93" s="59">
        <v>152230.64586559302</v>
      </c>
      <c r="J93" s="59">
        <v>157232.28816369956</v>
      </c>
      <c r="K93" s="59">
        <v>148137.86613145936</v>
      </c>
      <c r="L93" s="59">
        <v>199727.73372401233</v>
      </c>
      <c r="M93" s="59">
        <v>185178.33342781389</v>
      </c>
      <c r="N93" s="59">
        <v>185693.99293412795</v>
      </c>
      <c r="O93" s="59">
        <v>152143.18672466316</v>
      </c>
      <c r="P93" s="83">
        <f>SUM(D93:O93)</f>
        <v>1855519.9684836711</v>
      </c>
    </row>
    <row r="94" spans="1:16" x14ac:dyDescent="0.25">
      <c r="A94" s="71"/>
      <c r="D94" s="73"/>
      <c r="E94" s="73"/>
      <c r="F94" s="73"/>
      <c r="G94" s="73"/>
      <c r="H94" s="73"/>
      <c r="I94" s="73"/>
      <c r="J94" s="73"/>
      <c r="K94" s="73"/>
      <c r="L94" s="73"/>
      <c r="M94" s="73"/>
      <c r="N94" s="73"/>
      <c r="O94" s="73"/>
      <c r="P94" s="72"/>
    </row>
    <row r="95" spans="1:16" ht="14.5" x14ac:dyDescent="0.35">
      <c r="A95" s="71">
        <v>7</v>
      </c>
      <c r="B95" s="57" t="s">
        <v>21</v>
      </c>
      <c r="C95" s="58" t="s">
        <v>22</v>
      </c>
      <c r="D95" s="59">
        <v>397173.1153915</v>
      </c>
      <c r="E95" s="59">
        <v>410530.45288500004</v>
      </c>
      <c r="F95" s="59">
        <v>428481.99030449992</v>
      </c>
      <c r="G95" s="59">
        <v>428238.48159049993</v>
      </c>
      <c r="H95" s="59">
        <v>462109.4660815004</v>
      </c>
      <c r="I95" s="59">
        <v>463687.62704399996</v>
      </c>
      <c r="J95" s="59">
        <v>464153.43476000027</v>
      </c>
      <c r="K95" s="59">
        <v>472228.0767265</v>
      </c>
      <c r="L95" s="59">
        <v>476875.88018049987</v>
      </c>
      <c r="M95" s="59">
        <v>470779.29751300003</v>
      </c>
      <c r="N95" s="59">
        <v>454492.85083550011</v>
      </c>
      <c r="O95" s="59">
        <v>428441.83133050037</v>
      </c>
      <c r="P95" s="83">
        <f>SUM(D95:O95)</f>
        <v>5357192.5046430007</v>
      </c>
    </row>
    <row r="96" spans="1:16" x14ac:dyDescent="0.25">
      <c r="A96" s="71"/>
      <c r="D96" s="73"/>
      <c r="E96" s="73"/>
      <c r="F96" s="73"/>
      <c r="G96" s="73"/>
      <c r="H96" s="73"/>
      <c r="I96" s="73"/>
      <c r="J96" s="73"/>
      <c r="K96" s="73"/>
      <c r="L96" s="73"/>
      <c r="M96" s="73"/>
      <c r="N96" s="73"/>
      <c r="O96" s="73"/>
      <c r="P96" s="72"/>
    </row>
    <row r="97" spans="1:16" ht="14.5" x14ac:dyDescent="0.35">
      <c r="A97" s="71">
        <v>9</v>
      </c>
      <c r="B97" s="57" t="s">
        <v>23</v>
      </c>
      <c r="C97" s="58" t="s">
        <v>18</v>
      </c>
      <c r="D97" s="59">
        <v>870822.76974999998</v>
      </c>
      <c r="E97" s="59">
        <v>944702.69299999974</v>
      </c>
      <c r="F97" s="59">
        <v>1075128.5659999999</v>
      </c>
      <c r="G97" s="59">
        <v>1174941.9112499999</v>
      </c>
      <c r="H97" s="59">
        <v>1128883.8484999998</v>
      </c>
      <c r="I97" s="59">
        <v>1016289.8774999998</v>
      </c>
      <c r="J97" s="59">
        <v>881087.50124999986</v>
      </c>
      <c r="K97" s="59">
        <v>814681.17949999962</v>
      </c>
      <c r="L97" s="59">
        <v>772845.57625000004</v>
      </c>
      <c r="M97" s="59">
        <v>1053301.6364999998</v>
      </c>
      <c r="N97" s="59">
        <v>903932.84550000005</v>
      </c>
      <c r="O97" s="59">
        <v>995017.17625000002</v>
      </c>
      <c r="P97" s="83">
        <f>SUM(D97:O97)</f>
        <v>11631635.581249997</v>
      </c>
    </row>
    <row r="98" spans="1:16" x14ac:dyDescent="0.25">
      <c r="D98" s="74"/>
      <c r="E98" s="74"/>
      <c r="F98" s="74"/>
      <c r="G98" s="75"/>
      <c r="H98" s="75"/>
      <c r="I98" s="75"/>
      <c r="J98" s="75"/>
      <c r="K98" s="75"/>
      <c r="L98" s="75"/>
      <c r="M98" s="75"/>
      <c r="N98" s="75"/>
      <c r="O98" s="75"/>
      <c r="P98" s="73"/>
    </row>
    <row r="99" spans="1:16" x14ac:dyDescent="0.25">
      <c r="A99" s="58">
        <v>12</v>
      </c>
      <c r="B99" s="57" t="s">
        <v>28</v>
      </c>
      <c r="C99" s="58" t="s">
        <v>22</v>
      </c>
      <c r="D99" s="76"/>
      <c r="E99" s="76"/>
      <c r="F99" s="76"/>
      <c r="G99" s="77"/>
      <c r="H99" s="77"/>
      <c r="I99" s="77"/>
      <c r="J99" s="77"/>
      <c r="K99" s="77"/>
      <c r="L99" s="77"/>
      <c r="M99" s="77"/>
      <c r="N99" s="77"/>
      <c r="O99" s="77"/>
      <c r="P99" s="72">
        <f>SUM(D99:O99)</f>
        <v>0</v>
      </c>
    </row>
    <row r="100" spans="1:16" ht="13" thickBot="1" x14ac:dyDescent="0.3">
      <c r="A100" s="58"/>
      <c r="D100" s="84"/>
      <c r="E100" s="84"/>
      <c r="F100" s="84"/>
      <c r="G100" s="85"/>
      <c r="H100" s="85"/>
      <c r="I100" s="85"/>
      <c r="J100" s="85"/>
      <c r="K100" s="85"/>
      <c r="L100" s="85"/>
      <c r="M100" s="85"/>
      <c r="N100" s="85"/>
      <c r="O100" s="85"/>
      <c r="P100" s="86"/>
    </row>
    <row r="101" spans="1:16" ht="13.5" thickTop="1" x14ac:dyDescent="0.3">
      <c r="B101" s="78" t="s">
        <v>37</v>
      </c>
      <c r="D101" s="79">
        <f>D93+D95+D97+D99</f>
        <v>1407909.5543366901</v>
      </c>
      <c r="E101" s="79">
        <f t="shared" ref="E101:O101" si="5">E93+E95+E97+E99</f>
        <v>1488880.2257013121</v>
      </c>
      <c r="F101" s="79">
        <f t="shared" si="5"/>
        <v>1631491.4465436954</v>
      </c>
      <c r="G101" s="79">
        <f t="shared" si="5"/>
        <v>1740899.4687625235</v>
      </c>
      <c r="H101" s="79">
        <f t="shared" si="5"/>
        <v>1727008.5209210801</v>
      </c>
      <c r="I101" s="79">
        <f t="shared" si="5"/>
        <v>1632208.1504095928</v>
      </c>
      <c r="J101" s="79">
        <f t="shared" si="5"/>
        <v>1502473.2241736995</v>
      </c>
      <c r="K101" s="79">
        <f t="shared" si="5"/>
        <v>1435047.1223579589</v>
      </c>
      <c r="L101" s="79">
        <f t="shared" si="5"/>
        <v>1449449.1901545124</v>
      </c>
      <c r="M101" s="79">
        <f t="shared" si="5"/>
        <v>1709259.2674408136</v>
      </c>
      <c r="N101" s="79">
        <f t="shared" si="5"/>
        <v>1544119.6892696281</v>
      </c>
      <c r="O101" s="79">
        <f t="shared" si="5"/>
        <v>1575602.1943051636</v>
      </c>
      <c r="P101" s="72">
        <f>SUM(D101:O101)</f>
        <v>18844348.054376673</v>
      </c>
    </row>
    <row r="102" spans="1:16" ht="13" x14ac:dyDescent="0.3">
      <c r="B102" s="78"/>
      <c r="D102" s="79"/>
      <c r="E102" s="79"/>
      <c r="F102" s="79"/>
      <c r="G102" s="79"/>
      <c r="H102" s="79"/>
      <c r="I102" s="79"/>
      <c r="J102" s="79"/>
      <c r="K102" s="79"/>
      <c r="L102" s="79"/>
      <c r="M102" s="79"/>
      <c r="N102" s="79"/>
      <c r="O102" s="79"/>
      <c r="P102" s="72"/>
    </row>
    <row r="103" spans="1:16" ht="13" x14ac:dyDescent="0.3">
      <c r="B103" s="99" t="s">
        <v>35</v>
      </c>
      <c r="C103" s="99"/>
      <c r="D103" s="99"/>
      <c r="E103" s="99"/>
      <c r="F103" s="99"/>
      <c r="G103" s="99"/>
      <c r="H103" s="99"/>
      <c r="I103" s="99"/>
      <c r="J103" s="99"/>
      <c r="K103" s="99"/>
      <c r="L103" s="99"/>
      <c r="M103" s="99"/>
      <c r="N103" s="99"/>
      <c r="O103" s="61" t="s">
        <v>0</v>
      </c>
      <c r="P103" s="57"/>
    </row>
    <row r="104" spans="1:16" ht="13" x14ac:dyDescent="0.3">
      <c r="B104" s="60"/>
      <c r="C104" s="60"/>
      <c r="D104" s="60"/>
      <c r="E104" s="60"/>
      <c r="F104" s="60"/>
      <c r="G104" s="60"/>
      <c r="H104" s="60"/>
      <c r="I104" s="60"/>
      <c r="J104" s="60"/>
      <c r="K104" s="60"/>
      <c r="L104" s="60"/>
      <c r="M104" s="60"/>
      <c r="N104" s="60"/>
      <c r="O104" s="60"/>
      <c r="P104" s="57"/>
    </row>
    <row r="105" spans="1:16" ht="13" x14ac:dyDescent="0.3">
      <c r="B105" s="62"/>
      <c r="D105" s="63">
        <f>D8</f>
        <v>2018</v>
      </c>
      <c r="E105" s="64"/>
      <c r="F105" s="65"/>
      <c r="H105" s="64"/>
      <c r="I105" s="64"/>
      <c r="J105" s="67"/>
      <c r="K105" s="64"/>
      <c r="L105" s="64"/>
      <c r="M105" s="68"/>
      <c r="N105" s="64"/>
      <c r="O105" s="64"/>
      <c r="P105" s="65"/>
    </row>
    <row r="106" spans="1:16" ht="13" x14ac:dyDescent="0.3">
      <c r="A106" s="60" t="s">
        <v>1</v>
      </c>
      <c r="B106" s="60" t="s">
        <v>2</v>
      </c>
      <c r="C106" s="60" t="s">
        <v>3</v>
      </c>
      <c r="D106" s="69" t="s">
        <v>4</v>
      </c>
      <c r="E106" s="69" t="s">
        <v>5</v>
      </c>
      <c r="F106" s="69" t="s">
        <v>6</v>
      </c>
      <c r="G106" s="69" t="s">
        <v>7</v>
      </c>
      <c r="H106" s="69" t="s">
        <v>8</v>
      </c>
      <c r="I106" s="69" t="s">
        <v>9</v>
      </c>
      <c r="J106" s="69" t="s">
        <v>10</v>
      </c>
      <c r="K106" s="69" t="s">
        <v>11</v>
      </c>
      <c r="L106" s="69" t="s">
        <v>12</v>
      </c>
      <c r="M106" s="69" t="s">
        <v>13</v>
      </c>
      <c r="N106" s="69" t="s">
        <v>14</v>
      </c>
      <c r="O106" s="69" t="s">
        <v>15</v>
      </c>
      <c r="P106" s="70" t="s">
        <v>16</v>
      </c>
    </row>
    <row r="107" spans="1:16" ht="13" x14ac:dyDescent="0.3">
      <c r="A107" s="60"/>
      <c r="B107" s="60"/>
      <c r="C107" s="60"/>
      <c r="D107" s="69"/>
      <c r="E107" s="69"/>
      <c r="F107" s="69"/>
      <c r="G107" s="69"/>
      <c r="H107" s="69"/>
      <c r="I107" s="69"/>
      <c r="J107" s="69"/>
      <c r="K107" s="69"/>
      <c r="L107" s="69"/>
      <c r="M107" s="69"/>
      <c r="N107" s="69"/>
      <c r="O107" s="69"/>
      <c r="P107" s="70"/>
    </row>
    <row r="108" spans="1:16" ht="14.5" x14ac:dyDescent="0.35">
      <c r="A108" s="71">
        <v>4</v>
      </c>
      <c r="B108" s="57" t="s">
        <v>20</v>
      </c>
      <c r="C108" s="58" t="s">
        <v>17</v>
      </c>
      <c r="D108" s="59">
        <v>106391.81651598348</v>
      </c>
      <c r="E108" s="59">
        <v>112938.45389321461</v>
      </c>
      <c r="F108" s="59">
        <v>111932.50242144198</v>
      </c>
      <c r="G108" s="59">
        <v>122617.12855034582</v>
      </c>
      <c r="H108" s="59">
        <v>119606.00571660417</v>
      </c>
      <c r="I108" s="59">
        <v>134095.49005220024</v>
      </c>
      <c r="J108" s="59">
        <v>136600.65346252389</v>
      </c>
      <c r="K108" s="59">
        <v>134970.61428313877</v>
      </c>
      <c r="L108" s="59">
        <v>173006.98665443077</v>
      </c>
      <c r="M108" s="59">
        <v>163046.47269267138</v>
      </c>
      <c r="N108" s="59">
        <v>167429.28819797523</v>
      </c>
      <c r="O108" s="59">
        <v>123590.83529676397</v>
      </c>
      <c r="P108" s="83">
        <f>SUM(D108:O108)</f>
        <v>1606226.2477372943</v>
      </c>
    </row>
    <row r="109" spans="1:16" x14ac:dyDescent="0.25">
      <c r="A109" s="71"/>
      <c r="D109" s="73"/>
      <c r="E109" s="73"/>
      <c r="F109" s="73"/>
      <c r="G109" s="73"/>
      <c r="H109" s="73"/>
      <c r="I109" s="73"/>
      <c r="J109" s="73"/>
      <c r="K109" s="73"/>
      <c r="L109" s="73"/>
      <c r="M109" s="73"/>
      <c r="N109" s="73"/>
      <c r="O109" s="73"/>
      <c r="P109" s="72"/>
    </row>
    <row r="110" spans="1:16" ht="14.5" x14ac:dyDescent="0.35">
      <c r="A110" s="71">
        <v>7</v>
      </c>
      <c r="B110" s="57" t="s">
        <v>21</v>
      </c>
      <c r="C110" s="58" t="s">
        <v>22</v>
      </c>
      <c r="D110" s="59">
        <v>302997.65643391764</v>
      </c>
      <c r="E110" s="59">
        <v>346100.76816702494</v>
      </c>
      <c r="F110" s="59">
        <v>356354.69379862247</v>
      </c>
      <c r="G110" s="59">
        <v>355279.70118375</v>
      </c>
      <c r="H110" s="59">
        <v>393109.50876526209</v>
      </c>
      <c r="I110" s="59">
        <v>396892.66703367134</v>
      </c>
      <c r="J110" s="59">
        <v>395326.20222503244</v>
      </c>
      <c r="K110" s="59">
        <v>405889.03821694572</v>
      </c>
      <c r="L110" s="59">
        <v>395065.09004455234</v>
      </c>
      <c r="M110" s="59">
        <v>386432.4794976844</v>
      </c>
      <c r="N110" s="59">
        <v>365373.65055848152</v>
      </c>
      <c r="O110" s="59">
        <v>332646.6634735954</v>
      </c>
      <c r="P110" s="83">
        <f>SUM(D110:O110)</f>
        <v>4431468.1193985399</v>
      </c>
    </row>
    <row r="111" spans="1:16" x14ac:dyDescent="0.25">
      <c r="A111" s="71"/>
      <c r="D111" s="73"/>
      <c r="E111" s="73"/>
      <c r="F111" s="73"/>
      <c r="G111" s="73"/>
      <c r="H111" s="73"/>
      <c r="I111" s="73"/>
      <c r="J111" s="73"/>
      <c r="K111" s="73"/>
      <c r="L111" s="73"/>
      <c r="M111" s="73"/>
      <c r="N111" s="73"/>
      <c r="O111" s="73"/>
      <c r="P111" s="72"/>
    </row>
    <row r="112" spans="1:16" ht="14.5" x14ac:dyDescent="0.35">
      <c r="A112" s="71">
        <v>9</v>
      </c>
      <c r="B112" s="57" t="s">
        <v>23</v>
      </c>
      <c r="C112" s="58" t="s">
        <v>18</v>
      </c>
      <c r="D112" s="59">
        <v>658321.37831211754</v>
      </c>
      <c r="E112" s="59">
        <v>713647.89476939267</v>
      </c>
      <c r="F112" s="59">
        <v>880818.36905155494</v>
      </c>
      <c r="G112" s="59">
        <v>904789.78509955504</v>
      </c>
      <c r="H112" s="59">
        <v>915497.27284540515</v>
      </c>
      <c r="I112" s="59">
        <v>772500.95799176255</v>
      </c>
      <c r="J112" s="59">
        <v>710444.04430882528</v>
      </c>
      <c r="K112" s="59">
        <v>706680.51353237254</v>
      </c>
      <c r="L112" s="59">
        <v>631799.74519701756</v>
      </c>
      <c r="M112" s="59">
        <v>747105.57176872517</v>
      </c>
      <c r="N112" s="59">
        <v>732795.56035249506</v>
      </c>
      <c r="O112" s="59">
        <v>786055.7774670528</v>
      </c>
      <c r="P112" s="83">
        <f>SUM(D112:O112)</f>
        <v>9160456.8706962764</v>
      </c>
    </row>
    <row r="113" spans="1:16" x14ac:dyDescent="0.25">
      <c r="D113" s="74"/>
      <c r="E113" s="74"/>
      <c r="F113" s="74"/>
      <c r="G113" s="75"/>
      <c r="H113" s="75"/>
      <c r="I113" s="75"/>
      <c r="J113" s="75"/>
      <c r="K113" s="75"/>
      <c r="L113" s="75"/>
      <c r="M113" s="75"/>
      <c r="N113" s="75"/>
      <c r="O113" s="75"/>
      <c r="P113" s="73"/>
    </row>
    <row r="114" spans="1:16" x14ac:dyDescent="0.25">
      <c r="A114" s="58">
        <v>12</v>
      </c>
      <c r="B114" s="57" t="s">
        <v>28</v>
      </c>
      <c r="C114" s="58" t="s">
        <v>22</v>
      </c>
      <c r="D114" s="76"/>
      <c r="E114" s="76"/>
      <c r="F114" s="76"/>
      <c r="G114" s="77"/>
      <c r="H114" s="77"/>
      <c r="I114" s="77"/>
      <c r="J114" s="77"/>
      <c r="K114" s="77"/>
      <c r="L114" s="77"/>
      <c r="M114" s="77"/>
      <c r="N114" s="77"/>
      <c r="O114" s="77"/>
      <c r="P114" s="72">
        <f>SUM(D114:O114)</f>
        <v>0</v>
      </c>
    </row>
    <row r="115" spans="1:16" ht="13" thickBot="1" x14ac:dyDescent="0.3">
      <c r="A115" s="58"/>
      <c r="D115" s="84"/>
      <c r="E115" s="84"/>
      <c r="F115" s="84"/>
      <c r="G115" s="85"/>
      <c r="H115" s="85"/>
      <c r="I115" s="85"/>
      <c r="J115" s="85"/>
      <c r="K115" s="85"/>
      <c r="L115" s="85"/>
      <c r="M115" s="85"/>
      <c r="N115" s="85"/>
      <c r="O115" s="85"/>
      <c r="P115" s="86"/>
    </row>
    <row r="116" spans="1:16" ht="13.5" thickTop="1" x14ac:dyDescent="0.3">
      <c r="B116" s="78" t="s">
        <v>19</v>
      </c>
      <c r="D116" s="79">
        <f>D108+D110+D112+D114</f>
        <v>1067710.8512620186</v>
      </c>
      <c r="E116" s="79">
        <f t="shared" ref="E116:O116" si="6">E108+E110+E112+E114</f>
        <v>1172687.1168296323</v>
      </c>
      <c r="F116" s="79">
        <f t="shared" si="6"/>
        <v>1349105.5652716192</v>
      </c>
      <c r="G116" s="79">
        <f t="shared" si="6"/>
        <v>1382686.6148336509</v>
      </c>
      <c r="H116" s="79">
        <f t="shared" si="6"/>
        <v>1428212.7873272714</v>
      </c>
      <c r="I116" s="79">
        <f t="shared" si="6"/>
        <v>1303489.1150776341</v>
      </c>
      <c r="J116" s="79">
        <f t="shared" si="6"/>
        <v>1242370.8999963817</v>
      </c>
      <c r="K116" s="79">
        <f t="shared" si="6"/>
        <v>1247540.166032457</v>
      </c>
      <c r="L116" s="79">
        <f t="shared" si="6"/>
        <v>1199871.8218960008</v>
      </c>
      <c r="M116" s="79">
        <f t="shared" si="6"/>
        <v>1296584.5239590809</v>
      </c>
      <c r="N116" s="79">
        <f t="shared" si="6"/>
        <v>1265598.4991089518</v>
      </c>
      <c r="O116" s="79">
        <f t="shared" si="6"/>
        <v>1242293.2762374121</v>
      </c>
      <c r="P116" s="72">
        <f>SUM(D116:O116)</f>
        <v>15198151.237832112</v>
      </c>
    </row>
    <row r="117" spans="1:16" ht="13" x14ac:dyDescent="0.3">
      <c r="B117" s="78"/>
      <c r="D117" s="79"/>
      <c r="E117" s="79"/>
      <c r="F117" s="79"/>
      <c r="G117" s="79"/>
      <c r="H117" s="79"/>
      <c r="I117" s="79"/>
      <c r="J117" s="79"/>
      <c r="K117" s="79"/>
      <c r="L117" s="79"/>
      <c r="M117" s="79"/>
      <c r="N117" s="79"/>
      <c r="O117" s="79"/>
      <c r="P117" s="72"/>
    </row>
    <row r="118" spans="1:16" ht="13" x14ac:dyDescent="0.3">
      <c r="B118" s="99" t="s">
        <v>36</v>
      </c>
      <c r="C118" s="99"/>
      <c r="D118" s="99"/>
      <c r="E118" s="99"/>
      <c r="F118" s="99"/>
      <c r="G118" s="99"/>
      <c r="H118" s="99"/>
      <c r="I118" s="99"/>
      <c r="J118" s="99"/>
      <c r="K118" s="99"/>
      <c r="L118" s="99"/>
      <c r="M118" s="99"/>
      <c r="N118" s="99"/>
      <c r="O118" s="61" t="s">
        <v>0</v>
      </c>
      <c r="P118" s="57"/>
    </row>
    <row r="119" spans="1:16" ht="13" x14ac:dyDescent="0.3">
      <c r="B119" s="60"/>
      <c r="C119" s="60"/>
      <c r="D119" s="60"/>
      <c r="E119" s="60"/>
      <c r="F119" s="60"/>
      <c r="G119" s="60"/>
      <c r="H119" s="60"/>
      <c r="I119" s="60"/>
      <c r="J119" s="60"/>
      <c r="K119" s="60"/>
      <c r="L119" s="60"/>
      <c r="M119" s="60"/>
      <c r="N119" s="60"/>
      <c r="O119" s="60"/>
      <c r="P119" s="57"/>
    </row>
    <row r="120" spans="1:16" ht="13" x14ac:dyDescent="0.3">
      <c r="B120" s="62"/>
      <c r="D120" s="63">
        <f>D8</f>
        <v>2018</v>
      </c>
      <c r="E120" s="64"/>
      <c r="F120" s="65"/>
      <c r="H120" s="64"/>
      <c r="I120" s="64"/>
      <c r="J120" s="67"/>
      <c r="K120" s="64"/>
      <c r="L120" s="64"/>
      <c r="M120" s="68"/>
      <c r="N120" s="64"/>
      <c r="O120" s="64"/>
      <c r="P120" s="65"/>
    </row>
    <row r="121" spans="1:16" ht="13" x14ac:dyDescent="0.3">
      <c r="A121" s="60" t="s">
        <v>1</v>
      </c>
      <c r="B121" s="60" t="s">
        <v>2</v>
      </c>
      <c r="C121" s="60" t="s">
        <v>3</v>
      </c>
      <c r="D121" s="69" t="s">
        <v>4</v>
      </c>
      <c r="E121" s="69" t="s">
        <v>5</v>
      </c>
      <c r="F121" s="69" t="s">
        <v>6</v>
      </c>
      <c r="G121" s="69" t="s">
        <v>7</v>
      </c>
      <c r="H121" s="69" t="s">
        <v>8</v>
      </c>
      <c r="I121" s="69" t="s">
        <v>9</v>
      </c>
      <c r="J121" s="69" t="s">
        <v>10</v>
      </c>
      <c r="K121" s="69" t="s">
        <v>11</v>
      </c>
      <c r="L121" s="69" t="s">
        <v>12</v>
      </c>
      <c r="M121" s="69" t="s">
        <v>13</v>
      </c>
      <c r="N121" s="69" t="s">
        <v>14</v>
      </c>
      <c r="O121" s="69" t="s">
        <v>15</v>
      </c>
      <c r="P121" s="70" t="s">
        <v>16</v>
      </c>
    </row>
    <row r="122" spans="1:16" ht="13" x14ac:dyDescent="0.3">
      <c r="A122" s="60"/>
      <c r="B122" s="60"/>
      <c r="C122" s="60"/>
      <c r="D122" s="69"/>
      <c r="E122" s="69"/>
      <c r="F122" s="69"/>
      <c r="G122" s="69"/>
      <c r="H122" s="69"/>
      <c r="I122" s="69"/>
      <c r="J122" s="69"/>
      <c r="K122" s="69"/>
      <c r="L122" s="69"/>
      <c r="M122" s="69"/>
      <c r="N122" s="69"/>
      <c r="O122" s="69"/>
      <c r="P122" s="70"/>
    </row>
    <row r="123" spans="1:16" ht="14.5" x14ac:dyDescent="0.35">
      <c r="A123" s="71">
        <v>4</v>
      </c>
      <c r="B123" s="57" t="s">
        <v>20</v>
      </c>
      <c r="C123" s="58" t="s">
        <v>17</v>
      </c>
      <c r="D123" s="59">
        <v>98878.990795352598</v>
      </c>
      <c r="E123" s="59">
        <v>104963.33936803158</v>
      </c>
      <c r="F123" s="59">
        <v>104028.42285306603</v>
      </c>
      <c r="G123" s="59">
        <v>113958.5573619824</v>
      </c>
      <c r="H123" s="59">
        <v>111160.06405007916</v>
      </c>
      <c r="I123" s="59">
        <v>124626.37786222815</v>
      </c>
      <c r="J123" s="59">
        <v>126954.63992130327</v>
      </c>
      <c r="K123" s="59">
        <v>125439.70546212643</v>
      </c>
      <c r="L123" s="59">
        <v>160790.15098276062</v>
      </c>
      <c r="M123" s="59">
        <v>151532.99568084109</v>
      </c>
      <c r="N123" s="59">
        <v>155606.32000406628</v>
      </c>
      <c r="O123" s="59">
        <v>114863.50610305394</v>
      </c>
      <c r="P123" s="83">
        <f>SUM(D123:O123)</f>
        <v>1492803.0704448917</v>
      </c>
    </row>
    <row r="124" spans="1:16" x14ac:dyDescent="0.25">
      <c r="A124" s="71"/>
      <c r="D124" s="73"/>
      <c r="E124" s="73"/>
      <c r="F124" s="73"/>
      <c r="G124" s="73"/>
      <c r="H124" s="73"/>
      <c r="I124" s="73"/>
      <c r="J124" s="73"/>
      <c r="K124" s="73"/>
      <c r="L124" s="73"/>
      <c r="M124" s="73"/>
      <c r="N124" s="73"/>
      <c r="O124" s="73"/>
      <c r="P124" s="72"/>
    </row>
    <row r="125" spans="1:16" ht="14.5" x14ac:dyDescent="0.35">
      <c r="A125" s="71">
        <v>7</v>
      </c>
      <c r="B125" s="57" t="s">
        <v>21</v>
      </c>
      <c r="C125" s="58" t="s">
        <v>22</v>
      </c>
      <c r="D125" s="59">
        <v>289501.11447699985</v>
      </c>
      <c r="E125" s="59">
        <v>330684.2676110001</v>
      </c>
      <c r="F125" s="59">
        <v>340481.44866200001</v>
      </c>
      <c r="G125" s="59">
        <v>339454.33985950006</v>
      </c>
      <c r="H125" s="59">
        <v>375599.07967100001</v>
      </c>
      <c r="I125" s="59">
        <v>379213.72325549991</v>
      </c>
      <c r="J125" s="59">
        <v>377717.03409550019</v>
      </c>
      <c r="K125" s="59">
        <v>387809.36559300002</v>
      </c>
      <c r="L125" s="59">
        <v>377467.55273599998</v>
      </c>
      <c r="M125" s="59">
        <v>369219.4679039999</v>
      </c>
      <c r="N125" s="59">
        <v>349098.67053799995</v>
      </c>
      <c r="O125" s="59">
        <v>317829.45431349997</v>
      </c>
      <c r="P125" s="83">
        <f>SUM(D125:O125)</f>
        <v>4234075.518716</v>
      </c>
    </row>
    <row r="126" spans="1:16" x14ac:dyDescent="0.25">
      <c r="A126" s="71"/>
      <c r="D126" s="73"/>
      <c r="E126" s="73"/>
      <c r="F126" s="73"/>
      <c r="G126" s="73"/>
      <c r="H126" s="73"/>
      <c r="I126" s="73"/>
      <c r="J126" s="73"/>
      <c r="K126" s="73"/>
      <c r="L126" s="73"/>
      <c r="M126" s="73"/>
      <c r="N126" s="73"/>
      <c r="O126" s="73"/>
      <c r="P126" s="72"/>
    </row>
    <row r="127" spans="1:16" ht="14.5" x14ac:dyDescent="0.35">
      <c r="A127" s="71">
        <v>9</v>
      </c>
      <c r="B127" s="57" t="s">
        <v>23</v>
      </c>
      <c r="C127" s="58" t="s">
        <v>18</v>
      </c>
      <c r="D127" s="59">
        <v>647374.27925000002</v>
      </c>
      <c r="E127" s="59">
        <v>701780.7817500002</v>
      </c>
      <c r="F127" s="59">
        <v>866171.4105</v>
      </c>
      <c r="G127" s="59">
        <v>889744.21050000004</v>
      </c>
      <c r="H127" s="59">
        <v>900273.64550000022</v>
      </c>
      <c r="I127" s="59">
        <v>759655.18875000009</v>
      </c>
      <c r="J127" s="59">
        <v>698630.20750000025</v>
      </c>
      <c r="K127" s="59">
        <v>694929.25975000008</v>
      </c>
      <c r="L127" s="59">
        <v>621293.66925000004</v>
      </c>
      <c r="M127" s="59">
        <v>734682.09750000015</v>
      </c>
      <c r="N127" s="59">
        <v>720610.04450000008</v>
      </c>
      <c r="O127" s="59">
        <v>772984.60775000032</v>
      </c>
      <c r="P127" s="83">
        <f>SUM(D127:O127)</f>
        <v>9008129.4025000017</v>
      </c>
    </row>
    <row r="128" spans="1:16" x14ac:dyDescent="0.25">
      <c r="D128" s="74"/>
      <c r="E128" s="74"/>
      <c r="F128" s="74"/>
      <c r="G128" s="75"/>
      <c r="H128" s="75"/>
      <c r="I128" s="75"/>
      <c r="J128" s="75"/>
      <c r="K128" s="75"/>
      <c r="L128" s="75"/>
      <c r="M128" s="75"/>
      <c r="N128" s="75"/>
      <c r="O128" s="75"/>
      <c r="P128" s="73"/>
    </row>
    <row r="129" spans="1:16" x14ac:dyDescent="0.25">
      <c r="A129" s="58">
        <v>12</v>
      </c>
      <c r="B129" s="57" t="s">
        <v>28</v>
      </c>
      <c r="C129" s="58" t="s">
        <v>22</v>
      </c>
      <c r="D129" s="76"/>
      <c r="E129" s="76"/>
      <c r="F129" s="76"/>
      <c r="G129" s="77"/>
      <c r="H129" s="77"/>
      <c r="I129" s="77"/>
      <c r="J129" s="77"/>
      <c r="K129" s="77"/>
      <c r="L129" s="77"/>
      <c r="M129" s="77"/>
      <c r="N129" s="77"/>
      <c r="O129" s="77"/>
      <c r="P129" s="72">
        <f>SUM(D129:O129)</f>
        <v>0</v>
      </c>
    </row>
    <row r="130" spans="1:16" ht="13" thickBot="1" x14ac:dyDescent="0.3">
      <c r="A130" s="58"/>
      <c r="D130" s="84"/>
      <c r="E130" s="84"/>
      <c r="F130" s="84"/>
      <c r="G130" s="85"/>
      <c r="H130" s="85"/>
      <c r="I130" s="85"/>
      <c r="J130" s="85"/>
      <c r="K130" s="85"/>
      <c r="L130" s="85"/>
      <c r="M130" s="85"/>
      <c r="N130" s="85"/>
      <c r="O130" s="85"/>
      <c r="P130" s="86"/>
    </row>
    <row r="131" spans="1:16" ht="13.5" thickTop="1" x14ac:dyDescent="0.3">
      <c r="B131" s="78" t="s">
        <v>37</v>
      </c>
      <c r="D131" s="79">
        <f>D123+D125+D127+D129</f>
        <v>1035754.3845223525</v>
      </c>
      <c r="E131" s="79">
        <f t="shared" ref="E131:O131" si="7">E123+E125+E127+E129</f>
        <v>1137428.3887290319</v>
      </c>
      <c r="F131" s="79">
        <f t="shared" si="7"/>
        <v>1310681.2820150661</v>
      </c>
      <c r="G131" s="79">
        <f t="shared" si="7"/>
        <v>1343157.1077214824</v>
      </c>
      <c r="H131" s="79">
        <f t="shared" si="7"/>
        <v>1387032.7892210793</v>
      </c>
      <c r="I131" s="79">
        <f t="shared" si="7"/>
        <v>1263495.289867728</v>
      </c>
      <c r="J131" s="79">
        <f t="shared" si="7"/>
        <v>1203301.8815168038</v>
      </c>
      <c r="K131" s="79">
        <f t="shared" si="7"/>
        <v>1208178.3308051266</v>
      </c>
      <c r="L131" s="79">
        <f t="shared" si="7"/>
        <v>1159551.3729687608</v>
      </c>
      <c r="M131" s="79">
        <f t="shared" si="7"/>
        <v>1255434.5610848411</v>
      </c>
      <c r="N131" s="79">
        <f t="shared" si="7"/>
        <v>1225315.0350420664</v>
      </c>
      <c r="O131" s="79">
        <f t="shared" si="7"/>
        <v>1205677.5681665542</v>
      </c>
      <c r="P131" s="72">
        <f>SUM(D131:O131)</f>
        <v>14735007.991660891</v>
      </c>
    </row>
  </sheetData>
  <mergeCells count="16">
    <mergeCell ref="B1:O1"/>
    <mergeCell ref="B4:O4"/>
    <mergeCell ref="B2:O2"/>
    <mergeCell ref="B3:O3"/>
    <mergeCell ref="B118:N118"/>
    <mergeCell ref="B88:N88"/>
    <mergeCell ref="B103:N103"/>
    <mergeCell ref="B6:N6"/>
    <mergeCell ref="B54:N54"/>
    <mergeCell ref="B38:N38"/>
    <mergeCell ref="B22:O22"/>
    <mergeCell ref="B68:O68"/>
    <mergeCell ref="B73:O73"/>
    <mergeCell ref="B69:O69"/>
    <mergeCell ref="B71:O71"/>
    <mergeCell ref="B70:O70"/>
  </mergeCells>
  <phoneticPr fontId="0" type="noConversion"/>
  <printOptions horizontalCentered="1"/>
  <pageMargins left="0.7" right="0.7" top="0.75" bottom="0.75" header="0.3" footer="0.3"/>
  <pageSetup scale="54" fitToHeight="0" orientation="landscape" horizontalDpi="4294967292" r:id="rId1"/>
  <headerFooter alignWithMargins="0">
    <oddHeader xml:space="preserve">&amp;RSchedule IV-J-4
&amp;A
Page &amp;P of &amp;N
</oddHeader>
    <oddFooter>&amp;LSponsored by: Nora D. Williams</oddFooter>
  </headerFooter>
  <rowBreaks count="1" manualBreakCount="1">
    <brk id="67" max="16383" man="1"/>
  </rowBreaks>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5"/>
  <sheetViews>
    <sheetView zoomScaleNormal="100" workbookViewId="0">
      <selection sqref="A1:J1"/>
    </sheetView>
  </sheetViews>
  <sheetFormatPr defaultColWidth="9.1796875" defaultRowHeight="12.5" x14ac:dyDescent="0.25"/>
  <cols>
    <col min="1" max="1" width="19" style="6" customWidth="1"/>
    <col min="2" max="2" width="11" style="6" customWidth="1"/>
    <col min="3" max="3" width="8.1796875" style="11" customWidth="1"/>
    <col min="4" max="4" width="14.1796875" style="37" customWidth="1"/>
    <col min="5" max="5" width="15.7265625" style="9" customWidth="1"/>
    <col min="6" max="6" width="11.7265625" style="4" customWidth="1"/>
    <col min="7" max="7" width="16.26953125" style="4" customWidth="1"/>
    <col min="8" max="8" width="13.1796875" style="4" customWidth="1"/>
    <col min="9" max="9" width="15.1796875" style="4" customWidth="1"/>
    <col min="10" max="10" width="19.81640625" style="4" customWidth="1"/>
    <col min="11" max="11" width="22.453125" style="4" bestFit="1" customWidth="1"/>
    <col min="12" max="13" width="11" style="4" customWidth="1"/>
    <col min="14" max="16384" width="9.1796875" style="4"/>
  </cols>
  <sheetData>
    <row r="1" spans="1:16" s="88" customFormat="1" ht="13" x14ac:dyDescent="0.3">
      <c r="A1" s="98" t="s">
        <v>124</v>
      </c>
      <c r="B1" s="100"/>
      <c r="C1" s="100"/>
      <c r="D1" s="100"/>
      <c r="E1" s="100"/>
      <c r="F1" s="100"/>
      <c r="G1" s="100"/>
      <c r="H1" s="100"/>
      <c r="I1" s="100"/>
      <c r="J1" s="100"/>
      <c r="K1" s="91"/>
      <c r="L1" s="91"/>
      <c r="M1" s="91"/>
      <c r="N1" s="91"/>
      <c r="O1" s="91"/>
      <c r="P1" s="89"/>
    </row>
    <row r="2" spans="1:16" ht="13" x14ac:dyDescent="0.3">
      <c r="A2" s="103" t="s">
        <v>127</v>
      </c>
      <c r="B2" s="101"/>
      <c r="C2" s="101"/>
      <c r="D2" s="101"/>
      <c r="E2" s="101"/>
      <c r="F2" s="101"/>
      <c r="G2" s="101"/>
      <c r="H2" s="101"/>
      <c r="I2" s="101"/>
      <c r="J2" s="101"/>
      <c r="K2" s="2"/>
    </row>
    <row r="3" spans="1:16" s="90" customFormat="1" ht="13" x14ac:dyDescent="0.3">
      <c r="A3" s="99" t="s">
        <v>128</v>
      </c>
      <c r="B3" s="100"/>
      <c r="C3" s="100"/>
      <c r="D3" s="100"/>
      <c r="E3" s="100"/>
      <c r="F3" s="100"/>
      <c r="G3" s="100"/>
      <c r="H3" s="100"/>
      <c r="I3" s="100"/>
      <c r="J3" s="100"/>
    </row>
    <row r="4" spans="1:16" s="93" customFormat="1" ht="13" x14ac:dyDescent="0.3">
      <c r="A4" s="99" t="s">
        <v>125</v>
      </c>
      <c r="B4" s="100"/>
      <c r="C4" s="100"/>
      <c r="D4" s="100"/>
      <c r="E4" s="100"/>
      <c r="F4" s="100"/>
      <c r="G4" s="100"/>
      <c r="H4" s="100"/>
      <c r="I4" s="100"/>
      <c r="J4" s="100"/>
      <c r="K4" s="90"/>
      <c r="L4" s="90"/>
      <c r="M4" s="90"/>
      <c r="N4" s="90"/>
    </row>
    <row r="5" spans="1:16" s="93" customFormat="1" ht="13" x14ac:dyDescent="0.3">
      <c r="A5" s="5"/>
      <c r="B5" s="5"/>
      <c r="C5" s="51"/>
      <c r="D5" s="94"/>
      <c r="E5" s="51"/>
      <c r="F5" s="51"/>
      <c r="G5" s="51"/>
      <c r="H5" s="51"/>
      <c r="I5" s="51"/>
      <c r="J5" s="51"/>
    </row>
    <row r="6" spans="1:16" ht="13" x14ac:dyDescent="0.3">
      <c r="C6" s="33"/>
      <c r="D6" s="3"/>
      <c r="E6" s="2"/>
      <c r="F6" s="2"/>
      <c r="G6" s="2"/>
      <c r="H6" s="2"/>
      <c r="I6" s="2"/>
      <c r="J6" s="2"/>
    </row>
    <row r="7" spans="1:16" ht="13" x14ac:dyDescent="0.3">
      <c r="C7" s="8"/>
      <c r="D7" s="9"/>
      <c r="E7" s="36" t="s">
        <v>53</v>
      </c>
      <c r="F7" s="2"/>
      <c r="G7" s="51"/>
      <c r="H7" s="51"/>
      <c r="I7" s="51"/>
      <c r="J7" s="51"/>
    </row>
    <row r="8" spans="1:16" ht="78" x14ac:dyDescent="0.3">
      <c r="A8" s="28" t="s">
        <v>40</v>
      </c>
      <c r="B8" s="8" t="s">
        <v>65</v>
      </c>
      <c r="C8" s="8" t="s">
        <v>41</v>
      </c>
      <c r="D8" s="38" t="s">
        <v>89</v>
      </c>
      <c r="E8" s="38" t="s">
        <v>90</v>
      </c>
      <c r="F8" s="38" t="s">
        <v>91</v>
      </c>
      <c r="G8" s="38" t="s">
        <v>92</v>
      </c>
      <c r="H8" s="38" t="s">
        <v>93</v>
      </c>
      <c r="I8" s="38" t="s">
        <v>94</v>
      </c>
      <c r="J8" s="38" t="s">
        <v>95</v>
      </c>
    </row>
    <row r="9" spans="1:16" s="21" customFormat="1" ht="13" x14ac:dyDescent="0.3">
      <c r="A9" s="28"/>
      <c r="B9" s="28"/>
      <c r="C9" s="8"/>
      <c r="D9" s="22"/>
      <c r="E9" s="22"/>
      <c r="F9" s="22"/>
      <c r="G9" s="22"/>
      <c r="H9" s="22"/>
      <c r="I9" s="22"/>
      <c r="J9" s="22"/>
    </row>
    <row r="10" spans="1:16" s="21" customFormat="1" x14ac:dyDescent="0.25">
      <c r="A10" s="54" t="s">
        <v>96</v>
      </c>
      <c r="B10" s="47" t="s">
        <v>103</v>
      </c>
      <c r="C10" s="11">
        <v>1</v>
      </c>
      <c r="D10" s="46" t="s">
        <v>59</v>
      </c>
      <c r="E10" s="46" t="s">
        <v>64</v>
      </c>
      <c r="F10" s="29">
        <v>72</v>
      </c>
      <c r="G10" s="56">
        <v>170876130.94963464</v>
      </c>
      <c r="H10" s="56">
        <v>1383399.3412329315</v>
      </c>
      <c r="I10" s="56">
        <v>592320.74041290022</v>
      </c>
      <c r="J10" s="56">
        <v>556386.38851633598</v>
      </c>
    </row>
    <row r="11" spans="1:16" s="21" customFormat="1" x14ac:dyDescent="0.25">
      <c r="A11" s="52"/>
      <c r="B11" s="47" t="s">
        <v>103</v>
      </c>
      <c r="C11" s="11">
        <v>2</v>
      </c>
      <c r="D11" s="46" t="s">
        <v>59</v>
      </c>
      <c r="E11" s="46" t="s">
        <v>72</v>
      </c>
      <c r="F11" s="29">
        <v>80</v>
      </c>
      <c r="G11" s="56">
        <v>197308102.16590169</v>
      </c>
      <c r="H11" s="56">
        <v>1296237.8192125217</v>
      </c>
      <c r="I11" s="56">
        <v>659110.58390393259</v>
      </c>
      <c r="J11" s="56">
        <v>590745.31950898783</v>
      </c>
    </row>
    <row r="12" spans="1:16" s="21" customFormat="1" x14ac:dyDescent="0.25">
      <c r="A12" s="52"/>
      <c r="B12" s="47" t="s">
        <v>103</v>
      </c>
      <c r="C12" s="11">
        <v>3</v>
      </c>
      <c r="D12" s="46" t="s">
        <v>59</v>
      </c>
      <c r="E12" s="46" t="s">
        <v>73</v>
      </c>
      <c r="F12" s="29">
        <v>71</v>
      </c>
      <c r="G12" s="56">
        <v>227162687.82061085</v>
      </c>
      <c r="H12" s="56">
        <v>1208412.1499284364</v>
      </c>
      <c r="I12" s="56">
        <v>686504.39583154884</v>
      </c>
      <c r="J12" s="56">
        <v>668895.05070327397</v>
      </c>
    </row>
    <row r="13" spans="1:16" s="21" customFormat="1" x14ac:dyDescent="0.25">
      <c r="A13" s="52"/>
      <c r="B13" s="47" t="s">
        <v>104</v>
      </c>
      <c r="C13" s="11">
        <v>1</v>
      </c>
      <c r="D13" s="46" t="s">
        <v>59</v>
      </c>
      <c r="E13" s="46" t="s">
        <v>66</v>
      </c>
      <c r="F13" s="29">
        <v>48</v>
      </c>
      <c r="G13" s="56">
        <v>146544686.31739399</v>
      </c>
      <c r="H13" s="56">
        <v>1154460.3330324674</v>
      </c>
      <c r="I13" s="56">
        <v>564635.89247228683</v>
      </c>
      <c r="J13" s="56">
        <v>469764.08785315434</v>
      </c>
    </row>
    <row r="14" spans="1:16" s="21" customFormat="1" x14ac:dyDescent="0.25">
      <c r="A14" s="52"/>
      <c r="B14" s="47" t="s">
        <v>104</v>
      </c>
      <c r="C14" s="11">
        <v>2</v>
      </c>
      <c r="D14" s="46" t="s">
        <v>59</v>
      </c>
      <c r="E14" s="46" t="s">
        <v>67</v>
      </c>
      <c r="F14" s="29">
        <v>51</v>
      </c>
      <c r="G14" s="56">
        <v>164033813.96729252</v>
      </c>
      <c r="H14" s="56">
        <v>981538.03986682813</v>
      </c>
      <c r="I14" s="56">
        <v>568330.33741211565</v>
      </c>
      <c r="J14" s="56">
        <v>512315.16423685878</v>
      </c>
    </row>
    <row r="15" spans="1:16" s="21" customFormat="1" x14ac:dyDescent="0.25">
      <c r="A15" s="52"/>
      <c r="B15" s="47"/>
      <c r="C15" s="11"/>
      <c r="D15" s="29"/>
      <c r="E15" s="29"/>
      <c r="F15" s="29"/>
      <c r="G15" s="53"/>
      <c r="H15" s="53"/>
      <c r="I15" s="53"/>
      <c r="J15" s="53"/>
    </row>
    <row r="16" spans="1:16" s="21" customFormat="1" x14ac:dyDescent="0.25">
      <c r="A16" s="52" t="s">
        <v>97</v>
      </c>
      <c r="B16" s="47" t="s">
        <v>63</v>
      </c>
      <c r="C16" s="11">
        <v>1</v>
      </c>
      <c r="D16" s="46" t="s">
        <v>59</v>
      </c>
      <c r="E16" s="47" t="s">
        <v>74</v>
      </c>
      <c r="F16" s="11">
        <v>88</v>
      </c>
      <c r="G16" s="56">
        <v>4425653.4091867292</v>
      </c>
      <c r="H16" s="56">
        <v>55148.173198413526</v>
      </c>
      <c r="I16" s="56">
        <v>11227.571222025292</v>
      </c>
      <c r="J16" s="56">
        <v>6877.9685876245558</v>
      </c>
    </row>
    <row r="17" spans="1:10" s="21" customFormat="1" x14ac:dyDescent="0.25">
      <c r="A17" s="52" t="s">
        <v>98</v>
      </c>
      <c r="B17" s="47" t="s">
        <v>63</v>
      </c>
      <c r="C17" s="11">
        <v>2</v>
      </c>
      <c r="D17" s="46" t="s">
        <v>59</v>
      </c>
      <c r="E17" s="46" t="s">
        <v>75</v>
      </c>
      <c r="F17" s="29">
        <v>53</v>
      </c>
      <c r="G17" s="56">
        <v>6235978.0816879412</v>
      </c>
      <c r="H17" s="56">
        <v>45016.388984279314</v>
      </c>
      <c r="I17" s="56">
        <v>20412.113763085305</v>
      </c>
      <c r="J17" s="56">
        <v>13234.444977192845</v>
      </c>
    </row>
    <row r="18" spans="1:10" s="21" customFormat="1" x14ac:dyDescent="0.25">
      <c r="A18" s="52"/>
      <c r="B18" s="47" t="s">
        <v>63</v>
      </c>
      <c r="C18" s="11">
        <v>3</v>
      </c>
      <c r="D18" s="46" t="s">
        <v>59</v>
      </c>
      <c r="E18" s="46" t="s">
        <v>76</v>
      </c>
      <c r="F18" s="29">
        <v>44</v>
      </c>
      <c r="G18" s="56">
        <v>6404312.0470681526</v>
      </c>
      <c r="H18" s="56">
        <v>32533.281448002024</v>
      </c>
      <c r="I18" s="56">
        <v>18035.89632338619</v>
      </c>
      <c r="J18" s="56">
        <v>13463.792779379713</v>
      </c>
    </row>
    <row r="19" spans="1:10" s="21" customFormat="1" x14ac:dyDescent="0.25">
      <c r="A19" s="52"/>
      <c r="B19" s="47" t="s">
        <v>63</v>
      </c>
      <c r="C19" s="11">
        <v>4</v>
      </c>
      <c r="D19" s="46" t="s">
        <v>59</v>
      </c>
      <c r="E19" s="46" t="s">
        <v>77</v>
      </c>
      <c r="F19" s="29">
        <v>52</v>
      </c>
      <c r="G19" s="56">
        <v>5757663.2300885133</v>
      </c>
      <c r="H19" s="56">
        <v>24232.239534954413</v>
      </c>
      <c r="I19" s="56">
        <v>12876.79990197296</v>
      </c>
      <c r="J19" s="56">
        <v>11761.934535852928</v>
      </c>
    </row>
    <row r="20" spans="1:10" s="21" customFormat="1" x14ac:dyDescent="0.25">
      <c r="A20" s="52"/>
      <c r="B20" s="47" t="s">
        <v>63</v>
      </c>
      <c r="C20" s="11">
        <v>5</v>
      </c>
      <c r="D20" s="46" t="s">
        <v>59</v>
      </c>
      <c r="E20" s="46" t="s">
        <v>78</v>
      </c>
      <c r="F20" s="29">
        <v>39</v>
      </c>
      <c r="G20" s="56">
        <v>6873012.0364322104</v>
      </c>
      <c r="H20" s="56">
        <v>18411.371061849048</v>
      </c>
      <c r="I20" s="56">
        <v>11823.855805980102</v>
      </c>
      <c r="J20" s="56">
        <v>10883.008399715927</v>
      </c>
    </row>
    <row r="21" spans="1:10" s="21" customFormat="1" x14ac:dyDescent="0.25">
      <c r="A21" s="52"/>
      <c r="B21" s="47" t="s">
        <v>105</v>
      </c>
      <c r="C21" s="11">
        <v>1</v>
      </c>
      <c r="D21" s="46" t="s">
        <v>59</v>
      </c>
      <c r="E21" s="46" t="s">
        <v>79</v>
      </c>
      <c r="F21" s="29">
        <v>89</v>
      </c>
      <c r="G21" s="56">
        <v>82692.967892386121</v>
      </c>
      <c r="H21" s="56">
        <v>660.43329123532828</v>
      </c>
      <c r="I21" s="56">
        <v>218.70653088789243</v>
      </c>
      <c r="J21" s="56">
        <v>108.35793742096989</v>
      </c>
    </row>
    <row r="22" spans="1:10" s="21" customFormat="1" x14ac:dyDescent="0.25">
      <c r="A22" s="52"/>
      <c r="B22" s="47" t="s">
        <v>105</v>
      </c>
      <c r="C22" s="11">
        <v>2</v>
      </c>
      <c r="D22" s="46" t="s">
        <v>59</v>
      </c>
      <c r="E22" s="46" t="s">
        <v>80</v>
      </c>
      <c r="F22" s="29">
        <v>45</v>
      </c>
      <c r="G22" s="56">
        <v>101235.25211458234</v>
      </c>
      <c r="H22" s="56">
        <v>450.28165031514175</v>
      </c>
      <c r="I22" s="56">
        <v>224.47321862634507</v>
      </c>
      <c r="J22" s="56">
        <v>169.88254464387956</v>
      </c>
    </row>
    <row r="23" spans="1:10" s="21" customFormat="1" x14ac:dyDescent="0.25">
      <c r="A23" s="52"/>
      <c r="B23" s="47"/>
      <c r="C23" s="11"/>
      <c r="D23" s="29"/>
      <c r="E23" s="29"/>
      <c r="F23" s="29"/>
      <c r="G23" s="53"/>
      <c r="H23" s="53"/>
      <c r="I23" s="53"/>
      <c r="J23" s="53"/>
    </row>
    <row r="24" spans="1:10" s="21" customFormat="1" x14ac:dyDescent="0.25">
      <c r="A24" s="52" t="s">
        <v>99</v>
      </c>
      <c r="B24" s="47" t="s">
        <v>106</v>
      </c>
      <c r="C24" s="11">
        <v>1</v>
      </c>
      <c r="D24" s="46" t="s">
        <v>60</v>
      </c>
      <c r="E24" s="46" t="s">
        <v>81</v>
      </c>
      <c r="F24" s="29">
        <v>138</v>
      </c>
      <c r="G24" s="56">
        <v>71242752.363296449</v>
      </c>
      <c r="H24" s="56">
        <v>394848.97199984716</v>
      </c>
      <c r="I24" s="56">
        <v>204689.1065525639</v>
      </c>
      <c r="J24" s="56">
        <v>162359.97426282155</v>
      </c>
    </row>
    <row r="25" spans="1:10" s="21" customFormat="1" x14ac:dyDescent="0.25">
      <c r="A25" s="52" t="s">
        <v>100</v>
      </c>
      <c r="B25" s="47" t="s">
        <v>106</v>
      </c>
      <c r="C25" s="11">
        <v>2</v>
      </c>
      <c r="D25" s="46" t="s">
        <v>60</v>
      </c>
      <c r="E25" s="47" t="s">
        <v>82</v>
      </c>
      <c r="F25" s="11">
        <v>73</v>
      </c>
      <c r="G25" s="56">
        <v>87750631.491605744</v>
      </c>
      <c r="H25" s="56">
        <v>434393.35968148173</v>
      </c>
      <c r="I25" s="56">
        <v>238071.07328957453</v>
      </c>
      <c r="J25" s="56">
        <v>182209.1078584299</v>
      </c>
    </row>
    <row r="26" spans="1:10" s="21" customFormat="1" x14ac:dyDescent="0.25">
      <c r="A26" s="55"/>
      <c r="B26" s="47" t="s">
        <v>106</v>
      </c>
      <c r="C26" s="11">
        <v>3</v>
      </c>
      <c r="D26" s="46" t="s">
        <v>60</v>
      </c>
      <c r="E26" s="48" t="s">
        <v>83</v>
      </c>
      <c r="F26" s="23">
        <v>91</v>
      </c>
      <c r="G26" s="56">
        <v>137675055.66449726</v>
      </c>
      <c r="H26" s="56">
        <v>499137.98522126651</v>
      </c>
      <c r="I26" s="56">
        <v>284217.80700290203</v>
      </c>
      <c r="J26" s="56">
        <v>253912.24061756802</v>
      </c>
    </row>
    <row r="27" spans="1:10" s="21" customFormat="1" x14ac:dyDescent="0.25">
      <c r="A27" s="52"/>
      <c r="B27" s="47" t="s">
        <v>106</v>
      </c>
      <c r="C27" s="11">
        <v>4</v>
      </c>
      <c r="D27" s="46" t="s">
        <v>60</v>
      </c>
      <c r="E27" s="46" t="s">
        <v>84</v>
      </c>
      <c r="F27" s="29">
        <v>109</v>
      </c>
      <c r="G27" s="56">
        <v>196541799.35698169</v>
      </c>
      <c r="H27" s="56">
        <v>595518.40439070424</v>
      </c>
      <c r="I27" s="56">
        <v>382598.66498369386</v>
      </c>
      <c r="J27" s="56">
        <v>278407.4651199748</v>
      </c>
    </row>
    <row r="28" spans="1:10" s="21" customFormat="1" x14ac:dyDescent="0.25">
      <c r="A28" s="52"/>
      <c r="B28" s="47" t="s">
        <v>107</v>
      </c>
      <c r="C28" s="11">
        <v>1</v>
      </c>
      <c r="D28" s="46" t="s">
        <v>60</v>
      </c>
      <c r="E28" s="46" t="s">
        <v>68</v>
      </c>
      <c r="F28" s="29">
        <v>7</v>
      </c>
      <c r="G28" s="56">
        <v>65042.379500145624</v>
      </c>
      <c r="H28" s="56">
        <v>350.48320000000001</v>
      </c>
      <c r="I28" s="56">
        <v>341.6458511123314</v>
      </c>
      <c r="J28" s="56">
        <v>332.05909757558379</v>
      </c>
    </row>
    <row r="29" spans="1:10" s="21" customFormat="1" x14ac:dyDescent="0.25">
      <c r="A29" s="52"/>
      <c r="B29" s="47" t="s">
        <v>108</v>
      </c>
      <c r="C29" s="11">
        <v>1</v>
      </c>
      <c r="D29" s="46" t="s">
        <v>60</v>
      </c>
      <c r="E29" s="46" t="s">
        <v>85</v>
      </c>
      <c r="F29" s="29">
        <v>134</v>
      </c>
      <c r="G29" s="56">
        <v>1717796.6265885872</v>
      </c>
      <c r="H29" s="56">
        <v>12187.88346773193</v>
      </c>
      <c r="I29" s="56">
        <v>7015.2320272778534</v>
      </c>
      <c r="J29" s="56">
        <v>5559.9903499758129</v>
      </c>
    </row>
    <row r="30" spans="1:10" s="21" customFormat="1" x14ac:dyDescent="0.25">
      <c r="A30" s="52"/>
      <c r="B30" s="47" t="s">
        <v>109</v>
      </c>
      <c r="C30" s="11">
        <v>1</v>
      </c>
      <c r="D30" s="46" t="s">
        <v>60</v>
      </c>
      <c r="E30" s="46" t="s">
        <v>69</v>
      </c>
      <c r="F30" s="29">
        <v>252</v>
      </c>
      <c r="G30" s="56">
        <v>601594.19337654638</v>
      </c>
      <c r="H30" s="56">
        <v>5925.8857880546238</v>
      </c>
      <c r="I30" s="56">
        <v>1638.5521244190345</v>
      </c>
      <c r="J30" s="56">
        <v>233.15073890115639</v>
      </c>
    </row>
    <row r="31" spans="1:10" s="21" customFormat="1" x14ac:dyDescent="0.25">
      <c r="A31" s="52"/>
      <c r="B31" s="47" t="s">
        <v>109</v>
      </c>
      <c r="C31" s="11">
        <v>2</v>
      </c>
      <c r="D31" s="46" t="s">
        <v>60</v>
      </c>
      <c r="E31" s="46" t="s">
        <v>70</v>
      </c>
      <c r="F31" s="29">
        <v>70</v>
      </c>
      <c r="G31" s="56">
        <v>1294577.642803896</v>
      </c>
      <c r="H31" s="56">
        <v>9044.3059072957021</v>
      </c>
      <c r="I31" s="56">
        <v>3628.9106900583456</v>
      </c>
      <c r="J31" s="56">
        <v>1242.9565159992585</v>
      </c>
    </row>
    <row r="32" spans="1:10" s="21" customFormat="1" x14ac:dyDescent="0.25">
      <c r="A32" s="52" t="s">
        <v>0</v>
      </c>
      <c r="B32" s="47"/>
      <c r="C32" s="11"/>
      <c r="D32" s="29"/>
      <c r="E32" s="29"/>
      <c r="F32" s="29"/>
      <c r="G32" s="53"/>
      <c r="H32" s="53"/>
      <c r="I32" s="53"/>
      <c r="J32" s="53"/>
    </row>
    <row r="33" spans="1:10" s="21" customFormat="1" x14ac:dyDescent="0.25">
      <c r="A33" s="52" t="s">
        <v>101</v>
      </c>
      <c r="B33" s="47" t="s">
        <v>110</v>
      </c>
      <c r="C33" s="11">
        <v>1</v>
      </c>
      <c r="D33" s="46" t="s">
        <v>60</v>
      </c>
      <c r="E33" s="46" t="s">
        <v>86</v>
      </c>
      <c r="F33" s="29">
        <v>118</v>
      </c>
      <c r="G33" s="56">
        <v>5399911.2487763017</v>
      </c>
      <c r="H33" s="56">
        <v>15034.471552263829</v>
      </c>
      <c r="I33" s="56">
        <v>9619.2918849883044</v>
      </c>
      <c r="J33" s="56">
        <v>8911.851976127411</v>
      </c>
    </row>
    <row r="34" spans="1:10" s="21" customFormat="1" x14ac:dyDescent="0.25">
      <c r="A34" s="52" t="s">
        <v>102</v>
      </c>
      <c r="B34" s="47" t="s">
        <v>110</v>
      </c>
      <c r="C34" s="11">
        <v>2</v>
      </c>
      <c r="D34" s="46" t="s">
        <v>60</v>
      </c>
      <c r="E34" s="46" t="s">
        <v>87</v>
      </c>
      <c r="F34" s="29">
        <v>34</v>
      </c>
      <c r="G34" s="56">
        <v>6914338.4414849654</v>
      </c>
      <c r="H34" s="56">
        <v>17199.083294289077</v>
      </c>
      <c r="I34" s="56">
        <v>12379.099282553241</v>
      </c>
      <c r="J34" s="56">
        <v>10869.261641090814</v>
      </c>
    </row>
    <row r="35" spans="1:10" s="21" customFormat="1" x14ac:dyDescent="0.25">
      <c r="A35" s="52"/>
      <c r="B35" s="47" t="s">
        <v>108</v>
      </c>
      <c r="C35" s="11">
        <v>1</v>
      </c>
      <c r="D35" s="46" t="s">
        <v>60</v>
      </c>
      <c r="E35" s="46" t="s">
        <v>71</v>
      </c>
      <c r="F35" s="29">
        <v>4</v>
      </c>
      <c r="G35" s="56">
        <v>133217.59270795912</v>
      </c>
      <c r="H35" s="56">
        <v>836.4739471909246</v>
      </c>
      <c r="I35" s="56">
        <v>840.04193178777257</v>
      </c>
      <c r="J35" s="56">
        <v>188.62240926788365</v>
      </c>
    </row>
    <row r="36" spans="1:10" s="21" customFormat="1" x14ac:dyDescent="0.25">
      <c r="C36" s="11"/>
      <c r="D36" s="46"/>
      <c r="E36" s="46"/>
      <c r="F36" s="29"/>
      <c r="G36" s="29"/>
      <c r="H36" s="30"/>
      <c r="I36" s="32"/>
      <c r="J36" s="32"/>
    </row>
    <row r="37" spans="1:10" ht="13" x14ac:dyDescent="0.3">
      <c r="C37" s="33"/>
      <c r="D37" s="3"/>
      <c r="E37" s="2"/>
      <c r="F37" s="2"/>
      <c r="G37" s="2"/>
      <c r="H37" s="2"/>
      <c r="I37" s="2"/>
      <c r="J37" s="2"/>
    </row>
    <row r="38" spans="1:10" ht="13" x14ac:dyDescent="0.3">
      <c r="C38" s="8"/>
      <c r="D38" s="9"/>
      <c r="E38" s="36" t="s">
        <v>58</v>
      </c>
      <c r="F38" s="2"/>
      <c r="G38" s="51"/>
      <c r="H38" s="51"/>
      <c r="I38" s="51"/>
      <c r="J38" s="51"/>
    </row>
    <row r="39" spans="1:10" ht="78" x14ac:dyDescent="0.3">
      <c r="A39" s="28" t="s">
        <v>40</v>
      </c>
      <c r="B39" s="8" t="s">
        <v>65</v>
      </c>
      <c r="C39" s="8" t="s">
        <v>41</v>
      </c>
      <c r="D39" s="38" t="s">
        <v>89</v>
      </c>
      <c r="E39" s="38" t="s">
        <v>90</v>
      </c>
      <c r="F39" s="38" t="s">
        <v>91</v>
      </c>
      <c r="G39" s="38" t="s">
        <v>92</v>
      </c>
      <c r="H39" s="38" t="s">
        <v>93</v>
      </c>
      <c r="I39" s="38" t="s">
        <v>94</v>
      </c>
      <c r="J39" s="38" t="s">
        <v>95</v>
      </c>
    </row>
    <row r="40" spans="1:10" s="21" customFormat="1" ht="13" x14ac:dyDescent="0.3">
      <c r="A40" s="28"/>
      <c r="B40" s="28"/>
      <c r="C40" s="8"/>
      <c r="D40" s="22"/>
      <c r="E40" s="22"/>
      <c r="F40" s="22"/>
      <c r="G40" s="22"/>
      <c r="H40" s="22"/>
      <c r="I40" s="22"/>
      <c r="J40" s="22"/>
    </row>
    <row r="41" spans="1:10" s="21" customFormat="1" x14ac:dyDescent="0.25">
      <c r="A41" s="54" t="s">
        <v>96</v>
      </c>
      <c r="B41" s="47" t="s">
        <v>103</v>
      </c>
      <c r="C41" s="11">
        <v>1</v>
      </c>
      <c r="D41" s="46" t="s">
        <v>59</v>
      </c>
      <c r="E41" s="46" t="s">
        <v>64</v>
      </c>
      <c r="F41" s="29">
        <v>72</v>
      </c>
      <c r="G41" s="56">
        <v>121213198.62906782</v>
      </c>
      <c r="H41" s="56">
        <v>1195803.8186685191</v>
      </c>
      <c r="I41" s="56">
        <v>413148.26675496722</v>
      </c>
      <c r="J41" s="56">
        <v>380622.55804461392</v>
      </c>
    </row>
    <row r="42" spans="1:10" s="21" customFormat="1" x14ac:dyDescent="0.25">
      <c r="A42" s="52"/>
      <c r="B42" s="47" t="s">
        <v>103</v>
      </c>
      <c r="C42" s="11">
        <v>2</v>
      </c>
      <c r="D42" s="46" t="s">
        <v>59</v>
      </c>
      <c r="E42" s="46" t="s">
        <v>72</v>
      </c>
      <c r="F42" s="29">
        <v>80</v>
      </c>
      <c r="G42" s="56">
        <v>129909625.61134799</v>
      </c>
      <c r="H42" s="56">
        <v>1088362.1394458583</v>
      </c>
      <c r="I42" s="56">
        <v>424877.82107711711</v>
      </c>
      <c r="J42" s="56">
        <v>396020.04121117323</v>
      </c>
    </row>
    <row r="43" spans="1:10" s="21" customFormat="1" x14ac:dyDescent="0.25">
      <c r="A43" s="52"/>
      <c r="B43" s="47" t="s">
        <v>103</v>
      </c>
      <c r="C43" s="11">
        <v>3</v>
      </c>
      <c r="D43" s="46" t="s">
        <v>59</v>
      </c>
      <c r="E43" s="46" t="s">
        <v>73</v>
      </c>
      <c r="F43" s="29">
        <v>71</v>
      </c>
      <c r="G43" s="56">
        <v>147576600.13017467</v>
      </c>
      <c r="H43" s="56">
        <v>1020642.805665468</v>
      </c>
      <c r="I43" s="56">
        <v>514156.86886038311</v>
      </c>
      <c r="J43" s="56">
        <v>444407.991569662</v>
      </c>
    </row>
    <row r="44" spans="1:10" s="21" customFormat="1" x14ac:dyDescent="0.25">
      <c r="A44" s="52"/>
      <c r="B44" s="47" t="s">
        <v>104</v>
      </c>
      <c r="C44" s="11">
        <v>1</v>
      </c>
      <c r="D44" s="46" t="s">
        <v>59</v>
      </c>
      <c r="E44" s="46" t="s">
        <v>66</v>
      </c>
      <c r="F44" s="29">
        <v>48</v>
      </c>
      <c r="G44" s="56">
        <v>87259274.177416518</v>
      </c>
      <c r="H44" s="56">
        <v>887943.85696266522</v>
      </c>
      <c r="I44" s="56">
        <v>340037.94070693845</v>
      </c>
      <c r="J44" s="56">
        <v>289936.11649532802</v>
      </c>
    </row>
    <row r="45" spans="1:10" s="21" customFormat="1" x14ac:dyDescent="0.25">
      <c r="A45" s="52"/>
      <c r="B45" s="47" t="s">
        <v>104</v>
      </c>
      <c r="C45" s="11">
        <v>2</v>
      </c>
      <c r="D45" s="46" t="s">
        <v>59</v>
      </c>
      <c r="E45" s="46" t="s">
        <v>67</v>
      </c>
      <c r="F45" s="29">
        <v>51</v>
      </c>
      <c r="G45" s="56">
        <v>105759379.45170751</v>
      </c>
      <c r="H45" s="56">
        <v>792888.6967026192</v>
      </c>
      <c r="I45" s="56">
        <v>379676.90607503423</v>
      </c>
      <c r="J45" s="56">
        <v>362749.6433380649</v>
      </c>
    </row>
    <row r="46" spans="1:10" s="21" customFormat="1" x14ac:dyDescent="0.25">
      <c r="A46" s="52"/>
      <c r="B46" s="47"/>
      <c r="C46" s="11"/>
      <c r="D46" s="29"/>
      <c r="E46" s="29"/>
      <c r="F46" s="29"/>
      <c r="G46" s="53"/>
      <c r="H46" s="53"/>
      <c r="I46" s="53"/>
      <c r="J46" s="53"/>
    </row>
    <row r="47" spans="1:10" s="21" customFormat="1" x14ac:dyDescent="0.25">
      <c r="A47" s="52" t="s">
        <v>97</v>
      </c>
      <c r="B47" s="47" t="s">
        <v>63</v>
      </c>
      <c r="C47" s="11">
        <v>1</v>
      </c>
      <c r="D47" s="46" t="s">
        <v>59</v>
      </c>
      <c r="E47" s="47" t="s">
        <v>74</v>
      </c>
      <c r="F47" s="11">
        <v>88</v>
      </c>
      <c r="G47" s="56">
        <v>3583387.5653870469</v>
      </c>
      <c r="H47" s="56">
        <v>40797.531044291449</v>
      </c>
      <c r="I47" s="56">
        <v>12055.042672867301</v>
      </c>
      <c r="J47" s="56">
        <v>3708.8690472062976</v>
      </c>
    </row>
    <row r="48" spans="1:10" s="21" customFormat="1" x14ac:dyDescent="0.25">
      <c r="A48" s="52" t="s">
        <v>98</v>
      </c>
      <c r="B48" s="47" t="s">
        <v>63</v>
      </c>
      <c r="C48" s="11">
        <v>2</v>
      </c>
      <c r="D48" s="46" t="s">
        <v>59</v>
      </c>
      <c r="E48" s="46" t="s">
        <v>75</v>
      </c>
      <c r="F48" s="29">
        <v>53</v>
      </c>
      <c r="G48" s="56">
        <v>4297826.9283897821</v>
      </c>
      <c r="H48" s="56">
        <v>37353.455934450147</v>
      </c>
      <c r="I48" s="56">
        <v>12890.983455682166</v>
      </c>
      <c r="J48" s="56">
        <v>8119.3229540514039</v>
      </c>
    </row>
    <row r="49" spans="1:10" s="21" customFormat="1" x14ac:dyDescent="0.25">
      <c r="A49" s="52"/>
      <c r="B49" s="47" t="s">
        <v>63</v>
      </c>
      <c r="C49" s="11">
        <v>3</v>
      </c>
      <c r="D49" s="46" t="s">
        <v>59</v>
      </c>
      <c r="E49" s="46" t="s">
        <v>76</v>
      </c>
      <c r="F49" s="29">
        <v>44</v>
      </c>
      <c r="G49" s="56">
        <v>5048381.1503050895</v>
      </c>
      <c r="H49" s="56">
        <v>32067.919487062267</v>
      </c>
      <c r="I49" s="56">
        <v>16259.655260198884</v>
      </c>
      <c r="J49" s="56">
        <v>10377.182291423163</v>
      </c>
    </row>
    <row r="50" spans="1:10" s="21" customFormat="1" x14ac:dyDescent="0.25">
      <c r="A50" s="52"/>
      <c r="B50" s="47" t="s">
        <v>63</v>
      </c>
      <c r="C50" s="11">
        <v>4</v>
      </c>
      <c r="D50" s="46" t="s">
        <v>59</v>
      </c>
      <c r="E50" s="46" t="s">
        <v>77</v>
      </c>
      <c r="F50" s="29">
        <v>52</v>
      </c>
      <c r="G50" s="56">
        <v>5129589.5710194195</v>
      </c>
      <c r="H50" s="56">
        <v>23052.495214090679</v>
      </c>
      <c r="I50" s="56">
        <v>12131.691021688843</v>
      </c>
      <c r="J50" s="56">
        <v>6658.8070953833922</v>
      </c>
    </row>
    <row r="51" spans="1:10" s="21" customFormat="1" x14ac:dyDescent="0.25">
      <c r="A51" s="52"/>
      <c r="B51" s="47" t="s">
        <v>63</v>
      </c>
      <c r="C51" s="11">
        <v>5</v>
      </c>
      <c r="D51" s="46" t="s">
        <v>59</v>
      </c>
      <c r="E51" s="46" t="s">
        <v>78</v>
      </c>
      <c r="F51" s="29">
        <v>39</v>
      </c>
      <c r="G51" s="56">
        <v>6377002.2047416577</v>
      </c>
      <c r="H51" s="56">
        <v>18631.00005895309</v>
      </c>
      <c r="I51" s="56">
        <v>12256.592862105963</v>
      </c>
      <c r="J51" s="56">
        <v>10087.813365644573</v>
      </c>
    </row>
    <row r="52" spans="1:10" s="21" customFormat="1" x14ac:dyDescent="0.25">
      <c r="A52" s="52"/>
      <c r="B52" s="47" t="s">
        <v>105</v>
      </c>
      <c r="C52" s="11">
        <v>1</v>
      </c>
      <c r="D52" s="46" t="s">
        <v>59</v>
      </c>
      <c r="E52" s="46" t="s">
        <v>79</v>
      </c>
      <c r="F52" s="29">
        <v>89</v>
      </c>
      <c r="G52" s="56">
        <v>71298.263861065585</v>
      </c>
      <c r="H52" s="56">
        <v>698.27530355246711</v>
      </c>
      <c r="I52" s="56">
        <v>192.7415911759725</v>
      </c>
      <c r="J52" s="56">
        <v>134.97416090355125</v>
      </c>
    </row>
    <row r="53" spans="1:10" s="21" customFormat="1" x14ac:dyDescent="0.25">
      <c r="A53" s="52"/>
      <c r="B53" s="47" t="s">
        <v>105</v>
      </c>
      <c r="C53" s="11">
        <v>2</v>
      </c>
      <c r="D53" s="46" t="s">
        <v>59</v>
      </c>
      <c r="E53" s="46" t="s">
        <v>80</v>
      </c>
      <c r="F53" s="29">
        <v>45</v>
      </c>
      <c r="G53" s="56">
        <v>86629.279726860841</v>
      </c>
      <c r="H53" s="56">
        <v>388.9813369930647</v>
      </c>
      <c r="I53" s="56">
        <v>198.66926713541883</v>
      </c>
      <c r="J53" s="56">
        <v>135.18252544670213</v>
      </c>
    </row>
    <row r="54" spans="1:10" s="21" customFormat="1" x14ac:dyDescent="0.25">
      <c r="A54" s="52"/>
      <c r="B54" s="47"/>
      <c r="C54" s="11"/>
      <c r="D54" s="29"/>
      <c r="E54" s="29"/>
      <c r="F54" s="29"/>
      <c r="G54" s="53"/>
      <c r="H54" s="53"/>
      <c r="I54" s="53"/>
      <c r="J54" s="53"/>
    </row>
    <row r="55" spans="1:10" s="21" customFormat="1" x14ac:dyDescent="0.25">
      <c r="A55" s="52" t="s">
        <v>99</v>
      </c>
      <c r="B55" s="47" t="s">
        <v>106</v>
      </c>
      <c r="C55" s="11">
        <v>1</v>
      </c>
      <c r="D55" s="46" t="s">
        <v>60</v>
      </c>
      <c r="E55" s="46" t="s">
        <v>81</v>
      </c>
      <c r="F55" s="29">
        <v>138</v>
      </c>
      <c r="G55" s="56">
        <v>54358762.929591015</v>
      </c>
      <c r="H55" s="56">
        <v>338622.14868295426</v>
      </c>
      <c r="I55" s="56">
        <v>155707.44390274672</v>
      </c>
      <c r="J55" s="56">
        <v>103229.07648774485</v>
      </c>
    </row>
    <row r="56" spans="1:10" s="21" customFormat="1" x14ac:dyDescent="0.25">
      <c r="A56" s="52" t="s">
        <v>100</v>
      </c>
      <c r="B56" s="47" t="s">
        <v>106</v>
      </c>
      <c r="C56" s="11">
        <v>2</v>
      </c>
      <c r="D56" s="46" t="s">
        <v>60</v>
      </c>
      <c r="E56" s="47" t="s">
        <v>82</v>
      </c>
      <c r="F56" s="11">
        <v>73</v>
      </c>
      <c r="G56" s="56">
        <v>75571888.246238485</v>
      </c>
      <c r="H56" s="56">
        <v>363391.79563116992</v>
      </c>
      <c r="I56" s="56">
        <v>200280.57024775571</v>
      </c>
      <c r="J56" s="56">
        <v>157644.3746502701</v>
      </c>
    </row>
    <row r="57" spans="1:10" s="21" customFormat="1" x14ac:dyDescent="0.25">
      <c r="A57" s="55"/>
      <c r="B57" s="47" t="s">
        <v>106</v>
      </c>
      <c r="C57" s="11">
        <v>3</v>
      </c>
      <c r="D57" s="46" t="s">
        <v>60</v>
      </c>
      <c r="E57" s="48" t="s">
        <v>83</v>
      </c>
      <c r="F57" s="23">
        <v>91</v>
      </c>
      <c r="G57" s="56">
        <v>125161880.58011822</v>
      </c>
      <c r="H57" s="56">
        <v>456072.12520121847</v>
      </c>
      <c r="I57" s="56">
        <v>282001.80278701126</v>
      </c>
      <c r="J57" s="56">
        <v>192797.87882451649</v>
      </c>
    </row>
    <row r="58" spans="1:10" x14ac:dyDescent="0.25">
      <c r="A58" s="52"/>
      <c r="B58" s="47" t="s">
        <v>106</v>
      </c>
      <c r="C58" s="11">
        <v>4</v>
      </c>
      <c r="D58" s="46" t="s">
        <v>60</v>
      </c>
      <c r="E58" s="46" t="s">
        <v>84</v>
      </c>
      <c r="F58" s="29">
        <v>109</v>
      </c>
      <c r="G58" s="56">
        <v>183227834.99452648</v>
      </c>
      <c r="H58" s="56">
        <v>590743.39441351243</v>
      </c>
      <c r="I58" s="56">
        <v>441150.09293553082</v>
      </c>
      <c r="J58" s="56">
        <v>326020.43201421661</v>
      </c>
    </row>
    <row r="59" spans="1:10" x14ac:dyDescent="0.25">
      <c r="A59" s="52"/>
      <c r="B59" s="47" t="s">
        <v>107</v>
      </c>
      <c r="C59" s="11">
        <v>1</v>
      </c>
      <c r="D59" s="46" t="s">
        <v>60</v>
      </c>
      <c r="E59" s="46" t="s">
        <v>68</v>
      </c>
      <c r="F59" s="29">
        <v>7</v>
      </c>
      <c r="G59" s="56">
        <v>7466.6921726956862</v>
      </c>
      <c r="H59" s="56">
        <v>154.79320000000001</v>
      </c>
      <c r="I59" s="56">
        <v>140.25149869843713</v>
      </c>
      <c r="J59" s="56">
        <v>22.542398532260542</v>
      </c>
    </row>
    <row r="60" spans="1:10" x14ac:dyDescent="0.25">
      <c r="A60" s="52"/>
      <c r="B60" s="47" t="s">
        <v>108</v>
      </c>
      <c r="C60" s="11">
        <v>1</v>
      </c>
      <c r="D60" s="46" t="s">
        <v>60</v>
      </c>
      <c r="E60" s="46" t="s">
        <v>85</v>
      </c>
      <c r="F60" s="29">
        <v>134</v>
      </c>
      <c r="G60" s="56">
        <v>1412544.6779200353</v>
      </c>
      <c r="H60" s="56">
        <v>8377.7274352483146</v>
      </c>
      <c r="I60" s="56">
        <v>4388.3394548533361</v>
      </c>
      <c r="J60" s="56">
        <v>2070.3570884235937</v>
      </c>
    </row>
    <row r="61" spans="1:10" x14ac:dyDescent="0.25">
      <c r="A61" s="52"/>
      <c r="B61" s="47" t="s">
        <v>109</v>
      </c>
      <c r="C61" s="11">
        <v>1</v>
      </c>
      <c r="D61" s="46" t="s">
        <v>60</v>
      </c>
      <c r="E61" s="46" t="s">
        <v>69</v>
      </c>
      <c r="F61" s="29">
        <v>252</v>
      </c>
      <c r="G61" s="56">
        <v>654497.44024903444</v>
      </c>
      <c r="H61" s="56">
        <v>6725.5282700621246</v>
      </c>
      <c r="I61" s="56">
        <v>1944.9566194293191</v>
      </c>
      <c r="J61" s="56">
        <v>745.90464626763162</v>
      </c>
    </row>
    <row r="62" spans="1:10" x14ac:dyDescent="0.25">
      <c r="A62" s="52"/>
      <c r="B62" s="47" t="s">
        <v>109</v>
      </c>
      <c r="C62" s="11">
        <v>2</v>
      </c>
      <c r="D62" s="46" t="s">
        <v>60</v>
      </c>
      <c r="E62" s="46" t="s">
        <v>70</v>
      </c>
      <c r="F62" s="29">
        <v>70</v>
      </c>
      <c r="G62" s="56">
        <v>1627424.7219029523</v>
      </c>
      <c r="H62" s="56">
        <v>9747.8117414407789</v>
      </c>
      <c r="I62" s="56">
        <v>4043.3964453833746</v>
      </c>
      <c r="J62" s="56">
        <v>2130.1167502301523</v>
      </c>
    </row>
    <row r="63" spans="1:10" x14ac:dyDescent="0.25">
      <c r="A63" s="52" t="s">
        <v>0</v>
      </c>
      <c r="B63" s="47"/>
      <c r="D63" s="29"/>
      <c r="E63" s="29"/>
      <c r="F63" s="29"/>
      <c r="G63" s="53"/>
      <c r="H63" s="53"/>
      <c r="I63" s="53"/>
      <c r="J63" s="53"/>
    </row>
    <row r="64" spans="1:10" x14ac:dyDescent="0.25">
      <c r="A64" s="52" t="s">
        <v>101</v>
      </c>
      <c r="B64" s="47" t="s">
        <v>110</v>
      </c>
      <c r="C64" s="11">
        <v>1</v>
      </c>
      <c r="D64" s="46" t="s">
        <v>60</v>
      </c>
      <c r="E64" s="46" t="s">
        <v>86</v>
      </c>
      <c r="F64" s="29">
        <v>118</v>
      </c>
      <c r="G64" s="56">
        <v>4859547.9510046486</v>
      </c>
      <c r="H64" s="56">
        <v>13405.507054921623</v>
      </c>
      <c r="I64" s="56">
        <v>8987.5401319385746</v>
      </c>
      <c r="J64" s="56">
        <v>8873.456805186408</v>
      </c>
    </row>
    <row r="65" spans="1:16" x14ac:dyDescent="0.25">
      <c r="A65" s="52" t="s">
        <v>102</v>
      </c>
      <c r="B65" s="47" t="s">
        <v>110</v>
      </c>
      <c r="C65" s="11">
        <v>2</v>
      </c>
      <c r="D65" s="46" t="s">
        <v>60</v>
      </c>
      <c r="E65" s="46" t="s">
        <v>87</v>
      </c>
      <c r="F65" s="29">
        <v>34</v>
      </c>
      <c r="G65" s="56">
        <v>6356036.3807959137</v>
      </c>
      <c r="H65" s="56">
        <v>16720.826778851606</v>
      </c>
      <c r="I65" s="56">
        <v>12191.071842961854</v>
      </c>
      <c r="J65" s="56">
        <v>11276.830399822295</v>
      </c>
    </row>
    <row r="66" spans="1:16" x14ac:dyDescent="0.25">
      <c r="A66" s="52"/>
      <c r="B66" s="47" t="s">
        <v>108</v>
      </c>
      <c r="C66" s="11">
        <v>1</v>
      </c>
      <c r="D66" s="46" t="s">
        <v>60</v>
      </c>
      <c r="E66" s="46" t="s">
        <v>71</v>
      </c>
      <c r="F66" s="29">
        <v>4</v>
      </c>
      <c r="G66" s="56">
        <v>291520.36243442801</v>
      </c>
      <c r="H66" s="56">
        <v>1193.4770375677672</v>
      </c>
      <c r="I66" s="56">
        <v>1100.1997769585696</v>
      </c>
      <c r="J66" s="56">
        <v>379.55493222134322</v>
      </c>
    </row>
    <row r="67" spans="1:16" ht="13" x14ac:dyDescent="0.3">
      <c r="C67" s="33"/>
      <c r="D67" s="3"/>
      <c r="E67" s="2"/>
      <c r="F67" s="2"/>
      <c r="G67" s="2"/>
      <c r="H67" s="2"/>
      <c r="I67" s="2"/>
      <c r="J67" s="2"/>
    </row>
    <row r="68" spans="1:16" s="88" customFormat="1" ht="13" x14ac:dyDescent="0.3">
      <c r="A68" s="98" t="s">
        <v>124</v>
      </c>
      <c r="B68" s="100"/>
      <c r="C68" s="100"/>
      <c r="D68" s="100"/>
      <c r="E68" s="100"/>
      <c r="F68" s="100"/>
      <c r="G68" s="100"/>
      <c r="H68" s="100"/>
      <c r="I68" s="100"/>
      <c r="J68" s="100"/>
      <c r="K68" s="91"/>
      <c r="L68" s="91"/>
      <c r="M68" s="91"/>
      <c r="N68" s="91"/>
      <c r="O68" s="91"/>
      <c r="P68" s="89"/>
    </row>
    <row r="69" spans="1:16" ht="13" x14ac:dyDescent="0.3">
      <c r="A69" s="103" t="s">
        <v>127</v>
      </c>
      <c r="B69" s="101"/>
      <c r="C69" s="101"/>
      <c r="D69" s="101"/>
      <c r="E69" s="101"/>
      <c r="F69" s="101"/>
      <c r="G69" s="101"/>
      <c r="H69" s="101"/>
      <c r="I69" s="101"/>
      <c r="J69" s="101"/>
      <c r="K69" s="2"/>
    </row>
    <row r="70" spans="1:16" s="93" customFormat="1" ht="13" x14ac:dyDescent="0.3">
      <c r="A70" s="99" t="s">
        <v>128</v>
      </c>
      <c r="B70" s="100"/>
      <c r="C70" s="100"/>
      <c r="D70" s="100"/>
      <c r="E70" s="100"/>
      <c r="F70" s="100"/>
      <c r="G70" s="100"/>
      <c r="H70" s="100"/>
      <c r="I70" s="100"/>
      <c r="J70" s="100"/>
    </row>
    <row r="71" spans="1:16" s="93" customFormat="1" ht="13" x14ac:dyDescent="0.3">
      <c r="A71" s="102" t="str">
        <f>A4</f>
        <v>TEST YEAR ENDING 12/31/2018</v>
      </c>
      <c r="B71" s="101"/>
      <c r="C71" s="101"/>
      <c r="D71" s="101"/>
      <c r="E71" s="101"/>
      <c r="F71" s="101"/>
      <c r="G71" s="101"/>
      <c r="H71" s="101"/>
      <c r="I71" s="101"/>
      <c r="J71" s="101"/>
    </row>
    <row r="72" spans="1:16" s="93" customFormat="1" ht="13" x14ac:dyDescent="0.3">
      <c r="A72" s="5"/>
      <c r="B72" s="5"/>
      <c r="C72" s="51"/>
      <c r="D72" s="94"/>
      <c r="E72" s="51"/>
      <c r="F72" s="51"/>
      <c r="G72" s="51"/>
      <c r="H72" s="51"/>
      <c r="I72" s="51"/>
      <c r="J72" s="51"/>
    </row>
    <row r="73" spans="1:16" ht="13" x14ac:dyDescent="0.3">
      <c r="C73" s="33"/>
      <c r="D73" s="3"/>
      <c r="E73" s="2"/>
      <c r="F73" s="2"/>
      <c r="G73" s="2"/>
      <c r="H73" s="2"/>
      <c r="I73" s="2"/>
      <c r="J73" s="2"/>
    </row>
    <row r="74" spans="1:16" ht="13" x14ac:dyDescent="0.3">
      <c r="C74" s="8"/>
      <c r="D74" s="9"/>
      <c r="E74" s="36" t="s">
        <v>54</v>
      </c>
      <c r="F74" s="2"/>
      <c r="G74" s="51"/>
      <c r="H74" s="51"/>
      <c r="I74" s="51"/>
      <c r="J74" s="51"/>
    </row>
    <row r="75" spans="1:16" ht="78" x14ac:dyDescent="0.3">
      <c r="A75" s="28" t="s">
        <v>40</v>
      </c>
      <c r="B75" s="8" t="s">
        <v>65</v>
      </c>
      <c r="C75" s="8" t="s">
        <v>41</v>
      </c>
      <c r="D75" s="38" t="s">
        <v>89</v>
      </c>
      <c r="E75" s="38" t="s">
        <v>90</v>
      </c>
      <c r="F75" s="38" t="s">
        <v>91</v>
      </c>
      <c r="G75" s="38" t="s">
        <v>92</v>
      </c>
      <c r="H75" s="38" t="s">
        <v>93</v>
      </c>
      <c r="I75" s="38" t="s">
        <v>94</v>
      </c>
      <c r="J75" s="38" t="s">
        <v>95</v>
      </c>
    </row>
    <row r="76" spans="1:16" ht="13" x14ac:dyDescent="0.3">
      <c r="A76" s="28"/>
      <c r="B76" s="28"/>
      <c r="C76" s="8"/>
      <c r="D76" s="22"/>
      <c r="E76" s="22"/>
      <c r="F76" s="22"/>
      <c r="G76" s="22"/>
      <c r="H76" s="22"/>
      <c r="I76" s="22"/>
      <c r="J76" s="22"/>
    </row>
    <row r="77" spans="1:16" x14ac:dyDescent="0.25">
      <c r="A77" s="54" t="s">
        <v>96</v>
      </c>
      <c r="B77" s="47" t="s">
        <v>103</v>
      </c>
      <c r="C77" s="11">
        <v>1</v>
      </c>
      <c r="D77" s="46" t="s">
        <v>59</v>
      </c>
      <c r="E77" s="46" t="s">
        <v>64</v>
      </c>
      <c r="F77" s="29">
        <v>72</v>
      </c>
      <c r="G77" s="56">
        <v>125055344.0030432</v>
      </c>
      <c r="H77" s="56">
        <v>1003907.4361759995</v>
      </c>
      <c r="I77" s="56">
        <v>340488.44804646057</v>
      </c>
      <c r="J77" s="56">
        <v>258113.23525168875</v>
      </c>
    </row>
    <row r="78" spans="1:16" x14ac:dyDescent="0.25">
      <c r="A78" s="52"/>
      <c r="B78" s="47" t="s">
        <v>103</v>
      </c>
      <c r="C78" s="11">
        <v>2</v>
      </c>
      <c r="D78" s="46" t="s">
        <v>59</v>
      </c>
      <c r="E78" s="46" t="s">
        <v>72</v>
      </c>
      <c r="F78" s="29">
        <v>80</v>
      </c>
      <c r="G78" s="56">
        <v>134427678.27626982</v>
      </c>
      <c r="H78" s="56">
        <v>899899.16487114818</v>
      </c>
      <c r="I78" s="56">
        <v>388309.28846533777</v>
      </c>
      <c r="J78" s="56">
        <v>341477.86755959195</v>
      </c>
    </row>
    <row r="79" spans="1:16" x14ac:dyDescent="0.25">
      <c r="A79" s="52"/>
      <c r="B79" s="47" t="s">
        <v>103</v>
      </c>
      <c r="C79" s="11">
        <v>3</v>
      </c>
      <c r="D79" s="46" t="s">
        <v>59</v>
      </c>
      <c r="E79" s="46" t="s">
        <v>73</v>
      </c>
      <c r="F79" s="29">
        <v>71</v>
      </c>
      <c r="G79" s="56">
        <v>155173997.0197283</v>
      </c>
      <c r="H79" s="56">
        <v>845571.76722571917</v>
      </c>
      <c r="I79" s="56">
        <v>430012.21717182436</v>
      </c>
      <c r="J79" s="56">
        <v>340765.75104851887</v>
      </c>
    </row>
    <row r="80" spans="1:16" x14ac:dyDescent="0.25">
      <c r="A80" s="52"/>
      <c r="B80" s="47" t="s">
        <v>104</v>
      </c>
      <c r="C80" s="11">
        <v>1</v>
      </c>
      <c r="D80" s="46" t="s">
        <v>59</v>
      </c>
      <c r="E80" s="46" t="s">
        <v>66</v>
      </c>
      <c r="F80" s="29">
        <v>48</v>
      </c>
      <c r="G80" s="56">
        <v>92337379.779121995</v>
      </c>
      <c r="H80" s="56">
        <v>676502.05674513848</v>
      </c>
      <c r="I80" s="56">
        <v>265164.26407518965</v>
      </c>
      <c r="J80" s="56">
        <v>210862.22022208996</v>
      </c>
    </row>
    <row r="81" spans="1:10" x14ac:dyDescent="0.25">
      <c r="A81" s="52"/>
      <c r="B81" s="47" t="s">
        <v>104</v>
      </c>
      <c r="C81" s="11">
        <v>2</v>
      </c>
      <c r="D81" s="46" t="s">
        <v>59</v>
      </c>
      <c r="E81" s="46" t="s">
        <v>67</v>
      </c>
      <c r="F81" s="29">
        <v>51</v>
      </c>
      <c r="G81" s="56">
        <v>111901528.35411386</v>
      </c>
      <c r="H81" s="56">
        <v>646348.50950906286</v>
      </c>
      <c r="I81" s="56">
        <v>316785.63942456839</v>
      </c>
      <c r="J81" s="56">
        <v>262539.2982991481</v>
      </c>
    </row>
    <row r="82" spans="1:10" x14ac:dyDescent="0.25">
      <c r="A82" s="52"/>
      <c r="B82" s="47"/>
      <c r="D82" s="29"/>
      <c r="E82" s="29"/>
      <c r="F82" s="29"/>
      <c r="G82" s="53"/>
      <c r="H82" s="53"/>
      <c r="I82" s="53"/>
      <c r="J82" s="53"/>
    </row>
    <row r="83" spans="1:10" x14ac:dyDescent="0.25">
      <c r="A83" s="52" t="s">
        <v>97</v>
      </c>
      <c r="B83" s="47" t="s">
        <v>63</v>
      </c>
      <c r="C83" s="11">
        <v>1</v>
      </c>
      <c r="D83" s="46" t="s">
        <v>59</v>
      </c>
      <c r="E83" s="47" t="s">
        <v>74</v>
      </c>
      <c r="F83" s="11">
        <v>88</v>
      </c>
      <c r="G83" s="56">
        <v>4493401.4290388031</v>
      </c>
      <c r="H83" s="56">
        <v>53727.283154054348</v>
      </c>
      <c r="I83" s="56">
        <v>11660.924558986861</v>
      </c>
      <c r="J83" s="56">
        <v>6444.2646645515269</v>
      </c>
    </row>
    <row r="84" spans="1:10" x14ac:dyDescent="0.25">
      <c r="A84" s="52" t="s">
        <v>98</v>
      </c>
      <c r="B84" s="47" t="s">
        <v>63</v>
      </c>
      <c r="C84" s="11">
        <v>2</v>
      </c>
      <c r="D84" s="46" t="s">
        <v>59</v>
      </c>
      <c r="E84" s="46" t="s">
        <v>75</v>
      </c>
      <c r="F84" s="29">
        <v>53</v>
      </c>
      <c r="G84" s="56">
        <v>4496184.5804766798</v>
      </c>
      <c r="H84" s="56">
        <v>30738.879713661041</v>
      </c>
      <c r="I84" s="56">
        <v>12029.549735395056</v>
      </c>
      <c r="J84" s="56">
        <v>10214.547919047236</v>
      </c>
    </row>
    <row r="85" spans="1:10" x14ac:dyDescent="0.25">
      <c r="A85" s="52"/>
      <c r="B85" s="47" t="s">
        <v>63</v>
      </c>
      <c r="C85" s="11">
        <v>3</v>
      </c>
      <c r="D85" s="46" t="s">
        <v>59</v>
      </c>
      <c r="E85" s="46" t="s">
        <v>76</v>
      </c>
      <c r="F85" s="29">
        <v>44</v>
      </c>
      <c r="G85" s="56">
        <v>5159633.7166936044</v>
      </c>
      <c r="H85" s="56">
        <v>27724.297253249857</v>
      </c>
      <c r="I85" s="56">
        <v>13385.253762220133</v>
      </c>
      <c r="J85" s="56">
        <v>13184.251720605718</v>
      </c>
    </row>
    <row r="86" spans="1:10" x14ac:dyDescent="0.25">
      <c r="A86" s="52"/>
      <c r="B86" s="47" t="s">
        <v>63</v>
      </c>
      <c r="C86" s="11">
        <v>4</v>
      </c>
      <c r="D86" s="46" t="s">
        <v>59</v>
      </c>
      <c r="E86" s="46" t="s">
        <v>77</v>
      </c>
      <c r="F86" s="29">
        <v>52</v>
      </c>
      <c r="G86" s="56">
        <v>5933792.2272394132</v>
      </c>
      <c r="H86" s="56">
        <v>22301.611152240894</v>
      </c>
      <c r="I86" s="56">
        <v>12881.167440402074</v>
      </c>
      <c r="J86" s="56">
        <v>12457.97685159757</v>
      </c>
    </row>
    <row r="87" spans="1:10" x14ac:dyDescent="0.25">
      <c r="A87" s="52"/>
      <c r="B87" s="47" t="s">
        <v>63</v>
      </c>
      <c r="C87" s="11">
        <v>5</v>
      </c>
      <c r="D87" s="46" t="s">
        <v>59</v>
      </c>
      <c r="E87" s="46" t="s">
        <v>78</v>
      </c>
      <c r="F87" s="29">
        <v>39</v>
      </c>
      <c r="G87" s="56">
        <v>7515262.471527745</v>
      </c>
      <c r="H87" s="56">
        <v>19340.477286298454</v>
      </c>
      <c r="I87" s="56">
        <v>12696.082014955997</v>
      </c>
      <c r="J87" s="56">
        <v>11858.219155379895</v>
      </c>
    </row>
    <row r="88" spans="1:10" x14ac:dyDescent="0.25">
      <c r="A88" s="52"/>
      <c r="B88" s="47" t="s">
        <v>105</v>
      </c>
      <c r="C88" s="11">
        <v>1</v>
      </c>
      <c r="D88" s="46" t="s">
        <v>59</v>
      </c>
      <c r="E88" s="46" t="s">
        <v>79</v>
      </c>
      <c r="F88" s="29">
        <v>89</v>
      </c>
      <c r="G88" s="56">
        <v>76278.87614925376</v>
      </c>
      <c r="H88" s="56">
        <v>671.10949258553126</v>
      </c>
      <c r="I88" s="56">
        <v>180.28305966198772</v>
      </c>
      <c r="J88" s="56">
        <v>117.52707178771067</v>
      </c>
    </row>
    <row r="89" spans="1:10" x14ac:dyDescent="0.25">
      <c r="A89" s="52"/>
      <c r="B89" s="47" t="s">
        <v>105</v>
      </c>
      <c r="C89" s="11">
        <v>2</v>
      </c>
      <c r="D89" s="46" t="s">
        <v>59</v>
      </c>
      <c r="E89" s="46" t="s">
        <v>80</v>
      </c>
      <c r="F89" s="29">
        <v>45</v>
      </c>
      <c r="G89" s="56">
        <v>97746.493045304829</v>
      </c>
      <c r="H89" s="56">
        <v>411.21645707215112</v>
      </c>
      <c r="I89" s="56">
        <v>196.23855475818593</v>
      </c>
      <c r="J89" s="56">
        <v>153.82059927026734</v>
      </c>
    </row>
    <row r="90" spans="1:10" x14ac:dyDescent="0.25">
      <c r="A90" s="52"/>
      <c r="B90" s="47"/>
      <c r="D90" s="29"/>
      <c r="E90" s="29"/>
      <c r="F90" s="29"/>
      <c r="G90" s="53"/>
      <c r="H90" s="53"/>
      <c r="I90" s="53"/>
      <c r="J90" s="53"/>
    </row>
    <row r="91" spans="1:10" x14ac:dyDescent="0.25">
      <c r="A91" s="52" t="s">
        <v>99</v>
      </c>
      <c r="B91" s="47" t="s">
        <v>106</v>
      </c>
      <c r="C91" s="11">
        <v>1</v>
      </c>
      <c r="D91" s="46" t="s">
        <v>60</v>
      </c>
      <c r="E91" s="46" t="s">
        <v>81</v>
      </c>
      <c r="F91" s="29">
        <v>138</v>
      </c>
      <c r="G91" s="56">
        <v>60077890.004284926</v>
      </c>
      <c r="H91" s="56">
        <v>275822.35618435737</v>
      </c>
      <c r="I91" s="56">
        <v>149978.53322017234</v>
      </c>
      <c r="J91" s="56">
        <v>143586.6881159133</v>
      </c>
    </row>
    <row r="92" spans="1:10" x14ac:dyDescent="0.25">
      <c r="A92" s="52" t="s">
        <v>100</v>
      </c>
      <c r="B92" s="47" t="s">
        <v>106</v>
      </c>
      <c r="C92" s="11">
        <v>2</v>
      </c>
      <c r="D92" s="46" t="s">
        <v>60</v>
      </c>
      <c r="E92" s="47" t="s">
        <v>82</v>
      </c>
      <c r="F92" s="11">
        <v>73</v>
      </c>
      <c r="G92" s="56">
        <v>85587157.581828043</v>
      </c>
      <c r="H92" s="56">
        <v>343731.19475569087</v>
      </c>
      <c r="I92" s="56">
        <v>200190.6603873542</v>
      </c>
      <c r="J92" s="56">
        <v>182725.99515667846</v>
      </c>
    </row>
    <row r="93" spans="1:10" x14ac:dyDescent="0.25">
      <c r="A93" s="55"/>
      <c r="B93" s="47" t="s">
        <v>106</v>
      </c>
      <c r="C93" s="11">
        <v>3</v>
      </c>
      <c r="D93" s="46" t="s">
        <v>60</v>
      </c>
      <c r="E93" s="48" t="s">
        <v>83</v>
      </c>
      <c r="F93" s="23">
        <v>91</v>
      </c>
      <c r="G93" s="56">
        <v>144955342.50245914</v>
      </c>
      <c r="H93" s="56">
        <v>449081.1984917199</v>
      </c>
      <c r="I93" s="56">
        <v>285208.55368638627</v>
      </c>
      <c r="J93" s="56">
        <v>265725.82874836033</v>
      </c>
    </row>
    <row r="94" spans="1:10" x14ac:dyDescent="0.25">
      <c r="A94" s="52"/>
      <c r="B94" s="47" t="s">
        <v>106</v>
      </c>
      <c r="C94" s="11">
        <v>4</v>
      </c>
      <c r="D94" s="46" t="s">
        <v>60</v>
      </c>
      <c r="E94" s="46" t="s">
        <v>84</v>
      </c>
      <c r="F94" s="29">
        <v>109</v>
      </c>
      <c r="G94" s="56">
        <v>209241604.20502084</v>
      </c>
      <c r="H94" s="56">
        <v>592651.24764096551</v>
      </c>
      <c r="I94" s="56">
        <v>448067.19384950877</v>
      </c>
      <c r="J94" s="56">
        <v>416065.55410576571</v>
      </c>
    </row>
    <row r="95" spans="1:10" x14ac:dyDescent="0.25">
      <c r="A95" s="52"/>
      <c r="B95" s="47" t="s">
        <v>107</v>
      </c>
      <c r="C95" s="11">
        <v>1</v>
      </c>
      <c r="D95" s="46" t="s">
        <v>60</v>
      </c>
      <c r="E95" s="46" t="s">
        <v>68</v>
      </c>
      <c r="F95" s="29">
        <v>7</v>
      </c>
      <c r="G95" s="56">
        <v>10483.023313602112</v>
      </c>
      <c r="H95" s="56">
        <v>43.428599999999996</v>
      </c>
      <c r="I95" s="56">
        <v>35.951955608695627</v>
      </c>
      <c r="J95" s="56">
        <v>12.654938428438795</v>
      </c>
    </row>
    <row r="96" spans="1:10" x14ac:dyDescent="0.25">
      <c r="A96" s="52"/>
      <c r="B96" s="47" t="s">
        <v>108</v>
      </c>
      <c r="C96" s="11">
        <v>1</v>
      </c>
      <c r="D96" s="46" t="s">
        <v>60</v>
      </c>
      <c r="E96" s="46" t="s">
        <v>85</v>
      </c>
      <c r="F96" s="29">
        <v>134</v>
      </c>
      <c r="G96" s="56">
        <v>1579530.546223694</v>
      </c>
      <c r="H96" s="56">
        <v>7337.1795401449917</v>
      </c>
      <c r="I96" s="56">
        <v>3925.3347952243371</v>
      </c>
      <c r="J96" s="56">
        <v>2740.3764778053405</v>
      </c>
    </row>
    <row r="97" spans="1:10" x14ac:dyDescent="0.25">
      <c r="A97" s="52"/>
      <c r="B97" s="47" t="s">
        <v>109</v>
      </c>
      <c r="C97" s="11">
        <v>1</v>
      </c>
      <c r="D97" s="46" t="s">
        <v>60</v>
      </c>
      <c r="E97" s="46" t="s">
        <v>69</v>
      </c>
      <c r="F97" s="29">
        <v>252</v>
      </c>
      <c r="G97" s="56">
        <v>1569260.8608765299</v>
      </c>
      <c r="H97" s="56">
        <v>9399.1925188849455</v>
      </c>
      <c r="I97" s="56">
        <v>3447.267393279074</v>
      </c>
      <c r="J97" s="56">
        <v>2953.6759320857695</v>
      </c>
    </row>
    <row r="98" spans="1:10" x14ac:dyDescent="0.25">
      <c r="A98" s="52"/>
      <c r="B98" s="47" t="s">
        <v>109</v>
      </c>
      <c r="C98" s="11">
        <v>2</v>
      </c>
      <c r="D98" s="46" t="s">
        <v>60</v>
      </c>
      <c r="E98" s="46" t="s">
        <v>70</v>
      </c>
      <c r="F98" s="29">
        <v>70</v>
      </c>
      <c r="G98" s="56">
        <v>2631063.1499787378</v>
      </c>
      <c r="H98" s="56">
        <v>11691.277642870014</v>
      </c>
      <c r="I98" s="56">
        <v>6265.903906107148</v>
      </c>
      <c r="J98" s="56">
        <v>4469.011510549949</v>
      </c>
    </row>
    <row r="99" spans="1:10" x14ac:dyDescent="0.25">
      <c r="A99" s="52" t="s">
        <v>0</v>
      </c>
      <c r="B99" s="47"/>
      <c r="D99" s="29"/>
      <c r="E99" s="29"/>
      <c r="F99" s="29"/>
      <c r="G99" s="53"/>
      <c r="H99" s="53"/>
      <c r="I99" s="53"/>
      <c r="J99" s="53"/>
    </row>
    <row r="100" spans="1:10" x14ac:dyDescent="0.25">
      <c r="A100" s="52" t="s">
        <v>101</v>
      </c>
      <c r="B100" s="47" t="s">
        <v>110</v>
      </c>
      <c r="C100" s="11">
        <v>1</v>
      </c>
      <c r="D100" s="46" t="s">
        <v>60</v>
      </c>
      <c r="E100" s="46" t="s">
        <v>86</v>
      </c>
      <c r="F100" s="29">
        <v>118</v>
      </c>
      <c r="G100" s="56">
        <v>5386929.6303060027</v>
      </c>
      <c r="H100" s="56">
        <v>13566.903339923902</v>
      </c>
      <c r="I100" s="56">
        <v>9488.0678830380439</v>
      </c>
      <c r="J100" s="56">
        <v>9264.7472409137408</v>
      </c>
    </row>
    <row r="101" spans="1:10" x14ac:dyDescent="0.25">
      <c r="A101" s="52" t="s">
        <v>102</v>
      </c>
      <c r="B101" s="47" t="s">
        <v>110</v>
      </c>
      <c r="C101" s="11">
        <v>2</v>
      </c>
      <c r="D101" s="46" t="s">
        <v>60</v>
      </c>
      <c r="E101" s="46" t="s">
        <v>87</v>
      </c>
      <c r="F101" s="29">
        <v>34</v>
      </c>
      <c r="G101" s="56">
        <v>7123810.2947585387</v>
      </c>
      <c r="H101" s="56">
        <v>16466.627951261511</v>
      </c>
      <c r="I101" s="56">
        <v>12581.240848297819</v>
      </c>
      <c r="J101" s="56">
        <v>12493.201649811474</v>
      </c>
    </row>
    <row r="102" spans="1:10" x14ac:dyDescent="0.25">
      <c r="A102" s="52"/>
      <c r="B102" s="47" t="s">
        <v>108</v>
      </c>
      <c r="C102" s="11">
        <v>1</v>
      </c>
      <c r="D102" s="46" t="s">
        <v>60</v>
      </c>
      <c r="E102" s="46" t="s">
        <v>71</v>
      </c>
      <c r="F102" s="29">
        <v>4</v>
      </c>
      <c r="G102" s="56">
        <v>407862.94341979764</v>
      </c>
      <c r="H102" s="56">
        <v>1975.6859490236468</v>
      </c>
      <c r="I102" s="56">
        <v>1938.9467436099208</v>
      </c>
      <c r="J102" s="56">
        <v>1198.9620175388036</v>
      </c>
    </row>
    <row r="103" spans="1:10" x14ac:dyDescent="0.25">
      <c r="A103" s="21"/>
      <c r="B103" s="21"/>
      <c r="D103" s="46"/>
      <c r="E103" s="29"/>
      <c r="F103" s="29"/>
      <c r="G103" s="29"/>
      <c r="H103" s="30"/>
      <c r="I103" s="32"/>
      <c r="J103" s="32"/>
    </row>
    <row r="104" spans="1:10" ht="13" x14ac:dyDescent="0.3">
      <c r="C104" s="33"/>
      <c r="D104" s="3"/>
      <c r="E104" s="2"/>
      <c r="F104" s="2"/>
      <c r="G104" s="2"/>
      <c r="H104" s="2"/>
      <c r="I104" s="2"/>
      <c r="J104" s="2"/>
    </row>
    <row r="105" spans="1:10" ht="13" x14ac:dyDescent="0.3">
      <c r="C105" s="8"/>
      <c r="D105" s="9"/>
      <c r="E105" s="36" t="s">
        <v>55</v>
      </c>
      <c r="F105" s="2"/>
      <c r="G105" s="51"/>
      <c r="H105" s="51"/>
      <c r="I105" s="51"/>
      <c r="J105" s="51"/>
    </row>
    <row r="106" spans="1:10" ht="78" x14ac:dyDescent="0.3">
      <c r="A106" s="28" t="s">
        <v>40</v>
      </c>
      <c r="B106" s="8" t="s">
        <v>65</v>
      </c>
      <c r="C106" s="8" t="s">
        <v>41</v>
      </c>
      <c r="D106" s="38" t="s">
        <v>89</v>
      </c>
      <c r="E106" s="38" t="s">
        <v>90</v>
      </c>
      <c r="F106" s="38" t="s">
        <v>91</v>
      </c>
      <c r="G106" s="38" t="s">
        <v>92</v>
      </c>
      <c r="H106" s="38" t="s">
        <v>93</v>
      </c>
      <c r="I106" s="38" t="s">
        <v>94</v>
      </c>
      <c r="J106" s="38" t="s">
        <v>95</v>
      </c>
    </row>
    <row r="107" spans="1:10" ht="13" x14ac:dyDescent="0.3">
      <c r="A107" s="28"/>
      <c r="B107" s="28"/>
      <c r="C107" s="8"/>
      <c r="D107" s="22"/>
      <c r="E107" s="22"/>
      <c r="F107" s="22"/>
      <c r="G107" s="22"/>
      <c r="H107" s="22"/>
      <c r="I107" s="22"/>
      <c r="J107" s="22"/>
    </row>
    <row r="108" spans="1:10" x14ac:dyDescent="0.25">
      <c r="A108" s="54" t="s">
        <v>96</v>
      </c>
      <c r="B108" s="47" t="s">
        <v>103</v>
      </c>
      <c r="C108" s="11">
        <v>1</v>
      </c>
      <c r="D108" s="46" t="s">
        <v>59</v>
      </c>
      <c r="E108" s="46" t="s">
        <v>64</v>
      </c>
      <c r="F108" s="29">
        <v>72</v>
      </c>
      <c r="G108" s="56">
        <v>122511345.74423936</v>
      </c>
      <c r="H108" s="56">
        <v>940457.23057865421</v>
      </c>
      <c r="I108" s="56">
        <v>367522.01268305071</v>
      </c>
      <c r="J108" s="56">
        <v>323908.45289396466</v>
      </c>
    </row>
    <row r="109" spans="1:10" x14ac:dyDescent="0.25">
      <c r="A109" s="52"/>
      <c r="B109" s="47" t="s">
        <v>103</v>
      </c>
      <c r="C109" s="11">
        <v>2</v>
      </c>
      <c r="D109" s="46" t="s">
        <v>59</v>
      </c>
      <c r="E109" s="46" t="s">
        <v>72</v>
      </c>
      <c r="F109" s="29">
        <v>80</v>
      </c>
      <c r="G109" s="56">
        <v>136027567.47338182</v>
      </c>
      <c r="H109" s="56">
        <v>910338.25297042599</v>
      </c>
      <c r="I109" s="56">
        <v>396479.31904885342</v>
      </c>
      <c r="J109" s="56">
        <v>364827.51020286832</v>
      </c>
    </row>
    <row r="110" spans="1:10" x14ac:dyDescent="0.25">
      <c r="A110" s="52"/>
      <c r="B110" s="47" t="s">
        <v>103</v>
      </c>
      <c r="C110" s="11">
        <v>3</v>
      </c>
      <c r="D110" s="46" t="s">
        <v>59</v>
      </c>
      <c r="E110" s="46" t="s">
        <v>73</v>
      </c>
      <c r="F110" s="29">
        <v>71</v>
      </c>
      <c r="G110" s="56">
        <v>158178943.07731768</v>
      </c>
      <c r="H110" s="56">
        <v>857462.93040884519</v>
      </c>
      <c r="I110" s="56">
        <v>402225.91642238066</v>
      </c>
      <c r="J110" s="56">
        <v>400100.39194651676</v>
      </c>
    </row>
    <row r="111" spans="1:10" x14ac:dyDescent="0.25">
      <c r="A111" s="52"/>
      <c r="B111" s="47" t="s">
        <v>104</v>
      </c>
      <c r="C111" s="11">
        <v>1</v>
      </c>
      <c r="D111" s="46" t="s">
        <v>59</v>
      </c>
      <c r="E111" s="46" t="s">
        <v>66</v>
      </c>
      <c r="F111" s="29">
        <v>48</v>
      </c>
      <c r="G111" s="56">
        <v>98027624.022606283</v>
      </c>
      <c r="H111" s="56">
        <v>684074.41709214298</v>
      </c>
      <c r="I111" s="56">
        <v>270747.8451812719</v>
      </c>
      <c r="J111" s="56">
        <v>247782.7185397227</v>
      </c>
    </row>
    <row r="112" spans="1:10" x14ac:dyDescent="0.25">
      <c r="A112" s="52"/>
      <c r="B112" s="47" t="s">
        <v>104</v>
      </c>
      <c r="C112" s="11">
        <v>2</v>
      </c>
      <c r="D112" s="46" t="s">
        <v>59</v>
      </c>
      <c r="E112" s="46" t="s">
        <v>67</v>
      </c>
      <c r="F112" s="29">
        <v>51</v>
      </c>
      <c r="G112" s="56">
        <v>112869511.67769408</v>
      </c>
      <c r="H112" s="56">
        <v>652089.58575580642</v>
      </c>
      <c r="I112" s="56">
        <v>320095.60669665626</v>
      </c>
      <c r="J112" s="56">
        <v>300983.10189400014</v>
      </c>
    </row>
    <row r="113" spans="1:10" x14ac:dyDescent="0.25">
      <c r="A113" s="52"/>
      <c r="B113" s="47"/>
      <c r="D113" s="29"/>
      <c r="E113" s="29"/>
      <c r="F113" s="29"/>
      <c r="G113" s="53"/>
      <c r="H113" s="53"/>
      <c r="I113" s="53"/>
      <c r="J113" s="53"/>
    </row>
    <row r="114" spans="1:10" x14ac:dyDescent="0.25">
      <c r="A114" s="52" t="s">
        <v>97</v>
      </c>
      <c r="B114" s="47" t="s">
        <v>63</v>
      </c>
      <c r="C114" s="11">
        <v>1</v>
      </c>
      <c r="D114" s="46" t="s">
        <v>59</v>
      </c>
      <c r="E114" s="47" t="s">
        <v>74</v>
      </c>
      <c r="F114" s="11">
        <v>88</v>
      </c>
      <c r="G114" s="56">
        <v>4113029.4032007065</v>
      </c>
      <c r="H114" s="56">
        <v>53368.921640355184</v>
      </c>
      <c r="I114" s="56">
        <v>11398.281228262947</v>
      </c>
      <c r="J114" s="56">
        <v>6929.4785426735207</v>
      </c>
    </row>
    <row r="115" spans="1:10" x14ac:dyDescent="0.25">
      <c r="A115" s="52" t="s">
        <v>98</v>
      </c>
      <c r="B115" s="47" t="s">
        <v>63</v>
      </c>
      <c r="C115" s="11">
        <v>2</v>
      </c>
      <c r="D115" s="46" t="s">
        <v>59</v>
      </c>
      <c r="E115" s="46" t="s">
        <v>75</v>
      </c>
      <c r="F115" s="29">
        <v>53</v>
      </c>
      <c r="G115" s="56">
        <v>4553322.9655206548</v>
      </c>
      <c r="H115" s="56">
        <v>32201.748312151376</v>
      </c>
      <c r="I115" s="56">
        <v>12930.356150747975</v>
      </c>
      <c r="J115" s="56">
        <v>12630.654675530417</v>
      </c>
    </row>
    <row r="116" spans="1:10" x14ac:dyDescent="0.25">
      <c r="A116" s="52"/>
      <c r="B116" s="47" t="s">
        <v>63</v>
      </c>
      <c r="C116" s="11">
        <v>3</v>
      </c>
      <c r="D116" s="46" t="s">
        <v>59</v>
      </c>
      <c r="E116" s="46" t="s">
        <v>76</v>
      </c>
      <c r="F116" s="29">
        <v>44</v>
      </c>
      <c r="G116" s="56">
        <v>5077678.9903796026</v>
      </c>
      <c r="H116" s="56">
        <v>27358.474363865429</v>
      </c>
      <c r="I116" s="56">
        <v>16693.743752048711</v>
      </c>
      <c r="J116" s="56">
        <v>15527.618598150231</v>
      </c>
    </row>
    <row r="117" spans="1:10" x14ac:dyDescent="0.25">
      <c r="A117" s="52"/>
      <c r="B117" s="47" t="s">
        <v>63</v>
      </c>
      <c r="C117" s="11">
        <v>4</v>
      </c>
      <c r="D117" s="46" t="s">
        <v>59</v>
      </c>
      <c r="E117" s="46" t="s">
        <v>77</v>
      </c>
      <c r="F117" s="29">
        <v>52</v>
      </c>
      <c r="G117" s="56">
        <v>5958474.0143460892</v>
      </c>
      <c r="H117" s="56">
        <v>23544.600314672698</v>
      </c>
      <c r="I117" s="56">
        <v>14155.737991033255</v>
      </c>
      <c r="J117" s="56">
        <v>14063.849077052166</v>
      </c>
    </row>
    <row r="118" spans="1:10" x14ac:dyDescent="0.25">
      <c r="A118" s="52"/>
      <c r="B118" s="47" t="s">
        <v>63</v>
      </c>
      <c r="C118" s="11">
        <v>5</v>
      </c>
      <c r="D118" s="46" t="s">
        <v>59</v>
      </c>
      <c r="E118" s="46" t="s">
        <v>78</v>
      </c>
      <c r="F118" s="29">
        <v>39</v>
      </c>
      <c r="G118" s="56">
        <v>7269787.2294737613</v>
      </c>
      <c r="H118" s="56">
        <v>19204.366183353635</v>
      </c>
      <c r="I118" s="56">
        <v>13070.913813014304</v>
      </c>
      <c r="J118" s="56">
        <v>12590.836721596881</v>
      </c>
    </row>
    <row r="119" spans="1:10" x14ac:dyDescent="0.25">
      <c r="A119" s="52"/>
      <c r="B119" s="47" t="s">
        <v>105</v>
      </c>
      <c r="C119" s="11">
        <v>1</v>
      </c>
      <c r="D119" s="46" t="s">
        <v>59</v>
      </c>
      <c r="E119" s="46" t="s">
        <v>79</v>
      </c>
      <c r="F119" s="29">
        <v>89</v>
      </c>
      <c r="G119" s="56">
        <v>65813.087822888279</v>
      </c>
      <c r="H119" s="56">
        <v>523.07220030561075</v>
      </c>
      <c r="I119" s="56">
        <v>164.3723272434062</v>
      </c>
      <c r="J119" s="56">
        <v>97.868686562534805</v>
      </c>
    </row>
    <row r="120" spans="1:10" x14ac:dyDescent="0.25">
      <c r="A120" s="52"/>
      <c r="B120" s="47" t="s">
        <v>105</v>
      </c>
      <c r="C120" s="11">
        <v>2</v>
      </c>
      <c r="D120" s="46" t="s">
        <v>59</v>
      </c>
      <c r="E120" s="46" t="s">
        <v>80</v>
      </c>
      <c r="F120" s="29">
        <v>45</v>
      </c>
      <c r="G120" s="56">
        <v>99494.272769087082</v>
      </c>
      <c r="H120" s="56">
        <v>386.38093935141205</v>
      </c>
      <c r="I120" s="56">
        <v>207.09120878420873</v>
      </c>
      <c r="J120" s="56">
        <v>143.28228777269911</v>
      </c>
    </row>
    <row r="121" spans="1:10" x14ac:dyDescent="0.25">
      <c r="A121" s="52"/>
      <c r="B121" s="47"/>
      <c r="D121" s="29"/>
      <c r="E121" s="29"/>
      <c r="F121" s="29"/>
      <c r="G121" s="53"/>
      <c r="H121" s="53"/>
      <c r="I121" s="53"/>
      <c r="J121" s="53"/>
    </row>
    <row r="122" spans="1:10" x14ac:dyDescent="0.25">
      <c r="A122" s="52" t="s">
        <v>99</v>
      </c>
      <c r="B122" s="47" t="s">
        <v>106</v>
      </c>
      <c r="C122" s="11">
        <v>1</v>
      </c>
      <c r="D122" s="46" t="s">
        <v>60</v>
      </c>
      <c r="E122" s="46" t="s">
        <v>81</v>
      </c>
      <c r="F122" s="29">
        <v>138</v>
      </c>
      <c r="G122" s="56">
        <v>57813601.265022941</v>
      </c>
      <c r="H122" s="56">
        <v>264932.31431809103</v>
      </c>
      <c r="I122" s="56">
        <v>151345.00147352062</v>
      </c>
      <c r="J122" s="56">
        <v>146867.72341713464</v>
      </c>
    </row>
    <row r="123" spans="1:10" x14ac:dyDescent="0.25">
      <c r="A123" s="52" t="s">
        <v>100</v>
      </c>
      <c r="B123" s="47" t="s">
        <v>106</v>
      </c>
      <c r="C123" s="11">
        <v>2</v>
      </c>
      <c r="D123" s="46" t="s">
        <v>60</v>
      </c>
      <c r="E123" s="47" t="s">
        <v>82</v>
      </c>
      <c r="F123" s="11">
        <v>73</v>
      </c>
      <c r="G123" s="56">
        <v>82769275.906884193</v>
      </c>
      <c r="H123" s="56">
        <v>334995.60389646509</v>
      </c>
      <c r="I123" s="56">
        <v>218947.25017768642</v>
      </c>
      <c r="J123" s="56">
        <v>206562.63890267862</v>
      </c>
    </row>
    <row r="124" spans="1:10" x14ac:dyDescent="0.25">
      <c r="A124" s="55"/>
      <c r="B124" s="47" t="s">
        <v>106</v>
      </c>
      <c r="C124" s="11">
        <v>3</v>
      </c>
      <c r="D124" s="46" t="s">
        <v>60</v>
      </c>
      <c r="E124" s="48" t="s">
        <v>83</v>
      </c>
      <c r="F124" s="23">
        <v>91</v>
      </c>
      <c r="G124" s="56">
        <v>140488137.28968069</v>
      </c>
      <c r="H124" s="56">
        <v>444960.03510596429</v>
      </c>
      <c r="I124" s="56">
        <v>302271.98213246086</v>
      </c>
      <c r="J124" s="56">
        <v>295566.48909389961</v>
      </c>
    </row>
    <row r="125" spans="1:10" x14ac:dyDescent="0.25">
      <c r="A125" s="52"/>
      <c r="B125" s="47" t="s">
        <v>106</v>
      </c>
      <c r="C125" s="11">
        <v>4</v>
      </c>
      <c r="D125" s="46" t="s">
        <v>60</v>
      </c>
      <c r="E125" s="46" t="s">
        <v>84</v>
      </c>
      <c r="F125" s="29">
        <v>109</v>
      </c>
      <c r="G125" s="56">
        <v>209133625.96959081</v>
      </c>
      <c r="H125" s="56">
        <v>606551.8384046834</v>
      </c>
      <c r="I125" s="56">
        <v>464941.31064286816</v>
      </c>
      <c r="J125" s="56">
        <v>417930.07754961366</v>
      </c>
    </row>
    <row r="126" spans="1:10" x14ac:dyDescent="0.25">
      <c r="A126" s="52"/>
      <c r="B126" s="47" t="s">
        <v>107</v>
      </c>
      <c r="C126" s="11">
        <v>1</v>
      </c>
      <c r="D126" s="46" t="s">
        <v>60</v>
      </c>
      <c r="E126" s="46" t="s">
        <v>68</v>
      </c>
      <c r="F126" s="29">
        <v>7</v>
      </c>
      <c r="G126" s="56">
        <v>7423.9502791009154</v>
      </c>
      <c r="H126" s="56">
        <v>23.694400000000005</v>
      </c>
      <c r="I126" s="56">
        <v>17.136403439230993</v>
      </c>
      <c r="J126" s="56">
        <v>13.729210602003702</v>
      </c>
    </row>
    <row r="127" spans="1:10" x14ac:dyDescent="0.25">
      <c r="A127" s="52"/>
      <c r="B127" s="47" t="s">
        <v>108</v>
      </c>
      <c r="C127" s="11">
        <v>1</v>
      </c>
      <c r="D127" s="46" t="s">
        <v>60</v>
      </c>
      <c r="E127" s="46" t="s">
        <v>85</v>
      </c>
      <c r="F127" s="29">
        <v>134</v>
      </c>
      <c r="G127" s="56">
        <v>1637089.007106313</v>
      </c>
      <c r="H127" s="56">
        <v>8565.364677002186</v>
      </c>
      <c r="I127" s="56">
        <v>3990.8929300321288</v>
      </c>
      <c r="J127" s="56">
        <v>3140.8262960084262</v>
      </c>
    </row>
    <row r="128" spans="1:10" x14ac:dyDescent="0.25">
      <c r="A128" s="52"/>
      <c r="B128" s="47" t="s">
        <v>109</v>
      </c>
      <c r="C128" s="11">
        <v>1</v>
      </c>
      <c r="D128" s="46" t="s">
        <v>60</v>
      </c>
      <c r="E128" s="46" t="s">
        <v>69</v>
      </c>
      <c r="F128" s="29">
        <v>252</v>
      </c>
      <c r="G128" s="56">
        <v>1896345.3033734255</v>
      </c>
      <c r="H128" s="56">
        <v>10721.920404995382</v>
      </c>
      <c r="I128" s="56">
        <v>3934.3758249866601</v>
      </c>
      <c r="J128" s="56">
        <v>2465.311461189041</v>
      </c>
    </row>
    <row r="129" spans="1:16" x14ac:dyDescent="0.25">
      <c r="A129" s="52"/>
      <c r="B129" s="47" t="s">
        <v>109</v>
      </c>
      <c r="C129" s="11">
        <v>2</v>
      </c>
      <c r="D129" s="46" t="s">
        <v>60</v>
      </c>
      <c r="E129" s="46" t="s">
        <v>70</v>
      </c>
      <c r="F129" s="29">
        <v>70</v>
      </c>
      <c r="G129" s="56">
        <v>3188950.0282517113</v>
      </c>
      <c r="H129" s="56">
        <v>12204.894421066527</v>
      </c>
      <c r="I129" s="56">
        <v>6841.2695693085043</v>
      </c>
      <c r="J129" s="56">
        <v>3433.0107969073374</v>
      </c>
    </row>
    <row r="130" spans="1:16" x14ac:dyDescent="0.25">
      <c r="A130" s="52" t="s">
        <v>0</v>
      </c>
      <c r="B130" s="47"/>
      <c r="D130" s="29"/>
      <c r="E130" s="29"/>
      <c r="F130" s="29"/>
      <c r="G130" s="53"/>
      <c r="H130" s="53"/>
      <c r="I130" s="53"/>
      <c r="J130" s="53"/>
    </row>
    <row r="131" spans="1:16" x14ac:dyDescent="0.25">
      <c r="A131" s="52" t="s">
        <v>101</v>
      </c>
      <c r="B131" s="47" t="s">
        <v>110</v>
      </c>
      <c r="C131" s="11">
        <v>1</v>
      </c>
      <c r="D131" s="46" t="s">
        <v>60</v>
      </c>
      <c r="E131" s="46" t="s">
        <v>86</v>
      </c>
      <c r="F131" s="29">
        <v>118</v>
      </c>
      <c r="G131" s="56">
        <v>5284055.7099236669</v>
      </c>
      <c r="H131" s="56">
        <v>14010.820470609993</v>
      </c>
      <c r="I131" s="56">
        <v>9789.9964259851386</v>
      </c>
      <c r="J131" s="56">
        <v>9744.7770609681957</v>
      </c>
    </row>
    <row r="132" spans="1:16" x14ac:dyDescent="0.25">
      <c r="A132" s="52" t="s">
        <v>102</v>
      </c>
      <c r="B132" s="47" t="s">
        <v>110</v>
      </c>
      <c r="C132" s="11">
        <v>2</v>
      </c>
      <c r="D132" s="46" t="s">
        <v>60</v>
      </c>
      <c r="E132" s="46" t="s">
        <v>87</v>
      </c>
      <c r="F132" s="29">
        <v>34</v>
      </c>
      <c r="G132" s="56">
        <v>6932866.489186815</v>
      </c>
      <c r="H132" s="56">
        <v>16892.1140017422</v>
      </c>
      <c r="I132" s="56">
        <v>13090.998879450482</v>
      </c>
      <c r="J132" s="56">
        <v>11963.534581719558</v>
      </c>
    </row>
    <row r="133" spans="1:16" x14ac:dyDescent="0.25">
      <c r="A133" s="52"/>
      <c r="B133" s="47" t="s">
        <v>108</v>
      </c>
      <c r="C133" s="11">
        <v>1</v>
      </c>
      <c r="D133" s="46" t="s">
        <v>60</v>
      </c>
      <c r="E133" s="46" t="s">
        <v>71</v>
      </c>
      <c r="F133" s="29">
        <v>4</v>
      </c>
      <c r="G133" s="56">
        <v>444271.80815442826</v>
      </c>
      <c r="H133" s="56">
        <v>1254.71413668278</v>
      </c>
      <c r="I133" s="56">
        <v>1194.9469748796482</v>
      </c>
      <c r="J133" s="56">
        <v>469.69491749625951</v>
      </c>
    </row>
    <row r="134" spans="1:16" s="88" customFormat="1" ht="13" x14ac:dyDescent="0.3">
      <c r="A134" s="98" t="s">
        <v>124</v>
      </c>
      <c r="B134" s="100"/>
      <c r="C134" s="100"/>
      <c r="D134" s="100"/>
      <c r="E134" s="100"/>
      <c r="F134" s="100"/>
      <c r="G134" s="100"/>
      <c r="H134" s="100"/>
      <c r="I134" s="100"/>
      <c r="J134" s="100"/>
      <c r="K134" s="91"/>
      <c r="L134" s="91"/>
      <c r="M134" s="91"/>
      <c r="N134" s="91"/>
      <c r="O134" s="91"/>
      <c r="P134" s="89"/>
    </row>
    <row r="135" spans="1:16" ht="13" x14ac:dyDescent="0.3">
      <c r="A135" s="103" t="s">
        <v>127</v>
      </c>
      <c r="B135" s="101"/>
      <c r="C135" s="101"/>
      <c r="D135" s="101"/>
      <c r="E135" s="101"/>
      <c r="F135" s="101"/>
      <c r="G135" s="101"/>
      <c r="H135" s="101"/>
      <c r="I135" s="101"/>
      <c r="J135" s="101"/>
    </row>
    <row r="136" spans="1:16" s="93" customFormat="1" ht="13" x14ac:dyDescent="0.3">
      <c r="A136" s="99" t="s">
        <v>128</v>
      </c>
      <c r="B136" s="100"/>
      <c r="C136" s="100"/>
      <c r="D136" s="100"/>
      <c r="E136" s="100"/>
      <c r="F136" s="100"/>
      <c r="G136" s="100"/>
      <c r="H136" s="100"/>
      <c r="I136" s="100"/>
      <c r="J136" s="100"/>
    </row>
    <row r="137" spans="1:16" ht="13" x14ac:dyDescent="0.3">
      <c r="A137" s="102" t="str">
        <f>A4</f>
        <v>TEST YEAR ENDING 12/31/2018</v>
      </c>
      <c r="B137" s="101"/>
      <c r="C137" s="101"/>
      <c r="D137" s="101"/>
      <c r="E137" s="101"/>
      <c r="F137" s="101"/>
      <c r="G137" s="101"/>
      <c r="H137" s="101"/>
      <c r="I137" s="101"/>
      <c r="J137" s="101"/>
    </row>
    <row r="138" spans="1:16" ht="13" x14ac:dyDescent="0.3">
      <c r="C138" s="33"/>
      <c r="D138" s="3"/>
      <c r="E138" s="2"/>
      <c r="F138" s="2"/>
      <c r="G138" s="2"/>
      <c r="H138" s="2"/>
      <c r="I138" s="2"/>
      <c r="J138" s="2"/>
    </row>
    <row r="139" spans="1:16" ht="13" x14ac:dyDescent="0.3">
      <c r="C139" s="8"/>
      <c r="D139" s="9"/>
      <c r="E139" s="36" t="s">
        <v>56</v>
      </c>
      <c r="F139" s="2"/>
      <c r="G139" s="51"/>
      <c r="H139" s="51"/>
      <c r="I139" s="51"/>
      <c r="J139" s="51"/>
    </row>
    <row r="140" spans="1:16" ht="78" x14ac:dyDescent="0.3">
      <c r="A140" s="28" t="s">
        <v>40</v>
      </c>
      <c r="B140" s="8" t="s">
        <v>65</v>
      </c>
      <c r="C140" s="8" t="s">
        <v>41</v>
      </c>
      <c r="D140" s="38" t="s">
        <v>89</v>
      </c>
      <c r="E140" s="38" t="s">
        <v>90</v>
      </c>
      <c r="F140" s="38" t="s">
        <v>91</v>
      </c>
      <c r="G140" s="38" t="s">
        <v>92</v>
      </c>
      <c r="H140" s="38" t="s">
        <v>93</v>
      </c>
      <c r="I140" s="38" t="s">
        <v>94</v>
      </c>
      <c r="J140" s="38" t="s">
        <v>95</v>
      </c>
    </row>
    <row r="141" spans="1:16" ht="13" x14ac:dyDescent="0.3">
      <c r="A141" s="28"/>
      <c r="B141" s="28"/>
      <c r="C141" s="8"/>
      <c r="D141" s="22"/>
      <c r="E141" s="22"/>
      <c r="F141" s="22"/>
      <c r="G141" s="22"/>
      <c r="H141" s="22"/>
      <c r="I141" s="22"/>
      <c r="J141" s="22"/>
    </row>
    <row r="142" spans="1:16" x14ac:dyDescent="0.25">
      <c r="A142" s="54" t="s">
        <v>96</v>
      </c>
      <c r="B142" s="47" t="s">
        <v>103</v>
      </c>
      <c r="C142" s="11">
        <v>1</v>
      </c>
      <c r="D142" s="46" t="s">
        <v>59</v>
      </c>
      <c r="E142" s="46" t="s">
        <v>64</v>
      </c>
      <c r="F142" s="29">
        <v>72</v>
      </c>
      <c r="G142" s="56">
        <v>192297109.47782886</v>
      </c>
      <c r="H142" s="56">
        <v>987407.18640278408</v>
      </c>
      <c r="I142" s="56">
        <v>492841.76211387839</v>
      </c>
      <c r="J142" s="56">
        <v>399940.84974235139</v>
      </c>
    </row>
    <row r="143" spans="1:16" x14ac:dyDescent="0.25">
      <c r="A143" s="52"/>
      <c r="B143" s="47" t="s">
        <v>103</v>
      </c>
      <c r="C143" s="11">
        <v>2</v>
      </c>
      <c r="D143" s="46" t="s">
        <v>59</v>
      </c>
      <c r="E143" s="46" t="s">
        <v>72</v>
      </c>
      <c r="F143" s="29">
        <v>80</v>
      </c>
      <c r="G143" s="56">
        <v>221564107.42163524</v>
      </c>
      <c r="H143" s="56">
        <v>994558.16982516123</v>
      </c>
      <c r="I143" s="56">
        <v>536290.525863647</v>
      </c>
      <c r="J143" s="56">
        <v>478106.09780558938</v>
      </c>
    </row>
    <row r="144" spans="1:16" x14ac:dyDescent="0.25">
      <c r="A144" s="52"/>
      <c r="B144" s="47" t="s">
        <v>103</v>
      </c>
      <c r="C144" s="11">
        <v>3</v>
      </c>
      <c r="D144" s="46" t="s">
        <v>59</v>
      </c>
      <c r="E144" s="46" t="s">
        <v>73</v>
      </c>
      <c r="F144" s="29">
        <v>71</v>
      </c>
      <c r="G144" s="56">
        <v>241869701.10037142</v>
      </c>
      <c r="H144" s="56">
        <v>941185.35827478266</v>
      </c>
      <c r="I144" s="56">
        <v>540402.51167274627</v>
      </c>
      <c r="J144" s="56">
        <v>519560.70226313837</v>
      </c>
    </row>
    <row r="145" spans="1:10" x14ac:dyDescent="0.25">
      <c r="A145" s="52"/>
      <c r="B145" s="47" t="s">
        <v>104</v>
      </c>
      <c r="C145" s="11">
        <v>1</v>
      </c>
      <c r="D145" s="46" t="s">
        <v>59</v>
      </c>
      <c r="E145" s="46" t="s">
        <v>66</v>
      </c>
      <c r="F145" s="29">
        <v>48</v>
      </c>
      <c r="G145" s="56">
        <v>146814793.5455212</v>
      </c>
      <c r="H145" s="56">
        <v>718437.84461955435</v>
      </c>
      <c r="I145" s="56">
        <v>368195.91184146452</v>
      </c>
      <c r="J145" s="56">
        <v>309778.00289064168</v>
      </c>
    </row>
    <row r="146" spans="1:10" x14ac:dyDescent="0.25">
      <c r="A146" s="52"/>
      <c r="B146" s="47" t="s">
        <v>104</v>
      </c>
      <c r="C146" s="11">
        <v>2</v>
      </c>
      <c r="D146" s="46" t="s">
        <v>59</v>
      </c>
      <c r="E146" s="46" t="s">
        <v>67</v>
      </c>
      <c r="F146" s="29">
        <v>51</v>
      </c>
      <c r="G146" s="56">
        <v>165714633.09977818</v>
      </c>
      <c r="H146" s="56">
        <v>659883.13190579345</v>
      </c>
      <c r="I146" s="56">
        <v>402388.04592882586</v>
      </c>
      <c r="J146" s="56">
        <v>373822.61560276232</v>
      </c>
    </row>
    <row r="147" spans="1:10" x14ac:dyDescent="0.25">
      <c r="A147" s="52"/>
      <c r="B147" s="47"/>
      <c r="D147" s="29"/>
      <c r="E147" s="29"/>
      <c r="F147" s="29"/>
      <c r="G147" s="53"/>
      <c r="H147" s="53"/>
      <c r="I147" s="53"/>
      <c r="J147" s="53"/>
    </row>
    <row r="148" spans="1:10" x14ac:dyDescent="0.25">
      <c r="A148" s="52" t="s">
        <v>97</v>
      </c>
      <c r="B148" s="47" t="s">
        <v>63</v>
      </c>
      <c r="C148" s="11">
        <v>1</v>
      </c>
      <c r="D148" s="46" t="s">
        <v>59</v>
      </c>
      <c r="E148" s="47" t="s">
        <v>74</v>
      </c>
      <c r="F148" s="11">
        <v>88</v>
      </c>
      <c r="G148" s="56">
        <v>5016050.6535896249</v>
      </c>
      <c r="H148" s="56">
        <v>54314.934973856187</v>
      </c>
      <c r="I148" s="56">
        <v>13884.845311092269</v>
      </c>
      <c r="J148" s="56">
        <v>8027.1773851914713</v>
      </c>
    </row>
    <row r="149" spans="1:10" x14ac:dyDescent="0.25">
      <c r="A149" s="52" t="s">
        <v>98</v>
      </c>
      <c r="B149" s="47" t="s">
        <v>63</v>
      </c>
      <c r="C149" s="11">
        <v>2</v>
      </c>
      <c r="D149" s="46" t="s">
        <v>59</v>
      </c>
      <c r="E149" s="46" t="s">
        <v>75</v>
      </c>
      <c r="F149" s="29">
        <v>53</v>
      </c>
      <c r="G149" s="56">
        <v>6248358.6762545109</v>
      </c>
      <c r="H149" s="56">
        <v>36264.549454475513</v>
      </c>
      <c r="I149" s="56">
        <v>17599.519050430281</v>
      </c>
      <c r="J149" s="56">
        <v>15545.444414187185</v>
      </c>
    </row>
    <row r="150" spans="1:10" x14ac:dyDescent="0.25">
      <c r="A150" s="52"/>
      <c r="B150" s="47" t="s">
        <v>63</v>
      </c>
      <c r="C150" s="11">
        <v>3</v>
      </c>
      <c r="D150" s="46" t="s">
        <v>59</v>
      </c>
      <c r="E150" s="46" t="s">
        <v>76</v>
      </c>
      <c r="F150" s="29">
        <v>44</v>
      </c>
      <c r="G150" s="56">
        <v>7138652.6558547374</v>
      </c>
      <c r="H150" s="56">
        <v>29570.795568032529</v>
      </c>
      <c r="I150" s="56">
        <v>20180.671255738522</v>
      </c>
      <c r="J150" s="56">
        <v>18168.391374198567</v>
      </c>
    </row>
    <row r="151" spans="1:10" x14ac:dyDescent="0.25">
      <c r="A151" s="52"/>
      <c r="B151" s="47" t="s">
        <v>63</v>
      </c>
      <c r="C151" s="11">
        <v>4</v>
      </c>
      <c r="D151" s="46" t="s">
        <v>59</v>
      </c>
      <c r="E151" s="46" t="s">
        <v>77</v>
      </c>
      <c r="F151" s="29">
        <v>52</v>
      </c>
      <c r="G151" s="56">
        <v>7307267.4257887779</v>
      </c>
      <c r="H151" s="56">
        <v>24573.193766558925</v>
      </c>
      <c r="I151" s="56">
        <v>16092.519495280514</v>
      </c>
      <c r="J151" s="56">
        <v>15447.437481441089</v>
      </c>
    </row>
    <row r="152" spans="1:10" x14ac:dyDescent="0.25">
      <c r="A152" s="52"/>
      <c r="B152" s="47" t="s">
        <v>63</v>
      </c>
      <c r="C152" s="11">
        <v>5</v>
      </c>
      <c r="D152" s="46" t="s">
        <v>59</v>
      </c>
      <c r="E152" s="46" t="s">
        <v>78</v>
      </c>
      <c r="F152" s="29">
        <v>39</v>
      </c>
      <c r="G152" s="56">
        <v>8406691.1914378479</v>
      </c>
      <c r="H152" s="56">
        <v>20388.411386685526</v>
      </c>
      <c r="I152" s="56">
        <v>14899.300219039549</v>
      </c>
      <c r="J152" s="56">
        <v>14017.111653066606</v>
      </c>
    </row>
    <row r="153" spans="1:10" x14ac:dyDescent="0.25">
      <c r="A153" s="52"/>
      <c r="B153" s="47" t="s">
        <v>105</v>
      </c>
      <c r="C153" s="11">
        <v>1</v>
      </c>
      <c r="D153" s="46" t="s">
        <v>59</v>
      </c>
      <c r="E153" s="46" t="s">
        <v>79</v>
      </c>
      <c r="F153" s="29">
        <v>89</v>
      </c>
      <c r="G153" s="56">
        <v>65574.69047270999</v>
      </c>
      <c r="H153" s="56">
        <v>669.81370878951975</v>
      </c>
      <c r="I153" s="56">
        <v>203.49657452392111</v>
      </c>
      <c r="J153" s="56">
        <v>104.59585352705125</v>
      </c>
    </row>
    <row r="154" spans="1:10" x14ac:dyDescent="0.25">
      <c r="A154" s="52"/>
      <c r="B154" s="47" t="s">
        <v>105</v>
      </c>
      <c r="C154" s="11">
        <v>2</v>
      </c>
      <c r="D154" s="46" t="s">
        <v>59</v>
      </c>
      <c r="E154" s="46" t="s">
        <v>80</v>
      </c>
      <c r="F154" s="29">
        <v>45</v>
      </c>
      <c r="G154" s="56">
        <v>106087.85002635859</v>
      </c>
      <c r="H154" s="56">
        <v>409.44438907618985</v>
      </c>
      <c r="I154" s="56">
        <v>216.04692320292284</v>
      </c>
      <c r="J154" s="56">
        <v>163.55694548055925</v>
      </c>
    </row>
    <row r="155" spans="1:10" x14ac:dyDescent="0.25">
      <c r="A155" s="52"/>
      <c r="B155" s="47"/>
      <c r="D155" s="29"/>
      <c r="E155" s="29"/>
      <c r="F155" s="29"/>
      <c r="G155" s="53"/>
      <c r="H155" s="53"/>
      <c r="I155" s="53"/>
      <c r="J155" s="53"/>
    </row>
    <row r="156" spans="1:10" x14ac:dyDescent="0.25">
      <c r="A156" s="52" t="s">
        <v>99</v>
      </c>
      <c r="B156" s="47" t="s">
        <v>106</v>
      </c>
      <c r="C156" s="11">
        <v>1</v>
      </c>
      <c r="D156" s="46" t="s">
        <v>60</v>
      </c>
      <c r="E156" s="46" t="s">
        <v>81</v>
      </c>
      <c r="F156" s="29">
        <v>138</v>
      </c>
      <c r="G156" s="56">
        <v>77499325.875615269</v>
      </c>
      <c r="H156" s="56">
        <v>302060.02866220998</v>
      </c>
      <c r="I156" s="56">
        <v>186992.31092595641</v>
      </c>
      <c r="J156" s="56">
        <v>181727.55573568912</v>
      </c>
    </row>
    <row r="157" spans="1:10" x14ac:dyDescent="0.25">
      <c r="A157" s="52" t="s">
        <v>100</v>
      </c>
      <c r="B157" s="47" t="s">
        <v>106</v>
      </c>
      <c r="C157" s="11">
        <v>2</v>
      </c>
      <c r="D157" s="46" t="s">
        <v>60</v>
      </c>
      <c r="E157" s="47" t="s">
        <v>82</v>
      </c>
      <c r="F157" s="11">
        <v>73</v>
      </c>
      <c r="G157" s="56">
        <v>114549349.96654539</v>
      </c>
      <c r="H157" s="56">
        <v>425020.50236592407</v>
      </c>
      <c r="I157" s="56">
        <v>275558.45046046452</v>
      </c>
      <c r="J157" s="56">
        <v>246105.1045906228</v>
      </c>
    </row>
    <row r="158" spans="1:10" x14ac:dyDescent="0.25">
      <c r="A158" s="55"/>
      <c r="B158" s="47" t="s">
        <v>106</v>
      </c>
      <c r="C158" s="11">
        <v>3</v>
      </c>
      <c r="D158" s="46" t="s">
        <v>60</v>
      </c>
      <c r="E158" s="48" t="s">
        <v>83</v>
      </c>
      <c r="F158" s="23">
        <v>91</v>
      </c>
      <c r="G158" s="56">
        <v>174620779.25367534</v>
      </c>
      <c r="H158" s="56">
        <v>485093.86569567421</v>
      </c>
      <c r="I158" s="56">
        <v>338686.90808630269</v>
      </c>
      <c r="J158" s="56">
        <v>321041.49782771256</v>
      </c>
    </row>
    <row r="159" spans="1:10" x14ac:dyDescent="0.25">
      <c r="A159" s="52"/>
      <c r="B159" s="47" t="s">
        <v>106</v>
      </c>
      <c r="C159" s="11">
        <v>4</v>
      </c>
      <c r="D159" s="46" t="s">
        <v>60</v>
      </c>
      <c r="E159" s="46" t="s">
        <v>84</v>
      </c>
      <c r="F159" s="29">
        <v>109</v>
      </c>
      <c r="G159" s="56">
        <v>250290278.64211863</v>
      </c>
      <c r="H159" s="56">
        <v>659210.64344076102</v>
      </c>
      <c r="I159" s="56">
        <v>515960.84447710047</v>
      </c>
      <c r="J159" s="56">
        <v>468573.90260912321</v>
      </c>
    </row>
    <row r="160" spans="1:10" x14ac:dyDescent="0.25">
      <c r="A160" s="52"/>
      <c r="B160" s="47" t="s">
        <v>107</v>
      </c>
      <c r="C160" s="11">
        <v>1</v>
      </c>
      <c r="D160" s="46" t="s">
        <v>60</v>
      </c>
      <c r="E160" s="46" t="s">
        <v>68</v>
      </c>
      <c r="F160" s="29">
        <v>7</v>
      </c>
      <c r="G160" s="56">
        <v>8552.6411734230969</v>
      </c>
      <c r="H160" s="56">
        <v>36.463000000000008</v>
      </c>
      <c r="I160" s="56">
        <v>28.253378537830699</v>
      </c>
      <c r="J160" s="56">
        <v>17.05246637579296</v>
      </c>
    </row>
    <row r="161" spans="1:10" x14ac:dyDescent="0.25">
      <c r="A161" s="52"/>
      <c r="B161" s="47" t="s">
        <v>108</v>
      </c>
      <c r="C161" s="11">
        <v>1</v>
      </c>
      <c r="D161" s="46" t="s">
        <v>60</v>
      </c>
      <c r="E161" s="46" t="s">
        <v>85</v>
      </c>
      <c r="F161" s="29">
        <v>134</v>
      </c>
      <c r="G161" s="56">
        <v>2333579.8221421675</v>
      </c>
      <c r="H161" s="56">
        <v>9601.009206292254</v>
      </c>
      <c r="I161" s="56">
        <v>5002.2920847310061</v>
      </c>
      <c r="J161" s="56">
        <v>4155.0255910809647</v>
      </c>
    </row>
    <row r="162" spans="1:10" x14ac:dyDescent="0.25">
      <c r="A162" s="52"/>
      <c r="B162" s="47" t="s">
        <v>109</v>
      </c>
      <c r="C162" s="11">
        <v>1</v>
      </c>
      <c r="D162" s="46" t="s">
        <v>60</v>
      </c>
      <c r="E162" s="46" t="s">
        <v>69</v>
      </c>
      <c r="F162" s="29">
        <v>252</v>
      </c>
      <c r="G162" s="56">
        <v>2688978.5860721092</v>
      </c>
      <c r="H162" s="56">
        <v>12458.39830662122</v>
      </c>
      <c r="I162" s="56">
        <v>5840.1803843358593</v>
      </c>
      <c r="J162" s="56">
        <v>5092.1562231226708</v>
      </c>
    </row>
    <row r="163" spans="1:10" x14ac:dyDescent="0.25">
      <c r="A163" s="52"/>
      <c r="B163" s="47" t="s">
        <v>109</v>
      </c>
      <c r="C163" s="11">
        <v>2</v>
      </c>
      <c r="D163" s="46" t="s">
        <v>60</v>
      </c>
      <c r="E163" s="46" t="s">
        <v>70</v>
      </c>
      <c r="F163" s="29">
        <v>70</v>
      </c>
      <c r="G163" s="56">
        <v>3941657.9158720765</v>
      </c>
      <c r="H163" s="56">
        <v>13554.652231705148</v>
      </c>
      <c r="I163" s="56">
        <v>9044.2544313681356</v>
      </c>
      <c r="J163" s="56">
        <v>7533.0299214316456</v>
      </c>
    </row>
    <row r="164" spans="1:10" x14ac:dyDescent="0.25">
      <c r="A164" s="52" t="s">
        <v>0</v>
      </c>
      <c r="B164" s="47"/>
      <c r="D164" s="29"/>
      <c r="E164" s="29"/>
      <c r="F164" s="29"/>
      <c r="G164" s="53"/>
      <c r="H164" s="53"/>
      <c r="I164" s="53"/>
      <c r="J164" s="53"/>
    </row>
    <row r="165" spans="1:10" x14ac:dyDescent="0.25">
      <c r="A165" s="52" t="s">
        <v>101</v>
      </c>
      <c r="B165" s="47" t="s">
        <v>110</v>
      </c>
      <c r="C165" s="11">
        <v>1</v>
      </c>
      <c r="D165" s="46" t="s">
        <v>60</v>
      </c>
      <c r="E165" s="46" t="s">
        <v>86</v>
      </c>
      <c r="F165" s="29">
        <v>118</v>
      </c>
      <c r="G165" s="56">
        <v>6323284.0706875371</v>
      </c>
      <c r="H165" s="56">
        <v>15810.526517467779</v>
      </c>
      <c r="I165" s="56">
        <v>11155.231072702729</v>
      </c>
      <c r="J165" s="56">
        <v>10299.888858868724</v>
      </c>
    </row>
    <row r="166" spans="1:10" x14ac:dyDescent="0.25">
      <c r="A166" s="52" t="s">
        <v>102</v>
      </c>
      <c r="B166" s="47" t="s">
        <v>110</v>
      </c>
      <c r="C166" s="11">
        <v>2</v>
      </c>
      <c r="D166" s="46" t="s">
        <v>60</v>
      </c>
      <c r="E166" s="46" t="s">
        <v>87</v>
      </c>
      <c r="F166" s="29">
        <v>34</v>
      </c>
      <c r="G166" s="56">
        <v>7997894.7636120468</v>
      </c>
      <c r="H166" s="56">
        <v>17741.812215059377</v>
      </c>
      <c r="I166" s="56">
        <v>13899.907159894159</v>
      </c>
      <c r="J166" s="56">
        <v>12634.613033245469</v>
      </c>
    </row>
    <row r="167" spans="1:10" x14ac:dyDescent="0.25">
      <c r="A167" s="52"/>
      <c r="B167" s="47" t="s">
        <v>108</v>
      </c>
      <c r="C167" s="11">
        <v>1</v>
      </c>
      <c r="D167" s="46" t="s">
        <v>60</v>
      </c>
      <c r="E167" s="46" t="s">
        <v>71</v>
      </c>
      <c r="F167" s="29">
        <v>4</v>
      </c>
      <c r="G167" s="56">
        <v>405001.78454288421</v>
      </c>
      <c r="H167" s="56">
        <v>1192.6730634695234</v>
      </c>
      <c r="I167" s="56">
        <v>1176.498602207515</v>
      </c>
      <c r="J167" s="56">
        <v>900.82720484964057</v>
      </c>
    </row>
    <row r="168" spans="1:10" x14ac:dyDescent="0.25">
      <c r="A168" s="21"/>
      <c r="B168" s="21"/>
      <c r="D168" s="29"/>
      <c r="E168" s="29"/>
      <c r="F168" s="29"/>
      <c r="G168" s="29"/>
      <c r="H168" s="30"/>
      <c r="I168" s="30"/>
      <c r="J168" s="31"/>
    </row>
    <row r="169" spans="1:10" ht="13" x14ac:dyDescent="0.3">
      <c r="C169" s="33"/>
      <c r="D169" s="3"/>
      <c r="E169" s="2"/>
      <c r="F169" s="2"/>
      <c r="G169" s="2"/>
      <c r="H169" s="2"/>
      <c r="I169" s="2"/>
      <c r="J169" s="2"/>
    </row>
    <row r="170" spans="1:10" ht="13" x14ac:dyDescent="0.3">
      <c r="C170" s="8"/>
      <c r="D170" s="9"/>
      <c r="E170" s="36" t="s">
        <v>57</v>
      </c>
      <c r="F170" s="2"/>
      <c r="G170" s="51"/>
      <c r="H170" s="51"/>
      <c r="I170" s="51"/>
      <c r="J170" s="51"/>
    </row>
    <row r="171" spans="1:10" ht="78" x14ac:dyDescent="0.3">
      <c r="A171" s="28" t="s">
        <v>40</v>
      </c>
      <c r="B171" s="8" t="s">
        <v>65</v>
      </c>
      <c r="C171" s="8" t="s">
        <v>41</v>
      </c>
      <c r="D171" s="38" t="s">
        <v>89</v>
      </c>
      <c r="E171" s="38" t="s">
        <v>90</v>
      </c>
      <c r="F171" s="38" t="s">
        <v>91</v>
      </c>
      <c r="G171" s="38" t="s">
        <v>92</v>
      </c>
      <c r="H171" s="38" t="s">
        <v>93</v>
      </c>
      <c r="I171" s="38" t="s">
        <v>94</v>
      </c>
      <c r="J171" s="38" t="s">
        <v>95</v>
      </c>
    </row>
    <row r="172" spans="1:10" ht="13" x14ac:dyDescent="0.3">
      <c r="A172" s="28"/>
      <c r="B172" s="28"/>
      <c r="C172" s="8"/>
      <c r="D172" s="22"/>
      <c r="E172" s="22"/>
      <c r="F172" s="22"/>
      <c r="G172" s="22"/>
      <c r="H172" s="22"/>
      <c r="I172" s="22"/>
      <c r="J172" s="22"/>
    </row>
    <row r="173" spans="1:10" x14ac:dyDescent="0.25">
      <c r="A173" s="54" t="s">
        <v>96</v>
      </c>
      <c r="B173" s="47" t="s">
        <v>103</v>
      </c>
      <c r="C173" s="11">
        <v>1</v>
      </c>
      <c r="D173" s="46" t="s">
        <v>59</v>
      </c>
      <c r="E173" s="46" t="s">
        <v>64</v>
      </c>
      <c r="F173" s="29">
        <v>72</v>
      </c>
      <c r="G173" s="56">
        <v>215396663.12651232</v>
      </c>
      <c r="H173" s="56">
        <v>1030181.8283938584</v>
      </c>
      <c r="I173" s="56">
        <v>492053.62504636205</v>
      </c>
      <c r="J173" s="56">
        <v>407006.29010328534</v>
      </c>
    </row>
    <row r="174" spans="1:10" x14ac:dyDescent="0.25">
      <c r="A174" s="52"/>
      <c r="B174" s="47" t="s">
        <v>103</v>
      </c>
      <c r="C174" s="11">
        <v>2</v>
      </c>
      <c r="D174" s="46" t="s">
        <v>59</v>
      </c>
      <c r="E174" s="46" t="s">
        <v>72</v>
      </c>
      <c r="F174" s="29">
        <v>80</v>
      </c>
      <c r="G174" s="56">
        <v>250504867.35275221</v>
      </c>
      <c r="H174" s="56">
        <v>1013508.2626166256</v>
      </c>
      <c r="I174" s="56">
        <v>576330.81530875037</v>
      </c>
      <c r="J174" s="56">
        <v>519173.63512893842</v>
      </c>
    </row>
    <row r="175" spans="1:10" x14ac:dyDescent="0.25">
      <c r="A175" s="52"/>
      <c r="B175" s="47" t="s">
        <v>103</v>
      </c>
      <c r="C175" s="11">
        <v>3</v>
      </c>
      <c r="D175" s="46" t="s">
        <v>59</v>
      </c>
      <c r="E175" s="46" t="s">
        <v>73</v>
      </c>
      <c r="F175" s="29">
        <v>71</v>
      </c>
      <c r="G175" s="56">
        <v>272586138.61478323</v>
      </c>
      <c r="H175" s="56">
        <v>935396.35958646901</v>
      </c>
      <c r="I175" s="56">
        <v>581691.86654016504</v>
      </c>
      <c r="J175" s="56">
        <v>518627.97211078863</v>
      </c>
    </row>
    <row r="176" spans="1:10" x14ac:dyDescent="0.25">
      <c r="A176" s="52"/>
      <c r="B176" s="47" t="s">
        <v>104</v>
      </c>
      <c r="C176" s="11">
        <v>1</v>
      </c>
      <c r="D176" s="46" t="s">
        <v>59</v>
      </c>
      <c r="E176" s="46" t="s">
        <v>66</v>
      </c>
      <c r="F176" s="29">
        <v>48</v>
      </c>
      <c r="G176" s="56">
        <v>158400941.06285033</v>
      </c>
      <c r="H176" s="56">
        <v>742630.90088811691</v>
      </c>
      <c r="I176" s="56">
        <v>356861.63213693292</v>
      </c>
      <c r="J176" s="56">
        <v>333232.27977969026</v>
      </c>
    </row>
    <row r="177" spans="1:10" x14ac:dyDescent="0.25">
      <c r="A177" s="52"/>
      <c r="B177" s="47" t="s">
        <v>104</v>
      </c>
      <c r="C177" s="11">
        <v>2</v>
      </c>
      <c r="D177" s="46" t="s">
        <v>59</v>
      </c>
      <c r="E177" s="46" t="s">
        <v>67</v>
      </c>
      <c r="F177" s="29">
        <v>51</v>
      </c>
      <c r="G177" s="56">
        <v>185909100.75433105</v>
      </c>
      <c r="H177" s="56">
        <v>665341.96650620061</v>
      </c>
      <c r="I177" s="56">
        <v>407017.25192945782</v>
      </c>
      <c r="J177" s="56">
        <v>385466.17885127774</v>
      </c>
    </row>
    <row r="178" spans="1:10" x14ac:dyDescent="0.25">
      <c r="A178" s="52"/>
      <c r="B178" s="47"/>
      <c r="D178" s="29"/>
      <c r="E178" s="29"/>
      <c r="F178" s="29"/>
      <c r="G178" s="53"/>
      <c r="H178" s="53"/>
      <c r="I178" s="53"/>
      <c r="J178" s="53"/>
    </row>
    <row r="179" spans="1:10" x14ac:dyDescent="0.25">
      <c r="A179" s="52" t="s">
        <v>97</v>
      </c>
      <c r="B179" s="47" t="s">
        <v>63</v>
      </c>
      <c r="C179" s="11">
        <v>1</v>
      </c>
      <c r="D179" s="46" t="s">
        <v>59</v>
      </c>
      <c r="E179" s="47" t="s">
        <v>74</v>
      </c>
      <c r="F179" s="11">
        <v>88</v>
      </c>
      <c r="G179" s="56">
        <v>4881754.4474492557</v>
      </c>
      <c r="H179" s="56">
        <v>56440.221020169076</v>
      </c>
      <c r="I179" s="56">
        <v>12548.47986975542</v>
      </c>
      <c r="J179" s="56">
        <v>8191.4153349928274</v>
      </c>
    </row>
    <row r="180" spans="1:10" x14ac:dyDescent="0.25">
      <c r="A180" s="52" t="s">
        <v>98</v>
      </c>
      <c r="B180" s="47" t="s">
        <v>63</v>
      </c>
      <c r="C180" s="11">
        <v>2</v>
      </c>
      <c r="D180" s="46" t="s">
        <v>59</v>
      </c>
      <c r="E180" s="46" t="s">
        <v>75</v>
      </c>
      <c r="F180" s="29">
        <v>53</v>
      </c>
      <c r="G180" s="56">
        <v>6517368.4737833859</v>
      </c>
      <c r="H180" s="56">
        <v>36989.726326348507</v>
      </c>
      <c r="I180" s="56">
        <v>18571.392991267021</v>
      </c>
      <c r="J180" s="56">
        <v>18571.392991267021</v>
      </c>
    </row>
    <row r="181" spans="1:10" x14ac:dyDescent="0.25">
      <c r="A181" s="52"/>
      <c r="B181" s="47" t="s">
        <v>63</v>
      </c>
      <c r="C181" s="11">
        <v>3</v>
      </c>
      <c r="D181" s="46" t="s">
        <v>59</v>
      </c>
      <c r="E181" s="46" t="s">
        <v>76</v>
      </c>
      <c r="F181" s="29">
        <v>44</v>
      </c>
      <c r="G181" s="56">
        <v>7934143.1288608192</v>
      </c>
      <c r="H181" s="56">
        <v>30295.840256084575</v>
      </c>
      <c r="I181" s="56">
        <v>21093.856790123413</v>
      </c>
      <c r="J181" s="56">
        <v>20915.359023851634</v>
      </c>
    </row>
    <row r="182" spans="1:10" x14ac:dyDescent="0.25">
      <c r="A182" s="52"/>
      <c r="B182" s="47" t="s">
        <v>63</v>
      </c>
      <c r="C182" s="11">
        <v>4</v>
      </c>
      <c r="D182" s="46" t="s">
        <v>59</v>
      </c>
      <c r="E182" s="46" t="s">
        <v>77</v>
      </c>
      <c r="F182" s="29">
        <v>52</v>
      </c>
      <c r="G182" s="56">
        <v>8059956.7832017047</v>
      </c>
      <c r="H182" s="56">
        <v>25250.163108807366</v>
      </c>
      <c r="I182" s="56">
        <v>17625.04778438072</v>
      </c>
      <c r="J182" s="56">
        <v>16413.021748910072</v>
      </c>
    </row>
    <row r="183" spans="1:10" x14ac:dyDescent="0.25">
      <c r="A183" s="52"/>
      <c r="B183" s="47" t="s">
        <v>63</v>
      </c>
      <c r="C183" s="11">
        <v>5</v>
      </c>
      <c r="D183" s="46" t="s">
        <v>59</v>
      </c>
      <c r="E183" s="46" t="s">
        <v>78</v>
      </c>
      <c r="F183" s="29">
        <v>39</v>
      </c>
      <c r="G183" s="56">
        <v>8915473.5334524792</v>
      </c>
      <c r="H183" s="56">
        <v>20975.388621380553</v>
      </c>
      <c r="I183" s="56">
        <v>15496.845707484172</v>
      </c>
      <c r="J183" s="56">
        <v>15038.516999042149</v>
      </c>
    </row>
    <row r="184" spans="1:10" x14ac:dyDescent="0.25">
      <c r="A184" s="52"/>
      <c r="B184" s="47" t="s">
        <v>105</v>
      </c>
      <c r="C184" s="11">
        <v>1</v>
      </c>
      <c r="D184" s="46" t="s">
        <v>59</v>
      </c>
      <c r="E184" s="46" t="s">
        <v>79</v>
      </c>
      <c r="F184" s="29">
        <v>89</v>
      </c>
      <c r="G184" s="56">
        <v>91717.372246507904</v>
      </c>
      <c r="H184" s="56">
        <v>1335.6215396138668</v>
      </c>
      <c r="I184" s="56">
        <v>722.20009219552344</v>
      </c>
      <c r="J184" s="56">
        <v>92.369480923271894</v>
      </c>
    </row>
    <row r="185" spans="1:10" x14ac:dyDescent="0.25">
      <c r="A185" s="52"/>
      <c r="B185" s="47" t="s">
        <v>105</v>
      </c>
      <c r="C185" s="11">
        <v>2</v>
      </c>
      <c r="D185" s="46" t="s">
        <v>59</v>
      </c>
      <c r="E185" s="46" t="s">
        <v>80</v>
      </c>
      <c r="F185" s="29">
        <v>45</v>
      </c>
      <c r="G185" s="56">
        <v>113160.11762072727</v>
      </c>
      <c r="H185" s="56">
        <v>556.3400723000193</v>
      </c>
      <c r="I185" s="56">
        <v>359.11413450878462</v>
      </c>
      <c r="J185" s="56">
        <v>145.58935295037372</v>
      </c>
    </row>
    <row r="186" spans="1:10" x14ac:dyDescent="0.25">
      <c r="A186" s="52"/>
      <c r="B186" s="47"/>
      <c r="D186" s="29"/>
      <c r="E186" s="29"/>
      <c r="F186" s="29"/>
      <c r="G186" s="53"/>
      <c r="H186" s="53"/>
      <c r="I186" s="53"/>
      <c r="J186" s="53"/>
    </row>
    <row r="187" spans="1:10" x14ac:dyDescent="0.25">
      <c r="A187" s="52" t="s">
        <v>99</v>
      </c>
      <c r="B187" s="47" t="s">
        <v>106</v>
      </c>
      <c r="C187" s="11">
        <v>1</v>
      </c>
      <c r="D187" s="46" t="s">
        <v>60</v>
      </c>
      <c r="E187" s="46" t="s">
        <v>81</v>
      </c>
      <c r="F187" s="29">
        <v>138</v>
      </c>
      <c r="G187" s="56">
        <v>80385000.823674783</v>
      </c>
      <c r="H187" s="56">
        <v>313235.56240798463</v>
      </c>
      <c r="I187" s="56">
        <v>190200.29973629644</v>
      </c>
      <c r="J187" s="56">
        <v>190141.94906914057</v>
      </c>
    </row>
    <row r="188" spans="1:10" x14ac:dyDescent="0.25">
      <c r="A188" s="52" t="s">
        <v>100</v>
      </c>
      <c r="B188" s="47" t="s">
        <v>106</v>
      </c>
      <c r="C188" s="11">
        <v>2</v>
      </c>
      <c r="D188" s="46" t="s">
        <v>60</v>
      </c>
      <c r="E188" s="47" t="s">
        <v>82</v>
      </c>
      <c r="F188" s="11">
        <v>73</v>
      </c>
      <c r="G188" s="56">
        <v>120226270.42560099</v>
      </c>
      <c r="H188" s="56">
        <v>399120.08617329248</v>
      </c>
      <c r="I188" s="56">
        <v>262329.61790174281</v>
      </c>
      <c r="J188" s="56">
        <v>261751.60196765428</v>
      </c>
    </row>
    <row r="189" spans="1:10" x14ac:dyDescent="0.25">
      <c r="A189" s="55"/>
      <c r="B189" s="47" t="s">
        <v>106</v>
      </c>
      <c r="C189" s="11">
        <v>3</v>
      </c>
      <c r="D189" s="46" t="s">
        <v>60</v>
      </c>
      <c r="E189" s="48" t="s">
        <v>83</v>
      </c>
      <c r="F189" s="23">
        <v>91</v>
      </c>
      <c r="G189" s="56">
        <v>178827565.42762232</v>
      </c>
      <c r="H189" s="56">
        <v>480810.84474366775</v>
      </c>
      <c r="I189" s="56">
        <v>348635.23752606305</v>
      </c>
      <c r="J189" s="56">
        <v>337949.17638098513</v>
      </c>
    </row>
    <row r="190" spans="1:10" x14ac:dyDescent="0.25">
      <c r="A190" s="52"/>
      <c r="B190" s="47" t="s">
        <v>106</v>
      </c>
      <c r="C190" s="11">
        <v>4</v>
      </c>
      <c r="D190" s="46" t="s">
        <v>60</v>
      </c>
      <c r="E190" s="46" t="s">
        <v>84</v>
      </c>
      <c r="F190" s="29">
        <v>109</v>
      </c>
      <c r="G190" s="56">
        <v>243669134.31839961</v>
      </c>
      <c r="H190" s="56">
        <v>654993.38214254007</v>
      </c>
      <c r="I190" s="56">
        <v>505368.07896489045</v>
      </c>
      <c r="J190" s="56">
        <v>466479.91003918159</v>
      </c>
    </row>
    <row r="191" spans="1:10" x14ac:dyDescent="0.25">
      <c r="A191" s="52"/>
      <c r="B191" s="47" t="s">
        <v>107</v>
      </c>
      <c r="C191" s="11">
        <v>1</v>
      </c>
      <c r="D191" s="46" t="s">
        <v>60</v>
      </c>
      <c r="E191" s="46" t="s">
        <v>68</v>
      </c>
      <c r="F191" s="29">
        <v>7</v>
      </c>
      <c r="G191" s="56">
        <v>17418.518965407267</v>
      </c>
      <c r="H191" s="56">
        <v>126.4362</v>
      </c>
      <c r="I191" s="56">
        <v>93.455159716578905</v>
      </c>
      <c r="J191" s="56">
        <v>16.747888924725348</v>
      </c>
    </row>
    <row r="192" spans="1:10" x14ac:dyDescent="0.25">
      <c r="A192" s="52"/>
      <c r="B192" s="47" t="s">
        <v>108</v>
      </c>
      <c r="C192" s="11">
        <v>1</v>
      </c>
      <c r="D192" s="46" t="s">
        <v>60</v>
      </c>
      <c r="E192" s="46" t="s">
        <v>85</v>
      </c>
      <c r="F192" s="29">
        <v>134</v>
      </c>
      <c r="G192" s="56">
        <v>2647677.7883424019</v>
      </c>
      <c r="H192" s="56">
        <v>11390.839148247158</v>
      </c>
      <c r="I192" s="56">
        <v>5854.8651839682389</v>
      </c>
      <c r="J192" s="56">
        <v>4400.9666957289019</v>
      </c>
    </row>
    <row r="193" spans="1:16" x14ac:dyDescent="0.25">
      <c r="A193" s="52"/>
      <c r="B193" s="47" t="s">
        <v>109</v>
      </c>
      <c r="C193" s="11">
        <v>1</v>
      </c>
      <c r="D193" s="46" t="s">
        <v>60</v>
      </c>
      <c r="E193" s="46" t="s">
        <v>69</v>
      </c>
      <c r="F193" s="29">
        <v>252</v>
      </c>
      <c r="G193" s="56">
        <v>2657436.325124545</v>
      </c>
      <c r="H193" s="56">
        <v>12046.329257357518</v>
      </c>
      <c r="I193" s="56">
        <v>6189.9109970663421</v>
      </c>
      <c r="J193" s="56">
        <v>5922.6588351288292</v>
      </c>
    </row>
    <row r="194" spans="1:16" x14ac:dyDescent="0.25">
      <c r="A194" s="52"/>
      <c r="B194" s="47" t="s">
        <v>109</v>
      </c>
      <c r="C194" s="11">
        <v>2</v>
      </c>
      <c r="D194" s="46" t="s">
        <v>60</v>
      </c>
      <c r="E194" s="46" t="s">
        <v>70</v>
      </c>
      <c r="F194" s="29">
        <v>70</v>
      </c>
      <c r="G194" s="56">
        <v>3683815.166842164</v>
      </c>
      <c r="H194" s="56">
        <v>13441.209615129183</v>
      </c>
      <c r="I194" s="56">
        <v>9141.6058425568899</v>
      </c>
      <c r="J194" s="56">
        <v>8085.9357289783156</v>
      </c>
    </row>
    <row r="195" spans="1:16" x14ac:dyDescent="0.25">
      <c r="A195" s="52" t="s">
        <v>0</v>
      </c>
      <c r="B195" s="47"/>
      <c r="D195" s="29"/>
      <c r="E195" s="29"/>
      <c r="F195" s="29"/>
      <c r="G195" s="53"/>
      <c r="H195" s="53"/>
      <c r="I195" s="53"/>
      <c r="J195" s="53"/>
    </row>
    <row r="196" spans="1:16" x14ac:dyDescent="0.25">
      <c r="A196" s="52" t="s">
        <v>101</v>
      </c>
      <c r="B196" s="47" t="s">
        <v>110</v>
      </c>
      <c r="C196" s="11">
        <v>1</v>
      </c>
      <c r="D196" s="46" t="s">
        <v>60</v>
      </c>
      <c r="E196" s="46" t="s">
        <v>86</v>
      </c>
      <c r="F196" s="29">
        <v>118</v>
      </c>
      <c r="G196" s="56">
        <v>6281065.1120397635</v>
      </c>
      <c r="H196" s="56">
        <v>16217.68746064796</v>
      </c>
      <c r="I196" s="56">
        <v>11287.186778010935</v>
      </c>
      <c r="J196" s="56">
        <v>11052.333886493499</v>
      </c>
    </row>
    <row r="197" spans="1:16" x14ac:dyDescent="0.25">
      <c r="A197" s="52" t="s">
        <v>102</v>
      </c>
      <c r="B197" s="47" t="s">
        <v>110</v>
      </c>
      <c r="C197" s="11">
        <v>2</v>
      </c>
      <c r="D197" s="46" t="s">
        <v>60</v>
      </c>
      <c r="E197" s="46" t="s">
        <v>87</v>
      </c>
      <c r="F197" s="29">
        <v>34</v>
      </c>
      <c r="G197" s="56">
        <v>8156686.8717401121</v>
      </c>
      <c r="H197" s="56">
        <v>17717.128153640097</v>
      </c>
      <c r="I197" s="56">
        <v>14142.25375170967</v>
      </c>
      <c r="J197" s="56">
        <v>13263.451685874425</v>
      </c>
    </row>
    <row r="198" spans="1:16" x14ac:dyDescent="0.25">
      <c r="A198" s="52"/>
      <c r="B198" s="47" t="s">
        <v>108</v>
      </c>
      <c r="C198" s="11">
        <v>1</v>
      </c>
      <c r="D198" s="46" t="s">
        <v>60</v>
      </c>
      <c r="E198" s="46" t="s">
        <v>71</v>
      </c>
      <c r="F198" s="29">
        <v>4</v>
      </c>
      <c r="G198" s="56">
        <v>387607.1686015859</v>
      </c>
      <c r="H198" s="56">
        <v>1221.2173598535617</v>
      </c>
      <c r="I198" s="56">
        <v>1209.5820331299576</v>
      </c>
      <c r="J198" s="56">
        <v>994.07120203447118</v>
      </c>
    </row>
    <row r="199" spans="1:16" s="88" customFormat="1" ht="13" x14ac:dyDescent="0.3">
      <c r="A199" s="98" t="s">
        <v>124</v>
      </c>
      <c r="B199" s="100"/>
      <c r="C199" s="100"/>
      <c r="D199" s="100"/>
      <c r="E199" s="100"/>
      <c r="F199" s="100"/>
      <c r="G199" s="100"/>
      <c r="H199" s="100"/>
      <c r="I199" s="100"/>
      <c r="J199" s="100"/>
      <c r="K199" s="91"/>
      <c r="L199" s="91"/>
      <c r="M199" s="91"/>
      <c r="N199" s="91"/>
      <c r="O199" s="91"/>
      <c r="P199" s="89"/>
    </row>
    <row r="200" spans="1:16" ht="13" x14ac:dyDescent="0.3">
      <c r="A200" s="103" t="s">
        <v>127</v>
      </c>
      <c r="B200" s="101"/>
      <c r="C200" s="101"/>
      <c r="D200" s="101"/>
      <c r="E200" s="101"/>
      <c r="F200" s="101"/>
      <c r="G200" s="101"/>
      <c r="H200" s="101"/>
      <c r="I200" s="101"/>
      <c r="J200" s="101"/>
    </row>
    <row r="201" spans="1:16" s="93" customFormat="1" ht="13" x14ac:dyDescent="0.3">
      <c r="A201" s="99" t="s">
        <v>128</v>
      </c>
      <c r="B201" s="100"/>
      <c r="C201" s="100"/>
      <c r="D201" s="100"/>
      <c r="E201" s="100"/>
      <c r="F201" s="100"/>
      <c r="G201" s="100"/>
      <c r="H201" s="100"/>
      <c r="I201" s="100"/>
      <c r="J201" s="100"/>
    </row>
    <row r="202" spans="1:16" ht="13" x14ac:dyDescent="0.3">
      <c r="A202" s="102" t="str">
        <f>A4</f>
        <v>TEST YEAR ENDING 12/31/2018</v>
      </c>
      <c r="B202" s="101"/>
      <c r="C202" s="101"/>
      <c r="D202" s="101"/>
      <c r="E202" s="101"/>
      <c r="F202" s="101"/>
      <c r="G202" s="101"/>
      <c r="H202" s="101"/>
      <c r="I202" s="101"/>
      <c r="J202" s="101"/>
    </row>
    <row r="203" spans="1:16" ht="13" x14ac:dyDescent="0.3">
      <c r="C203" s="33"/>
      <c r="D203" s="3"/>
      <c r="E203" s="2"/>
      <c r="F203" s="2"/>
      <c r="G203" s="2"/>
      <c r="H203" s="2"/>
      <c r="I203" s="2"/>
      <c r="J203" s="2"/>
    </row>
    <row r="204" spans="1:16" ht="13" x14ac:dyDescent="0.3">
      <c r="C204" s="8"/>
      <c r="D204" s="9"/>
      <c r="E204" s="36" t="s">
        <v>61</v>
      </c>
      <c r="F204" s="2"/>
      <c r="G204" s="51"/>
      <c r="H204" s="51"/>
      <c r="I204" s="51"/>
      <c r="J204" s="51"/>
    </row>
    <row r="205" spans="1:16" ht="78" x14ac:dyDescent="0.3">
      <c r="A205" s="28" t="s">
        <v>40</v>
      </c>
      <c r="B205" s="8" t="s">
        <v>65</v>
      </c>
      <c r="C205" s="8" t="s">
        <v>41</v>
      </c>
      <c r="D205" s="38" t="s">
        <v>89</v>
      </c>
      <c r="E205" s="38" t="s">
        <v>90</v>
      </c>
      <c r="F205" s="38" t="s">
        <v>91</v>
      </c>
      <c r="G205" s="38" t="s">
        <v>92</v>
      </c>
      <c r="H205" s="38" t="s">
        <v>93</v>
      </c>
      <c r="I205" s="38" t="s">
        <v>94</v>
      </c>
      <c r="J205" s="38" t="s">
        <v>95</v>
      </c>
    </row>
    <row r="206" spans="1:16" ht="13" x14ac:dyDescent="0.3">
      <c r="A206" s="28"/>
      <c r="B206" s="28"/>
      <c r="C206" s="8"/>
      <c r="D206" s="22"/>
      <c r="E206" s="22"/>
      <c r="F206" s="22"/>
      <c r="G206" s="22"/>
      <c r="H206" s="22"/>
      <c r="I206" s="22"/>
      <c r="J206" s="22"/>
    </row>
    <row r="207" spans="1:16" x14ac:dyDescent="0.25">
      <c r="A207" s="54" t="s">
        <v>96</v>
      </c>
      <c r="B207" s="47" t="s">
        <v>103</v>
      </c>
      <c r="C207" s="11">
        <v>1</v>
      </c>
      <c r="D207" s="46" t="s">
        <v>59</v>
      </c>
      <c r="E207" s="46" t="s">
        <v>64</v>
      </c>
      <c r="F207" s="29">
        <v>72</v>
      </c>
      <c r="G207" s="56">
        <v>237212376.23376977</v>
      </c>
      <c r="H207" s="56">
        <v>1067512.1853916612</v>
      </c>
      <c r="I207" s="56">
        <v>522776.08144018974</v>
      </c>
      <c r="J207" s="56">
        <v>506021.71675176552</v>
      </c>
    </row>
    <row r="208" spans="1:16" x14ac:dyDescent="0.25">
      <c r="A208" s="52"/>
      <c r="B208" s="47" t="s">
        <v>103</v>
      </c>
      <c r="C208" s="11">
        <v>2</v>
      </c>
      <c r="D208" s="46" t="s">
        <v>59</v>
      </c>
      <c r="E208" s="46" t="s">
        <v>72</v>
      </c>
      <c r="F208" s="29">
        <v>80</v>
      </c>
      <c r="G208" s="56">
        <v>271555011.04234904</v>
      </c>
      <c r="H208" s="56">
        <v>1018481.0800526716</v>
      </c>
      <c r="I208" s="56">
        <v>581423.1870952195</v>
      </c>
      <c r="J208" s="56">
        <v>550216.44795581861</v>
      </c>
    </row>
    <row r="209" spans="1:10" x14ac:dyDescent="0.25">
      <c r="A209" s="52"/>
      <c r="B209" s="47" t="s">
        <v>103</v>
      </c>
      <c r="C209" s="11">
        <v>3</v>
      </c>
      <c r="D209" s="46" t="s">
        <v>59</v>
      </c>
      <c r="E209" s="46" t="s">
        <v>73</v>
      </c>
      <c r="F209" s="29">
        <v>71</v>
      </c>
      <c r="G209" s="56">
        <v>284549567.5505113</v>
      </c>
      <c r="H209" s="56">
        <v>946169.42946575361</v>
      </c>
      <c r="I209" s="56">
        <v>603978.19905435061</v>
      </c>
      <c r="J209" s="56">
        <v>582124.47328642919</v>
      </c>
    </row>
    <row r="210" spans="1:10" x14ac:dyDescent="0.25">
      <c r="A210" s="52"/>
      <c r="B210" s="47" t="s">
        <v>104</v>
      </c>
      <c r="C210" s="11">
        <v>1</v>
      </c>
      <c r="D210" s="46" t="s">
        <v>59</v>
      </c>
      <c r="E210" s="46" t="s">
        <v>66</v>
      </c>
      <c r="F210" s="29">
        <v>48</v>
      </c>
      <c r="G210" s="56">
        <v>163848101.24198902</v>
      </c>
      <c r="H210" s="56">
        <v>706880.90336696408</v>
      </c>
      <c r="I210" s="56">
        <v>363585.59117902402</v>
      </c>
      <c r="J210" s="56">
        <v>332342.57808223204</v>
      </c>
    </row>
    <row r="211" spans="1:10" x14ac:dyDescent="0.25">
      <c r="A211" s="52"/>
      <c r="B211" s="47" t="s">
        <v>104</v>
      </c>
      <c r="C211" s="11">
        <v>2</v>
      </c>
      <c r="D211" s="46" t="s">
        <v>59</v>
      </c>
      <c r="E211" s="46" t="s">
        <v>67</v>
      </c>
      <c r="F211" s="29">
        <v>51</v>
      </c>
      <c r="G211" s="56">
        <v>199430365.62174457</v>
      </c>
      <c r="H211" s="56">
        <v>683730.92894279386</v>
      </c>
      <c r="I211" s="56">
        <v>416979.52770224999</v>
      </c>
      <c r="J211" s="56">
        <v>416979.52770224999</v>
      </c>
    </row>
    <row r="212" spans="1:10" x14ac:dyDescent="0.25">
      <c r="A212" s="52"/>
      <c r="B212" s="47"/>
      <c r="D212" s="29"/>
      <c r="E212" s="29"/>
      <c r="F212" s="29"/>
      <c r="G212" s="53"/>
      <c r="H212" s="53"/>
      <c r="I212" s="53"/>
      <c r="J212" s="53"/>
    </row>
    <row r="213" spans="1:10" x14ac:dyDescent="0.25">
      <c r="A213" s="52" t="s">
        <v>97</v>
      </c>
      <c r="B213" s="47" t="s">
        <v>63</v>
      </c>
      <c r="C213" s="11">
        <v>1</v>
      </c>
      <c r="D213" s="46" t="s">
        <v>59</v>
      </c>
      <c r="E213" s="47" t="s">
        <v>74</v>
      </c>
      <c r="F213" s="11">
        <v>88</v>
      </c>
      <c r="G213" s="56">
        <v>4740743.0698733106</v>
      </c>
      <c r="H213" s="56">
        <v>43239.198022293975</v>
      </c>
      <c r="I213" s="56">
        <v>11518.828334469765</v>
      </c>
      <c r="J213" s="56">
        <v>5422.3618531934262</v>
      </c>
    </row>
    <row r="214" spans="1:10" x14ac:dyDescent="0.25">
      <c r="A214" s="52" t="s">
        <v>98</v>
      </c>
      <c r="B214" s="47" t="s">
        <v>63</v>
      </c>
      <c r="C214" s="11">
        <v>2</v>
      </c>
      <c r="D214" s="46" t="s">
        <v>59</v>
      </c>
      <c r="E214" s="46" t="s">
        <v>75</v>
      </c>
      <c r="F214" s="29">
        <v>53</v>
      </c>
      <c r="G214" s="56">
        <v>6920901.9108743975</v>
      </c>
      <c r="H214" s="56">
        <v>36178.467034151952</v>
      </c>
      <c r="I214" s="56">
        <v>19961.880754378868</v>
      </c>
      <c r="J214" s="56">
        <v>15767.724269039985</v>
      </c>
    </row>
    <row r="215" spans="1:10" x14ac:dyDescent="0.25">
      <c r="A215" s="52"/>
      <c r="B215" s="47" t="s">
        <v>63</v>
      </c>
      <c r="C215" s="11">
        <v>3</v>
      </c>
      <c r="D215" s="46" t="s">
        <v>59</v>
      </c>
      <c r="E215" s="46" t="s">
        <v>76</v>
      </c>
      <c r="F215" s="29">
        <v>44</v>
      </c>
      <c r="G215" s="56">
        <v>7506308.9548434261</v>
      </c>
      <c r="H215" s="56">
        <v>29790.752274089009</v>
      </c>
      <c r="I215" s="56">
        <v>19519.758429292513</v>
      </c>
      <c r="J215" s="56">
        <v>19128.180942988623</v>
      </c>
    </row>
    <row r="216" spans="1:10" x14ac:dyDescent="0.25">
      <c r="A216" s="52"/>
      <c r="B216" s="47" t="s">
        <v>63</v>
      </c>
      <c r="C216" s="11">
        <v>4</v>
      </c>
      <c r="D216" s="46" t="s">
        <v>59</v>
      </c>
      <c r="E216" s="46" t="s">
        <v>77</v>
      </c>
      <c r="F216" s="29">
        <v>52</v>
      </c>
      <c r="G216" s="56">
        <v>8862783.4430274703</v>
      </c>
      <c r="H216" s="56">
        <v>25826.095589873221</v>
      </c>
      <c r="I216" s="56">
        <v>18174.180438355743</v>
      </c>
      <c r="J216" s="56">
        <v>17739.320332810978</v>
      </c>
    </row>
    <row r="217" spans="1:10" x14ac:dyDescent="0.25">
      <c r="A217" s="52"/>
      <c r="B217" s="47" t="s">
        <v>63</v>
      </c>
      <c r="C217" s="11">
        <v>5</v>
      </c>
      <c r="D217" s="46" t="s">
        <v>59</v>
      </c>
      <c r="E217" s="46" t="s">
        <v>78</v>
      </c>
      <c r="F217" s="29">
        <v>39</v>
      </c>
      <c r="G217" s="56">
        <v>9261754.3844097052</v>
      </c>
      <c r="H217" s="56">
        <v>21271.50993397455</v>
      </c>
      <c r="I217" s="56">
        <v>15536.875995206045</v>
      </c>
      <c r="J217" s="56">
        <v>14467.949754205256</v>
      </c>
    </row>
    <row r="218" spans="1:10" x14ac:dyDescent="0.25">
      <c r="A218" s="52"/>
      <c r="B218" s="47" t="s">
        <v>105</v>
      </c>
      <c r="C218" s="11">
        <v>1</v>
      </c>
      <c r="D218" s="46" t="s">
        <v>59</v>
      </c>
      <c r="E218" s="46" t="s">
        <v>79</v>
      </c>
      <c r="F218" s="29">
        <v>89</v>
      </c>
      <c r="G218" s="56">
        <v>75562.974804837766</v>
      </c>
      <c r="H218" s="56">
        <v>759.49347978912192</v>
      </c>
      <c r="I218" s="56">
        <v>194.73704783939942</v>
      </c>
      <c r="J218" s="56">
        <v>92.943954814346654</v>
      </c>
    </row>
    <row r="219" spans="1:10" x14ac:dyDescent="0.25">
      <c r="A219" s="52"/>
      <c r="B219" s="47" t="s">
        <v>105</v>
      </c>
      <c r="C219" s="11">
        <v>2</v>
      </c>
      <c r="D219" s="46" t="s">
        <v>59</v>
      </c>
      <c r="E219" s="46" t="s">
        <v>80</v>
      </c>
      <c r="F219" s="29">
        <v>45</v>
      </c>
      <c r="G219" s="56">
        <v>109403.70328988753</v>
      </c>
      <c r="H219" s="56">
        <v>471.16931933020641</v>
      </c>
      <c r="I219" s="56">
        <v>213.53914901469764</v>
      </c>
      <c r="J219" s="56">
        <v>151.65590252307007</v>
      </c>
    </row>
    <row r="220" spans="1:10" x14ac:dyDescent="0.25">
      <c r="A220" s="52"/>
      <c r="B220" s="47"/>
      <c r="D220" s="29"/>
      <c r="E220" s="29"/>
      <c r="F220" s="29"/>
      <c r="G220" s="53"/>
      <c r="H220" s="53"/>
      <c r="I220" s="53"/>
      <c r="J220" s="53"/>
    </row>
    <row r="221" spans="1:10" x14ac:dyDescent="0.25">
      <c r="A221" s="52" t="s">
        <v>99</v>
      </c>
      <c r="B221" s="47" t="s">
        <v>106</v>
      </c>
      <c r="C221" s="11">
        <v>1</v>
      </c>
      <c r="D221" s="46" t="s">
        <v>60</v>
      </c>
      <c r="E221" s="46" t="s">
        <v>81</v>
      </c>
      <c r="F221" s="29">
        <v>138</v>
      </c>
      <c r="G221" s="56">
        <v>86276624.666987613</v>
      </c>
      <c r="H221" s="56">
        <v>304469.3758656478</v>
      </c>
      <c r="I221" s="56">
        <v>190180.99372315963</v>
      </c>
      <c r="J221" s="56">
        <v>188498.34218603559</v>
      </c>
    </row>
    <row r="222" spans="1:10" x14ac:dyDescent="0.25">
      <c r="A222" s="52" t="s">
        <v>100</v>
      </c>
      <c r="B222" s="47" t="s">
        <v>106</v>
      </c>
      <c r="C222" s="11">
        <v>2</v>
      </c>
      <c r="D222" s="46" t="s">
        <v>60</v>
      </c>
      <c r="E222" s="47" t="s">
        <v>82</v>
      </c>
      <c r="F222" s="11">
        <v>73</v>
      </c>
      <c r="G222" s="56">
        <v>127099602.81089348</v>
      </c>
      <c r="H222" s="56">
        <v>405680.93989230576</v>
      </c>
      <c r="I222" s="56">
        <v>279720.86164119007</v>
      </c>
      <c r="J222" s="56">
        <v>276215.09032287443</v>
      </c>
    </row>
    <row r="223" spans="1:10" x14ac:dyDescent="0.25">
      <c r="A223" s="55"/>
      <c r="B223" s="47" t="s">
        <v>106</v>
      </c>
      <c r="C223" s="11">
        <v>3</v>
      </c>
      <c r="D223" s="46" t="s">
        <v>60</v>
      </c>
      <c r="E223" s="48" t="s">
        <v>83</v>
      </c>
      <c r="F223" s="23">
        <v>91</v>
      </c>
      <c r="G223" s="56">
        <v>188248462.69709232</v>
      </c>
      <c r="H223" s="56">
        <v>491740.34368850058</v>
      </c>
      <c r="I223" s="56">
        <v>350905.90486691636</v>
      </c>
      <c r="J223" s="56">
        <v>344932.84380733554</v>
      </c>
    </row>
    <row r="224" spans="1:10" x14ac:dyDescent="0.25">
      <c r="A224" s="52"/>
      <c r="B224" s="47" t="s">
        <v>106</v>
      </c>
      <c r="C224" s="11">
        <v>4</v>
      </c>
      <c r="D224" s="46" t="s">
        <v>60</v>
      </c>
      <c r="E224" s="46" t="s">
        <v>84</v>
      </c>
      <c r="F224" s="29">
        <v>109</v>
      </c>
      <c r="G224" s="56">
        <v>251739188.22718868</v>
      </c>
      <c r="H224" s="56">
        <v>633660.39090309851</v>
      </c>
      <c r="I224" s="56">
        <v>494658.22160582064</v>
      </c>
      <c r="J224" s="56">
        <v>467932.72141199146</v>
      </c>
    </row>
    <row r="225" spans="1:10" x14ac:dyDescent="0.25">
      <c r="A225" s="52"/>
      <c r="B225" s="47" t="s">
        <v>107</v>
      </c>
      <c r="C225" s="11">
        <v>1</v>
      </c>
      <c r="D225" s="46" t="s">
        <v>60</v>
      </c>
      <c r="E225" s="46" t="s">
        <v>68</v>
      </c>
      <c r="F225" s="29">
        <v>7</v>
      </c>
      <c r="G225" s="56">
        <v>46607.871548406001</v>
      </c>
      <c r="H225" s="56">
        <v>298.18820000000011</v>
      </c>
      <c r="I225" s="56">
        <v>225.95205539161361</v>
      </c>
      <c r="J225" s="56">
        <v>22.954138350727202</v>
      </c>
    </row>
    <row r="226" spans="1:10" x14ac:dyDescent="0.25">
      <c r="A226" s="52"/>
      <c r="B226" s="47" t="s">
        <v>108</v>
      </c>
      <c r="C226" s="11">
        <v>1</v>
      </c>
      <c r="D226" s="46" t="s">
        <v>60</v>
      </c>
      <c r="E226" s="46" t="s">
        <v>85</v>
      </c>
      <c r="F226" s="29">
        <v>134</v>
      </c>
      <c r="G226" s="56">
        <v>4201029.658967115</v>
      </c>
      <c r="H226" s="56">
        <v>16517.731434049612</v>
      </c>
      <c r="I226" s="56">
        <v>9372.0943095891544</v>
      </c>
      <c r="J226" s="56">
        <v>7426.286361133818</v>
      </c>
    </row>
    <row r="227" spans="1:10" x14ac:dyDescent="0.25">
      <c r="A227" s="52"/>
      <c r="B227" s="47" t="s">
        <v>109</v>
      </c>
      <c r="C227" s="11">
        <v>1</v>
      </c>
      <c r="D227" s="46" t="s">
        <v>60</v>
      </c>
      <c r="E227" s="46" t="s">
        <v>69</v>
      </c>
      <c r="F227" s="29">
        <v>252</v>
      </c>
      <c r="G227" s="56">
        <v>2189317.6065074336</v>
      </c>
      <c r="H227" s="56">
        <v>10412.55425393614</v>
      </c>
      <c r="I227" s="56">
        <v>4718.8013723243466</v>
      </c>
      <c r="J227" s="56">
        <v>3336.5945344409874</v>
      </c>
    </row>
    <row r="228" spans="1:10" x14ac:dyDescent="0.25">
      <c r="A228" s="52"/>
      <c r="B228" s="47" t="s">
        <v>109</v>
      </c>
      <c r="C228" s="11">
        <v>2</v>
      </c>
      <c r="D228" s="46" t="s">
        <v>60</v>
      </c>
      <c r="E228" s="46" t="s">
        <v>70</v>
      </c>
      <c r="F228" s="29">
        <v>70</v>
      </c>
      <c r="G228" s="56">
        <v>2774795.0107732369</v>
      </c>
      <c r="H228" s="56">
        <v>11075.580778438811</v>
      </c>
      <c r="I228" s="56">
        <v>7322.5651745813138</v>
      </c>
      <c r="J228" s="56">
        <v>4463.9362753055029</v>
      </c>
    </row>
    <row r="229" spans="1:10" x14ac:dyDescent="0.25">
      <c r="A229" s="52" t="s">
        <v>0</v>
      </c>
      <c r="B229" s="47"/>
      <c r="D229" s="29"/>
      <c r="E229" s="29"/>
      <c r="F229" s="29"/>
      <c r="G229" s="53"/>
      <c r="H229" s="53"/>
      <c r="I229" s="53"/>
      <c r="J229" s="53"/>
    </row>
    <row r="230" spans="1:10" x14ac:dyDescent="0.25">
      <c r="A230" s="52" t="s">
        <v>101</v>
      </c>
      <c r="B230" s="47" t="s">
        <v>110</v>
      </c>
      <c r="C230" s="11">
        <v>1</v>
      </c>
      <c r="D230" s="46" t="s">
        <v>60</v>
      </c>
      <c r="E230" s="46" t="s">
        <v>86</v>
      </c>
      <c r="F230" s="29">
        <v>118</v>
      </c>
      <c r="G230" s="56">
        <v>6630411.2916113865</v>
      </c>
      <c r="H230" s="56">
        <v>16543.378011050558</v>
      </c>
      <c r="I230" s="56">
        <v>11899.840147211315</v>
      </c>
      <c r="J230" s="56">
        <v>10751.136559427106</v>
      </c>
    </row>
    <row r="231" spans="1:10" x14ac:dyDescent="0.25">
      <c r="A231" s="52" t="s">
        <v>102</v>
      </c>
      <c r="B231" s="47" t="s">
        <v>110</v>
      </c>
      <c r="C231" s="11">
        <v>2</v>
      </c>
      <c r="D231" s="46" t="s">
        <v>60</v>
      </c>
      <c r="E231" s="46" t="s">
        <v>87</v>
      </c>
      <c r="F231" s="29">
        <v>34</v>
      </c>
      <c r="G231" s="56">
        <v>8302717.2715271562</v>
      </c>
      <c r="H231" s="56">
        <v>19325.975685874531</v>
      </c>
      <c r="I231" s="56">
        <v>14501.300194777104</v>
      </c>
      <c r="J231" s="56">
        <v>13041.751060521885</v>
      </c>
    </row>
    <row r="232" spans="1:10" x14ac:dyDescent="0.25">
      <c r="A232" s="52"/>
      <c r="B232" s="47" t="s">
        <v>108</v>
      </c>
      <c r="C232" s="11">
        <v>1</v>
      </c>
      <c r="D232" s="46" t="s">
        <v>60</v>
      </c>
      <c r="E232" s="46" t="s">
        <v>71</v>
      </c>
      <c r="F232" s="29">
        <v>4</v>
      </c>
      <c r="G232" s="56">
        <v>252483.78416192677</v>
      </c>
      <c r="H232" s="56">
        <v>1235.1357594423539</v>
      </c>
      <c r="I232" s="56">
        <v>1204.9292689463332</v>
      </c>
      <c r="J232" s="56">
        <v>1144.2025621469168</v>
      </c>
    </row>
    <row r="233" spans="1:10" x14ac:dyDescent="0.25">
      <c r="A233" s="21"/>
      <c r="B233" s="21"/>
      <c r="D233" s="29"/>
      <c r="E233" s="29"/>
      <c r="F233" s="29"/>
      <c r="G233" s="29"/>
      <c r="H233" s="30"/>
      <c r="I233" s="30"/>
      <c r="J233" s="31"/>
    </row>
    <row r="234" spans="1:10" ht="13" x14ac:dyDescent="0.3">
      <c r="C234" s="33"/>
      <c r="D234" s="3"/>
      <c r="E234" s="2"/>
      <c r="F234" s="2"/>
      <c r="G234" s="2"/>
      <c r="H234" s="2"/>
      <c r="I234" s="2"/>
      <c r="J234" s="2"/>
    </row>
    <row r="235" spans="1:10" ht="13" x14ac:dyDescent="0.3">
      <c r="C235" s="8"/>
      <c r="D235" s="9"/>
      <c r="E235" s="36" t="s">
        <v>62</v>
      </c>
      <c r="F235" s="2"/>
      <c r="G235" s="51"/>
      <c r="H235" s="51"/>
      <c r="I235" s="51"/>
      <c r="J235" s="51"/>
    </row>
    <row r="236" spans="1:10" ht="78" x14ac:dyDescent="0.3">
      <c r="A236" s="28" t="s">
        <v>40</v>
      </c>
      <c r="B236" s="8" t="s">
        <v>65</v>
      </c>
      <c r="C236" s="8" t="s">
        <v>41</v>
      </c>
      <c r="D236" s="38" t="s">
        <v>89</v>
      </c>
      <c r="E236" s="38" t="s">
        <v>90</v>
      </c>
      <c r="F236" s="38" t="s">
        <v>91</v>
      </c>
      <c r="G236" s="38" t="s">
        <v>92</v>
      </c>
      <c r="H236" s="38" t="s">
        <v>93</v>
      </c>
      <c r="I236" s="38" t="s">
        <v>94</v>
      </c>
      <c r="J236" s="38" t="s">
        <v>95</v>
      </c>
    </row>
    <row r="237" spans="1:10" ht="13" x14ac:dyDescent="0.3">
      <c r="A237" s="28"/>
      <c r="B237" s="28"/>
      <c r="C237" s="8"/>
      <c r="D237" s="22"/>
      <c r="E237" s="22"/>
      <c r="F237" s="22"/>
      <c r="G237" s="22"/>
      <c r="H237" s="22"/>
      <c r="I237" s="22"/>
      <c r="J237" s="22"/>
    </row>
    <row r="238" spans="1:10" x14ac:dyDescent="0.25">
      <c r="A238" s="54" t="s">
        <v>96</v>
      </c>
      <c r="B238" s="47" t="s">
        <v>103</v>
      </c>
      <c r="C238" s="11">
        <v>1</v>
      </c>
      <c r="D238" s="46" t="s">
        <v>59</v>
      </c>
      <c r="E238" s="46" t="s">
        <v>64</v>
      </c>
      <c r="F238" s="29">
        <v>72</v>
      </c>
      <c r="G238" s="56">
        <v>236286531.56971601</v>
      </c>
      <c r="H238" s="56">
        <v>1015357.5036585185</v>
      </c>
      <c r="I238" s="56">
        <v>509287.42324059282</v>
      </c>
      <c r="J238" s="56">
        <v>414796.34011067642</v>
      </c>
    </row>
    <row r="239" spans="1:10" x14ac:dyDescent="0.25">
      <c r="A239" s="52"/>
      <c r="B239" s="47" t="s">
        <v>103</v>
      </c>
      <c r="C239" s="11">
        <v>2</v>
      </c>
      <c r="D239" s="46" t="s">
        <v>59</v>
      </c>
      <c r="E239" s="46" t="s">
        <v>72</v>
      </c>
      <c r="F239" s="29">
        <v>80</v>
      </c>
      <c r="G239" s="56">
        <v>271017969.43780977</v>
      </c>
      <c r="H239" s="56">
        <v>1022020.3307855963</v>
      </c>
      <c r="I239" s="56">
        <v>591594.61054525536</v>
      </c>
      <c r="J239" s="56">
        <v>517909.82186794333</v>
      </c>
    </row>
    <row r="240" spans="1:10" x14ac:dyDescent="0.25">
      <c r="A240" s="52"/>
      <c r="B240" s="47" t="s">
        <v>103</v>
      </c>
      <c r="C240" s="11">
        <v>3</v>
      </c>
      <c r="D240" s="46" t="s">
        <v>59</v>
      </c>
      <c r="E240" s="46" t="s">
        <v>73</v>
      </c>
      <c r="F240" s="29">
        <v>71</v>
      </c>
      <c r="G240" s="56">
        <v>285863273.74347496</v>
      </c>
      <c r="H240" s="56">
        <v>957776.50059099426</v>
      </c>
      <c r="I240" s="56">
        <v>592153.80478406267</v>
      </c>
      <c r="J240" s="56">
        <v>491163.69526559679</v>
      </c>
    </row>
    <row r="241" spans="1:10" x14ac:dyDescent="0.25">
      <c r="A241" s="52"/>
      <c r="B241" s="47" t="s">
        <v>104</v>
      </c>
      <c r="C241" s="11">
        <v>1</v>
      </c>
      <c r="D241" s="46" t="s">
        <v>59</v>
      </c>
      <c r="E241" s="46" t="s">
        <v>66</v>
      </c>
      <c r="F241" s="29">
        <v>48</v>
      </c>
      <c r="G241" s="56">
        <v>164240306.36690047</v>
      </c>
      <c r="H241" s="56">
        <v>697884.63319327554</v>
      </c>
      <c r="I241" s="56">
        <v>369340.79929710831</v>
      </c>
      <c r="J241" s="56">
        <v>295357.0896286788</v>
      </c>
    </row>
    <row r="242" spans="1:10" x14ac:dyDescent="0.25">
      <c r="A242" s="52"/>
      <c r="B242" s="47" t="s">
        <v>104</v>
      </c>
      <c r="C242" s="11">
        <v>2</v>
      </c>
      <c r="D242" s="46" t="s">
        <v>59</v>
      </c>
      <c r="E242" s="46" t="s">
        <v>67</v>
      </c>
      <c r="F242" s="29">
        <v>51</v>
      </c>
      <c r="G242" s="56">
        <v>197312061.83705723</v>
      </c>
      <c r="H242" s="56">
        <v>669512.60048898985</v>
      </c>
      <c r="I242" s="56">
        <v>409258.33907015651</v>
      </c>
      <c r="J242" s="56">
        <v>350697.35888837458</v>
      </c>
    </row>
    <row r="243" spans="1:10" x14ac:dyDescent="0.25">
      <c r="A243" s="52"/>
      <c r="B243" s="47"/>
      <c r="D243" s="29"/>
      <c r="E243" s="29"/>
      <c r="F243" s="29"/>
      <c r="G243" s="53"/>
      <c r="H243" s="53"/>
      <c r="I243" s="53"/>
      <c r="J243" s="53"/>
    </row>
    <row r="244" spans="1:10" x14ac:dyDescent="0.25">
      <c r="A244" s="52" t="s">
        <v>97</v>
      </c>
      <c r="B244" s="47" t="s">
        <v>63</v>
      </c>
      <c r="C244" s="11">
        <v>1</v>
      </c>
      <c r="D244" s="46" t="s">
        <v>59</v>
      </c>
      <c r="E244" s="47" t="s">
        <v>74</v>
      </c>
      <c r="F244" s="11">
        <v>88</v>
      </c>
      <c r="G244" s="56">
        <v>4514478.2249758616</v>
      </c>
      <c r="H244" s="56">
        <v>47577.582579868169</v>
      </c>
      <c r="I244" s="56">
        <v>14053.818380347857</v>
      </c>
      <c r="J244" s="56">
        <v>5549.0253228743968</v>
      </c>
    </row>
    <row r="245" spans="1:10" x14ac:dyDescent="0.25">
      <c r="A245" s="52" t="s">
        <v>98</v>
      </c>
      <c r="B245" s="47" t="s">
        <v>63</v>
      </c>
      <c r="C245" s="11">
        <v>2</v>
      </c>
      <c r="D245" s="46" t="s">
        <v>59</v>
      </c>
      <c r="E245" s="46" t="s">
        <v>75</v>
      </c>
      <c r="F245" s="29">
        <v>53</v>
      </c>
      <c r="G245" s="56">
        <v>7201405.3961370401</v>
      </c>
      <c r="H245" s="56">
        <v>37105.859613687375</v>
      </c>
      <c r="I245" s="56">
        <v>19089.894697950203</v>
      </c>
      <c r="J245" s="56">
        <v>16789.561063077435</v>
      </c>
    </row>
    <row r="246" spans="1:10" x14ac:dyDescent="0.25">
      <c r="A246" s="52"/>
      <c r="B246" s="47" t="s">
        <v>63</v>
      </c>
      <c r="C246" s="11">
        <v>3</v>
      </c>
      <c r="D246" s="46" t="s">
        <v>59</v>
      </c>
      <c r="E246" s="46" t="s">
        <v>76</v>
      </c>
      <c r="F246" s="29">
        <v>44</v>
      </c>
      <c r="G246" s="56">
        <v>7908990.7058134712</v>
      </c>
      <c r="H246" s="56">
        <v>28382.091462800261</v>
      </c>
      <c r="I246" s="56">
        <v>19838.708699628631</v>
      </c>
      <c r="J246" s="56">
        <v>18269.223783263831</v>
      </c>
    </row>
    <row r="247" spans="1:10" x14ac:dyDescent="0.25">
      <c r="A247" s="52"/>
      <c r="B247" s="47" t="s">
        <v>63</v>
      </c>
      <c r="C247" s="11">
        <v>4</v>
      </c>
      <c r="D247" s="46" t="s">
        <v>59</v>
      </c>
      <c r="E247" s="46" t="s">
        <v>77</v>
      </c>
      <c r="F247" s="29">
        <v>52</v>
      </c>
      <c r="G247" s="56">
        <v>8785292.5033436045</v>
      </c>
      <c r="H247" s="56">
        <v>25478.70501248736</v>
      </c>
      <c r="I247" s="56">
        <v>17357.894330234791</v>
      </c>
      <c r="J247" s="56">
        <v>16776.551080345122</v>
      </c>
    </row>
    <row r="248" spans="1:10" x14ac:dyDescent="0.25">
      <c r="A248" s="52"/>
      <c r="B248" s="47" t="s">
        <v>63</v>
      </c>
      <c r="C248" s="11">
        <v>5</v>
      </c>
      <c r="D248" s="46" t="s">
        <v>59</v>
      </c>
      <c r="E248" s="46" t="s">
        <v>78</v>
      </c>
      <c r="F248" s="29">
        <v>39</v>
      </c>
      <c r="G248" s="56">
        <v>9400572.4391553923</v>
      </c>
      <c r="H248" s="56">
        <v>20730.4493322239</v>
      </c>
      <c r="I248" s="56">
        <v>15860.042196008868</v>
      </c>
      <c r="J248" s="56">
        <v>14913.030487154991</v>
      </c>
    </row>
    <row r="249" spans="1:10" x14ac:dyDescent="0.25">
      <c r="A249" s="52"/>
      <c r="B249" s="47" t="s">
        <v>105</v>
      </c>
      <c r="C249" s="11">
        <v>1</v>
      </c>
      <c r="D249" s="46" t="s">
        <v>59</v>
      </c>
      <c r="E249" s="46" t="s">
        <v>79</v>
      </c>
      <c r="F249" s="29">
        <v>89</v>
      </c>
      <c r="G249" s="56">
        <v>66241.985903533598</v>
      </c>
      <c r="H249" s="56">
        <v>566.38645655238213</v>
      </c>
      <c r="I249" s="56">
        <v>159.75894881973946</v>
      </c>
      <c r="J249" s="56">
        <v>91.217332729472901</v>
      </c>
    </row>
    <row r="250" spans="1:10" x14ac:dyDescent="0.25">
      <c r="A250" s="52"/>
      <c r="B250" s="47" t="s">
        <v>105</v>
      </c>
      <c r="C250" s="11">
        <v>2</v>
      </c>
      <c r="D250" s="46" t="s">
        <v>59</v>
      </c>
      <c r="E250" s="46" t="s">
        <v>80</v>
      </c>
      <c r="F250" s="29">
        <v>45</v>
      </c>
      <c r="G250" s="56">
        <v>104689.7210725443</v>
      </c>
      <c r="H250" s="56">
        <v>409.06114507608021</v>
      </c>
      <c r="I250" s="56">
        <v>213.3597734998454</v>
      </c>
      <c r="J250" s="56">
        <v>138.79093386198181</v>
      </c>
    </row>
    <row r="251" spans="1:10" x14ac:dyDescent="0.25">
      <c r="A251" s="52"/>
      <c r="B251" s="47"/>
      <c r="D251" s="29"/>
      <c r="E251" s="29"/>
      <c r="F251" s="29"/>
      <c r="G251" s="53"/>
      <c r="H251" s="53"/>
      <c r="I251" s="53"/>
      <c r="J251" s="53"/>
    </row>
    <row r="252" spans="1:10" x14ac:dyDescent="0.25">
      <c r="A252" s="52" t="s">
        <v>99</v>
      </c>
      <c r="B252" s="47" t="s">
        <v>106</v>
      </c>
      <c r="C252" s="11">
        <v>1</v>
      </c>
      <c r="D252" s="46" t="s">
        <v>60</v>
      </c>
      <c r="E252" s="46" t="s">
        <v>81</v>
      </c>
      <c r="F252" s="29">
        <v>138</v>
      </c>
      <c r="G252" s="56">
        <v>86947859.484597549</v>
      </c>
      <c r="H252" s="56">
        <v>315672.55741626199</v>
      </c>
      <c r="I252" s="56">
        <v>196201.4955061092</v>
      </c>
      <c r="J252" s="56">
        <v>190955.45146582884</v>
      </c>
    </row>
    <row r="253" spans="1:10" x14ac:dyDescent="0.25">
      <c r="A253" s="52" t="s">
        <v>100</v>
      </c>
      <c r="B253" s="47" t="s">
        <v>106</v>
      </c>
      <c r="C253" s="11">
        <v>2</v>
      </c>
      <c r="D253" s="46" t="s">
        <v>60</v>
      </c>
      <c r="E253" s="47" t="s">
        <v>82</v>
      </c>
      <c r="F253" s="11">
        <v>73</v>
      </c>
      <c r="G253" s="56">
        <v>130909593.58193052</v>
      </c>
      <c r="H253" s="56">
        <v>447756.62979838235</v>
      </c>
      <c r="I253" s="56">
        <v>297976.42317537911</v>
      </c>
      <c r="J253" s="56">
        <v>270571.15931457159</v>
      </c>
    </row>
    <row r="254" spans="1:10" x14ac:dyDescent="0.25">
      <c r="A254" s="55"/>
      <c r="B254" s="47" t="s">
        <v>106</v>
      </c>
      <c r="C254" s="11">
        <v>3</v>
      </c>
      <c r="D254" s="46" t="s">
        <v>60</v>
      </c>
      <c r="E254" s="48" t="s">
        <v>83</v>
      </c>
      <c r="F254" s="23">
        <v>91</v>
      </c>
      <c r="G254" s="56">
        <v>191846006.00130871</v>
      </c>
      <c r="H254" s="56">
        <v>500683.82995396981</v>
      </c>
      <c r="I254" s="56">
        <v>360282.22316574515</v>
      </c>
      <c r="J254" s="56">
        <v>344322.19121027511</v>
      </c>
    </row>
    <row r="255" spans="1:10" x14ac:dyDescent="0.25">
      <c r="A255" s="52"/>
      <c r="B255" s="47" t="s">
        <v>106</v>
      </c>
      <c r="C255" s="11">
        <v>4</v>
      </c>
      <c r="D255" s="46" t="s">
        <v>60</v>
      </c>
      <c r="E255" s="46" t="s">
        <v>84</v>
      </c>
      <c r="F255" s="29">
        <v>109</v>
      </c>
      <c r="G255" s="56">
        <v>267353629.51339149</v>
      </c>
      <c r="H255" s="56">
        <v>678467.36104391899</v>
      </c>
      <c r="I255" s="56">
        <v>549033.42819483881</v>
      </c>
      <c r="J255" s="56">
        <v>543442.48433533439</v>
      </c>
    </row>
    <row r="256" spans="1:10" x14ac:dyDescent="0.25">
      <c r="A256" s="52"/>
      <c r="B256" s="47" t="s">
        <v>107</v>
      </c>
      <c r="C256" s="11">
        <v>1</v>
      </c>
      <c r="D256" s="46" t="s">
        <v>60</v>
      </c>
      <c r="E256" s="46" t="s">
        <v>68</v>
      </c>
      <c r="F256" s="29">
        <v>7</v>
      </c>
      <c r="G256" s="56">
        <v>656451.7635308305</v>
      </c>
      <c r="H256" s="56">
        <v>1505.6518000000003</v>
      </c>
      <c r="I256" s="56">
        <v>1469.8310857465171</v>
      </c>
      <c r="J256" s="56">
        <v>866.61799054131143</v>
      </c>
    </row>
    <row r="257" spans="1:16" x14ac:dyDescent="0.25">
      <c r="A257" s="52"/>
      <c r="B257" s="47" t="s">
        <v>108</v>
      </c>
      <c r="C257" s="11">
        <v>1</v>
      </c>
      <c r="D257" s="46" t="s">
        <v>60</v>
      </c>
      <c r="E257" s="46" t="s">
        <v>85</v>
      </c>
      <c r="F257" s="29">
        <v>134</v>
      </c>
      <c r="G257" s="56">
        <v>7373561.0590535132</v>
      </c>
      <c r="H257" s="56">
        <v>18846.593271297665</v>
      </c>
      <c r="I257" s="56">
        <v>12635.677241670561</v>
      </c>
      <c r="J257" s="56">
        <v>10586.276983406433</v>
      </c>
    </row>
    <row r="258" spans="1:16" x14ac:dyDescent="0.25">
      <c r="A258" s="52"/>
      <c r="B258" s="47" t="s">
        <v>109</v>
      </c>
      <c r="C258" s="11">
        <v>1</v>
      </c>
      <c r="D258" s="46" t="s">
        <v>60</v>
      </c>
      <c r="E258" s="46" t="s">
        <v>69</v>
      </c>
      <c r="F258" s="29">
        <v>252</v>
      </c>
      <c r="G258" s="56">
        <v>1859360.2092796424</v>
      </c>
      <c r="H258" s="56">
        <v>10616.503775790952</v>
      </c>
      <c r="I258" s="56">
        <v>4162.170721059776</v>
      </c>
      <c r="J258" s="56">
        <v>2641.485357828823</v>
      </c>
    </row>
    <row r="259" spans="1:16" x14ac:dyDescent="0.25">
      <c r="A259" s="52"/>
      <c r="B259" s="47" t="s">
        <v>109</v>
      </c>
      <c r="C259" s="11">
        <v>2</v>
      </c>
      <c r="D259" s="46" t="s">
        <v>60</v>
      </c>
      <c r="E259" s="46" t="s">
        <v>70</v>
      </c>
      <c r="F259" s="29">
        <v>70</v>
      </c>
      <c r="G259" s="56">
        <v>4106439.0312541383</v>
      </c>
      <c r="H259" s="56">
        <v>12135.892470289011</v>
      </c>
      <c r="I259" s="56">
        <v>7051.3547511255083</v>
      </c>
      <c r="J259" s="56">
        <v>6254.5455271669716</v>
      </c>
    </row>
    <row r="260" spans="1:16" x14ac:dyDescent="0.25">
      <c r="A260" s="52" t="s">
        <v>0</v>
      </c>
      <c r="B260" s="47"/>
      <c r="D260" s="29"/>
      <c r="E260" s="29"/>
      <c r="F260" s="29"/>
      <c r="G260" s="53"/>
      <c r="H260" s="53"/>
      <c r="I260" s="53"/>
      <c r="J260" s="53"/>
    </row>
    <row r="261" spans="1:16" x14ac:dyDescent="0.25">
      <c r="A261" s="52" t="s">
        <v>101</v>
      </c>
      <c r="B261" s="47" t="s">
        <v>110</v>
      </c>
      <c r="C261" s="11">
        <v>1</v>
      </c>
      <c r="D261" s="46" t="s">
        <v>60</v>
      </c>
      <c r="E261" s="46" t="s">
        <v>86</v>
      </c>
      <c r="F261" s="29">
        <v>118</v>
      </c>
      <c r="G261" s="56">
        <v>6771124.8524352945</v>
      </c>
      <c r="H261" s="56">
        <v>16369.938644507714</v>
      </c>
      <c r="I261" s="56">
        <v>11544.706874352791</v>
      </c>
      <c r="J261" s="56">
        <v>11076.740410159477</v>
      </c>
    </row>
    <row r="262" spans="1:16" x14ac:dyDescent="0.25">
      <c r="A262" s="52" t="s">
        <v>102</v>
      </c>
      <c r="B262" s="47" t="s">
        <v>110</v>
      </c>
      <c r="C262" s="11">
        <v>2</v>
      </c>
      <c r="D262" s="46" t="s">
        <v>60</v>
      </c>
      <c r="E262" s="46" t="s">
        <v>87</v>
      </c>
      <c r="F262" s="29">
        <v>34</v>
      </c>
      <c r="G262" s="56">
        <v>8401338.4403499365</v>
      </c>
      <c r="H262" s="56">
        <v>18634.520800036662</v>
      </c>
      <c r="I262" s="56">
        <v>14640.286643569298</v>
      </c>
      <c r="J262" s="56">
        <v>13501.222638626292</v>
      </c>
    </row>
    <row r="263" spans="1:16" x14ac:dyDescent="0.25">
      <c r="A263" s="52"/>
      <c r="B263" s="47" t="s">
        <v>108</v>
      </c>
      <c r="C263" s="11">
        <v>1</v>
      </c>
      <c r="D263" s="46" t="s">
        <v>60</v>
      </c>
      <c r="E263" s="46" t="s">
        <v>71</v>
      </c>
      <c r="F263" s="29">
        <v>4</v>
      </c>
      <c r="G263" s="56">
        <v>604737.00584671542</v>
      </c>
      <c r="H263" s="56">
        <v>1251.7297848301002</v>
      </c>
      <c r="I263" s="56">
        <v>1221.9395145071642</v>
      </c>
      <c r="J263" s="56">
        <v>1006.1814036368837</v>
      </c>
    </row>
    <row r="264" spans="1:16" s="88" customFormat="1" ht="13" x14ac:dyDescent="0.3">
      <c r="A264" s="98" t="s">
        <v>124</v>
      </c>
      <c r="B264" s="100"/>
      <c r="C264" s="100"/>
      <c r="D264" s="100"/>
      <c r="E264" s="100"/>
      <c r="F264" s="100"/>
      <c r="G264" s="100"/>
      <c r="H264" s="100"/>
      <c r="I264" s="100"/>
      <c r="J264" s="100"/>
      <c r="K264" s="91"/>
      <c r="L264" s="91"/>
      <c r="M264" s="91"/>
      <c r="N264" s="91"/>
      <c r="O264" s="91"/>
      <c r="P264" s="89"/>
    </row>
    <row r="265" spans="1:16" ht="13" x14ac:dyDescent="0.3">
      <c r="A265" s="103" t="s">
        <v>127</v>
      </c>
      <c r="B265" s="101"/>
      <c r="C265" s="101"/>
      <c r="D265" s="101"/>
      <c r="E265" s="101"/>
      <c r="F265" s="101"/>
      <c r="G265" s="101"/>
      <c r="H265" s="101"/>
      <c r="I265" s="101"/>
      <c r="J265" s="101"/>
    </row>
    <row r="266" spans="1:16" s="93" customFormat="1" ht="13" x14ac:dyDescent="0.3">
      <c r="A266" s="99" t="s">
        <v>128</v>
      </c>
      <c r="B266" s="100"/>
      <c r="C266" s="100"/>
      <c r="D266" s="100"/>
      <c r="E266" s="100"/>
      <c r="F266" s="100"/>
      <c r="G266" s="100"/>
      <c r="H266" s="100"/>
      <c r="I266" s="100"/>
      <c r="J266" s="100"/>
    </row>
    <row r="267" spans="1:16" ht="13" x14ac:dyDescent="0.3">
      <c r="A267" s="102" t="str">
        <f>A4</f>
        <v>TEST YEAR ENDING 12/31/2018</v>
      </c>
      <c r="B267" s="101"/>
      <c r="C267" s="101"/>
      <c r="D267" s="101"/>
      <c r="E267" s="101"/>
      <c r="F267" s="101"/>
      <c r="G267" s="101"/>
      <c r="H267" s="101"/>
      <c r="I267" s="101"/>
      <c r="J267" s="101"/>
    </row>
    <row r="268" spans="1:16" ht="13" x14ac:dyDescent="0.3">
      <c r="C268" s="33"/>
      <c r="D268" s="3"/>
      <c r="E268" s="2"/>
      <c r="F268" s="2"/>
      <c r="G268" s="2"/>
      <c r="H268" s="2"/>
      <c r="I268" s="2"/>
      <c r="J268" s="2"/>
    </row>
    <row r="269" spans="1:16" ht="13" x14ac:dyDescent="0.3">
      <c r="C269" s="8"/>
      <c r="D269" s="9"/>
      <c r="E269" s="36" t="s">
        <v>49</v>
      </c>
      <c r="F269" s="2"/>
      <c r="G269" s="51"/>
      <c r="H269" s="51"/>
      <c r="I269" s="51"/>
      <c r="J269" s="51"/>
    </row>
    <row r="270" spans="1:16" ht="78" x14ac:dyDescent="0.3">
      <c r="A270" s="28" t="s">
        <v>40</v>
      </c>
      <c r="B270" s="8" t="s">
        <v>65</v>
      </c>
      <c r="C270" s="8" t="s">
        <v>41</v>
      </c>
      <c r="D270" s="38" t="s">
        <v>89</v>
      </c>
      <c r="E270" s="38" t="s">
        <v>90</v>
      </c>
      <c r="F270" s="38" t="s">
        <v>91</v>
      </c>
      <c r="G270" s="38" t="s">
        <v>92</v>
      </c>
      <c r="H270" s="38" t="s">
        <v>93</v>
      </c>
      <c r="I270" s="38" t="s">
        <v>94</v>
      </c>
      <c r="J270" s="38" t="s">
        <v>95</v>
      </c>
    </row>
    <row r="271" spans="1:16" ht="13" x14ac:dyDescent="0.3">
      <c r="A271" s="28"/>
      <c r="B271" s="28"/>
      <c r="C271" s="8"/>
      <c r="D271" s="22"/>
      <c r="E271" s="22"/>
      <c r="F271" s="22"/>
      <c r="G271" s="22"/>
      <c r="H271" s="22"/>
      <c r="I271" s="22"/>
      <c r="J271" s="22"/>
    </row>
    <row r="272" spans="1:16" x14ac:dyDescent="0.25">
      <c r="A272" s="54" t="s">
        <v>96</v>
      </c>
      <c r="B272" s="47" t="s">
        <v>103</v>
      </c>
      <c r="C272" s="11">
        <v>1</v>
      </c>
      <c r="D272" s="46" t="s">
        <v>59</v>
      </c>
      <c r="E272" s="46" t="s">
        <v>64</v>
      </c>
      <c r="F272" s="29">
        <v>72</v>
      </c>
      <c r="G272" s="56">
        <v>189994611.70279774</v>
      </c>
      <c r="H272" s="56">
        <v>984900.21870947734</v>
      </c>
      <c r="I272" s="56">
        <v>486443.35967406665</v>
      </c>
      <c r="J272" s="56">
        <v>472153.6603995504</v>
      </c>
    </row>
    <row r="273" spans="1:10" x14ac:dyDescent="0.25">
      <c r="A273" s="52"/>
      <c r="B273" s="47" t="s">
        <v>103</v>
      </c>
      <c r="C273" s="11">
        <v>2</v>
      </c>
      <c r="D273" s="46" t="s">
        <v>59</v>
      </c>
      <c r="E273" s="46" t="s">
        <v>72</v>
      </c>
      <c r="F273" s="29">
        <v>80</v>
      </c>
      <c r="G273" s="56">
        <v>215563304.67402452</v>
      </c>
      <c r="H273" s="56">
        <v>968843.12397261907</v>
      </c>
      <c r="I273" s="56">
        <v>551926.21893159149</v>
      </c>
      <c r="J273" s="56">
        <v>526851.35396997561</v>
      </c>
    </row>
    <row r="274" spans="1:10" x14ac:dyDescent="0.25">
      <c r="A274" s="52"/>
      <c r="B274" s="47" t="s">
        <v>103</v>
      </c>
      <c r="C274" s="11">
        <v>3</v>
      </c>
      <c r="D274" s="46" t="s">
        <v>59</v>
      </c>
      <c r="E274" s="46" t="s">
        <v>73</v>
      </c>
      <c r="F274" s="29">
        <v>71</v>
      </c>
      <c r="G274" s="56">
        <v>232989893.60770613</v>
      </c>
      <c r="H274" s="56">
        <v>906523.63517717167</v>
      </c>
      <c r="I274" s="56">
        <v>576223.8506336289</v>
      </c>
      <c r="J274" s="56">
        <v>537050.85131296259</v>
      </c>
    </row>
    <row r="275" spans="1:10" x14ac:dyDescent="0.25">
      <c r="A275" s="52"/>
      <c r="B275" s="47" t="s">
        <v>104</v>
      </c>
      <c r="C275" s="11">
        <v>1</v>
      </c>
      <c r="D275" s="46" t="s">
        <v>59</v>
      </c>
      <c r="E275" s="46" t="s">
        <v>66</v>
      </c>
      <c r="F275" s="29">
        <v>48</v>
      </c>
      <c r="G275" s="56">
        <v>131114857.16636227</v>
      </c>
      <c r="H275" s="56">
        <v>667631.47981192172</v>
      </c>
      <c r="I275" s="56">
        <v>323790.93725854054</v>
      </c>
      <c r="J275" s="56">
        <v>300671.42588594765</v>
      </c>
    </row>
    <row r="276" spans="1:10" x14ac:dyDescent="0.25">
      <c r="A276" s="52"/>
      <c r="B276" s="47" t="s">
        <v>104</v>
      </c>
      <c r="C276" s="11">
        <v>2</v>
      </c>
      <c r="D276" s="46" t="s">
        <v>59</v>
      </c>
      <c r="E276" s="46" t="s">
        <v>67</v>
      </c>
      <c r="F276" s="29">
        <v>51</v>
      </c>
      <c r="G276" s="56">
        <v>156611832.72557756</v>
      </c>
      <c r="H276" s="56">
        <v>633415.13751602231</v>
      </c>
      <c r="I276" s="56">
        <v>396695.89502216841</v>
      </c>
      <c r="J276" s="56">
        <v>373922.70508503023</v>
      </c>
    </row>
    <row r="277" spans="1:10" x14ac:dyDescent="0.25">
      <c r="A277" s="52"/>
      <c r="B277" s="47"/>
      <c r="D277" s="29"/>
      <c r="E277" s="29"/>
      <c r="F277" s="29"/>
      <c r="G277" s="53"/>
      <c r="H277" s="53"/>
      <c r="I277" s="53"/>
      <c r="J277" s="53"/>
    </row>
    <row r="278" spans="1:10" x14ac:dyDescent="0.25">
      <c r="A278" s="52" t="s">
        <v>97</v>
      </c>
      <c r="B278" s="47" t="s">
        <v>63</v>
      </c>
      <c r="C278" s="11">
        <v>1</v>
      </c>
      <c r="D278" s="46" t="s">
        <v>59</v>
      </c>
      <c r="E278" s="47" t="s">
        <v>74</v>
      </c>
      <c r="F278" s="11">
        <v>88</v>
      </c>
      <c r="G278" s="56">
        <v>4355343.9009712255</v>
      </c>
      <c r="H278" s="56">
        <v>44037.401542956126</v>
      </c>
      <c r="I278" s="56">
        <v>9537.9837829469125</v>
      </c>
      <c r="J278" s="56">
        <v>4341.8313404565133</v>
      </c>
    </row>
    <row r="279" spans="1:10" x14ac:dyDescent="0.25">
      <c r="A279" s="52" t="s">
        <v>98</v>
      </c>
      <c r="B279" s="47" t="s">
        <v>63</v>
      </c>
      <c r="C279" s="11">
        <v>2</v>
      </c>
      <c r="D279" s="46" t="s">
        <v>59</v>
      </c>
      <c r="E279" s="46" t="s">
        <v>75</v>
      </c>
      <c r="F279" s="29">
        <v>53</v>
      </c>
      <c r="G279" s="56">
        <v>5859550.1543431953</v>
      </c>
      <c r="H279" s="56">
        <v>33309.674328211644</v>
      </c>
      <c r="I279" s="56">
        <v>16569.285773871597</v>
      </c>
      <c r="J279" s="56">
        <v>10862.287376969483</v>
      </c>
    </row>
    <row r="280" spans="1:10" x14ac:dyDescent="0.25">
      <c r="A280" s="52"/>
      <c r="B280" s="47" t="s">
        <v>63</v>
      </c>
      <c r="C280" s="11">
        <v>3</v>
      </c>
      <c r="D280" s="46" t="s">
        <v>59</v>
      </c>
      <c r="E280" s="46" t="s">
        <v>76</v>
      </c>
      <c r="F280" s="29">
        <v>44</v>
      </c>
      <c r="G280" s="56">
        <v>6598169.7946838867</v>
      </c>
      <c r="H280" s="56">
        <v>28840.493902758029</v>
      </c>
      <c r="I280" s="56">
        <v>18252.955632413741</v>
      </c>
      <c r="J280" s="56">
        <v>12493.216823940344</v>
      </c>
    </row>
    <row r="281" spans="1:10" x14ac:dyDescent="0.25">
      <c r="A281" s="52"/>
      <c r="B281" s="47" t="s">
        <v>63</v>
      </c>
      <c r="C281" s="11">
        <v>4</v>
      </c>
      <c r="D281" s="46" t="s">
        <v>59</v>
      </c>
      <c r="E281" s="46" t="s">
        <v>77</v>
      </c>
      <c r="F281" s="29">
        <v>52</v>
      </c>
      <c r="G281" s="56">
        <v>7597697.6418712214</v>
      </c>
      <c r="H281" s="56">
        <v>24482.861202370939</v>
      </c>
      <c r="I281" s="56">
        <v>16634.674324187166</v>
      </c>
      <c r="J281" s="56">
        <v>13288.167427764307</v>
      </c>
    </row>
    <row r="282" spans="1:10" x14ac:dyDescent="0.25">
      <c r="A282" s="52"/>
      <c r="B282" s="47" t="s">
        <v>63</v>
      </c>
      <c r="C282" s="11">
        <v>5</v>
      </c>
      <c r="D282" s="46" t="s">
        <v>59</v>
      </c>
      <c r="E282" s="46" t="s">
        <v>78</v>
      </c>
      <c r="F282" s="29">
        <v>39</v>
      </c>
      <c r="G282" s="56">
        <v>8372672.8093725871</v>
      </c>
      <c r="H282" s="56">
        <v>20577.464701244</v>
      </c>
      <c r="I282" s="56">
        <v>14907.303262255034</v>
      </c>
      <c r="J282" s="56">
        <v>13717.306501197851</v>
      </c>
    </row>
    <row r="283" spans="1:10" x14ac:dyDescent="0.25">
      <c r="A283" s="52"/>
      <c r="B283" s="47" t="s">
        <v>105</v>
      </c>
      <c r="C283" s="11">
        <v>1</v>
      </c>
      <c r="D283" s="46" t="s">
        <v>59</v>
      </c>
      <c r="E283" s="46" t="s">
        <v>79</v>
      </c>
      <c r="F283" s="29">
        <v>89</v>
      </c>
      <c r="G283" s="56">
        <v>112876.89186653392</v>
      </c>
      <c r="H283" s="56">
        <v>1242.4063931090154</v>
      </c>
      <c r="I283" s="56">
        <v>405.57376648131492</v>
      </c>
      <c r="J283" s="56">
        <v>85.186957079012515</v>
      </c>
    </row>
    <row r="284" spans="1:10" x14ac:dyDescent="0.25">
      <c r="A284" s="52"/>
      <c r="B284" s="47" t="s">
        <v>105</v>
      </c>
      <c r="C284" s="11">
        <v>2</v>
      </c>
      <c r="D284" s="46" t="s">
        <v>59</v>
      </c>
      <c r="E284" s="46" t="s">
        <v>80</v>
      </c>
      <c r="F284" s="29">
        <v>45</v>
      </c>
      <c r="G284" s="56">
        <v>123529.24404834765</v>
      </c>
      <c r="H284" s="56">
        <v>565.04493715705428</v>
      </c>
      <c r="I284" s="56">
        <v>301.07657714989904</v>
      </c>
      <c r="J284" s="56">
        <v>196.44492367575859</v>
      </c>
    </row>
    <row r="285" spans="1:10" x14ac:dyDescent="0.25">
      <c r="A285" s="52"/>
      <c r="B285" s="47"/>
      <c r="D285" s="29"/>
      <c r="E285" s="29"/>
      <c r="F285" s="29"/>
      <c r="G285" s="53"/>
      <c r="H285" s="53"/>
      <c r="I285" s="53"/>
      <c r="J285" s="53"/>
    </row>
    <row r="286" spans="1:10" x14ac:dyDescent="0.25">
      <c r="A286" s="52" t="s">
        <v>99</v>
      </c>
      <c r="B286" s="47" t="s">
        <v>106</v>
      </c>
      <c r="C286" s="11">
        <v>1</v>
      </c>
      <c r="D286" s="46" t="s">
        <v>60</v>
      </c>
      <c r="E286" s="46" t="s">
        <v>81</v>
      </c>
      <c r="F286" s="29">
        <v>138</v>
      </c>
      <c r="G286" s="56">
        <v>75305446.718718499</v>
      </c>
      <c r="H286" s="56">
        <v>311423.20299053215</v>
      </c>
      <c r="I286" s="56">
        <v>182833.08186049788</v>
      </c>
      <c r="J286" s="56">
        <v>143559.78407799848</v>
      </c>
    </row>
    <row r="287" spans="1:10" x14ac:dyDescent="0.25">
      <c r="A287" s="52" t="s">
        <v>100</v>
      </c>
      <c r="B287" s="47" t="s">
        <v>106</v>
      </c>
      <c r="C287" s="11">
        <v>2</v>
      </c>
      <c r="D287" s="46" t="s">
        <v>60</v>
      </c>
      <c r="E287" s="47" t="s">
        <v>82</v>
      </c>
      <c r="F287" s="11">
        <v>73</v>
      </c>
      <c r="G287" s="56">
        <v>105762075.7787561</v>
      </c>
      <c r="H287" s="56">
        <v>382727.96994706197</v>
      </c>
      <c r="I287" s="56">
        <v>248595.60352823103</v>
      </c>
      <c r="J287" s="56">
        <v>197682.12074047278</v>
      </c>
    </row>
    <row r="288" spans="1:10" x14ac:dyDescent="0.25">
      <c r="A288" s="55"/>
      <c r="B288" s="47" t="s">
        <v>106</v>
      </c>
      <c r="C288" s="11">
        <v>3</v>
      </c>
      <c r="D288" s="46" t="s">
        <v>60</v>
      </c>
      <c r="E288" s="48" t="s">
        <v>83</v>
      </c>
      <c r="F288" s="23">
        <v>91</v>
      </c>
      <c r="G288" s="56">
        <v>167496533.79462627</v>
      </c>
      <c r="H288" s="56">
        <v>481897.52807980549</v>
      </c>
      <c r="I288" s="56">
        <v>337619.0254783486</v>
      </c>
      <c r="J288" s="56">
        <v>303119.78319262963</v>
      </c>
    </row>
    <row r="289" spans="1:14" x14ac:dyDescent="0.25">
      <c r="A289" s="52"/>
      <c r="B289" s="47" t="s">
        <v>106</v>
      </c>
      <c r="C289" s="11">
        <v>4</v>
      </c>
      <c r="D289" s="46" t="s">
        <v>60</v>
      </c>
      <c r="E289" s="46" t="s">
        <v>84</v>
      </c>
      <c r="F289" s="29">
        <v>109</v>
      </c>
      <c r="G289" s="56">
        <v>239594966.58614975</v>
      </c>
      <c r="H289" s="56">
        <v>651669.87020686828</v>
      </c>
      <c r="I289" s="56">
        <v>517062.47590888728</v>
      </c>
      <c r="J289" s="56">
        <v>328680.57522372529</v>
      </c>
    </row>
    <row r="290" spans="1:14" x14ac:dyDescent="0.25">
      <c r="A290" s="52"/>
      <c r="B290" s="47" t="s">
        <v>107</v>
      </c>
      <c r="C290" s="11">
        <v>1</v>
      </c>
      <c r="D290" s="46" t="s">
        <v>60</v>
      </c>
      <c r="E290" s="46" t="s">
        <v>68</v>
      </c>
      <c r="F290" s="29">
        <v>7</v>
      </c>
      <c r="G290" s="56">
        <v>384952.52018734271</v>
      </c>
      <c r="H290" s="56">
        <v>1557.2890000000002</v>
      </c>
      <c r="I290" s="56">
        <v>1477.4534675219313</v>
      </c>
      <c r="J290" s="56">
        <v>824.08532841292686</v>
      </c>
    </row>
    <row r="291" spans="1:14" x14ac:dyDescent="0.25">
      <c r="A291" s="52"/>
      <c r="B291" s="47" t="s">
        <v>108</v>
      </c>
      <c r="C291" s="11">
        <v>1</v>
      </c>
      <c r="D291" s="46" t="s">
        <v>60</v>
      </c>
      <c r="E291" s="46" t="s">
        <v>85</v>
      </c>
      <c r="F291" s="29">
        <v>134</v>
      </c>
      <c r="G291" s="56">
        <v>4120187.3503193967</v>
      </c>
      <c r="H291" s="56">
        <v>15625.535472308833</v>
      </c>
      <c r="I291" s="56">
        <v>8508.6692346713171</v>
      </c>
      <c r="J291" s="56">
        <v>7723.9280976105601</v>
      </c>
    </row>
    <row r="292" spans="1:14" x14ac:dyDescent="0.25">
      <c r="A292" s="52"/>
      <c r="B292" s="47" t="s">
        <v>109</v>
      </c>
      <c r="C292" s="11">
        <v>1</v>
      </c>
      <c r="D292" s="46" t="s">
        <v>60</v>
      </c>
      <c r="E292" s="46" t="s">
        <v>69</v>
      </c>
      <c r="F292" s="29">
        <v>252</v>
      </c>
      <c r="G292" s="56">
        <v>500214.20954245434</v>
      </c>
      <c r="H292" s="56">
        <v>5663.0015403916359</v>
      </c>
      <c r="I292" s="56">
        <v>1965.6063295673778</v>
      </c>
      <c r="J292" s="56">
        <v>1475.3631232436351</v>
      </c>
    </row>
    <row r="293" spans="1:14" x14ac:dyDescent="0.25">
      <c r="A293" s="52"/>
      <c r="B293" s="47" t="s">
        <v>109</v>
      </c>
      <c r="C293" s="11">
        <v>2</v>
      </c>
      <c r="D293" s="46" t="s">
        <v>60</v>
      </c>
      <c r="E293" s="46" t="s">
        <v>70</v>
      </c>
      <c r="F293" s="29">
        <v>70</v>
      </c>
      <c r="G293" s="56">
        <v>1170966.2966870114</v>
      </c>
      <c r="H293" s="56">
        <v>9846.7170899184766</v>
      </c>
      <c r="I293" s="56">
        <v>4784.4419993208548</v>
      </c>
      <c r="J293" s="56">
        <v>3672.8784098986653</v>
      </c>
    </row>
    <row r="294" spans="1:14" x14ac:dyDescent="0.25">
      <c r="A294" s="52" t="s">
        <v>0</v>
      </c>
      <c r="B294" s="47"/>
      <c r="D294" s="29"/>
      <c r="E294" s="29"/>
      <c r="F294" s="29"/>
      <c r="G294" s="53"/>
      <c r="H294" s="53"/>
      <c r="I294" s="53"/>
      <c r="J294" s="53"/>
    </row>
    <row r="295" spans="1:14" s="41" customFormat="1" x14ac:dyDescent="0.25">
      <c r="A295" s="52" t="s">
        <v>101</v>
      </c>
      <c r="B295" s="47" t="s">
        <v>110</v>
      </c>
      <c r="C295" s="11">
        <v>1</v>
      </c>
      <c r="D295" s="46" t="s">
        <v>60</v>
      </c>
      <c r="E295" s="46" t="s">
        <v>86</v>
      </c>
      <c r="F295" s="29">
        <v>118</v>
      </c>
      <c r="G295" s="56">
        <v>6097014.0470692292</v>
      </c>
      <c r="H295" s="56">
        <v>14889.624098200677</v>
      </c>
      <c r="I295" s="56">
        <v>11075.182554725649</v>
      </c>
      <c r="J295" s="56">
        <v>9991.3459808034477</v>
      </c>
      <c r="K295" s="40"/>
      <c r="L295" s="40"/>
      <c r="M295" s="40"/>
    </row>
    <row r="296" spans="1:14" s="41" customFormat="1" x14ac:dyDescent="0.25">
      <c r="A296" s="52" t="s">
        <v>102</v>
      </c>
      <c r="B296" s="47" t="s">
        <v>110</v>
      </c>
      <c r="C296" s="11">
        <v>2</v>
      </c>
      <c r="D296" s="46" t="s">
        <v>60</v>
      </c>
      <c r="E296" s="46" t="s">
        <v>87</v>
      </c>
      <c r="F296" s="29">
        <v>34</v>
      </c>
      <c r="G296" s="56">
        <v>8082294.9552944703</v>
      </c>
      <c r="H296" s="56">
        <v>19474.931924210177</v>
      </c>
      <c r="I296" s="56">
        <v>14939.433811621886</v>
      </c>
      <c r="J296" s="56">
        <v>11672.822945784706</v>
      </c>
      <c r="K296" s="40"/>
      <c r="L296" s="40"/>
      <c r="M296" s="40"/>
    </row>
    <row r="297" spans="1:14" s="41" customFormat="1" x14ac:dyDescent="0.25">
      <c r="A297" s="52"/>
      <c r="B297" s="47" t="s">
        <v>108</v>
      </c>
      <c r="C297" s="11">
        <v>1</v>
      </c>
      <c r="D297" s="46" t="s">
        <v>60</v>
      </c>
      <c r="E297" s="46" t="s">
        <v>71</v>
      </c>
      <c r="F297" s="29">
        <v>4</v>
      </c>
      <c r="G297" s="56">
        <v>232483.21055256485</v>
      </c>
      <c r="H297" s="56">
        <v>1264.4068484112042</v>
      </c>
      <c r="I297" s="56">
        <v>1220.3582254209816</v>
      </c>
      <c r="J297" s="56">
        <v>244.07815244669089</v>
      </c>
    </row>
    <row r="298" spans="1:14" x14ac:dyDescent="0.25">
      <c r="A298" s="21"/>
      <c r="B298" s="21"/>
      <c r="D298" s="29"/>
      <c r="E298" s="29"/>
      <c r="F298" s="29"/>
      <c r="G298" s="29"/>
      <c r="H298" s="30"/>
      <c r="I298" s="32"/>
      <c r="J298" s="32"/>
      <c r="K298" s="2"/>
    </row>
    <row r="299" spans="1:14" ht="13" x14ac:dyDescent="0.3">
      <c r="C299" s="33"/>
      <c r="D299" s="3"/>
      <c r="E299" s="2"/>
      <c r="F299" s="2"/>
      <c r="G299" s="2"/>
      <c r="H299" s="2"/>
      <c r="I299" s="2"/>
      <c r="J299" s="2"/>
      <c r="L299" s="42"/>
      <c r="M299" s="42"/>
      <c r="N299" s="35"/>
    </row>
    <row r="300" spans="1:14" ht="13" x14ac:dyDescent="0.3">
      <c r="C300" s="8"/>
      <c r="D300" s="9"/>
      <c r="E300" s="36" t="s">
        <v>50</v>
      </c>
      <c r="F300" s="2"/>
      <c r="G300" s="51"/>
      <c r="H300" s="51"/>
      <c r="I300" s="51"/>
      <c r="J300" s="51"/>
    </row>
    <row r="301" spans="1:14" ht="78" x14ac:dyDescent="0.3">
      <c r="A301" s="28" t="s">
        <v>40</v>
      </c>
      <c r="B301" s="8" t="s">
        <v>65</v>
      </c>
      <c r="C301" s="8" t="s">
        <v>41</v>
      </c>
      <c r="D301" s="38" t="s">
        <v>89</v>
      </c>
      <c r="E301" s="38" t="s">
        <v>90</v>
      </c>
      <c r="F301" s="38" t="s">
        <v>91</v>
      </c>
      <c r="G301" s="38" t="s">
        <v>92</v>
      </c>
      <c r="H301" s="38" t="s">
        <v>93</v>
      </c>
      <c r="I301" s="38" t="s">
        <v>94</v>
      </c>
      <c r="J301" s="38" t="s">
        <v>95</v>
      </c>
      <c r="L301"/>
      <c r="M301"/>
      <c r="N301" s="44"/>
    </row>
    <row r="302" spans="1:14" ht="13" x14ac:dyDescent="0.3">
      <c r="A302" s="28"/>
      <c r="B302" s="28"/>
      <c r="C302" s="8"/>
      <c r="D302" s="22"/>
      <c r="E302" s="22"/>
      <c r="F302" s="22"/>
      <c r="G302" s="22"/>
      <c r="H302" s="22"/>
      <c r="I302" s="22"/>
      <c r="J302" s="22"/>
      <c r="L302"/>
      <c r="M302"/>
      <c r="N302" s="44"/>
    </row>
    <row r="303" spans="1:14" x14ac:dyDescent="0.25">
      <c r="A303" s="54" t="s">
        <v>96</v>
      </c>
      <c r="B303" s="47" t="s">
        <v>103</v>
      </c>
      <c r="C303" s="11">
        <v>1</v>
      </c>
      <c r="D303" s="46" t="s">
        <v>59</v>
      </c>
      <c r="E303" s="46" t="s">
        <v>64</v>
      </c>
      <c r="F303" s="29">
        <v>72</v>
      </c>
      <c r="G303" s="56">
        <v>149291634.49399388</v>
      </c>
      <c r="H303" s="56">
        <v>998476.33187512215</v>
      </c>
      <c r="I303" s="56">
        <v>407793.4345548476</v>
      </c>
      <c r="J303" s="56">
        <v>340465.61787951743</v>
      </c>
      <c r="L303"/>
      <c r="M303"/>
      <c r="N303" s="44"/>
    </row>
    <row r="304" spans="1:14" x14ac:dyDescent="0.25">
      <c r="A304" s="52"/>
      <c r="B304" s="47" t="s">
        <v>103</v>
      </c>
      <c r="C304" s="11">
        <v>2</v>
      </c>
      <c r="D304" s="46" t="s">
        <v>59</v>
      </c>
      <c r="E304" s="46" t="s">
        <v>72</v>
      </c>
      <c r="F304" s="29">
        <v>80</v>
      </c>
      <c r="G304" s="56">
        <v>168517633.85383034</v>
      </c>
      <c r="H304" s="56">
        <v>970166.26633646584</v>
      </c>
      <c r="I304" s="56">
        <v>515893.1552604952</v>
      </c>
      <c r="J304" s="56">
        <v>416207.66427901958</v>
      </c>
      <c r="L304"/>
      <c r="M304"/>
      <c r="N304" s="44"/>
    </row>
    <row r="305" spans="1:14" x14ac:dyDescent="0.25">
      <c r="A305" s="52"/>
      <c r="B305" s="47" t="s">
        <v>103</v>
      </c>
      <c r="C305" s="11">
        <v>3</v>
      </c>
      <c r="D305" s="46" t="s">
        <v>59</v>
      </c>
      <c r="E305" s="46" t="s">
        <v>73</v>
      </c>
      <c r="F305" s="29">
        <v>71</v>
      </c>
      <c r="G305" s="56">
        <v>187064440.05482665</v>
      </c>
      <c r="H305" s="56">
        <v>917162.965812832</v>
      </c>
      <c r="I305" s="56">
        <v>507094.29282744409</v>
      </c>
      <c r="J305" s="56">
        <v>454626.34629500151</v>
      </c>
      <c r="L305"/>
      <c r="M305"/>
      <c r="N305" s="44"/>
    </row>
    <row r="306" spans="1:14" x14ac:dyDescent="0.25">
      <c r="A306" s="52"/>
      <c r="B306" s="47" t="s">
        <v>104</v>
      </c>
      <c r="C306" s="11">
        <v>1</v>
      </c>
      <c r="D306" s="46" t="s">
        <v>59</v>
      </c>
      <c r="E306" s="46" t="s">
        <v>66</v>
      </c>
      <c r="F306" s="29">
        <v>48</v>
      </c>
      <c r="G306" s="56">
        <v>104824522.42267138</v>
      </c>
      <c r="H306" s="56">
        <v>703644.95981623896</v>
      </c>
      <c r="I306" s="56">
        <v>288153.5299100806</v>
      </c>
      <c r="J306" s="56">
        <v>258452.77252856098</v>
      </c>
      <c r="L306"/>
      <c r="M306"/>
      <c r="N306" s="44"/>
    </row>
    <row r="307" spans="1:14" x14ac:dyDescent="0.25">
      <c r="A307" s="52"/>
      <c r="B307" s="47" t="s">
        <v>104</v>
      </c>
      <c r="C307" s="11">
        <v>2</v>
      </c>
      <c r="D307" s="46" t="s">
        <v>59</v>
      </c>
      <c r="E307" s="46" t="s">
        <v>67</v>
      </c>
      <c r="F307" s="29">
        <v>51</v>
      </c>
      <c r="G307" s="56">
        <v>127454968.52291672</v>
      </c>
      <c r="H307" s="56">
        <v>630057.57034487731</v>
      </c>
      <c r="I307" s="56">
        <v>335390.27778418077</v>
      </c>
      <c r="J307" s="56">
        <v>291976.80207920325</v>
      </c>
      <c r="L307"/>
      <c r="M307"/>
      <c r="N307" s="44"/>
    </row>
    <row r="308" spans="1:14" x14ac:dyDescent="0.25">
      <c r="A308" s="52"/>
      <c r="B308" s="47"/>
      <c r="D308" s="29"/>
      <c r="E308" s="29"/>
      <c r="F308" s="29"/>
      <c r="G308" s="56"/>
      <c r="H308" s="53"/>
      <c r="I308" s="53"/>
      <c r="J308" s="53"/>
      <c r="L308"/>
      <c r="M308"/>
      <c r="N308" s="44"/>
    </row>
    <row r="309" spans="1:14" x14ac:dyDescent="0.25">
      <c r="A309" s="52" t="s">
        <v>97</v>
      </c>
      <c r="B309" s="47" t="s">
        <v>63</v>
      </c>
      <c r="C309" s="11">
        <v>1</v>
      </c>
      <c r="D309" s="46" t="s">
        <v>59</v>
      </c>
      <c r="E309" s="47" t="s">
        <v>74</v>
      </c>
      <c r="F309" s="11">
        <v>88</v>
      </c>
      <c r="G309" s="56">
        <v>4683162.5627391255</v>
      </c>
      <c r="H309" s="56">
        <v>42064.085203517578</v>
      </c>
      <c r="I309" s="56">
        <v>10971.43007082837</v>
      </c>
      <c r="J309" s="56">
        <v>8341.7193279960138</v>
      </c>
      <c r="K309"/>
      <c r="L309"/>
      <c r="M309"/>
      <c r="N309" s="44"/>
    </row>
    <row r="310" spans="1:14" x14ac:dyDescent="0.25">
      <c r="A310" s="52" t="s">
        <v>98</v>
      </c>
      <c r="B310" s="47" t="s">
        <v>63</v>
      </c>
      <c r="C310" s="11">
        <v>2</v>
      </c>
      <c r="D310" s="46" t="s">
        <v>59</v>
      </c>
      <c r="E310" s="46" t="s">
        <v>75</v>
      </c>
      <c r="F310" s="29">
        <v>53</v>
      </c>
      <c r="G310" s="56">
        <v>5385884.0379777225</v>
      </c>
      <c r="H310" s="56">
        <v>35241.564686573685</v>
      </c>
      <c r="I310" s="56">
        <v>15990.949673726258</v>
      </c>
      <c r="J310" s="56">
        <v>13503.888857739274</v>
      </c>
      <c r="K310"/>
      <c r="L310"/>
      <c r="M310"/>
      <c r="N310" s="44"/>
    </row>
    <row r="311" spans="1:14" x14ac:dyDescent="0.25">
      <c r="A311" s="52"/>
      <c r="B311" s="47" t="s">
        <v>63</v>
      </c>
      <c r="C311" s="11">
        <v>3</v>
      </c>
      <c r="D311" s="46" t="s">
        <v>59</v>
      </c>
      <c r="E311" s="46" t="s">
        <v>76</v>
      </c>
      <c r="F311" s="29">
        <v>44</v>
      </c>
      <c r="G311" s="56">
        <v>5619028.5373020573</v>
      </c>
      <c r="H311" s="56">
        <v>28658.889235074243</v>
      </c>
      <c r="I311" s="56">
        <v>17955.700364936311</v>
      </c>
      <c r="J311" s="56">
        <v>15141.28014166594</v>
      </c>
      <c r="K311"/>
      <c r="L311"/>
      <c r="M311"/>
      <c r="N311" s="44"/>
    </row>
    <row r="312" spans="1:14" x14ac:dyDescent="0.25">
      <c r="A312" s="52"/>
      <c r="B312" s="47" t="s">
        <v>63</v>
      </c>
      <c r="C312" s="11">
        <v>4</v>
      </c>
      <c r="D312" s="46" t="s">
        <v>59</v>
      </c>
      <c r="E312" s="46" t="s">
        <v>77</v>
      </c>
      <c r="F312" s="29">
        <v>52</v>
      </c>
      <c r="G312" s="56">
        <v>6775490.3288285024</v>
      </c>
      <c r="H312" s="56">
        <v>24737.260350800872</v>
      </c>
      <c r="I312" s="56">
        <v>16211.193703533854</v>
      </c>
      <c r="J312" s="56">
        <v>14724.797539091071</v>
      </c>
      <c r="K312"/>
      <c r="L312"/>
      <c r="M312"/>
      <c r="N312" s="44"/>
    </row>
    <row r="313" spans="1:14" x14ac:dyDescent="0.25">
      <c r="A313" s="52"/>
      <c r="B313" s="47" t="s">
        <v>63</v>
      </c>
      <c r="C313" s="11">
        <v>5</v>
      </c>
      <c r="D313" s="46" t="s">
        <v>59</v>
      </c>
      <c r="E313" s="46" t="s">
        <v>78</v>
      </c>
      <c r="F313" s="29">
        <v>39</v>
      </c>
      <c r="G313" s="56">
        <v>7942092.671358983</v>
      </c>
      <c r="H313" s="56">
        <v>20177.79576696713</v>
      </c>
      <c r="I313" s="56">
        <v>14583.715055406943</v>
      </c>
      <c r="J313" s="56">
        <v>13312.029981302878</v>
      </c>
      <c r="K313"/>
      <c r="L313"/>
      <c r="M313"/>
      <c r="N313" s="44"/>
    </row>
    <row r="314" spans="1:14" x14ac:dyDescent="0.25">
      <c r="A314" s="52"/>
      <c r="B314" s="47" t="s">
        <v>105</v>
      </c>
      <c r="C314" s="11">
        <v>1</v>
      </c>
      <c r="D314" s="46" t="s">
        <v>59</v>
      </c>
      <c r="E314" s="46" t="s">
        <v>79</v>
      </c>
      <c r="F314" s="29">
        <v>89</v>
      </c>
      <c r="G314" s="56">
        <v>93099.377606633032</v>
      </c>
      <c r="H314" s="56">
        <v>951.2542654291268</v>
      </c>
      <c r="I314" s="56">
        <v>290.33014339657149</v>
      </c>
      <c r="J314" s="56">
        <v>119.2521386756692</v>
      </c>
      <c r="K314"/>
      <c r="L314"/>
      <c r="M314"/>
      <c r="N314" s="44"/>
    </row>
    <row r="315" spans="1:14" x14ac:dyDescent="0.25">
      <c r="A315" s="52"/>
      <c r="B315" s="47" t="s">
        <v>105</v>
      </c>
      <c r="C315" s="11">
        <v>2</v>
      </c>
      <c r="D315" s="46" t="s">
        <v>59</v>
      </c>
      <c r="E315" s="46" t="s">
        <v>80</v>
      </c>
      <c r="F315" s="29">
        <v>45</v>
      </c>
      <c r="G315" s="56">
        <v>113181.05622906654</v>
      </c>
      <c r="H315" s="56">
        <v>520.59211718070469</v>
      </c>
      <c r="I315" s="56">
        <v>234.73027628266436</v>
      </c>
      <c r="J315" s="56">
        <v>161.68308087880203</v>
      </c>
      <c r="K315"/>
      <c r="L315"/>
      <c r="M315"/>
      <c r="N315" s="44"/>
    </row>
    <row r="316" spans="1:14" x14ac:dyDescent="0.25">
      <c r="A316" s="52"/>
      <c r="B316" s="47"/>
      <c r="D316" s="29"/>
      <c r="E316" s="29"/>
      <c r="F316" s="29"/>
      <c r="G316" s="56"/>
      <c r="H316" s="53"/>
      <c r="I316" s="53"/>
      <c r="J316" s="53"/>
      <c r="K316"/>
      <c r="L316"/>
      <c r="M316"/>
      <c r="N316" s="44"/>
    </row>
    <row r="317" spans="1:14" x14ac:dyDescent="0.25">
      <c r="A317" s="52" t="s">
        <v>99</v>
      </c>
      <c r="B317" s="47" t="s">
        <v>106</v>
      </c>
      <c r="C317" s="11">
        <v>1</v>
      </c>
      <c r="D317" s="46" t="s">
        <v>60</v>
      </c>
      <c r="E317" s="46" t="s">
        <v>81</v>
      </c>
      <c r="F317" s="29">
        <v>138</v>
      </c>
      <c r="G317" s="56">
        <v>65477485.609791756</v>
      </c>
      <c r="H317" s="56">
        <v>292804.13105032768</v>
      </c>
      <c r="I317" s="56">
        <v>172969.54781548251</v>
      </c>
      <c r="J317" s="56">
        <v>162451.93469794543</v>
      </c>
      <c r="K317"/>
      <c r="L317"/>
      <c r="M317"/>
      <c r="N317" s="44"/>
    </row>
    <row r="318" spans="1:14" x14ac:dyDescent="0.25">
      <c r="A318" s="52" t="s">
        <v>100</v>
      </c>
      <c r="B318" s="47" t="s">
        <v>106</v>
      </c>
      <c r="C318" s="11">
        <v>2</v>
      </c>
      <c r="D318" s="46" t="s">
        <v>60</v>
      </c>
      <c r="E318" s="47" t="s">
        <v>82</v>
      </c>
      <c r="F318" s="11">
        <v>73</v>
      </c>
      <c r="G318" s="56">
        <v>93822619.339571387</v>
      </c>
      <c r="H318" s="56">
        <v>362825.53408521734</v>
      </c>
      <c r="I318" s="56">
        <v>237925.99242290723</v>
      </c>
      <c r="J318" s="56">
        <v>224936.05241907391</v>
      </c>
      <c r="K318" s="32"/>
    </row>
    <row r="319" spans="1:14" x14ac:dyDescent="0.25">
      <c r="A319" s="55"/>
      <c r="B319" s="47" t="s">
        <v>106</v>
      </c>
      <c r="C319" s="11">
        <v>3</v>
      </c>
      <c r="D319" s="46" t="s">
        <v>60</v>
      </c>
      <c r="E319" s="48" t="s">
        <v>83</v>
      </c>
      <c r="F319" s="23">
        <v>91</v>
      </c>
      <c r="G319" s="56">
        <v>152064932.54390872</v>
      </c>
      <c r="H319" s="56">
        <v>464905.5633530764</v>
      </c>
      <c r="I319" s="56">
        <v>319191.36254681402</v>
      </c>
      <c r="J319" s="56">
        <v>296988.62860163517</v>
      </c>
      <c r="K319" s="32"/>
    </row>
    <row r="320" spans="1:14" x14ac:dyDescent="0.25">
      <c r="A320" s="52"/>
      <c r="B320" s="47" t="s">
        <v>106</v>
      </c>
      <c r="C320" s="11">
        <v>4</v>
      </c>
      <c r="D320" s="46" t="s">
        <v>60</v>
      </c>
      <c r="E320" s="46" t="s">
        <v>84</v>
      </c>
      <c r="F320" s="29">
        <v>109</v>
      </c>
      <c r="G320" s="56">
        <v>229917402.18187588</v>
      </c>
      <c r="H320" s="56">
        <v>658562.30803549825</v>
      </c>
      <c r="I320" s="56">
        <v>504254.43469403539</v>
      </c>
      <c r="J320" s="56">
        <v>451525.68141205242</v>
      </c>
      <c r="K320" s="32"/>
    </row>
    <row r="321" spans="1:16" x14ac:dyDescent="0.25">
      <c r="A321" s="52"/>
      <c r="B321" s="47" t="s">
        <v>107</v>
      </c>
      <c r="C321" s="11">
        <v>1</v>
      </c>
      <c r="D321" s="46" t="s">
        <v>60</v>
      </c>
      <c r="E321" s="46" t="s">
        <v>68</v>
      </c>
      <c r="F321" s="29">
        <v>7</v>
      </c>
      <c r="G321" s="56">
        <v>317694.55572776555</v>
      </c>
      <c r="H321" s="56">
        <v>928.22780000000023</v>
      </c>
      <c r="I321" s="56">
        <v>912.63770795563141</v>
      </c>
      <c r="J321" s="56">
        <v>341.9934157488006</v>
      </c>
      <c r="K321" s="32"/>
    </row>
    <row r="322" spans="1:16" x14ac:dyDescent="0.25">
      <c r="A322" s="52"/>
      <c r="B322" s="47" t="s">
        <v>108</v>
      </c>
      <c r="C322" s="11">
        <v>1</v>
      </c>
      <c r="D322" s="46" t="s">
        <v>60</v>
      </c>
      <c r="E322" s="46" t="s">
        <v>85</v>
      </c>
      <c r="F322" s="29">
        <v>134</v>
      </c>
      <c r="G322" s="56">
        <v>3687034.9759305269</v>
      </c>
      <c r="H322" s="56">
        <v>15356.368402743017</v>
      </c>
      <c r="I322" s="56">
        <v>8226.0042213305969</v>
      </c>
      <c r="J322" s="56">
        <v>5962.1298534363714</v>
      </c>
      <c r="K322" s="32"/>
    </row>
    <row r="323" spans="1:16" s="41" customFormat="1" x14ac:dyDescent="0.25">
      <c r="A323" s="52"/>
      <c r="B323" s="47" t="s">
        <v>109</v>
      </c>
      <c r="C323" s="11">
        <v>1</v>
      </c>
      <c r="D323" s="46" t="s">
        <v>60</v>
      </c>
      <c r="E323" s="46" t="s">
        <v>69</v>
      </c>
      <c r="F323" s="29">
        <v>252</v>
      </c>
      <c r="G323" s="56">
        <v>303073.18042398372</v>
      </c>
      <c r="H323" s="56">
        <v>2939.0175178005861</v>
      </c>
      <c r="I323" s="56">
        <v>827.78660811726729</v>
      </c>
      <c r="J323" s="56">
        <v>404.37309482963838</v>
      </c>
      <c r="K323" s="2"/>
      <c r="L323" s="40"/>
      <c r="M323" s="40"/>
      <c r="N323" s="40"/>
    </row>
    <row r="324" spans="1:16" s="41" customFormat="1" x14ac:dyDescent="0.25">
      <c r="A324" s="52"/>
      <c r="B324" s="47" t="s">
        <v>109</v>
      </c>
      <c r="C324" s="11">
        <v>2</v>
      </c>
      <c r="D324" s="46" t="s">
        <v>60</v>
      </c>
      <c r="E324" s="46" t="s">
        <v>70</v>
      </c>
      <c r="F324" s="29">
        <v>70</v>
      </c>
      <c r="G324" s="56">
        <v>657023.7384999888</v>
      </c>
      <c r="H324" s="56">
        <v>6695.9137706139145</v>
      </c>
      <c r="I324" s="56">
        <v>1952.3128232494398</v>
      </c>
      <c r="J324" s="56">
        <v>1001.8435553061145</v>
      </c>
      <c r="K324" s="2"/>
      <c r="L324" s="40"/>
      <c r="M324" s="40"/>
      <c r="N324" s="40"/>
    </row>
    <row r="325" spans="1:16" s="41" customFormat="1" x14ac:dyDescent="0.25">
      <c r="A325" s="52" t="s">
        <v>0</v>
      </c>
      <c r="B325" s="47"/>
      <c r="C325" s="11"/>
      <c r="D325" s="29"/>
      <c r="E325" s="29"/>
      <c r="F325" s="29"/>
      <c r="G325" s="56"/>
      <c r="H325" s="53"/>
      <c r="I325" s="53"/>
      <c r="J325" s="53"/>
      <c r="K325" s="2"/>
    </row>
    <row r="326" spans="1:16" x14ac:dyDescent="0.25">
      <c r="A326" s="52" t="s">
        <v>101</v>
      </c>
      <c r="B326" s="47" t="s">
        <v>110</v>
      </c>
      <c r="C326" s="11">
        <v>1</v>
      </c>
      <c r="D326" s="46" t="s">
        <v>60</v>
      </c>
      <c r="E326" s="46" t="s">
        <v>86</v>
      </c>
      <c r="F326" s="29">
        <v>118</v>
      </c>
      <c r="G326" s="56">
        <v>5740424.0836716332</v>
      </c>
      <c r="H326" s="56">
        <v>14604.664354489558</v>
      </c>
      <c r="I326" s="56">
        <v>10898.447554491368</v>
      </c>
      <c r="J326" s="56">
        <v>10204.033890937193</v>
      </c>
      <c r="K326" s="2"/>
    </row>
    <row r="327" spans="1:16" ht="13" x14ac:dyDescent="0.3">
      <c r="A327" s="52" t="s">
        <v>102</v>
      </c>
      <c r="B327" s="47" t="s">
        <v>110</v>
      </c>
      <c r="C327" s="11">
        <v>2</v>
      </c>
      <c r="D327" s="46" t="s">
        <v>60</v>
      </c>
      <c r="E327" s="46" t="s">
        <v>87</v>
      </c>
      <c r="F327" s="29">
        <v>34</v>
      </c>
      <c r="G327" s="56">
        <v>8145942.8911903054</v>
      </c>
      <c r="H327" s="56">
        <v>19806.220796561818</v>
      </c>
      <c r="I327" s="56">
        <v>14881.610264227145</v>
      </c>
      <c r="J327" s="56">
        <v>14459.323456610837</v>
      </c>
      <c r="K327" s="1"/>
      <c r="L327" s="2"/>
      <c r="M327" s="2"/>
      <c r="N327" s="2"/>
    </row>
    <row r="328" spans="1:16" ht="13" x14ac:dyDescent="0.3">
      <c r="A328" s="52"/>
      <c r="B328" s="47" t="s">
        <v>108</v>
      </c>
      <c r="C328" s="11">
        <v>1</v>
      </c>
      <c r="D328" s="46" t="s">
        <v>60</v>
      </c>
      <c r="E328" s="46" t="s">
        <v>71</v>
      </c>
      <c r="F328" s="29">
        <v>4</v>
      </c>
      <c r="G328" s="56">
        <v>116701.24294574172</v>
      </c>
      <c r="H328" s="56">
        <v>789.14238407913194</v>
      </c>
      <c r="I328" s="56">
        <v>745.80230814127117</v>
      </c>
      <c r="J328" s="56">
        <v>227.66007687286654</v>
      </c>
      <c r="L328" s="1"/>
      <c r="M328" s="1"/>
      <c r="N328" s="34"/>
    </row>
    <row r="329" spans="1:16" s="88" customFormat="1" ht="13" x14ac:dyDescent="0.3">
      <c r="A329" s="98" t="s">
        <v>124</v>
      </c>
      <c r="B329" s="100"/>
      <c r="C329" s="100"/>
      <c r="D329" s="100"/>
      <c r="E329" s="100"/>
      <c r="F329" s="100"/>
      <c r="G329" s="100"/>
      <c r="H329" s="100"/>
      <c r="I329" s="100"/>
      <c r="J329" s="100"/>
      <c r="K329" s="91"/>
      <c r="L329" s="91"/>
      <c r="M329" s="91"/>
      <c r="N329" s="91"/>
      <c r="O329" s="91"/>
      <c r="P329" s="89"/>
    </row>
    <row r="330" spans="1:16" ht="13" x14ac:dyDescent="0.3">
      <c r="A330" s="103" t="s">
        <v>127</v>
      </c>
      <c r="B330" s="101"/>
      <c r="C330" s="101"/>
      <c r="D330" s="101"/>
      <c r="E330" s="101"/>
      <c r="F330" s="101"/>
      <c r="G330" s="101"/>
      <c r="H330" s="101"/>
      <c r="I330" s="101"/>
      <c r="J330" s="101"/>
    </row>
    <row r="331" spans="1:16" s="93" customFormat="1" ht="13" x14ac:dyDescent="0.3">
      <c r="A331" s="99" t="s">
        <v>128</v>
      </c>
      <c r="B331" s="100"/>
      <c r="C331" s="100"/>
      <c r="D331" s="100"/>
      <c r="E331" s="100"/>
      <c r="F331" s="100"/>
      <c r="G331" s="100"/>
      <c r="H331" s="100"/>
      <c r="I331" s="100"/>
      <c r="J331" s="100"/>
    </row>
    <row r="332" spans="1:16" ht="13" x14ac:dyDescent="0.3">
      <c r="A332" s="102" t="str">
        <f>A71</f>
        <v>TEST YEAR ENDING 12/31/2018</v>
      </c>
      <c r="B332" s="101"/>
      <c r="C332" s="101"/>
      <c r="D332" s="101"/>
      <c r="E332" s="101"/>
      <c r="F332" s="101"/>
      <c r="G332" s="101"/>
      <c r="H332" s="101"/>
      <c r="I332" s="101"/>
      <c r="J332" s="101"/>
    </row>
    <row r="333" spans="1:16" ht="13" x14ac:dyDescent="0.3">
      <c r="C333" s="33"/>
      <c r="D333" s="3"/>
      <c r="E333" s="2"/>
      <c r="F333" s="2"/>
      <c r="G333" s="2"/>
      <c r="H333" s="2"/>
      <c r="I333" s="2"/>
      <c r="J333" s="2"/>
      <c r="L333"/>
      <c r="M333"/>
      <c r="N333"/>
    </row>
    <row r="334" spans="1:16" ht="13" x14ac:dyDescent="0.3">
      <c r="C334" s="8"/>
      <c r="D334" s="9"/>
      <c r="E334" s="36" t="s">
        <v>51</v>
      </c>
      <c r="F334" s="2"/>
      <c r="G334" s="51"/>
      <c r="H334" s="51"/>
      <c r="I334" s="51"/>
      <c r="J334" s="51"/>
      <c r="L334"/>
      <c r="M334"/>
      <c r="N334"/>
    </row>
    <row r="335" spans="1:16" ht="78" x14ac:dyDescent="0.3">
      <c r="A335" s="28" t="s">
        <v>40</v>
      </c>
      <c r="B335" s="8" t="s">
        <v>65</v>
      </c>
      <c r="C335" s="8" t="s">
        <v>41</v>
      </c>
      <c r="D335" s="38" t="s">
        <v>89</v>
      </c>
      <c r="E335" s="38" t="s">
        <v>90</v>
      </c>
      <c r="F335" s="38" t="s">
        <v>91</v>
      </c>
      <c r="G335" s="38" t="s">
        <v>92</v>
      </c>
      <c r="H335" s="38" t="s">
        <v>93</v>
      </c>
      <c r="I335" s="38" t="s">
        <v>94</v>
      </c>
      <c r="J335" s="38" t="s">
        <v>95</v>
      </c>
      <c r="L335"/>
      <c r="M335"/>
      <c r="N335"/>
    </row>
    <row r="336" spans="1:16" ht="13" x14ac:dyDescent="0.3">
      <c r="A336" s="28"/>
      <c r="B336" s="28"/>
      <c r="C336" s="8"/>
      <c r="D336" s="22"/>
      <c r="E336" s="22"/>
      <c r="F336" s="22"/>
      <c r="G336" s="22"/>
      <c r="H336" s="22"/>
      <c r="I336" s="22"/>
      <c r="J336" s="22"/>
      <c r="L336"/>
      <c r="M336"/>
      <c r="N336"/>
    </row>
    <row r="337" spans="1:14" x14ac:dyDescent="0.25">
      <c r="A337" s="54" t="s">
        <v>96</v>
      </c>
      <c r="B337" s="47" t="s">
        <v>103</v>
      </c>
      <c r="C337" s="11">
        <v>1</v>
      </c>
      <c r="D337" s="46" t="s">
        <v>59</v>
      </c>
      <c r="E337" s="46" t="s">
        <v>64</v>
      </c>
      <c r="F337" s="29">
        <v>72</v>
      </c>
      <c r="G337" s="56">
        <v>126520192.13554204</v>
      </c>
      <c r="H337" s="56">
        <v>1202618.8956707481</v>
      </c>
      <c r="I337" s="56">
        <v>472862.38819074276</v>
      </c>
      <c r="J337" s="56">
        <v>395086.95772704267</v>
      </c>
      <c r="L337"/>
      <c r="M337"/>
      <c r="N337"/>
    </row>
    <row r="338" spans="1:14" x14ac:dyDescent="0.25">
      <c r="A338" s="52"/>
      <c r="B338" s="47" t="s">
        <v>103</v>
      </c>
      <c r="C338" s="11">
        <v>2</v>
      </c>
      <c r="D338" s="46" t="s">
        <v>59</v>
      </c>
      <c r="E338" s="46" t="s">
        <v>72</v>
      </c>
      <c r="F338" s="29">
        <v>80</v>
      </c>
      <c r="G338" s="56">
        <v>143706730.91453168</v>
      </c>
      <c r="H338" s="56">
        <v>1138887.9213933591</v>
      </c>
      <c r="I338" s="56">
        <v>470641.50093099341</v>
      </c>
      <c r="J338" s="56">
        <v>402665.18412480364</v>
      </c>
      <c r="L338"/>
      <c r="M338"/>
      <c r="N338"/>
    </row>
    <row r="339" spans="1:14" x14ac:dyDescent="0.25">
      <c r="A339" s="52"/>
      <c r="B339" s="47" t="s">
        <v>103</v>
      </c>
      <c r="C339" s="11">
        <v>3</v>
      </c>
      <c r="D339" s="46" t="s">
        <v>59</v>
      </c>
      <c r="E339" s="46" t="s">
        <v>73</v>
      </c>
      <c r="F339" s="29">
        <v>71</v>
      </c>
      <c r="G339" s="56">
        <v>164241005.30340004</v>
      </c>
      <c r="H339" s="56">
        <v>1056786.7361567046</v>
      </c>
      <c r="I339" s="56">
        <v>535392.10868277831</v>
      </c>
      <c r="J339" s="56">
        <v>526532.42254397168</v>
      </c>
      <c r="L339"/>
      <c r="M339"/>
      <c r="N339"/>
    </row>
    <row r="340" spans="1:14" x14ac:dyDescent="0.25">
      <c r="A340" s="52"/>
      <c r="B340" s="47" t="s">
        <v>104</v>
      </c>
      <c r="C340" s="11">
        <v>1</v>
      </c>
      <c r="D340" s="46" t="s">
        <v>59</v>
      </c>
      <c r="E340" s="46" t="s">
        <v>66</v>
      </c>
      <c r="F340" s="29">
        <v>48</v>
      </c>
      <c r="G340" s="56">
        <v>93626609.013523117</v>
      </c>
      <c r="H340" s="56">
        <v>847276.04566890851</v>
      </c>
      <c r="I340" s="56">
        <v>330663.44518273562</v>
      </c>
      <c r="J340" s="56">
        <v>330663.44518273562</v>
      </c>
      <c r="K340"/>
      <c r="L340"/>
      <c r="M340"/>
      <c r="N340"/>
    </row>
    <row r="341" spans="1:14" x14ac:dyDescent="0.25">
      <c r="A341" s="52"/>
      <c r="B341" s="47" t="s">
        <v>104</v>
      </c>
      <c r="C341" s="11">
        <v>2</v>
      </c>
      <c r="D341" s="46" t="s">
        <v>59</v>
      </c>
      <c r="E341" s="46" t="s">
        <v>67</v>
      </c>
      <c r="F341" s="29">
        <v>51</v>
      </c>
      <c r="G341" s="56">
        <v>111259777.09600142</v>
      </c>
      <c r="H341" s="56">
        <v>777406.22846120107</v>
      </c>
      <c r="I341" s="56">
        <v>442511.24851860374</v>
      </c>
      <c r="J341" s="56">
        <v>442511.24851860374</v>
      </c>
      <c r="K341"/>
      <c r="L341"/>
      <c r="M341"/>
      <c r="N341"/>
    </row>
    <row r="342" spans="1:14" x14ac:dyDescent="0.25">
      <c r="A342" s="52"/>
      <c r="B342" s="47"/>
      <c r="D342" s="29"/>
      <c r="E342" s="29"/>
      <c r="F342" s="29"/>
      <c r="G342" s="56"/>
      <c r="H342" s="53"/>
      <c r="I342" s="53"/>
      <c r="J342" s="53"/>
    </row>
    <row r="343" spans="1:14" x14ac:dyDescent="0.25">
      <c r="A343" s="52" t="s">
        <v>97</v>
      </c>
      <c r="B343" s="47" t="s">
        <v>63</v>
      </c>
      <c r="C343" s="11">
        <v>1</v>
      </c>
      <c r="D343" s="46" t="s">
        <v>59</v>
      </c>
      <c r="E343" s="47" t="s">
        <v>74</v>
      </c>
      <c r="F343" s="11">
        <v>88</v>
      </c>
      <c r="G343" s="56">
        <v>3940079.5669315564</v>
      </c>
      <c r="H343" s="56">
        <v>42457.595913608304</v>
      </c>
      <c r="I343" s="56">
        <v>10054.415815644034</v>
      </c>
      <c r="J343" s="56">
        <v>3856.6984303956028</v>
      </c>
    </row>
    <row r="344" spans="1:14" x14ac:dyDescent="0.25">
      <c r="A344" s="52" t="s">
        <v>98</v>
      </c>
      <c r="B344" s="47" t="s">
        <v>63</v>
      </c>
      <c r="C344" s="11">
        <v>2</v>
      </c>
      <c r="D344" s="46" t="s">
        <v>59</v>
      </c>
      <c r="E344" s="46" t="s">
        <v>75</v>
      </c>
      <c r="F344" s="29">
        <v>53</v>
      </c>
      <c r="G344" s="56">
        <v>4491679.9517476</v>
      </c>
      <c r="H344" s="56">
        <v>39778.865215162186</v>
      </c>
      <c r="I344" s="56">
        <v>16268.05250792381</v>
      </c>
      <c r="J344" s="56">
        <v>7231.6407703870846</v>
      </c>
    </row>
    <row r="345" spans="1:14" x14ac:dyDescent="0.25">
      <c r="A345" s="52"/>
      <c r="B345" s="47" t="s">
        <v>63</v>
      </c>
      <c r="C345" s="11">
        <v>3</v>
      </c>
      <c r="D345" s="46" t="s">
        <v>59</v>
      </c>
      <c r="E345" s="46" t="s">
        <v>76</v>
      </c>
      <c r="F345" s="29">
        <v>44</v>
      </c>
      <c r="G345" s="56">
        <v>4861896.3374097254</v>
      </c>
      <c r="H345" s="56">
        <v>30396.529291407285</v>
      </c>
      <c r="I345" s="56">
        <v>14809.349611913603</v>
      </c>
      <c r="J345" s="56">
        <v>9495.4485153484366</v>
      </c>
    </row>
    <row r="346" spans="1:14" x14ac:dyDescent="0.25">
      <c r="A346" s="52"/>
      <c r="B346" s="47" t="s">
        <v>63</v>
      </c>
      <c r="C346" s="11">
        <v>4</v>
      </c>
      <c r="D346" s="46" t="s">
        <v>59</v>
      </c>
      <c r="E346" s="46" t="s">
        <v>77</v>
      </c>
      <c r="F346" s="29">
        <v>52</v>
      </c>
      <c r="G346" s="56">
        <v>5662210.1267153239</v>
      </c>
      <c r="H346" s="56">
        <v>24396.521237705099</v>
      </c>
      <c r="I346" s="56">
        <v>15468.899838252864</v>
      </c>
      <c r="J346" s="56">
        <v>7858.3276399613251</v>
      </c>
    </row>
    <row r="347" spans="1:14" x14ac:dyDescent="0.25">
      <c r="A347" s="52"/>
      <c r="B347" s="47" t="s">
        <v>63</v>
      </c>
      <c r="C347" s="11">
        <v>5</v>
      </c>
      <c r="D347" s="46" t="s">
        <v>59</v>
      </c>
      <c r="E347" s="46" t="s">
        <v>78</v>
      </c>
      <c r="F347" s="29">
        <v>39</v>
      </c>
      <c r="G347" s="56">
        <v>7025575.6672891853</v>
      </c>
      <c r="H347" s="56">
        <v>19545.372294443816</v>
      </c>
      <c r="I347" s="56">
        <v>13420.681466313028</v>
      </c>
      <c r="J347" s="56">
        <v>8599.2021126320597</v>
      </c>
    </row>
    <row r="348" spans="1:14" x14ac:dyDescent="0.25">
      <c r="A348" s="52"/>
      <c r="B348" s="47" t="s">
        <v>105</v>
      </c>
      <c r="C348" s="11">
        <v>1</v>
      </c>
      <c r="D348" s="46" t="s">
        <v>59</v>
      </c>
      <c r="E348" s="46" t="s">
        <v>79</v>
      </c>
      <c r="F348" s="29">
        <v>89</v>
      </c>
      <c r="G348" s="56">
        <v>77933.485169683918</v>
      </c>
      <c r="H348" s="56">
        <v>711.01130460807258</v>
      </c>
      <c r="I348" s="56">
        <v>300.0385921351525</v>
      </c>
      <c r="J348" s="56">
        <v>146.04438479896976</v>
      </c>
    </row>
    <row r="349" spans="1:14" x14ac:dyDescent="0.25">
      <c r="A349" s="52"/>
      <c r="B349" s="47" t="s">
        <v>105</v>
      </c>
      <c r="C349" s="11">
        <v>2</v>
      </c>
      <c r="D349" s="46" t="s">
        <v>59</v>
      </c>
      <c r="E349" s="46" t="s">
        <v>80</v>
      </c>
      <c r="F349" s="29">
        <v>45</v>
      </c>
      <c r="G349" s="56">
        <v>105472.01787252842</v>
      </c>
      <c r="H349" s="56">
        <v>464.08801541909031</v>
      </c>
      <c r="I349" s="56">
        <v>225.0244064947988</v>
      </c>
      <c r="J349" s="56">
        <v>161.11012413718672</v>
      </c>
    </row>
    <row r="350" spans="1:14" x14ac:dyDescent="0.25">
      <c r="A350" s="52"/>
      <c r="B350" s="47"/>
      <c r="D350" s="29"/>
      <c r="E350" s="29"/>
      <c r="F350" s="29"/>
      <c r="G350" s="56"/>
      <c r="H350" s="53"/>
      <c r="I350" s="53"/>
      <c r="J350" s="53"/>
      <c r="K350" s="2"/>
      <c r="L350" s="40"/>
      <c r="M350" s="40"/>
      <c r="N350" s="40"/>
    </row>
    <row r="351" spans="1:14" x14ac:dyDescent="0.25">
      <c r="A351" s="52" t="s">
        <v>99</v>
      </c>
      <c r="B351" s="47" t="s">
        <v>106</v>
      </c>
      <c r="C351" s="11">
        <v>1</v>
      </c>
      <c r="D351" s="46" t="s">
        <v>60</v>
      </c>
      <c r="E351" s="46" t="s">
        <v>81</v>
      </c>
      <c r="F351" s="29">
        <v>138</v>
      </c>
      <c r="G351" s="56">
        <v>55610250.899817854</v>
      </c>
      <c r="H351" s="56">
        <v>339568.39884567325</v>
      </c>
      <c r="I351" s="56">
        <v>165224.21329023602</v>
      </c>
      <c r="J351" s="56">
        <v>109165.44569383824</v>
      </c>
      <c r="K351" s="2"/>
      <c r="L351" s="40"/>
      <c r="M351" s="40"/>
      <c r="N351" s="40"/>
    </row>
    <row r="352" spans="1:14" x14ac:dyDescent="0.25">
      <c r="A352" s="52" t="s">
        <v>100</v>
      </c>
      <c r="B352" s="47" t="s">
        <v>106</v>
      </c>
      <c r="C352" s="11">
        <v>2</v>
      </c>
      <c r="D352" s="46" t="s">
        <v>60</v>
      </c>
      <c r="E352" s="47" t="s">
        <v>82</v>
      </c>
      <c r="F352" s="11">
        <v>73</v>
      </c>
      <c r="G352" s="56">
        <v>77452086.07328935</v>
      </c>
      <c r="H352" s="56">
        <v>387169.00814431749</v>
      </c>
      <c r="I352" s="56">
        <v>223693.97056317708</v>
      </c>
      <c r="J352" s="56">
        <v>162495.52137385649</v>
      </c>
      <c r="K352" s="2"/>
      <c r="L352" s="41"/>
      <c r="M352" s="41"/>
      <c r="N352" s="41"/>
    </row>
    <row r="353" spans="1:14" x14ac:dyDescent="0.25">
      <c r="A353" s="55"/>
      <c r="B353" s="47" t="s">
        <v>106</v>
      </c>
      <c r="C353" s="11">
        <v>3</v>
      </c>
      <c r="D353" s="46" t="s">
        <v>60</v>
      </c>
      <c r="E353" s="48" t="s">
        <v>83</v>
      </c>
      <c r="F353" s="23">
        <v>91</v>
      </c>
      <c r="G353" s="56">
        <v>126888605.73859063</v>
      </c>
      <c r="H353" s="56">
        <v>463898.75096247008</v>
      </c>
      <c r="I353" s="56">
        <v>306490.49080294045</v>
      </c>
      <c r="J353" s="56">
        <v>221402.82100677426</v>
      </c>
      <c r="K353" s="2"/>
    </row>
    <row r="354" spans="1:14" ht="13" x14ac:dyDescent="0.3">
      <c r="A354" s="52"/>
      <c r="B354" s="47" t="s">
        <v>106</v>
      </c>
      <c r="C354" s="11">
        <v>4</v>
      </c>
      <c r="D354" s="46" t="s">
        <v>60</v>
      </c>
      <c r="E354" s="46" t="s">
        <v>84</v>
      </c>
      <c r="F354" s="29">
        <v>109</v>
      </c>
      <c r="G354" s="56">
        <v>190830514.7233732</v>
      </c>
      <c r="H354" s="56">
        <v>630767.78807543125</v>
      </c>
      <c r="I354" s="56">
        <v>477769.63405846775</v>
      </c>
      <c r="J354" s="56">
        <v>344863.74873476481</v>
      </c>
      <c r="K354" s="1"/>
      <c r="L354" s="2"/>
      <c r="M354" s="2"/>
      <c r="N354" s="2"/>
    </row>
    <row r="355" spans="1:14" ht="13" x14ac:dyDescent="0.3">
      <c r="A355" s="52"/>
      <c r="B355" s="47" t="s">
        <v>107</v>
      </c>
      <c r="C355" s="11">
        <v>1</v>
      </c>
      <c r="D355" s="46" t="s">
        <v>60</v>
      </c>
      <c r="E355" s="46" t="s">
        <v>68</v>
      </c>
      <c r="F355" s="29">
        <v>7</v>
      </c>
      <c r="G355" s="56">
        <v>147217.21855140195</v>
      </c>
      <c r="H355" s="56">
        <v>969.98780000000011</v>
      </c>
      <c r="I355" s="56">
        <v>819.07762690975494</v>
      </c>
      <c r="J355" s="56">
        <v>250.07784920795277</v>
      </c>
      <c r="L355" s="1"/>
      <c r="M355" s="1"/>
      <c r="N355" s="34"/>
    </row>
    <row r="356" spans="1:14" ht="13" x14ac:dyDescent="0.3">
      <c r="A356" s="52"/>
      <c r="B356" s="47" t="s">
        <v>108</v>
      </c>
      <c r="C356" s="11">
        <v>1</v>
      </c>
      <c r="D356" s="46" t="s">
        <v>60</v>
      </c>
      <c r="E356" s="46" t="s">
        <v>85</v>
      </c>
      <c r="F356" s="29">
        <v>134</v>
      </c>
      <c r="G356" s="56">
        <v>3972272.3596869195</v>
      </c>
      <c r="H356" s="56">
        <v>16783.784620968087</v>
      </c>
      <c r="I356" s="56">
        <v>10353.458139707705</v>
      </c>
      <c r="J356" s="56">
        <v>8654.3766368866382</v>
      </c>
      <c r="L356" s="42"/>
      <c r="M356" s="42"/>
      <c r="N356" s="43"/>
    </row>
    <row r="357" spans="1:14" x14ac:dyDescent="0.25">
      <c r="A357" s="52"/>
      <c r="B357" s="47" t="s">
        <v>109</v>
      </c>
      <c r="C357" s="11">
        <v>1</v>
      </c>
      <c r="D357" s="46" t="s">
        <v>60</v>
      </c>
      <c r="E357" s="46" t="s">
        <v>69</v>
      </c>
      <c r="F357" s="29">
        <v>252</v>
      </c>
      <c r="G357" s="56">
        <v>363663.76545514882</v>
      </c>
      <c r="H357" s="56">
        <v>4327.0205208954148</v>
      </c>
      <c r="I357" s="56">
        <v>1040.5292353768623</v>
      </c>
      <c r="J357" s="56">
        <v>382.45833674493758</v>
      </c>
    </row>
    <row r="358" spans="1:14" x14ac:dyDescent="0.25">
      <c r="A358" s="52"/>
      <c r="B358" s="47" t="s">
        <v>109</v>
      </c>
      <c r="C358" s="11">
        <v>2</v>
      </c>
      <c r="D358" s="46" t="s">
        <v>60</v>
      </c>
      <c r="E358" s="46" t="s">
        <v>70</v>
      </c>
      <c r="F358" s="29">
        <v>70</v>
      </c>
      <c r="G358" s="56">
        <v>767028.32766980957</v>
      </c>
      <c r="H358" s="56">
        <v>7132.3378509445465</v>
      </c>
      <c r="I358" s="56">
        <v>2910.9692178265982</v>
      </c>
      <c r="J358" s="56">
        <v>1431.3224989138257</v>
      </c>
      <c r="L358"/>
      <c r="M358"/>
      <c r="N358"/>
    </row>
    <row r="359" spans="1:14" x14ac:dyDescent="0.25">
      <c r="A359" s="52" t="s">
        <v>0</v>
      </c>
      <c r="B359" s="47"/>
      <c r="D359" s="29"/>
      <c r="E359" s="29"/>
      <c r="F359" s="29"/>
      <c r="G359" s="56"/>
      <c r="H359" s="53"/>
      <c r="I359" s="53"/>
      <c r="J359" s="53"/>
    </row>
    <row r="360" spans="1:14" x14ac:dyDescent="0.25">
      <c r="A360" s="52" t="s">
        <v>101</v>
      </c>
      <c r="B360" s="47" t="s">
        <v>110</v>
      </c>
      <c r="C360" s="11">
        <v>1</v>
      </c>
      <c r="D360" s="46" t="s">
        <v>60</v>
      </c>
      <c r="E360" s="46" t="s">
        <v>86</v>
      </c>
      <c r="F360" s="29">
        <v>118</v>
      </c>
      <c r="G360" s="56">
        <v>4909235.7231895216</v>
      </c>
      <c r="H360" s="56">
        <v>13341.632753446611</v>
      </c>
      <c r="I360" s="56">
        <v>10195.535578102397</v>
      </c>
      <c r="J360" s="56">
        <v>8239.0678001936321</v>
      </c>
    </row>
    <row r="361" spans="1:14" x14ac:dyDescent="0.25">
      <c r="A361" s="52" t="s">
        <v>102</v>
      </c>
      <c r="B361" s="47" t="s">
        <v>110</v>
      </c>
      <c r="C361" s="11">
        <v>2</v>
      </c>
      <c r="D361" s="46" t="s">
        <v>60</v>
      </c>
      <c r="E361" s="46" t="s">
        <v>87</v>
      </c>
      <c r="F361" s="29">
        <v>34</v>
      </c>
      <c r="G361" s="56">
        <v>7102522.4587470768</v>
      </c>
      <c r="H361" s="56">
        <v>19609.021358188747</v>
      </c>
      <c r="I361" s="56">
        <v>13561.254406893499</v>
      </c>
      <c r="J361" s="56">
        <v>11033.996330410702</v>
      </c>
    </row>
    <row r="362" spans="1:14" x14ac:dyDescent="0.25">
      <c r="A362" s="52"/>
      <c r="B362" s="47" t="s">
        <v>108</v>
      </c>
      <c r="C362" s="11">
        <v>1</v>
      </c>
      <c r="D362" s="46" t="s">
        <v>60</v>
      </c>
      <c r="E362" s="46" t="s">
        <v>71</v>
      </c>
      <c r="F362" s="29">
        <v>4</v>
      </c>
      <c r="G362" s="56">
        <v>113341.08999041734</v>
      </c>
      <c r="H362" s="56">
        <v>849.16387435760066</v>
      </c>
      <c r="I362" s="56">
        <v>855.26265266259418</v>
      </c>
      <c r="J362" s="56">
        <v>189.00634365506389</v>
      </c>
    </row>
    <row r="363" spans="1:14" x14ac:dyDescent="0.25">
      <c r="A363" s="21"/>
      <c r="B363" s="21"/>
      <c r="D363" s="46"/>
      <c r="E363" s="29"/>
      <c r="F363" s="29"/>
      <c r="G363" s="29"/>
      <c r="H363" s="30"/>
      <c r="I363" s="32"/>
      <c r="J363" s="32"/>
    </row>
    <row r="364" spans="1:14" ht="13" x14ac:dyDescent="0.3">
      <c r="C364" s="33"/>
      <c r="D364" s="3"/>
      <c r="E364" s="2"/>
      <c r="F364" s="2"/>
      <c r="G364" s="2"/>
      <c r="H364" s="2"/>
      <c r="I364" s="2"/>
      <c r="J364" s="2"/>
    </row>
    <row r="365" spans="1:14" ht="13" x14ac:dyDescent="0.3">
      <c r="C365" s="8"/>
      <c r="D365" s="9"/>
      <c r="E365" s="36" t="s">
        <v>52</v>
      </c>
      <c r="F365" s="2"/>
      <c r="G365" s="51"/>
      <c r="H365" s="51"/>
      <c r="I365" s="51"/>
      <c r="J365" s="51"/>
      <c r="L365" s="1"/>
      <c r="M365" s="1"/>
      <c r="N365" s="34"/>
    </row>
    <row r="366" spans="1:14" ht="78" x14ac:dyDescent="0.3">
      <c r="A366" s="28" t="s">
        <v>40</v>
      </c>
      <c r="B366" s="8" t="s">
        <v>65</v>
      </c>
      <c r="C366" s="8" t="s">
        <v>41</v>
      </c>
      <c r="D366" s="38" t="s">
        <v>89</v>
      </c>
      <c r="E366" s="38" t="s">
        <v>90</v>
      </c>
      <c r="F366" s="38" t="s">
        <v>91</v>
      </c>
      <c r="G366" s="38" t="s">
        <v>92</v>
      </c>
      <c r="H366" s="38" t="s">
        <v>93</v>
      </c>
      <c r="I366" s="38" t="s">
        <v>94</v>
      </c>
      <c r="J366" s="38" t="s">
        <v>95</v>
      </c>
    </row>
    <row r="367" spans="1:14" ht="13" x14ac:dyDescent="0.3">
      <c r="A367" s="28"/>
      <c r="B367" s="28"/>
      <c r="C367" s="8"/>
      <c r="D367" s="22"/>
      <c r="E367" s="22"/>
      <c r="F367" s="22"/>
      <c r="G367" s="22"/>
      <c r="H367" s="22"/>
      <c r="I367" s="22"/>
      <c r="J367" s="22"/>
    </row>
    <row r="368" spans="1:14" x14ac:dyDescent="0.25">
      <c r="A368" s="54" t="s">
        <v>96</v>
      </c>
      <c r="B368" s="47" t="s">
        <v>103</v>
      </c>
      <c r="C368" s="11">
        <v>1</v>
      </c>
      <c r="D368" s="46" t="s">
        <v>59</v>
      </c>
      <c r="E368" s="46" t="s">
        <v>64</v>
      </c>
      <c r="F368" s="29">
        <v>72</v>
      </c>
      <c r="G368" s="56">
        <v>130574167.60841954</v>
      </c>
      <c r="H368" s="56">
        <v>1164524.0585141031</v>
      </c>
      <c r="I368" s="56">
        <v>338263.66482144775</v>
      </c>
      <c r="J368" s="56">
        <v>298088.5266971938</v>
      </c>
    </row>
    <row r="369" spans="1:11" x14ac:dyDescent="0.25">
      <c r="A369" s="52"/>
      <c r="B369" s="47" t="s">
        <v>103</v>
      </c>
      <c r="C369" s="11">
        <v>2</v>
      </c>
      <c r="D369" s="46" t="s">
        <v>59</v>
      </c>
      <c r="E369" s="46" t="s">
        <v>72</v>
      </c>
      <c r="F369" s="29">
        <v>80</v>
      </c>
      <c r="G369" s="56">
        <v>145867285.05322236</v>
      </c>
      <c r="H369" s="56">
        <v>1095635.2571629481</v>
      </c>
      <c r="I369" s="56">
        <v>382175.63827116572</v>
      </c>
      <c r="J369" s="56">
        <v>354243.87334940804</v>
      </c>
      <c r="K369"/>
    </row>
    <row r="370" spans="1:11" x14ac:dyDescent="0.25">
      <c r="A370" s="52"/>
      <c r="B370" s="47" t="s">
        <v>103</v>
      </c>
      <c r="C370" s="11">
        <v>3</v>
      </c>
      <c r="D370" s="46" t="s">
        <v>59</v>
      </c>
      <c r="E370" s="46" t="s">
        <v>73</v>
      </c>
      <c r="F370" s="29">
        <v>71</v>
      </c>
      <c r="G370" s="56">
        <v>169497332.15419704</v>
      </c>
      <c r="H370" s="56">
        <v>996723.69423430879</v>
      </c>
      <c r="I370" s="56">
        <v>446347.63684626442</v>
      </c>
      <c r="J370" s="56">
        <v>430221.15761703334</v>
      </c>
      <c r="K370"/>
    </row>
    <row r="371" spans="1:11" x14ac:dyDescent="0.25">
      <c r="A371" s="52"/>
      <c r="B371" s="47" t="s">
        <v>104</v>
      </c>
      <c r="C371" s="11">
        <v>1</v>
      </c>
      <c r="D371" s="46" t="s">
        <v>59</v>
      </c>
      <c r="E371" s="46" t="s">
        <v>66</v>
      </c>
      <c r="F371" s="29">
        <v>48</v>
      </c>
      <c r="G371" s="56">
        <v>99217400.828295231</v>
      </c>
      <c r="H371" s="56">
        <v>889893.94288596872</v>
      </c>
      <c r="I371" s="56">
        <v>273818.03225532756</v>
      </c>
      <c r="J371" s="56">
        <v>273818.03225532756</v>
      </c>
      <c r="K371" s="2"/>
    </row>
    <row r="372" spans="1:11" x14ac:dyDescent="0.25">
      <c r="A372" s="52"/>
      <c r="B372" s="47" t="s">
        <v>104</v>
      </c>
      <c r="C372" s="11">
        <v>2</v>
      </c>
      <c r="D372" s="46" t="s">
        <v>59</v>
      </c>
      <c r="E372" s="46" t="s">
        <v>67</v>
      </c>
      <c r="F372" s="29">
        <v>51</v>
      </c>
      <c r="G372" s="56">
        <v>115192234.20119898</v>
      </c>
      <c r="H372" s="56">
        <v>787232.23888049566</v>
      </c>
      <c r="I372" s="56">
        <v>342994.38060682855</v>
      </c>
      <c r="J372" s="56">
        <v>321880.22105030064</v>
      </c>
      <c r="K372" s="2"/>
    </row>
    <row r="373" spans="1:11" x14ac:dyDescent="0.25">
      <c r="A373" s="52"/>
      <c r="B373" s="47"/>
      <c r="D373" s="29"/>
      <c r="E373" s="29"/>
      <c r="F373" s="29"/>
      <c r="G373" s="56"/>
      <c r="H373" s="53"/>
      <c r="I373" s="53"/>
      <c r="J373" s="53"/>
      <c r="K373" s="2"/>
    </row>
    <row r="374" spans="1:11" x14ac:dyDescent="0.25">
      <c r="A374" s="52" t="s">
        <v>97</v>
      </c>
      <c r="B374" s="47" t="s">
        <v>63</v>
      </c>
      <c r="C374" s="11">
        <v>1</v>
      </c>
      <c r="D374" s="46" t="s">
        <v>59</v>
      </c>
      <c r="E374" s="47" t="s">
        <v>74</v>
      </c>
      <c r="F374" s="11">
        <v>88</v>
      </c>
      <c r="G374" s="56">
        <v>4875005.8129497403</v>
      </c>
      <c r="H374" s="56">
        <v>43294.26891305732</v>
      </c>
      <c r="I374" s="56">
        <v>12403.886514784272</v>
      </c>
      <c r="J374" s="56">
        <v>5468.0501284350858</v>
      </c>
      <c r="K374" s="2"/>
    </row>
    <row r="375" spans="1:11" ht="13" x14ac:dyDescent="0.3">
      <c r="A375" s="52" t="s">
        <v>98</v>
      </c>
      <c r="B375" s="47" t="s">
        <v>63</v>
      </c>
      <c r="C375" s="11">
        <v>2</v>
      </c>
      <c r="D375" s="46" t="s">
        <v>59</v>
      </c>
      <c r="E375" s="46" t="s">
        <v>75</v>
      </c>
      <c r="F375" s="29">
        <v>53</v>
      </c>
      <c r="G375" s="56">
        <v>4424517.273822492</v>
      </c>
      <c r="H375" s="56">
        <v>33603.412043518147</v>
      </c>
      <c r="I375" s="56">
        <v>10682.784196582996</v>
      </c>
      <c r="J375" s="56">
        <v>5326.8495418526854</v>
      </c>
      <c r="K375" s="1"/>
    </row>
    <row r="376" spans="1:11" x14ac:dyDescent="0.25">
      <c r="A376" s="52"/>
      <c r="B376" s="47" t="s">
        <v>63</v>
      </c>
      <c r="C376" s="11">
        <v>3</v>
      </c>
      <c r="D376" s="46" t="s">
        <v>59</v>
      </c>
      <c r="E376" s="46" t="s">
        <v>76</v>
      </c>
      <c r="F376" s="29">
        <v>44</v>
      </c>
      <c r="G376" s="56">
        <v>4788442.2793930825</v>
      </c>
      <c r="H376" s="56">
        <v>29480.769833098482</v>
      </c>
      <c r="I376" s="56">
        <v>11355.229545771463</v>
      </c>
      <c r="J376" s="56">
        <v>7926.9276375525196</v>
      </c>
    </row>
    <row r="377" spans="1:11" x14ac:dyDescent="0.25">
      <c r="A377" s="52"/>
      <c r="B377" s="47" t="s">
        <v>63</v>
      </c>
      <c r="C377" s="11">
        <v>4</v>
      </c>
      <c r="D377" s="46" t="s">
        <v>59</v>
      </c>
      <c r="E377" s="46" t="s">
        <v>77</v>
      </c>
      <c r="F377" s="29">
        <v>52</v>
      </c>
      <c r="G377" s="56">
        <v>5658050.5717756543</v>
      </c>
      <c r="H377" s="56">
        <v>22206.735285148443</v>
      </c>
      <c r="I377" s="56">
        <v>9852.7060572424052</v>
      </c>
      <c r="J377" s="56">
        <v>7540.9474938806907</v>
      </c>
    </row>
    <row r="378" spans="1:11" x14ac:dyDescent="0.25">
      <c r="A378" s="52"/>
      <c r="B378" s="47" t="s">
        <v>63</v>
      </c>
      <c r="C378" s="11">
        <v>5</v>
      </c>
      <c r="D378" s="46" t="s">
        <v>59</v>
      </c>
      <c r="E378" s="46" t="s">
        <v>78</v>
      </c>
      <c r="F378" s="29">
        <v>39</v>
      </c>
      <c r="G378" s="56">
        <v>7293544.9414829109</v>
      </c>
      <c r="H378" s="56">
        <v>18109.180134853952</v>
      </c>
      <c r="I378" s="56">
        <v>11988.890312965972</v>
      </c>
      <c r="J378" s="56">
        <v>9562.6268423176807</v>
      </c>
    </row>
    <row r="379" spans="1:11" x14ac:dyDescent="0.25">
      <c r="A379" s="52"/>
      <c r="B379" s="47" t="s">
        <v>105</v>
      </c>
      <c r="C379" s="11">
        <v>1</v>
      </c>
      <c r="D379" s="46" t="s">
        <v>59</v>
      </c>
      <c r="E379" s="46" t="s">
        <v>79</v>
      </c>
      <c r="F379" s="29">
        <v>89</v>
      </c>
      <c r="G379" s="56">
        <v>74932.84815548794</v>
      </c>
      <c r="H379" s="56">
        <v>827.31230500397589</v>
      </c>
      <c r="I379" s="56">
        <v>294.8187207349132</v>
      </c>
      <c r="J379" s="56">
        <v>100.65694688950097</v>
      </c>
    </row>
    <row r="380" spans="1:11" x14ac:dyDescent="0.25">
      <c r="A380" s="52"/>
      <c r="B380" s="47" t="s">
        <v>105</v>
      </c>
      <c r="C380" s="11">
        <v>2</v>
      </c>
      <c r="D380" s="46" t="s">
        <v>59</v>
      </c>
      <c r="E380" s="46" t="s">
        <v>80</v>
      </c>
      <c r="F380" s="29">
        <v>45</v>
      </c>
      <c r="G380" s="56">
        <v>110380.12084366172</v>
      </c>
      <c r="H380" s="56">
        <v>477.50852349565565</v>
      </c>
      <c r="I380" s="56">
        <v>249.92320823966247</v>
      </c>
      <c r="J380" s="56">
        <v>154.57162539434518</v>
      </c>
    </row>
    <row r="381" spans="1:11" x14ac:dyDescent="0.25">
      <c r="A381" s="52"/>
      <c r="B381" s="47"/>
      <c r="D381" s="29"/>
      <c r="E381" s="29"/>
      <c r="F381" s="29"/>
      <c r="G381" s="56"/>
      <c r="H381" s="53"/>
      <c r="I381" s="53"/>
      <c r="J381" s="53"/>
    </row>
    <row r="382" spans="1:11" x14ac:dyDescent="0.25">
      <c r="A382" s="52" t="s">
        <v>99</v>
      </c>
      <c r="B382" s="47" t="s">
        <v>106</v>
      </c>
      <c r="C382" s="11">
        <v>1</v>
      </c>
      <c r="D382" s="46" t="s">
        <v>60</v>
      </c>
      <c r="E382" s="46" t="s">
        <v>81</v>
      </c>
      <c r="F382" s="29">
        <v>138</v>
      </c>
      <c r="G382" s="56">
        <v>54366444.233398512</v>
      </c>
      <c r="H382" s="56">
        <v>291921.4762281758</v>
      </c>
      <c r="I382" s="56">
        <v>117849.31203418311</v>
      </c>
      <c r="J382" s="56">
        <v>93981.077087062818</v>
      </c>
    </row>
    <row r="383" spans="1:11" x14ac:dyDescent="0.25">
      <c r="A383" s="52" t="s">
        <v>100</v>
      </c>
      <c r="B383" s="47" t="s">
        <v>106</v>
      </c>
      <c r="C383" s="11">
        <v>2</v>
      </c>
      <c r="D383" s="46" t="s">
        <v>60</v>
      </c>
      <c r="E383" s="47" t="s">
        <v>82</v>
      </c>
      <c r="F383" s="11">
        <v>73</v>
      </c>
      <c r="G383" s="56">
        <v>74775403.958893225</v>
      </c>
      <c r="H383" s="56">
        <v>342351.25249153713</v>
      </c>
      <c r="I383" s="56">
        <v>158147.66848385686</v>
      </c>
      <c r="J383" s="56">
        <v>122966.81697112549</v>
      </c>
    </row>
    <row r="384" spans="1:11" x14ac:dyDescent="0.25">
      <c r="A384" s="55"/>
      <c r="B384" s="47" t="s">
        <v>106</v>
      </c>
      <c r="C384" s="11">
        <v>3</v>
      </c>
      <c r="D384" s="46" t="s">
        <v>60</v>
      </c>
      <c r="E384" s="48" t="s">
        <v>83</v>
      </c>
      <c r="F384" s="23">
        <v>91</v>
      </c>
      <c r="G384" s="56">
        <v>119069931.91918615</v>
      </c>
      <c r="H384" s="56">
        <v>406628.65390315052</v>
      </c>
      <c r="I384" s="56">
        <v>235603.55613400278</v>
      </c>
      <c r="J384" s="56">
        <v>188815.39987676271</v>
      </c>
    </row>
    <row r="385" spans="1:14" x14ac:dyDescent="0.25">
      <c r="A385" s="52"/>
      <c r="B385" s="47" t="s">
        <v>106</v>
      </c>
      <c r="C385" s="11">
        <v>4</v>
      </c>
      <c r="D385" s="46" t="s">
        <v>60</v>
      </c>
      <c r="E385" s="46" t="s">
        <v>84</v>
      </c>
      <c r="F385" s="29">
        <v>109</v>
      </c>
      <c r="G385" s="56">
        <v>186817087.36704212</v>
      </c>
      <c r="H385" s="56">
        <v>570600.83433997503</v>
      </c>
      <c r="I385" s="56">
        <v>390986.12733652146</v>
      </c>
      <c r="J385" s="56">
        <v>332533.80090438674</v>
      </c>
    </row>
    <row r="386" spans="1:14" x14ac:dyDescent="0.25">
      <c r="A386" s="52"/>
      <c r="B386" s="47" t="s">
        <v>107</v>
      </c>
      <c r="C386" s="11">
        <v>1</v>
      </c>
      <c r="D386" s="46" t="s">
        <v>60</v>
      </c>
      <c r="E386" s="46" t="s">
        <v>68</v>
      </c>
      <c r="F386" s="29">
        <v>7</v>
      </c>
      <c r="G386" s="56">
        <v>14179.521538427503</v>
      </c>
      <c r="H386" s="56">
        <v>701.53200000000015</v>
      </c>
      <c r="I386" s="56">
        <v>587.42396312645008</v>
      </c>
      <c r="J386" s="56">
        <v>11.151405593068228</v>
      </c>
    </row>
    <row r="387" spans="1:14" x14ac:dyDescent="0.25">
      <c r="A387" s="52"/>
      <c r="B387" s="47" t="s">
        <v>108</v>
      </c>
      <c r="C387" s="11">
        <v>1</v>
      </c>
      <c r="D387" s="46" t="s">
        <v>60</v>
      </c>
      <c r="E387" s="46" t="s">
        <v>85</v>
      </c>
      <c r="F387" s="29">
        <v>134</v>
      </c>
      <c r="G387" s="56">
        <v>2921935.2611058126</v>
      </c>
      <c r="H387" s="56">
        <v>13187.474356375364</v>
      </c>
      <c r="I387" s="56">
        <v>7178.033040635265</v>
      </c>
      <c r="J387" s="56">
        <v>5302.2024228068221</v>
      </c>
    </row>
    <row r="388" spans="1:14" x14ac:dyDescent="0.25">
      <c r="A388" s="52"/>
      <c r="B388" s="47" t="s">
        <v>109</v>
      </c>
      <c r="C388" s="11">
        <v>1</v>
      </c>
      <c r="D388" s="46" t="s">
        <v>60</v>
      </c>
      <c r="E388" s="46" t="s">
        <v>69</v>
      </c>
      <c r="F388" s="29">
        <v>252</v>
      </c>
      <c r="G388" s="56">
        <v>455179.99291296717</v>
      </c>
      <c r="H388" s="56">
        <v>4489.9559096827279</v>
      </c>
      <c r="I388" s="56">
        <v>1231.9748869219006</v>
      </c>
      <c r="J388" s="56">
        <v>654.79116491786817</v>
      </c>
    </row>
    <row r="389" spans="1:14" x14ac:dyDescent="0.25">
      <c r="A389" s="52"/>
      <c r="B389" s="47" t="s">
        <v>109</v>
      </c>
      <c r="C389" s="11">
        <v>2</v>
      </c>
      <c r="D389" s="46" t="s">
        <v>60</v>
      </c>
      <c r="E389" s="46" t="s">
        <v>70</v>
      </c>
      <c r="F389" s="29">
        <v>70</v>
      </c>
      <c r="G389" s="56">
        <v>849595.35407966806</v>
      </c>
      <c r="H389" s="56">
        <v>7759.0755740834138</v>
      </c>
      <c r="I389" s="56">
        <v>2873.385505978667</v>
      </c>
      <c r="J389" s="56">
        <v>1742.2865097276747</v>
      </c>
      <c r="K389"/>
    </row>
    <row r="390" spans="1:14" x14ac:dyDescent="0.25">
      <c r="A390" s="52" t="s">
        <v>0</v>
      </c>
      <c r="B390" s="47"/>
      <c r="D390" s="29"/>
      <c r="E390" s="29"/>
      <c r="F390" s="29"/>
      <c r="G390" s="56"/>
      <c r="H390" s="53"/>
      <c r="I390" s="53"/>
      <c r="J390" s="53"/>
      <c r="K390"/>
    </row>
    <row r="391" spans="1:14" s="41" customFormat="1" x14ac:dyDescent="0.25">
      <c r="A391" s="52" t="s">
        <v>101</v>
      </c>
      <c r="B391" s="47" t="s">
        <v>110</v>
      </c>
      <c r="C391" s="11">
        <v>1</v>
      </c>
      <c r="D391" s="46" t="s">
        <v>60</v>
      </c>
      <c r="E391" s="46" t="s">
        <v>86</v>
      </c>
      <c r="F391" s="29">
        <v>118</v>
      </c>
      <c r="G391" s="56">
        <v>4840585.2417027056</v>
      </c>
      <c r="H391" s="56">
        <v>12310.366199137807</v>
      </c>
      <c r="I391" s="56">
        <v>7713.7564617723729</v>
      </c>
      <c r="J391" s="56">
        <v>7320.7691177245697</v>
      </c>
      <c r="K391" s="2"/>
      <c r="L391" s="40"/>
      <c r="M391" s="40"/>
      <c r="N391" s="40"/>
    </row>
    <row r="392" spans="1:14" s="41" customFormat="1" x14ac:dyDescent="0.25">
      <c r="A392" s="52" t="s">
        <v>102</v>
      </c>
      <c r="B392" s="47" t="s">
        <v>110</v>
      </c>
      <c r="C392" s="11">
        <v>2</v>
      </c>
      <c r="D392" s="46" t="s">
        <v>60</v>
      </c>
      <c r="E392" s="46" t="s">
        <v>87</v>
      </c>
      <c r="F392" s="29">
        <v>34</v>
      </c>
      <c r="G392" s="56">
        <v>7239843.9130631452</v>
      </c>
      <c r="H392" s="56">
        <v>17595.902441973099</v>
      </c>
      <c r="I392" s="56">
        <v>13024.972048284413</v>
      </c>
      <c r="J392" s="56">
        <v>11247.759942345947</v>
      </c>
      <c r="K392" s="2"/>
      <c r="L392" s="40"/>
      <c r="M392" s="40"/>
      <c r="N392" s="40"/>
    </row>
    <row r="393" spans="1:14" s="41" customFormat="1" x14ac:dyDescent="0.25">
      <c r="A393" s="52"/>
      <c r="B393" s="47" t="s">
        <v>108</v>
      </c>
      <c r="C393" s="11">
        <v>1</v>
      </c>
      <c r="D393" s="46" t="s">
        <v>60</v>
      </c>
      <c r="E393" s="46" t="s">
        <v>71</v>
      </c>
      <c r="F393" s="29">
        <v>4</v>
      </c>
      <c r="G393" s="56">
        <v>147934.30534285054</v>
      </c>
      <c r="H393" s="56">
        <v>1296.6622892327346</v>
      </c>
      <c r="I393" s="56">
        <v>1119.2468269802039</v>
      </c>
      <c r="J393" s="56">
        <v>187.71137851864253</v>
      </c>
      <c r="K393" s="2"/>
    </row>
    <row r="394" spans="1:14" x14ac:dyDescent="0.25">
      <c r="A394" s="21"/>
      <c r="B394" s="21"/>
      <c r="D394" s="46"/>
      <c r="E394" s="29"/>
      <c r="F394" s="29"/>
      <c r="G394" s="29"/>
      <c r="H394" s="30"/>
      <c r="I394" s="32"/>
      <c r="J394" s="32"/>
      <c r="K394" s="2"/>
    </row>
    <row r="395" spans="1:14" x14ac:dyDescent="0.25">
      <c r="A395" s="21"/>
      <c r="B395" s="21"/>
      <c r="D395" s="29"/>
      <c r="E395" s="29"/>
      <c r="F395" s="29"/>
      <c r="G395" s="29"/>
      <c r="H395" s="32"/>
      <c r="I395" s="32"/>
      <c r="J395" s="32"/>
    </row>
  </sheetData>
  <mergeCells count="24">
    <mergeCell ref="A265:J265"/>
    <mergeCell ref="A267:J267"/>
    <mergeCell ref="A330:J330"/>
    <mergeCell ref="A1:J1"/>
    <mergeCell ref="A2:J2"/>
    <mergeCell ref="A3:J3"/>
    <mergeCell ref="A68:J68"/>
    <mergeCell ref="A69:J69"/>
    <mergeCell ref="A332:J332"/>
    <mergeCell ref="A70:J70"/>
    <mergeCell ref="A4:J4"/>
    <mergeCell ref="A135:J135"/>
    <mergeCell ref="A137:J137"/>
    <mergeCell ref="A71:J71"/>
    <mergeCell ref="A266:J266"/>
    <mergeCell ref="A329:J329"/>
    <mergeCell ref="A331:J331"/>
    <mergeCell ref="A134:J134"/>
    <mergeCell ref="A136:J136"/>
    <mergeCell ref="A199:J199"/>
    <mergeCell ref="A201:J201"/>
    <mergeCell ref="A264:J264"/>
    <mergeCell ref="A200:J200"/>
    <mergeCell ref="A202:J202"/>
  </mergeCells>
  <phoneticPr fontId="0" type="noConversion"/>
  <printOptions horizontalCentered="1"/>
  <pageMargins left="0.7" right="0.7" top="0.75" bottom="0.75" header="0.3" footer="0.3"/>
  <pageSetup scale="54" fitToHeight="0" orientation="portrait" horizontalDpi="300" verticalDpi="300" r:id="rId1"/>
  <headerFooter alignWithMargins="0">
    <oddHeader xml:space="preserve">&amp;RSchedule IV-J-4
&amp;A
Page &amp;P of &amp;N
</oddHeader>
    <oddFooter>&amp;LSponsored by: Nora D. Williams</oddFooter>
  </headerFooter>
  <rowBreaks count="5" manualBreakCount="5">
    <brk id="67" max="9" man="1"/>
    <brk id="133" max="9" man="1"/>
    <brk id="198" max="9" man="1"/>
    <brk id="263" max="9" man="1"/>
    <brk id="328" max="9" man="1"/>
  </rowBreaks>
  <colBreaks count="1" manualBreakCount="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7"/>
  <sheetViews>
    <sheetView view="pageBreakPreview" zoomScale="60" zoomScaleNormal="100" workbookViewId="0">
      <selection activeCell="A4" sqref="A4:K4"/>
    </sheetView>
  </sheetViews>
  <sheetFormatPr defaultRowHeight="12.5" x14ac:dyDescent="0.25"/>
  <cols>
    <col min="1" max="1" width="11" style="39" customWidth="1"/>
    <col min="2" max="2" width="11.26953125" customWidth="1"/>
    <col min="3" max="3" width="8.453125" bestFit="1" customWidth="1"/>
    <col min="4" max="4" width="9.1796875" customWidth="1"/>
    <col min="5" max="5" width="11.81640625" customWidth="1"/>
    <col min="6" max="6" width="11.7265625" customWidth="1"/>
    <col min="7" max="7" width="13.453125" customWidth="1"/>
    <col min="8" max="8" width="8.54296875" customWidth="1"/>
    <col min="9" max="10" width="12.81640625" style="39" customWidth="1"/>
    <col min="11" max="11" width="12.81640625" customWidth="1"/>
  </cols>
  <sheetData>
    <row r="1" spans="1:11" s="88" customFormat="1" ht="13" x14ac:dyDescent="0.3">
      <c r="A1" s="98" t="s">
        <v>124</v>
      </c>
      <c r="B1" s="100"/>
      <c r="C1" s="100"/>
      <c r="D1" s="100"/>
      <c r="E1" s="100"/>
      <c r="F1" s="100"/>
      <c r="G1" s="100"/>
      <c r="H1" s="100"/>
      <c r="I1" s="100"/>
      <c r="J1" s="100"/>
      <c r="K1" s="100"/>
    </row>
    <row r="2" spans="1:11" s="4" customFormat="1" ht="13" x14ac:dyDescent="0.3">
      <c r="A2" s="103" t="s">
        <v>127</v>
      </c>
      <c r="B2" s="103"/>
      <c r="C2" s="103"/>
      <c r="D2" s="103"/>
      <c r="E2" s="103"/>
      <c r="F2" s="103"/>
      <c r="G2" s="103"/>
      <c r="H2" s="103"/>
      <c r="I2" s="103"/>
      <c r="J2" s="103"/>
      <c r="K2" s="103"/>
    </row>
    <row r="3" spans="1:11" s="90" customFormat="1" ht="13" x14ac:dyDescent="0.3">
      <c r="A3" s="99" t="s">
        <v>128</v>
      </c>
      <c r="B3" s="100"/>
      <c r="C3" s="100"/>
      <c r="D3" s="100"/>
      <c r="E3" s="100"/>
      <c r="F3" s="100"/>
      <c r="G3" s="100"/>
      <c r="H3" s="100"/>
      <c r="I3" s="100"/>
      <c r="J3" s="100"/>
      <c r="K3" s="100"/>
    </row>
    <row r="4" spans="1:11" s="4" customFormat="1" ht="13" x14ac:dyDescent="0.3">
      <c r="A4" s="102" t="s">
        <v>125</v>
      </c>
      <c r="B4" s="102"/>
      <c r="C4" s="102"/>
      <c r="D4" s="102"/>
      <c r="E4" s="102"/>
      <c r="F4" s="102"/>
      <c r="G4" s="102"/>
      <c r="H4" s="102"/>
      <c r="I4" s="102"/>
      <c r="J4" s="102"/>
      <c r="K4" s="102"/>
    </row>
    <row r="5" spans="1:11" s="4" customFormat="1" ht="13" x14ac:dyDescent="0.3">
      <c r="A5" s="95"/>
      <c r="B5" s="87"/>
      <c r="C5" s="87"/>
      <c r="D5" s="87"/>
      <c r="E5" s="87"/>
      <c r="F5" s="87"/>
      <c r="G5" s="87"/>
      <c r="H5" s="87"/>
      <c r="I5" s="95"/>
      <c r="J5" s="95"/>
      <c r="K5" s="87"/>
    </row>
    <row r="6" spans="1:11" s="41" customFormat="1" ht="13" x14ac:dyDescent="0.3">
      <c r="A6" s="102" t="s">
        <v>111</v>
      </c>
      <c r="B6" s="102"/>
      <c r="C6" s="102"/>
      <c r="D6" s="102"/>
      <c r="E6" s="102"/>
      <c r="F6" s="102"/>
      <c r="G6" s="102"/>
      <c r="H6" s="102"/>
      <c r="I6" s="102"/>
      <c r="J6" s="102"/>
      <c r="K6" s="102"/>
    </row>
    <row r="7" spans="1:11" s="37" customFormat="1" ht="13" x14ac:dyDescent="0.3">
      <c r="A7" s="103" t="s">
        <v>43</v>
      </c>
      <c r="B7" s="103"/>
      <c r="C7" s="103"/>
      <c r="D7" s="34"/>
      <c r="E7" s="103" t="s">
        <v>44</v>
      </c>
      <c r="F7" s="103"/>
      <c r="G7" s="103"/>
      <c r="H7" s="34"/>
      <c r="I7" s="34" t="s">
        <v>45</v>
      </c>
      <c r="J7" s="34"/>
      <c r="K7" s="34"/>
    </row>
    <row r="8" spans="1:11" s="4" customFormat="1" ht="26" x14ac:dyDescent="0.3">
      <c r="A8" s="35" t="s">
        <v>59</v>
      </c>
      <c r="B8" s="35" t="s">
        <v>112</v>
      </c>
      <c r="C8" s="35" t="s">
        <v>47</v>
      </c>
      <c r="D8" s="43"/>
      <c r="E8" s="35" t="s">
        <v>59</v>
      </c>
      <c r="F8" s="35" t="s">
        <v>112</v>
      </c>
      <c r="G8" s="35" t="s">
        <v>47</v>
      </c>
      <c r="I8" s="35" t="s">
        <v>59</v>
      </c>
      <c r="J8" s="35" t="s">
        <v>112</v>
      </c>
      <c r="K8" s="35" t="s">
        <v>47</v>
      </c>
    </row>
    <row r="9" spans="1:11" s="4" customFormat="1" ht="13" x14ac:dyDescent="0.3">
      <c r="A9" s="43"/>
      <c r="B9" s="42"/>
      <c r="C9" s="35"/>
      <c r="D9" s="35"/>
      <c r="E9" s="24"/>
      <c r="F9" s="42"/>
      <c r="G9" s="42"/>
      <c r="I9" s="96"/>
      <c r="J9" s="43"/>
      <c r="K9" s="42"/>
    </row>
    <row r="10" spans="1:11" s="4" customFormat="1" x14ac:dyDescent="0.25">
      <c r="A10" s="39">
        <v>0</v>
      </c>
      <c r="B10">
        <f>C10+B9</f>
        <v>2455</v>
      </c>
      <c r="C10">
        <v>2455</v>
      </c>
      <c r="D10"/>
      <c r="E10">
        <v>13500</v>
      </c>
      <c r="F10">
        <f>G10+F9</f>
        <v>9651</v>
      </c>
      <c r="G10">
        <v>9651</v>
      </c>
      <c r="I10" s="39">
        <v>20000</v>
      </c>
      <c r="J10" s="39">
        <f>K10+J9</f>
        <v>6442</v>
      </c>
      <c r="K10">
        <v>6442</v>
      </c>
    </row>
    <row r="11" spans="1:11" s="4" customFormat="1" x14ac:dyDescent="0.25">
      <c r="A11" s="39">
        <v>1000</v>
      </c>
      <c r="B11">
        <f t="shared" ref="B11:B24" si="0">C11+B10</f>
        <v>15352</v>
      </c>
      <c r="C11">
        <v>12897</v>
      </c>
      <c r="D11"/>
      <c r="E11">
        <v>14000</v>
      </c>
      <c r="F11">
        <f t="shared" ref="F11:F23" si="1">G11+F10</f>
        <v>22969</v>
      </c>
      <c r="G11">
        <v>13318</v>
      </c>
      <c r="I11" s="39">
        <v>22000</v>
      </c>
      <c r="J11" s="39">
        <f t="shared" ref="J11:J30" si="2">K11+J10</f>
        <v>32188</v>
      </c>
      <c r="K11">
        <v>25746</v>
      </c>
    </row>
    <row r="12" spans="1:11" s="4" customFormat="1" x14ac:dyDescent="0.25">
      <c r="A12" s="39">
        <v>2000</v>
      </c>
      <c r="B12">
        <f t="shared" si="0"/>
        <v>25714</v>
      </c>
      <c r="C12">
        <v>10362</v>
      </c>
      <c r="D12"/>
      <c r="E12">
        <v>14500</v>
      </c>
      <c r="F12">
        <f t="shared" si="1"/>
        <v>35941</v>
      </c>
      <c r="G12">
        <v>12972</v>
      </c>
      <c r="I12" s="39">
        <v>24000</v>
      </c>
      <c r="J12" s="39">
        <f t="shared" si="2"/>
        <v>50880</v>
      </c>
      <c r="K12">
        <v>18692</v>
      </c>
    </row>
    <row r="13" spans="1:11" s="4" customFormat="1" x14ac:dyDescent="0.25">
      <c r="A13" s="39">
        <v>3000</v>
      </c>
      <c r="B13">
        <f t="shared" si="0"/>
        <v>37082</v>
      </c>
      <c r="C13">
        <v>11368</v>
      </c>
      <c r="D13"/>
      <c r="E13">
        <v>15000</v>
      </c>
      <c r="F13">
        <f t="shared" si="1"/>
        <v>48398</v>
      </c>
      <c r="G13">
        <v>12457</v>
      </c>
      <c r="I13" s="39">
        <v>26000</v>
      </c>
      <c r="J13" s="39">
        <f t="shared" si="2"/>
        <v>64268</v>
      </c>
      <c r="K13">
        <v>13388</v>
      </c>
    </row>
    <row r="14" spans="1:11" s="4" customFormat="1" x14ac:dyDescent="0.25">
      <c r="A14" s="39">
        <v>4000</v>
      </c>
      <c r="B14">
        <f t="shared" si="0"/>
        <v>50353</v>
      </c>
      <c r="C14">
        <v>13271</v>
      </c>
      <c r="D14"/>
      <c r="E14">
        <v>15500</v>
      </c>
      <c r="F14">
        <f t="shared" si="1"/>
        <v>60527</v>
      </c>
      <c r="G14">
        <v>12129</v>
      </c>
      <c r="I14" s="39">
        <v>28000</v>
      </c>
      <c r="J14" s="39">
        <f t="shared" si="2"/>
        <v>73873</v>
      </c>
      <c r="K14">
        <v>9605</v>
      </c>
    </row>
    <row r="15" spans="1:11" s="4" customFormat="1" x14ac:dyDescent="0.25">
      <c r="A15" s="39">
        <v>5000</v>
      </c>
      <c r="B15">
        <f t="shared" si="0"/>
        <v>66545</v>
      </c>
      <c r="C15">
        <v>16192</v>
      </c>
      <c r="D15"/>
      <c r="E15">
        <v>16000</v>
      </c>
      <c r="F15">
        <f t="shared" si="1"/>
        <v>72474</v>
      </c>
      <c r="G15">
        <v>11947</v>
      </c>
      <c r="I15" s="39">
        <v>30000</v>
      </c>
      <c r="J15" s="39">
        <f t="shared" si="2"/>
        <v>80469</v>
      </c>
      <c r="K15">
        <v>6596</v>
      </c>
    </row>
    <row r="16" spans="1:11" s="4" customFormat="1" x14ac:dyDescent="0.25">
      <c r="A16" s="39">
        <v>6000</v>
      </c>
      <c r="B16">
        <f t="shared" si="0"/>
        <v>85324</v>
      </c>
      <c r="C16">
        <v>18779</v>
      </c>
      <c r="D16"/>
      <c r="E16">
        <v>16500</v>
      </c>
      <c r="F16">
        <f t="shared" si="1"/>
        <v>83756</v>
      </c>
      <c r="G16">
        <v>11282</v>
      </c>
      <c r="I16" s="39">
        <v>32000</v>
      </c>
      <c r="J16" s="39">
        <f t="shared" si="2"/>
        <v>84999</v>
      </c>
      <c r="K16">
        <v>4530</v>
      </c>
    </row>
    <row r="17" spans="1:11" s="4" customFormat="1" x14ac:dyDescent="0.25">
      <c r="A17" s="39">
        <v>7000</v>
      </c>
      <c r="B17">
        <f t="shared" si="0"/>
        <v>106505</v>
      </c>
      <c r="C17">
        <v>21181</v>
      </c>
      <c r="D17"/>
      <c r="E17">
        <v>17000</v>
      </c>
      <c r="F17">
        <f t="shared" si="1"/>
        <v>94619</v>
      </c>
      <c r="G17">
        <v>10863</v>
      </c>
      <c r="I17" s="39">
        <v>34000</v>
      </c>
      <c r="J17" s="39">
        <f t="shared" si="2"/>
        <v>88164</v>
      </c>
      <c r="K17">
        <v>3165</v>
      </c>
    </row>
    <row r="18" spans="1:11" s="4" customFormat="1" x14ac:dyDescent="0.25">
      <c r="A18" s="39">
        <v>8000</v>
      </c>
      <c r="B18">
        <f t="shared" si="0"/>
        <v>129401</v>
      </c>
      <c r="C18">
        <v>22896</v>
      </c>
      <c r="D18"/>
      <c r="E18">
        <v>17500</v>
      </c>
      <c r="F18">
        <f t="shared" si="1"/>
        <v>105133</v>
      </c>
      <c r="G18">
        <v>10514</v>
      </c>
      <c r="I18" s="39">
        <v>36000</v>
      </c>
      <c r="J18" s="39">
        <f t="shared" si="2"/>
        <v>90439</v>
      </c>
      <c r="K18">
        <v>2275</v>
      </c>
    </row>
    <row r="19" spans="1:11" s="4" customFormat="1" x14ac:dyDescent="0.25">
      <c r="A19" s="39">
        <v>9000</v>
      </c>
      <c r="B19">
        <f t="shared" si="0"/>
        <v>154218</v>
      </c>
      <c r="C19">
        <v>24817</v>
      </c>
      <c r="D19"/>
      <c r="E19">
        <v>18000</v>
      </c>
      <c r="F19">
        <f t="shared" si="1"/>
        <v>114839</v>
      </c>
      <c r="G19">
        <v>9706</v>
      </c>
      <c r="I19" s="39">
        <v>38000</v>
      </c>
      <c r="J19" s="39">
        <f t="shared" si="2"/>
        <v>92077</v>
      </c>
      <c r="K19">
        <v>1638</v>
      </c>
    </row>
    <row r="20" spans="1:11" s="4" customFormat="1" x14ac:dyDescent="0.25">
      <c r="A20" s="39">
        <v>10000</v>
      </c>
      <c r="B20">
        <f t="shared" si="0"/>
        <v>180188</v>
      </c>
      <c r="C20">
        <v>25970</v>
      </c>
      <c r="D20"/>
      <c r="E20">
        <v>18500</v>
      </c>
      <c r="F20">
        <f t="shared" si="1"/>
        <v>124122</v>
      </c>
      <c r="G20">
        <v>9283</v>
      </c>
      <c r="I20" s="39">
        <v>40000</v>
      </c>
      <c r="J20" s="39">
        <f t="shared" si="2"/>
        <v>93247</v>
      </c>
      <c r="K20">
        <v>1170</v>
      </c>
    </row>
    <row r="21" spans="1:11" s="4" customFormat="1" x14ac:dyDescent="0.25">
      <c r="A21" s="39">
        <v>11000</v>
      </c>
      <c r="B21">
        <f t="shared" si="0"/>
        <v>206866</v>
      </c>
      <c r="C21">
        <v>26678</v>
      </c>
      <c r="D21"/>
      <c r="E21">
        <v>19000</v>
      </c>
      <c r="F21">
        <f t="shared" si="1"/>
        <v>132830</v>
      </c>
      <c r="G21">
        <v>8708</v>
      </c>
      <c r="I21" s="39">
        <v>42000</v>
      </c>
      <c r="J21" s="39">
        <f t="shared" si="2"/>
        <v>94163</v>
      </c>
      <c r="K21">
        <v>916</v>
      </c>
    </row>
    <row r="22" spans="1:11" s="4" customFormat="1" x14ac:dyDescent="0.25">
      <c r="A22" s="39">
        <v>12000</v>
      </c>
      <c r="B22">
        <f t="shared" si="0"/>
        <v>234027</v>
      </c>
      <c r="C22">
        <v>27161</v>
      </c>
      <c r="D22"/>
      <c r="E22">
        <v>19500</v>
      </c>
      <c r="F22">
        <f t="shared" si="1"/>
        <v>140947</v>
      </c>
      <c r="G22">
        <v>8117</v>
      </c>
      <c r="I22" s="39">
        <v>44000</v>
      </c>
      <c r="J22" s="39">
        <f t="shared" si="2"/>
        <v>94819</v>
      </c>
      <c r="K22">
        <v>656</v>
      </c>
    </row>
    <row r="23" spans="1:11" s="4" customFormat="1" x14ac:dyDescent="0.25">
      <c r="A23" s="39">
        <v>13000</v>
      </c>
      <c r="B23">
        <f t="shared" si="0"/>
        <v>260910</v>
      </c>
      <c r="C23">
        <v>26883</v>
      </c>
      <c r="D23"/>
      <c r="E23">
        <v>19580</v>
      </c>
      <c r="F23">
        <f t="shared" si="1"/>
        <v>142221</v>
      </c>
      <c r="G23">
        <v>1274</v>
      </c>
      <c r="I23" s="39">
        <v>46000</v>
      </c>
      <c r="J23" s="39">
        <f t="shared" si="2"/>
        <v>95333</v>
      </c>
      <c r="K23">
        <v>514</v>
      </c>
    </row>
    <row r="24" spans="1:11" s="4" customFormat="1" x14ac:dyDescent="0.25">
      <c r="A24" s="39">
        <v>13134</v>
      </c>
      <c r="B24">
        <f t="shared" si="0"/>
        <v>264581</v>
      </c>
      <c r="C24">
        <v>3671</v>
      </c>
      <c r="D24"/>
      <c r="E24"/>
      <c r="F24"/>
      <c r="G24"/>
      <c r="I24" s="39">
        <v>48000</v>
      </c>
      <c r="J24" s="39">
        <f t="shared" si="2"/>
        <v>95719</v>
      </c>
      <c r="K24">
        <v>386</v>
      </c>
    </row>
    <row r="25" spans="1:11" s="4" customFormat="1" x14ac:dyDescent="0.25">
      <c r="A25" s="39"/>
      <c r="B25"/>
      <c r="C25"/>
      <c r="D25"/>
      <c r="E25"/>
      <c r="F25" s="45"/>
      <c r="G25" s="45"/>
      <c r="H25" s="45"/>
      <c r="I25" s="39">
        <v>50000</v>
      </c>
      <c r="J25" s="39">
        <f t="shared" si="2"/>
        <v>96053</v>
      </c>
      <c r="K25">
        <v>334</v>
      </c>
    </row>
    <row r="26" spans="1:11" s="4" customFormat="1" x14ac:dyDescent="0.25">
      <c r="A26" s="39"/>
      <c r="B26"/>
      <c r="C26"/>
      <c r="D26"/>
      <c r="E26"/>
      <c r="F26" s="45"/>
      <c r="G26" s="45"/>
      <c r="H26" s="45"/>
      <c r="I26" s="39">
        <v>100000</v>
      </c>
      <c r="J26" s="39">
        <f t="shared" si="2"/>
        <v>97380</v>
      </c>
      <c r="K26">
        <v>1327</v>
      </c>
    </row>
    <row r="27" spans="1:11" s="4" customFormat="1" x14ac:dyDescent="0.25">
      <c r="A27" s="39"/>
      <c r="B27"/>
      <c r="C27"/>
      <c r="D27"/>
      <c r="F27" s="45"/>
      <c r="G27" s="45"/>
      <c r="H27" s="45"/>
      <c r="I27" s="39">
        <v>150000</v>
      </c>
      <c r="J27" s="39">
        <f t="shared" si="2"/>
        <v>97450</v>
      </c>
      <c r="K27">
        <v>70</v>
      </c>
    </row>
    <row r="28" spans="1:11" s="4" customFormat="1" x14ac:dyDescent="0.25">
      <c r="A28" s="39"/>
      <c r="B28"/>
      <c r="C28"/>
      <c r="D28"/>
      <c r="F28" s="45"/>
      <c r="G28" s="45"/>
      <c r="H28" s="45"/>
      <c r="I28" s="39">
        <v>200000</v>
      </c>
      <c r="J28" s="39">
        <f t="shared" si="2"/>
        <v>97460</v>
      </c>
      <c r="K28">
        <v>10</v>
      </c>
    </row>
    <row r="29" spans="1:11" s="4" customFormat="1" x14ac:dyDescent="0.25">
      <c r="A29" s="39"/>
      <c r="B29"/>
      <c r="C29"/>
      <c r="D29"/>
      <c r="E29" s="39"/>
      <c r="F29" s="45"/>
      <c r="G29" s="45"/>
      <c r="H29" s="45"/>
      <c r="I29" s="39">
        <v>250000</v>
      </c>
      <c r="J29" s="39">
        <f t="shared" si="2"/>
        <v>97462</v>
      </c>
      <c r="K29">
        <v>2</v>
      </c>
    </row>
    <row r="30" spans="1:11" s="4" customFormat="1" x14ac:dyDescent="0.25">
      <c r="A30" s="39"/>
      <c r="B30"/>
      <c r="C30"/>
      <c r="D30"/>
      <c r="E30" s="39"/>
      <c r="F30" s="29"/>
      <c r="G30" s="29"/>
      <c r="H30" s="29"/>
      <c r="I30" s="39">
        <v>825011</v>
      </c>
      <c r="J30" s="39">
        <f t="shared" si="2"/>
        <v>97466</v>
      </c>
      <c r="K30">
        <v>4</v>
      </c>
    </row>
    <row r="31" spans="1:11" s="4" customFormat="1" x14ac:dyDescent="0.25">
      <c r="A31" s="37"/>
      <c r="B31" s="21"/>
      <c r="C31" s="11"/>
      <c r="D31" s="11"/>
      <c r="E31" s="39"/>
      <c r="F31" s="29"/>
      <c r="G31" s="29"/>
      <c r="H31" s="29"/>
      <c r="I31" s="39"/>
      <c r="J31" s="37"/>
      <c r="K31"/>
    </row>
    <row r="32" spans="1:11" s="4" customFormat="1" ht="13" x14ac:dyDescent="0.3">
      <c r="A32" s="102" t="s">
        <v>113</v>
      </c>
      <c r="B32" s="102"/>
      <c r="C32" s="102"/>
      <c r="D32" s="102"/>
      <c r="E32" s="102"/>
      <c r="F32" s="102"/>
      <c r="G32" s="102"/>
      <c r="H32" s="102"/>
      <c r="I32" s="102"/>
      <c r="J32" s="102"/>
      <c r="K32" s="102"/>
    </row>
    <row r="33" spans="1:11" s="4" customFormat="1" ht="13" x14ac:dyDescent="0.3">
      <c r="A33" s="103" t="s">
        <v>43</v>
      </c>
      <c r="B33" s="103"/>
      <c r="C33" s="103"/>
      <c r="D33" s="34"/>
      <c r="E33" s="103" t="s">
        <v>44</v>
      </c>
      <c r="F33" s="103"/>
      <c r="G33" s="103"/>
      <c r="H33" s="34"/>
      <c r="I33" s="34"/>
      <c r="J33" s="34"/>
      <c r="K33" s="34"/>
    </row>
    <row r="34" spans="1:11" s="4" customFormat="1" ht="26" x14ac:dyDescent="0.3">
      <c r="A34" s="35" t="s">
        <v>59</v>
      </c>
      <c r="B34" s="35" t="s">
        <v>112</v>
      </c>
      <c r="C34" s="35" t="s">
        <v>47</v>
      </c>
      <c r="D34" s="43"/>
      <c r="E34" s="35" t="s">
        <v>59</v>
      </c>
      <c r="F34" s="35" t="s">
        <v>112</v>
      </c>
      <c r="G34" s="35" t="s">
        <v>47</v>
      </c>
      <c r="I34" s="43"/>
      <c r="J34" s="43"/>
      <c r="K34" s="43"/>
    </row>
    <row r="35" spans="1:11" s="4" customFormat="1" ht="13" x14ac:dyDescent="0.3">
      <c r="A35" s="43"/>
      <c r="B35" s="42"/>
      <c r="C35" s="43"/>
      <c r="D35" s="43"/>
      <c r="E35" s="42"/>
      <c r="F35" s="42"/>
      <c r="G35" s="43"/>
      <c r="I35" s="43"/>
      <c r="J35" s="43"/>
      <c r="K35" s="43"/>
    </row>
    <row r="36" spans="1:11" s="4" customFormat="1" x14ac:dyDescent="0.25">
      <c r="A36" s="39">
        <v>0</v>
      </c>
      <c r="B36">
        <f>C36+B35</f>
        <v>461</v>
      </c>
      <c r="C36">
        <v>461</v>
      </c>
      <c r="E36">
        <v>18000</v>
      </c>
      <c r="F36">
        <f>G36+F35</f>
        <v>7606</v>
      </c>
      <c r="G36">
        <v>7606</v>
      </c>
      <c r="I36" s="37"/>
      <c r="J36" s="37"/>
    </row>
    <row r="37" spans="1:11" s="4" customFormat="1" x14ac:dyDescent="0.25">
      <c r="A37" s="39">
        <v>1250</v>
      </c>
      <c r="B37">
        <f t="shared" ref="B37:B50" si="3">C37+B36</f>
        <v>4075</v>
      </c>
      <c r="C37">
        <v>3614</v>
      </c>
      <c r="E37">
        <v>21000</v>
      </c>
      <c r="F37">
        <f t="shared" ref="F37:F60" si="4">G37+F36</f>
        <v>29911</v>
      </c>
      <c r="G37">
        <v>22305</v>
      </c>
      <c r="I37" s="37"/>
      <c r="J37" s="37"/>
    </row>
    <row r="38" spans="1:11" s="4" customFormat="1" x14ac:dyDescent="0.25">
      <c r="A38" s="39">
        <v>2500</v>
      </c>
      <c r="B38">
        <f t="shared" si="3"/>
        <v>7918</v>
      </c>
      <c r="C38">
        <v>3843</v>
      </c>
      <c r="E38">
        <v>24000</v>
      </c>
      <c r="F38">
        <f t="shared" si="4"/>
        <v>45359</v>
      </c>
      <c r="G38">
        <v>15448</v>
      </c>
      <c r="I38" s="37"/>
      <c r="J38" s="37"/>
    </row>
    <row r="39" spans="1:11" s="4" customFormat="1" x14ac:dyDescent="0.25">
      <c r="A39" s="39">
        <v>3750</v>
      </c>
      <c r="B39">
        <f t="shared" si="3"/>
        <v>13496</v>
      </c>
      <c r="C39">
        <v>5578</v>
      </c>
      <c r="E39">
        <v>27000</v>
      </c>
      <c r="F39">
        <f t="shared" si="4"/>
        <v>55118</v>
      </c>
      <c r="G39">
        <v>9759</v>
      </c>
      <c r="I39" s="37"/>
      <c r="J39" s="37"/>
    </row>
    <row r="40" spans="1:11" s="4" customFormat="1" x14ac:dyDescent="0.25">
      <c r="A40" s="39">
        <v>5000</v>
      </c>
      <c r="B40">
        <f t="shared" si="3"/>
        <v>21614</v>
      </c>
      <c r="C40">
        <v>8118</v>
      </c>
      <c r="E40">
        <v>30000</v>
      </c>
      <c r="F40">
        <f t="shared" si="4"/>
        <v>61272</v>
      </c>
      <c r="G40">
        <v>6154</v>
      </c>
      <c r="I40" s="37"/>
      <c r="J40" s="37"/>
    </row>
    <row r="41" spans="1:11" s="4" customFormat="1" x14ac:dyDescent="0.25">
      <c r="A41" s="39">
        <v>6250</v>
      </c>
      <c r="B41">
        <f t="shared" si="3"/>
        <v>32033</v>
      </c>
      <c r="C41">
        <v>10419</v>
      </c>
      <c r="E41">
        <v>33000</v>
      </c>
      <c r="F41">
        <f t="shared" si="4"/>
        <v>64991</v>
      </c>
      <c r="G41">
        <v>3719</v>
      </c>
      <c r="I41" s="37"/>
      <c r="J41" s="37"/>
    </row>
    <row r="42" spans="1:11" s="4" customFormat="1" x14ac:dyDescent="0.25">
      <c r="A42" s="39">
        <v>7500</v>
      </c>
      <c r="B42">
        <f t="shared" si="3"/>
        <v>44018</v>
      </c>
      <c r="C42">
        <v>11985</v>
      </c>
      <c r="E42">
        <v>36000</v>
      </c>
      <c r="F42">
        <f t="shared" si="4"/>
        <v>67339</v>
      </c>
      <c r="G42">
        <v>2348</v>
      </c>
      <c r="I42" s="37"/>
      <c r="J42" s="37"/>
    </row>
    <row r="43" spans="1:11" s="4" customFormat="1" x14ac:dyDescent="0.25">
      <c r="A43" s="39">
        <v>8750</v>
      </c>
      <c r="B43">
        <f t="shared" si="3"/>
        <v>57178</v>
      </c>
      <c r="C43">
        <v>13160</v>
      </c>
      <c r="E43">
        <v>39000</v>
      </c>
      <c r="F43">
        <f t="shared" si="4"/>
        <v>68830</v>
      </c>
      <c r="G43">
        <v>1491</v>
      </c>
      <c r="I43" s="37"/>
      <c r="J43" s="37"/>
    </row>
    <row r="44" spans="1:11" s="4" customFormat="1" x14ac:dyDescent="0.25">
      <c r="A44" s="39">
        <v>10000</v>
      </c>
      <c r="B44">
        <f t="shared" si="3"/>
        <v>70949</v>
      </c>
      <c r="C44">
        <v>13771</v>
      </c>
      <c r="E44">
        <v>42000</v>
      </c>
      <c r="F44">
        <f t="shared" si="4"/>
        <v>69804</v>
      </c>
      <c r="G44">
        <v>974</v>
      </c>
      <c r="I44" s="37"/>
      <c r="J44" s="37"/>
    </row>
    <row r="45" spans="1:11" s="4" customFormat="1" x14ac:dyDescent="0.25">
      <c r="A45" s="39">
        <v>11250</v>
      </c>
      <c r="B45">
        <f t="shared" si="3"/>
        <v>84985</v>
      </c>
      <c r="C45">
        <v>14036</v>
      </c>
      <c r="E45">
        <v>45000</v>
      </c>
      <c r="F45">
        <f t="shared" si="4"/>
        <v>70469</v>
      </c>
      <c r="G45">
        <v>665</v>
      </c>
      <c r="I45" s="37"/>
      <c r="J45" s="37"/>
    </row>
    <row r="46" spans="1:11" s="4" customFormat="1" x14ac:dyDescent="0.25">
      <c r="A46" s="39">
        <v>12500</v>
      </c>
      <c r="B46">
        <f t="shared" si="3"/>
        <v>99187</v>
      </c>
      <c r="C46">
        <v>14202</v>
      </c>
      <c r="E46">
        <v>48000</v>
      </c>
      <c r="F46">
        <f t="shared" si="4"/>
        <v>70913</v>
      </c>
      <c r="G46">
        <v>444</v>
      </c>
      <c r="I46" s="37"/>
      <c r="J46" s="37"/>
    </row>
    <row r="47" spans="1:11" s="4" customFormat="1" x14ac:dyDescent="0.25">
      <c r="A47" s="39">
        <v>13750</v>
      </c>
      <c r="B47">
        <f t="shared" si="3"/>
        <v>113107</v>
      </c>
      <c r="C47">
        <v>13920</v>
      </c>
      <c r="E47">
        <v>51000</v>
      </c>
      <c r="F47">
        <f t="shared" si="4"/>
        <v>71220</v>
      </c>
      <c r="G47">
        <v>307</v>
      </c>
      <c r="I47" s="37"/>
      <c r="J47" s="37"/>
    </row>
    <row r="48" spans="1:11" s="4" customFormat="1" x14ac:dyDescent="0.25">
      <c r="A48" s="39">
        <v>15000</v>
      </c>
      <c r="B48">
        <f t="shared" si="3"/>
        <v>126673</v>
      </c>
      <c r="C48">
        <v>13566</v>
      </c>
      <c r="E48">
        <v>54000</v>
      </c>
      <c r="F48">
        <f t="shared" si="4"/>
        <v>71469</v>
      </c>
      <c r="G48">
        <v>249</v>
      </c>
      <c r="I48" s="37"/>
      <c r="J48" s="37"/>
    </row>
    <row r="49" spans="1:11" s="4" customFormat="1" x14ac:dyDescent="0.25">
      <c r="A49" s="39">
        <v>16250</v>
      </c>
      <c r="B49">
        <f t="shared" si="3"/>
        <v>139631</v>
      </c>
      <c r="C49">
        <v>12958</v>
      </c>
      <c r="E49">
        <v>57000</v>
      </c>
      <c r="F49">
        <f t="shared" si="4"/>
        <v>71632</v>
      </c>
      <c r="G49">
        <v>163</v>
      </c>
      <c r="I49" s="37"/>
      <c r="J49" s="37"/>
    </row>
    <row r="50" spans="1:11" s="4" customFormat="1" x14ac:dyDescent="0.25">
      <c r="A50" s="39">
        <v>17169</v>
      </c>
      <c r="B50">
        <f t="shared" si="3"/>
        <v>148499</v>
      </c>
      <c r="C50">
        <v>8868</v>
      </c>
      <c r="E50">
        <v>60000</v>
      </c>
      <c r="F50">
        <f t="shared" si="4"/>
        <v>71740</v>
      </c>
      <c r="G50">
        <v>108</v>
      </c>
      <c r="I50" s="37"/>
      <c r="J50" s="37"/>
    </row>
    <row r="51" spans="1:11" s="4" customFormat="1" x14ac:dyDescent="0.25">
      <c r="A51" s="37"/>
      <c r="E51">
        <v>70000</v>
      </c>
      <c r="F51">
        <f t="shared" si="4"/>
        <v>71947</v>
      </c>
      <c r="G51">
        <v>207</v>
      </c>
      <c r="I51" s="37"/>
      <c r="J51" s="37"/>
    </row>
    <row r="52" spans="1:11" s="4" customFormat="1" x14ac:dyDescent="0.25">
      <c r="A52" s="37"/>
      <c r="E52">
        <v>80000</v>
      </c>
      <c r="F52">
        <f t="shared" si="4"/>
        <v>72047</v>
      </c>
      <c r="G52">
        <v>100</v>
      </c>
      <c r="I52" s="37"/>
      <c r="J52" s="37"/>
    </row>
    <row r="53" spans="1:11" s="4" customFormat="1" x14ac:dyDescent="0.25">
      <c r="A53" s="37"/>
      <c r="E53">
        <v>90000</v>
      </c>
      <c r="F53">
        <f t="shared" si="4"/>
        <v>72086</v>
      </c>
      <c r="G53">
        <v>39</v>
      </c>
      <c r="I53" s="37"/>
      <c r="J53" s="37"/>
    </row>
    <row r="54" spans="1:11" s="4" customFormat="1" x14ac:dyDescent="0.25">
      <c r="A54" s="37"/>
      <c r="D54" s="37"/>
      <c r="E54">
        <v>100000</v>
      </c>
      <c r="F54">
        <f t="shared" si="4"/>
        <v>72108</v>
      </c>
      <c r="G54">
        <v>22</v>
      </c>
      <c r="I54" s="37"/>
      <c r="J54" s="37"/>
    </row>
    <row r="55" spans="1:11" s="4" customFormat="1" x14ac:dyDescent="0.25">
      <c r="A55" s="37"/>
      <c r="D55" s="37"/>
      <c r="E55">
        <v>110000</v>
      </c>
      <c r="F55">
        <f t="shared" si="4"/>
        <v>72125</v>
      </c>
      <c r="G55">
        <v>17</v>
      </c>
      <c r="I55" s="37"/>
      <c r="J55" s="37"/>
    </row>
    <row r="56" spans="1:11" s="4" customFormat="1" x14ac:dyDescent="0.25">
      <c r="A56" s="37"/>
      <c r="D56" s="37"/>
      <c r="E56">
        <v>120000</v>
      </c>
      <c r="F56">
        <f t="shared" si="4"/>
        <v>72134</v>
      </c>
      <c r="G56">
        <v>9</v>
      </c>
      <c r="I56" s="37"/>
      <c r="J56" s="37"/>
    </row>
    <row r="57" spans="1:11" s="4" customFormat="1" x14ac:dyDescent="0.25">
      <c r="A57" s="37"/>
      <c r="D57" s="37"/>
      <c r="E57">
        <v>130000</v>
      </c>
      <c r="F57">
        <f t="shared" si="4"/>
        <v>72143</v>
      </c>
      <c r="G57">
        <v>9</v>
      </c>
      <c r="I57" s="37"/>
      <c r="J57" s="37"/>
    </row>
    <row r="58" spans="1:11" s="4" customFormat="1" x14ac:dyDescent="0.25">
      <c r="A58" s="37"/>
      <c r="D58" s="37"/>
      <c r="E58">
        <v>140000</v>
      </c>
      <c r="F58">
        <f t="shared" si="4"/>
        <v>72147</v>
      </c>
      <c r="G58">
        <v>4</v>
      </c>
      <c r="I58" s="37"/>
      <c r="J58" s="37"/>
    </row>
    <row r="59" spans="1:11" s="4" customFormat="1" x14ac:dyDescent="0.25">
      <c r="A59" s="37"/>
      <c r="D59" s="37"/>
      <c r="E59">
        <v>150000</v>
      </c>
      <c r="F59">
        <f t="shared" si="4"/>
        <v>72149</v>
      </c>
      <c r="G59">
        <v>2</v>
      </c>
      <c r="I59" s="37"/>
      <c r="J59" s="37"/>
    </row>
    <row r="60" spans="1:11" s="4" customFormat="1" x14ac:dyDescent="0.25">
      <c r="A60" s="37"/>
      <c r="D60" s="37"/>
      <c r="E60">
        <v>306406</v>
      </c>
      <c r="F60">
        <f t="shared" si="4"/>
        <v>72158</v>
      </c>
      <c r="G60">
        <v>9</v>
      </c>
      <c r="I60" s="37"/>
      <c r="J60" s="37"/>
    </row>
    <row r="61" spans="1:11" s="88" customFormat="1" ht="13" x14ac:dyDescent="0.3">
      <c r="A61" s="98" t="s">
        <v>124</v>
      </c>
      <c r="B61" s="100"/>
      <c r="C61" s="100"/>
      <c r="D61" s="100"/>
      <c r="E61" s="100"/>
      <c r="F61" s="100"/>
      <c r="G61" s="100"/>
      <c r="H61" s="100"/>
      <c r="I61" s="100"/>
      <c r="J61" s="100"/>
      <c r="K61" s="100"/>
    </row>
    <row r="62" spans="1:11" s="4" customFormat="1" ht="13" x14ac:dyDescent="0.3">
      <c r="A62" s="103" t="s">
        <v>127</v>
      </c>
      <c r="B62" s="103"/>
      <c r="C62" s="103"/>
      <c r="D62" s="103"/>
      <c r="E62" s="103"/>
      <c r="F62" s="103"/>
      <c r="G62" s="103"/>
      <c r="H62" s="103"/>
      <c r="I62" s="103"/>
      <c r="J62" s="103"/>
      <c r="K62" s="103"/>
    </row>
    <row r="63" spans="1:11" s="90" customFormat="1" ht="13" x14ac:dyDescent="0.3">
      <c r="A63" s="99" t="s">
        <v>128</v>
      </c>
      <c r="B63" s="100"/>
      <c r="C63" s="100"/>
      <c r="D63" s="100"/>
      <c r="E63" s="100"/>
      <c r="F63" s="100"/>
      <c r="G63" s="100"/>
      <c r="H63" s="100"/>
      <c r="I63" s="100"/>
      <c r="J63" s="100"/>
      <c r="K63" s="100"/>
    </row>
    <row r="64" spans="1:11" s="4" customFormat="1" ht="13" x14ac:dyDescent="0.3">
      <c r="A64" s="102" t="str">
        <f>A4</f>
        <v>TEST YEAR ENDING 12/31/2018</v>
      </c>
      <c r="B64" s="102"/>
      <c r="C64" s="102"/>
      <c r="D64" s="102"/>
      <c r="E64" s="102"/>
      <c r="F64" s="102"/>
      <c r="G64" s="102"/>
      <c r="H64" s="102"/>
      <c r="I64" s="102"/>
      <c r="J64" s="102"/>
      <c r="K64" s="102"/>
    </row>
    <row r="65" spans="1:11" s="4" customFormat="1" ht="13" x14ac:dyDescent="0.3">
      <c r="A65" s="87"/>
      <c r="B65" s="87"/>
      <c r="C65" s="87"/>
      <c r="D65" s="87"/>
      <c r="E65" s="87"/>
      <c r="F65" s="87"/>
      <c r="G65" s="87"/>
      <c r="H65" s="87"/>
      <c r="I65" s="87"/>
      <c r="J65" s="87"/>
      <c r="K65" s="87"/>
    </row>
    <row r="66" spans="1:11" s="4" customFormat="1" ht="13" x14ac:dyDescent="0.3">
      <c r="A66" s="102" t="s">
        <v>114</v>
      </c>
      <c r="B66" s="102"/>
      <c r="C66" s="102"/>
      <c r="D66" s="102"/>
      <c r="E66" s="102"/>
      <c r="F66" s="102"/>
      <c r="G66" s="102"/>
      <c r="H66" s="102"/>
      <c r="I66" s="102"/>
      <c r="J66" s="102"/>
      <c r="K66" s="102"/>
    </row>
    <row r="67" spans="1:11" s="4" customFormat="1" ht="13" x14ac:dyDescent="0.3">
      <c r="A67" s="103" t="s">
        <v>43</v>
      </c>
      <c r="B67" s="103"/>
      <c r="C67" s="103"/>
      <c r="D67" s="34"/>
      <c r="E67" s="103" t="s">
        <v>44</v>
      </c>
      <c r="F67" s="103"/>
      <c r="G67" s="103"/>
      <c r="H67" s="34"/>
      <c r="I67" s="34" t="s">
        <v>45</v>
      </c>
      <c r="J67" s="34"/>
      <c r="K67" s="34"/>
    </row>
    <row r="68" spans="1:11" s="4" customFormat="1" ht="26" x14ac:dyDescent="0.3">
      <c r="A68" s="35" t="s">
        <v>59</v>
      </c>
      <c r="B68" s="35" t="s">
        <v>112</v>
      </c>
      <c r="C68" s="35" t="s">
        <v>47</v>
      </c>
      <c r="D68" s="43"/>
      <c r="E68" s="35" t="s">
        <v>59</v>
      </c>
      <c r="F68" s="35" t="s">
        <v>112</v>
      </c>
      <c r="G68" s="35" t="s">
        <v>47</v>
      </c>
      <c r="I68" s="35" t="s">
        <v>129</v>
      </c>
      <c r="J68" s="35" t="s">
        <v>130</v>
      </c>
      <c r="K68" s="35" t="s">
        <v>47</v>
      </c>
    </row>
    <row r="69" spans="1:11" s="4" customFormat="1" x14ac:dyDescent="0.25">
      <c r="A69" s="37"/>
      <c r="D69" s="37"/>
      <c r="E69" s="9"/>
      <c r="I69" s="37"/>
      <c r="J69" s="37"/>
    </row>
    <row r="70" spans="1:11" s="4" customFormat="1" x14ac:dyDescent="0.25">
      <c r="A70" s="39">
        <v>0</v>
      </c>
      <c r="B70">
        <f>C70+B69</f>
        <v>3225</v>
      </c>
      <c r="C70">
        <v>3225</v>
      </c>
      <c r="D70" s="37"/>
      <c r="E70">
        <v>4750</v>
      </c>
      <c r="F70">
        <f>G70+F69</f>
        <v>260</v>
      </c>
      <c r="G70">
        <v>260</v>
      </c>
      <c r="I70" s="39">
        <v>9000</v>
      </c>
      <c r="J70" s="39">
        <f>K70+J69</f>
        <v>295</v>
      </c>
      <c r="K70">
        <v>295</v>
      </c>
    </row>
    <row r="71" spans="1:11" s="4" customFormat="1" x14ac:dyDescent="0.25">
      <c r="A71" s="39">
        <v>250</v>
      </c>
      <c r="B71">
        <f t="shared" ref="B71:B89" si="5">C71+B70</f>
        <v>9343</v>
      </c>
      <c r="C71">
        <v>6118</v>
      </c>
      <c r="D71" s="37"/>
      <c r="E71">
        <v>5000</v>
      </c>
      <c r="F71">
        <f t="shared" ref="F71:F87" si="6">G71+F70</f>
        <v>1100</v>
      </c>
      <c r="G71">
        <v>840</v>
      </c>
      <c r="I71" s="39">
        <v>9500</v>
      </c>
      <c r="J71" s="39">
        <f t="shared" ref="J71:J81" si="7">K71+J70</f>
        <v>1154</v>
      </c>
      <c r="K71">
        <v>859</v>
      </c>
    </row>
    <row r="72" spans="1:11" s="4" customFormat="1" x14ac:dyDescent="0.25">
      <c r="A72" s="39">
        <v>500</v>
      </c>
      <c r="B72">
        <f t="shared" si="5"/>
        <v>12822</v>
      </c>
      <c r="C72">
        <v>3479</v>
      </c>
      <c r="D72" s="37"/>
      <c r="E72">
        <v>5250</v>
      </c>
      <c r="F72">
        <f t="shared" si="6"/>
        <v>1888</v>
      </c>
      <c r="G72">
        <v>788</v>
      </c>
      <c r="I72" s="39">
        <v>10000</v>
      </c>
      <c r="J72" s="39">
        <f t="shared" si="7"/>
        <v>2001</v>
      </c>
      <c r="K72">
        <v>847</v>
      </c>
    </row>
    <row r="73" spans="1:11" s="4" customFormat="1" x14ac:dyDescent="0.25">
      <c r="A73" s="39">
        <v>750</v>
      </c>
      <c r="B73">
        <f t="shared" si="5"/>
        <v>15552</v>
      </c>
      <c r="C73">
        <v>2730</v>
      </c>
      <c r="D73" s="37"/>
      <c r="E73">
        <v>5500</v>
      </c>
      <c r="F73">
        <f t="shared" si="6"/>
        <v>2634</v>
      </c>
      <c r="G73">
        <v>746</v>
      </c>
      <c r="I73" s="39">
        <v>10500</v>
      </c>
      <c r="J73" s="39">
        <f t="shared" si="7"/>
        <v>2734</v>
      </c>
      <c r="K73">
        <v>733</v>
      </c>
    </row>
    <row r="74" spans="1:11" s="4" customFormat="1" x14ac:dyDescent="0.25">
      <c r="A74" s="39">
        <v>1000</v>
      </c>
      <c r="B74">
        <f t="shared" si="5"/>
        <v>17883</v>
      </c>
      <c r="C74">
        <v>2331</v>
      </c>
      <c r="D74" s="37"/>
      <c r="E74">
        <v>5750</v>
      </c>
      <c r="F74">
        <f t="shared" si="6"/>
        <v>3399</v>
      </c>
      <c r="G74">
        <v>765</v>
      </c>
      <c r="I74" s="39">
        <v>11000</v>
      </c>
      <c r="J74" s="39">
        <f t="shared" si="7"/>
        <v>3380</v>
      </c>
      <c r="K74">
        <v>646</v>
      </c>
    </row>
    <row r="75" spans="1:11" s="4" customFormat="1" x14ac:dyDescent="0.25">
      <c r="A75" s="39">
        <v>1250</v>
      </c>
      <c r="B75">
        <f t="shared" si="5"/>
        <v>19895</v>
      </c>
      <c r="C75">
        <v>2012</v>
      </c>
      <c r="D75" s="37"/>
      <c r="E75">
        <v>6000</v>
      </c>
      <c r="F75">
        <f t="shared" si="6"/>
        <v>4068</v>
      </c>
      <c r="G75">
        <v>669</v>
      </c>
      <c r="I75" s="39">
        <v>11500</v>
      </c>
      <c r="J75" s="39">
        <f t="shared" si="7"/>
        <v>4002</v>
      </c>
      <c r="K75">
        <v>622</v>
      </c>
    </row>
    <row r="76" spans="1:11" s="4" customFormat="1" x14ac:dyDescent="0.25">
      <c r="A76" s="39">
        <v>1500</v>
      </c>
      <c r="B76">
        <f t="shared" si="5"/>
        <v>21740</v>
      </c>
      <c r="C76">
        <v>1845</v>
      </c>
      <c r="D76" s="37"/>
      <c r="E76">
        <v>6250</v>
      </c>
      <c r="F76">
        <f t="shared" si="6"/>
        <v>4709</v>
      </c>
      <c r="G76">
        <v>641</v>
      </c>
      <c r="I76" s="39">
        <v>12000</v>
      </c>
      <c r="J76" s="39">
        <f t="shared" si="7"/>
        <v>4632</v>
      </c>
      <c r="K76">
        <v>630</v>
      </c>
    </row>
    <row r="77" spans="1:11" s="4" customFormat="1" x14ac:dyDescent="0.25">
      <c r="A77" s="39">
        <v>1750</v>
      </c>
      <c r="B77">
        <f t="shared" si="5"/>
        <v>23370</v>
      </c>
      <c r="C77">
        <v>1630</v>
      </c>
      <c r="D77" s="37"/>
      <c r="E77">
        <v>6500</v>
      </c>
      <c r="F77">
        <f t="shared" si="6"/>
        <v>5322</v>
      </c>
      <c r="G77">
        <v>613</v>
      </c>
      <c r="I77" s="39">
        <v>12500</v>
      </c>
      <c r="J77" s="39">
        <f t="shared" si="7"/>
        <v>5165</v>
      </c>
      <c r="K77">
        <v>533</v>
      </c>
    </row>
    <row r="78" spans="1:11" s="4" customFormat="1" x14ac:dyDescent="0.25">
      <c r="A78" s="39">
        <v>2000</v>
      </c>
      <c r="B78">
        <f t="shared" si="5"/>
        <v>24927</v>
      </c>
      <c r="C78">
        <v>1557</v>
      </c>
      <c r="D78" s="37"/>
      <c r="E78">
        <v>6750</v>
      </c>
      <c r="F78">
        <f t="shared" si="6"/>
        <v>5917</v>
      </c>
      <c r="G78">
        <v>595</v>
      </c>
      <c r="I78" s="39">
        <v>13000</v>
      </c>
      <c r="J78" s="39">
        <f t="shared" si="7"/>
        <v>5695</v>
      </c>
      <c r="K78">
        <v>530</v>
      </c>
    </row>
    <row r="79" spans="1:11" s="4" customFormat="1" x14ac:dyDescent="0.25">
      <c r="A79" s="39">
        <v>2250</v>
      </c>
      <c r="B79">
        <f t="shared" si="5"/>
        <v>26353</v>
      </c>
      <c r="C79">
        <v>1426</v>
      </c>
      <c r="D79" s="37"/>
      <c r="E79">
        <v>7000</v>
      </c>
      <c r="F79">
        <f t="shared" si="6"/>
        <v>6513</v>
      </c>
      <c r="G79">
        <v>596</v>
      </c>
      <c r="I79" s="39">
        <v>13500</v>
      </c>
      <c r="J79" s="39">
        <f t="shared" si="7"/>
        <v>6177</v>
      </c>
      <c r="K79">
        <v>482</v>
      </c>
    </row>
    <row r="80" spans="1:11" s="4" customFormat="1" x14ac:dyDescent="0.25">
      <c r="A80" s="39">
        <v>2500</v>
      </c>
      <c r="B80">
        <f t="shared" si="5"/>
        <v>27709</v>
      </c>
      <c r="C80">
        <v>1356</v>
      </c>
      <c r="D80" s="37"/>
      <c r="E80">
        <v>7250</v>
      </c>
      <c r="F80">
        <f t="shared" si="6"/>
        <v>7072</v>
      </c>
      <c r="G80">
        <v>559</v>
      </c>
      <c r="I80" s="39">
        <v>14000</v>
      </c>
      <c r="J80" s="39">
        <f t="shared" si="7"/>
        <v>6602</v>
      </c>
      <c r="K80">
        <v>425</v>
      </c>
    </row>
    <row r="81" spans="1:11" s="4" customFormat="1" x14ac:dyDescent="0.25">
      <c r="A81" s="39">
        <v>2750</v>
      </c>
      <c r="B81">
        <f t="shared" si="5"/>
        <v>29023</v>
      </c>
      <c r="C81">
        <v>1314</v>
      </c>
      <c r="D81" s="37"/>
      <c r="E81">
        <v>7500</v>
      </c>
      <c r="F81">
        <f t="shared" si="6"/>
        <v>7641</v>
      </c>
      <c r="G81">
        <v>569</v>
      </c>
      <c r="I81" s="39">
        <v>14073</v>
      </c>
      <c r="J81" s="39">
        <f t="shared" si="7"/>
        <v>6663</v>
      </c>
      <c r="K81">
        <v>61</v>
      </c>
    </row>
    <row r="82" spans="1:11" s="4" customFormat="1" x14ac:dyDescent="0.25">
      <c r="A82" s="39">
        <v>3000</v>
      </c>
      <c r="B82">
        <f t="shared" si="5"/>
        <v>30229</v>
      </c>
      <c r="C82">
        <v>1206</v>
      </c>
      <c r="D82" s="37"/>
      <c r="E82">
        <v>7750</v>
      </c>
      <c r="F82">
        <f t="shared" si="6"/>
        <v>8166</v>
      </c>
      <c r="G82">
        <v>525</v>
      </c>
      <c r="I82" s="37"/>
      <c r="J82" s="37"/>
    </row>
    <row r="83" spans="1:11" s="4" customFormat="1" x14ac:dyDescent="0.25">
      <c r="A83" s="39">
        <v>3250</v>
      </c>
      <c r="B83">
        <f t="shared" si="5"/>
        <v>31373</v>
      </c>
      <c r="C83">
        <v>1144</v>
      </c>
      <c r="D83" s="37"/>
      <c r="E83">
        <v>8000</v>
      </c>
      <c r="F83">
        <f t="shared" si="6"/>
        <v>8704</v>
      </c>
      <c r="G83">
        <v>538</v>
      </c>
      <c r="I83" s="37"/>
      <c r="J83" s="37"/>
    </row>
    <row r="84" spans="1:11" s="4" customFormat="1" x14ac:dyDescent="0.25">
      <c r="A84" s="39">
        <v>3500</v>
      </c>
      <c r="B84">
        <f t="shared" si="5"/>
        <v>32403</v>
      </c>
      <c r="C84">
        <v>1030</v>
      </c>
      <c r="D84" s="37"/>
      <c r="E84">
        <v>8250</v>
      </c>
      <c r="F84">
        <f t="shared" si="6"/>
        <v>9203</v>
      </c>
      <c r="G84">
        <v>499</v>
      </c>
      <c r="I84" s="37"/>
      <c r="J84" s="37"/>
    </row>
    <row r="85" spans="1:11" s="4" customFormat="1" x14ac:dyDescent="0.25">
      <c r="A85" s="39">
        <v>3750</v>
      </c>
      <c r="B85">
        <f t="shared" si="5"/>
        <v>33411</v>
      </c>
      <c r="C85">
        <v>1008</v>
      </c>
      <c r="D85" s="37"/>
      <c r="E85">
        <v>8500</v>
      </c>
      <c r="F85">
        <f t="shared" si="6"/>
        <v>9684</v>
      </c>
      <c r="G85">
        <v>481</v>
      </c>
      <c r="I85" s="37"/>
      <c r="J85" s="37"/>
    </row>
    <row r="86" spans="1:11" s="4" customFormat="1" x14ac:dyDescent="0.25">
      <c r="A86" s="39">
        <v>4000</v>
      </c>
      <c r="B86">
        <f t="shared" si="5"/>
        <v>34339</v>
      </c>
      <c r="C86">
        <v>928</v>
      </c>
      <c r="D86" s="37"/>
      <c r="E86">
        <v>8750</v>
      </c>
      <c r="F86">
        <f t="shared" si="6"/>
        <v>10113</v>
      </c>
      <c r="G86">
        <v>429</v>
      </c>
      <c r="I86" s="37"/>
      <c r="J86" s="37"/>
    </row>
    <row r="87" spans="1:11" s="4" customFormat="1" x14ac:dyDescent="0.25">
      <c r="A87" s="39">
        <v>4250</v>
      </c>
      <c r="B87">
        <f t="shared" si="5"/>
        <v>35231</v>
      </c>
      <c r="C87">
        <v>892</v>
      </c>
      <c r="D87" s="37"/>
      <c r="E87">
        <v>8813</v>
      </c>
      <c r="F87">
        <f t="shared" si="6"/>
        <v>10222</v>
      </c>
      <c r="G87">
        <v>109</v>
      </c>
      <c r="I87" s="37"/>
      <c r="J87" s="37"/>
    </row>
    <row r="88" spans="1:11" s="4" customFormat="1" x14ac:dyDescent="0.25">
      <c r="A88" s="39">
        <v>4500</v>
      </c>
      <c r="B88">
        <f t="shared" si="5"/>
        <v>36126</v>
      </c>
      <c r="C88">
        <v>895</v>
      </c>
      <c r="D88" s="37"/>
      <c r="E88" s="9"/>
      <c r="I88" s="37"/>
      <c r="J88" s="37"/>
    </row>
    <row r="89" spans="1:11" s="4" customFormat="1" x14ac:dyDescent="0.25">
      <c r="A89" s="39">
        <v>4673</v>
      </c>
      <c r="B89">
        <f t="shared" si="5"/>
        <v>36687</v>
      </c>
      <c r="C89">
        <v>561</v>
      </c>
      <c r="D89" s="37"/>
      <c r="E89" s="9"/>
      <c r="I89" s="37"/>
      <c r="J89" s="37"/>
    </row>
    <row r="90" spans="1:11" s="4" customFormat="1" x14ac:dyDescent="0.25">
      <c r="A90" s="97"/>
      <c r="B90" s="6"/>
      <c r="C90" s="11"/>
      <c r="D90" s="37"/>
      <c r="E90" s="9"/>
      <c r="I90" s="37"/>
      <c r="J90" s="37"/>
    </row>
    <row r="91" spans="1:11" s="4" customFormat="1" ht="13" x14ac:dyDescent="0.3">
      <c r="A91" s="103" t="s">
        <v>46</v>
      </c>
      <c r="B91" s="103"/>
      <c r="C91" s="103"/>
      <c r="D91" s="34"/>
      <c r="E91" s="103" t="s">
        <v>88</v>
      </c>
      <c r="F91" s="103"/>
      <c r="G91" s="103"/>
      <c r="H91" s="34"/>
      <c r="I91" s="34"/>
      <c r="J91" s="34"/>
      <c r="K91" s="34"/>
    </row>
    <row r="92" spans="1:11" s="4" customFormat="1" ht="26" x14ac:dyDescent="0.3">
      <c r="A92" s="35" t="s">
        <v>59</v>
      </c>
      <c r="B92" s="35" t="s">
        <v>112</v>
      </c>
      <c r="C92" s="35" t="s">
        <v>47</v>
      </c>
      <c r="D92" s="43"/>
      <c r="E92" s="35" t="s">
        <v>59</v>
      </c>
      <c r="F92" s="35" t="s">
        <v>112</v>
      </c>
      <c r="G92" s="35" t="s">
        <v>47</v>
      </c>
      <c r="I92" s="37"/>
      <c r="J92" s="37"/>
    </row>
    <row r="93" spans="1:11" s="4" customFormat="1" x14ac:dyDescent="0.25">
      <c r="A93" s="97"/>
      <c r="B93" s="6"/>
      <c r="C93" s="11"/>
      <c r="D93" s="37"/>
      <c r="E93" s="9"/>
      <c r="I93" s="37"/>
      <c r="J93" s="37"/>
    </row>
    <row r="94" spans="1:11" s="4" customFormat="1" x14ac:dyDescent="0.25">
      <c r="A94" s="39">
        <v>15000</v>
      </c>
      <c r="B94">
        <f>C94+B93</f>
        <v>711</v>
      </c>
      <c r="C94">
        <v>711</v>
      </c>
      <c r="D94" s="37"/>
      <c r="E94">
        <v>25000</v>
      </c>
      <c r="F94">
        <f>G94+F93</f>
        <v>257</v>
      </c>
      <c r="G94">
        <v>257</v>
      </c>
      <c r="I94" s="37"/>
      <c r="J94" s="37"/>
    </row>
    <row r="95" spans="1:11" s="4" customFormat="1" x14ac:dyDescent="0.25">
      <c r="A95" s="39">
        <v>16000</v>
      </c>
      <c r="B95">
        <f t="shared" ref="B95:B103" si="8">C95+B94</f>
        <v>1425</v>
      </c>
      <c r="C95">
        <v>714</v>
      </c>
      <c r="D95" s="37"/>
      <c r="E95">
        <v>30000</v>
      </c>
      <c r="F95">
        <f t="shared" ref="F95:F103" si="9">G95+F94</f>
        <v>1178</v>
      </c>
      <c r="G95">
        <v>921</v>
      </c>
      <c r="I95" s="37"/>
      <c r="J95" s="37"/>
    </row>
    <row r="96" spans="1:11" s="4" customFormat="1" x14ac:dyDescent="0.25">
      <c r="A96" s="39">
        <v>17000</v>
      </c>
      <c r="B96">
        <f t="shared" si="8"/>
        <v>2063</v>
      </c>
      <c r="C96">
        <v>638</v>
      </c>
      <c r="D96" s="37"/>
      <c r="E96">
        <v>35000</v>
      </c>
      <c r="F96">
        <f t="shared" si="9"/>
        <v>1709</v>
      </c>
      <c r="G96">
        <v>531</v>
      </c>
      <c r="I96" s="37"/>
      <c r="J96" s="37"/>
    </row>
    <row r="97" spans="1:11" s="4" customFormat="1" x14ac:dyDescent="0.25">
      <c r="A97" s="39">
        <v>18000</v>
      </c>
      <c r="B97">
        <f t="shared" si="8"/>
        <v>2581</v>
      </c>
      <c r="C97">
        <v>518</v>
      </c>
      <c r="D97" s="37"/>
      <c r="E97">
        <v>40000</v>
      </c>
      <c r="F97">
        <f t="shared" si="9"/>
        <v>2033</v>
      </c>
      <c r="G97">
        <v>324</v>
      </c>
      <c r="I97" s="37"/>
      <c r="J97" s="37"/>
    </row>
    <row r="98" spans="1:11" s="4" customFormat="1" x14ac:dyDescent="0.25">
      <c r="A98" s="39">
        <v>19000</v>
      </c>
      <c r="B98">
        <f t="shared" si="8"/>
        <v>3060</v>
      </c>
      <c r="C98">
        <v>479</v>
      </c>
      <c r="D98" s="37"/>
      <c r="E98">
        <v>45000</v>
      </c>
      <c r="F98">
        <f t="shared" si="9"/>
        <v>2250</v>
      </c>
      <c r="G98">
        <v>217</v>
      </c>
      <c r="I98" s="37"/>
      <c r="J98" s="37"/>
    </row>
    <row r="99" spans="1:11" s="4" customFormat="1" x14ac:dyDescent="0.25">
      <c r="A99" s="39">
        <v>20000</v>
      </c>
      <c r="B99">
        <f t="shared" si="8"/>
        <v>3443</v>
      </c>
      <c r="C99">
        <v>383</v>
      </c>
      <c r="D99" s="37"/>
      <c r="E99">
        <v>50000</v>
      </c>
      <c r="F99">
        <f t="shared" si="9"/>
        <v>2405</v>
      </c>
      <c r="G99">
        <v>155</v>
      </c>
      <c r="I99" s="37"/>
      <c r="J99" s="37"/>
    </row>
    <row r="100" spans="1:11" s="4" customFormat="1" x14ac:dyDescent="0.25">
      <c r="A100" s="39">
        <v>21000</v>
      </c>
      <c r="B100">
        <f t="shared" si="8"/>
        <v>3760</v>
      </c>
      <c r="C100">
        <v>317</v>
      </c>
      <c r="D100" s="37"/>
      <c r="E100">
        <v>55000</v>
      </c>
      <c r="F100">
        <f t="shared" si="9"/>
        <v>2478</v>
      </c>
      <c r="G100">
        <v>73</v>
      </c>
      <c r="I100" s="37"/>
      <c r="J100" s="37"/>
    </row>
    <row r="101" spans="1:11" s="4" customFormat="1" x14ac:dyDescent="0.25">
      <c r="A101" s="39">
        <v>22000</v>
      </c>
      <c r="B101">
        <f t="shared" si="8"/>
        <v>4059</v>
      </c>
      <c r="C101">
        <v>299</v>
      </c>
      <c r="D101" s="37"/>
      <c r="E101">
        <v>60000</v>
      </c>
      <c r="F101">
        <f t="shared" si="9"/>
        <v>2536</v>
      </c>
      <c r="G101">
        <v>58</v>
      </c>
      <c r="I101" s="37"/>
      <c r="J101" s="37"/>
    </row>
    <row r="102" spans="1:11" s="4" customFormat="1" x14ac:dyDescent="0.25">
      <c r="A102" s="39">
        <v>23000</v>
      </c>
      <c r="B102">
        <f t="shared" si="8"/>
        <v>4340</v>
      </c>
      <c r="C102">
        <v>281</v>
      </c>
      <c r="D102" s="37"/>
      <c r="E102">
        <v>80000</v>
      </c>
      <c r="F102">
        <f t="shared" si="9"/>
        <v>2621</v>
      </c>
      <c r="G102">
        <v>85</v>
      </c>
      <c r="I102" s="37"/>
      <c r="J102" s="37"/>
    </row>
    <row r="103" spans="1:11" s="4" customFormat="1" x14ac:dyDescent="0.25">
      <c r="A103" s="39">
        <v>23990</v>
      </c>
      <c r="B103">
        <f t="shared" si="8"/>
        <v>4551</v>
      </c>
      <c r="C103">
        <v>211</v>
      </c>
      <c r="D103" s="37"/>
      <c r="E103">
        <v>458017</v>
      </c>
      <c r="F103">
        <f t="shared" si="9"/>
        <v>2645</v>
      </c>
      <c r="G103" s="4">
        <v>24</v>
      </c>
      <c r="I103" s="37"/>
      <c r="J103" s="37"/>
    </row>
    <row r="104" spans="1:11" s="4" customFormat="1" x14ac:dyDescent="0.25">
      <c r="A104" s="97"/>
      <c r="B104" s="6"/>
      <c r="C104" s="11"/>
      <c r="D104" s="37"/>
      <c r="E104" s="9"/>
      <c r="I104" s="37"/>
      <c r="J104" s="37"/>
    </row>
    <row r="105" spans="1:11" s="4" customFormat="1" ht="13" x14ac:dyDescent="0.3">
      <c r="A105" s="102" t="s">
        <v>115</v>
      </c>
      <c r="B105" s="102"/>
      <c r="C105" s="102"/>
      <c r="D105" s="102"/>
      <c r="E105" s="102"/>
      <c r="F105" s="102"/>
      <c r="G105" s="102"/>
      <c r="H105" s="102"/>
      <c r="I105" s="102"/>
      <c r="J105" s="102"/>
      <c r="K105" s="102"/>
    </row>
    <row r="106" spans="1:11" s="4" customFormat="1" ht="13" x14ac:dyDescent="0.3">
      <c r="A106" s="103" t="s">
        <v>43</v>
      </c>
      <c r="B106" s="103"/>
      <c r="C106" s="103"/>
      <c r="D106" s="34"/>
      <c r="E106" s="103" t="s">
        <v>44</v>
      </c>
      <c r="F106" s="103"/>
      <c r="G106" s="103"/>
      <c r="H106" s="34"/>
      <c r="I106" s="34"/>
      <c r="J106" s="34"/>
      <c r="K106" s="34"/>
    </row>
    <row r="107" spans="1:11" s="4" customFormat="1" ht="26" x14ac:dyDescent="0.3">
      <c r="A107" s="35" t="s">
        <v>59</v>
      </c>
      <c r="B107" s="35" t="s">
        <v>112</v>
      </c>
      <c r="C107" s="35" t="s">
        <v>47</v>
      </c>
      <c r="D107" s="43"/>
      <c r="E107" s="35" t="s">
        <v>59</v>
      </c>
      <c r="F107" s="35" t="s">
        <v>112</v>
      </c>
      <c r="G107" s="35" t="s">
        <v>47</v>
      </c>
      <c r="I107" s="43"/>
      <c r="J107" s="43"/>
      <c r="K107" s="43"/>
    </row>
    <row r="108" spans="1:11" s="4" customFormat="1" x14ac:dyDescent="0.25">
      <c r="A108" s="97"/>
      <c r="B108" s="6"/>
      <c r="C108" s="11"/>
      <c r="D108" s="37"/>
      <c r="E108" s="9"/>
      <c r="I108" s="37"/>
      <c r="J108" s="37"/>
    </row>
    <row r="109" spans="1:11" s="4" customFormat="1" x14ac:dyDescent="0.25">
      <c r="A109" s="39">
        <v>0</v>
      </c>
      <c r="B109">
        <f>C109+B108</f>
        <v>25</v>
      </c>
      <c r="C109">
        <v>25</v>
      </c>
      <c r="D109" s="37"/>
      <c r="E109">
        <v>8000</v>
      </c>
      <c r="F109">
        <f>G109+F108</f>
        <v>12</v>
      </c>
      <c r="G109">
        <v>12</v>
      </c>
      <c r="I109" s="37"/>
      <c r="J109" s="37"/>
    </row>
    <row r="110" spans="1:11" s="4" customFormat="1" x14ac:dyDescent="0.25">
      <c r="A110" s="39">
        <v>500</v>
      </c>
      <c r="B110">
        <f t="shared" ref="B110:B124" si="10">C110+B109</f>
        <v>77</v>
      </c>
      <c r="C110">
        <v>52</v>
      </c>
      <c r="D110" s="37"/>
      <c r="E110">
        <v>10000</v>
      </c>
      <c r="F110">
        <f t="shared" ref="F110:F118" si="11">G110+F109</f>
        <v>43</v>
      </c>
      <c r="G110">
        <v>31</v>
      </c>
      <c r="I110" s="37"/>
      <c r="J110" s="37"/>
    </row>
    <row r="111" spans="1:11" s="4" customFormat="1" x14ac:dyDescent="0.25">
      <c r="A111" s="39">
        <v>1000</v>
      </c>
      <c r="B111">
        <f t="shared" si="10"/>
        <v>132</v>
      </c>
      <c r="C111">
        <v>55</v>
      </c>
      <c r="D111" s="37"/>
      <c r="E111">
        <v>12000</v>
      </c>
      <c r="F111">
        <f t="shared" si="11"/>
        <v>57</v>
      </c>
      <c r="G111">
        <v>14</v>
      </c>
      <c r="I111" s="37"/>
      <c r="J111" s="37"/>
    </row>
    <row r="112" spans="1:11" s="4" customFormat="1" x14ac:dyDescent="0.25">
      <c r="A112" s="39">
        <v>1500</v>
      </c>
      <c r="B112">
        <f t="shared" si="10"/>
        <v>172</v>
      </c>
      <c r="C112">
        <v>40</v>
      </c>
      <c r="D112" s="37"/>
      <c r="E112">
        <v>14000</v>
      </c>
      <c r="F112">
        <f t="shared" si="11"/>
        <v>72</v>
      </c>
      <c r="G112">
        <v>15</v>
      </c>
      <c r="I112" s="37"/>
      <c r="J112" s="37"/>
    </row>
    <row r="113" spans="1:11" s="4" customFormat="1" x14ac:dyDescent="0.25">
      <c r="A113" s="39">
        <v>2000</v>
      </c>
      <c r="B113">
        <f t="shared" si="10"/>
        <v>206</v>
      </c>
      <c r="C113">
        <v>34</v>
      </c>
      <c r="D113" s="37"/>
      <c r="E113">
        <v>16000</v>
      </c>
      <c r="F113">
        <f t="shared" si="11"/>
        <v>84</v>
      </c>
      <c r="G113">
        <v>12</v>
      </c>
      <c r="I113" s="37"/>
      <c r="J113" s="37"/>
    </row>
    <row r="114" spans="1:11" s="4" customFormat="1" x14ac:dyDescent="0.25">
      <c r="A114" s="39">
        <v>2500</v>
      </c>
      <c r="B114">
        <f t="shared" si="10"/>
        <v>243</v>
      </c>
      <c r="C114">
        <v>37</v>
      </c>
      <c r="D114" s="37"/>
      <c r="E114">
        <v>18000</v>
      </c>
      <c r="F114">
        <f t="shared" si="11"/>
        <v>89</v>
      </c>
      <c r="G114">
        <v>5</v>
      </c>
      <c r="I114" s="37"/>
      <c r="J114" s="37"/>
    </row>
    <row r="115" spans="1:11" s="4" customFormat="1" x14ac:dyDescent="0.25">
      <c r="A115" s="39">
        <v>3000</v>
      </c>
      <c r="B115">
        <f t="shared" si="10"/>
        <v>277</v>
      </c>
      <c r="C115">
        <v>34</v>
      </c>
      <c r="D115" s="37"/>
      <c r="E115">
        <v>20000</v>
      </c>
      <c r="F115">
        <f t="shared" si="11"/>
        <v>90</v>
      </c>
      <c r="G115">
        <v>1</v>
      </c>
      <c r="I115" s="37"/>
      <c r="J115" s="37"/>
    </row>
    <row r="116" spans="1:11" s="4" customFormat="1" x14ac:dyDescent="0.25">
      <c r="A116" s="39">
        <v>3500</v>
      </c>
      <c r="B116">
        <f t="shared" si="10"/>
        <v>297</v>
      </c>
      <c r="C116">
        <v>20</v>
      </c>
      <c r="D116" s="37"/>
      <c r="E116">
        <v>22000</v>
      </c>
      <c r="F116">
        <f t="shared" si="11"/>
        <v>93</v>
      </c>
      <c r="G116">
        <v>3</v>
      </c>
      <c r="I116" s="37"/>
      <c r="J116" s="37"/>
    </row>
    <row r="117" spans="1:11" s="4" customFormat="1" x14ac:dyDescent="0.25">
      <c r="A117" s="39">
        <v>4000</v>
      </c>
      <c r="B117">
        <f t="shared" si="10"/>
        <v>316</v>
      </c>
      <c r="C117">
        <v>19</v>
      </c>
      <c r="D117" s="37"/>
      <c r="E117">
        <v>24000</v>
      </c>
      <c r="F117">
        <f t="shared" si="11"/>
        <v>95</v>
      </c>
      <c r="G117">
        <v>2</v>
      </c>
      <c r="I117" s="37"/>
      <c r="J117" s="37"/>
    </row>
    <row r="118" spans="1:11" s="4" customFormat="1" x14ac:dyDescent="0.25">
      <c r="A118" s="39">
        <v>4500</v>
      </c>
      <c r="B118">
        <f t="shared" si="10"/>
        <v>337</v>
      </c>
      <c r="C118">
        <v>21</v>
      </c>
      <c r="D118" s="37"/>
      <c r="E118">
        <v>41655</v>
      </c>
      <c r="F118">
        <f t="shared" si="11"/>
        <v>100</v>
      </c>
      <c r="G118">
        <v>5</v>
      </c>
      <c r="I118" s="37"/>
      <c r="J118" s="37"/>
    </row>
    <row r="119" spans="1:11" s="4" customFormat="1" x14ac:dyDescent="0.25">
      <c r="A119" s="39">
        <v>5000</v>
      </c>
      <c r="B119">
        <f t="shared" si="10"/>
        <v>352</v>
      </c>
      <c r="C119">
        <v>15</v>
      </c>
      <c r="D119" s="37"/>
      <c r="E119"/>
      <c r="G119"/>
      <c r="I119" s="37"/>
      <c r="J119" s="37"/>
    </row>
    <row r="120" spans="1:11" s="4" customFormat="1" x14ac:dyDescent="0.25">
      <c r="A120" s="39">
        <v>5500</v>
      </c>
      <c r="B120">
        <f t="shared" si="10"/>
        <v>367</v>
      </c>
      <c r="C120">
        <v>15</v>
      </c>
      <c r="D120" s="37"/>
      <c r="E120"/>
      <c r="G120"/>
      <c r="I120" s="37"/>
      <c r="J120" s="37"/>
    </row>
    <row r="121" spans="1:11" s="4" customFormat="1" x14ac:dyDescent="0.25">
      <c r="A121" s="39">
        <v>6000</v>
      </c>
      <c r="B121">
        <f t="shared" si="10"/>
        <v>375</v>
      </c>
      <c r="C121">
        <v>8</v>
      </c>
      <c r="D121" s="37"/>
      <c r="E121"/>
      <c r="G121"/>
      <c r="I121" s="37"/>
      <c r="J121" s="37"/>
    </row>
    <row r="122" spans="1:11" s="4" customFormat="1" x14ac:dyDescent="0.25">
      <c r="A122" s="39">
        <v>6500</v>
      </c>
      <c r="B122">
        <f t="shared" si="10"/>
        <v>389</v>
      </c>
      <c r="C122">
        <v>14</v>
      </c>
      <c r="D122" s="37"/>
      <c r="E122" s="9"/>
      <c r="G122"/>
      <c r="I122" s="37"/>
      <c r="J122" s="37"/>
    </row>
    <row r="123" spans="1:11" s="4" customFormat="1" x14ac:dyDescent="0.25">
      <c r="A123" s="39">
        <v>7000</v>
      </c>
      <c r="B123">
        <f t="shared" si="10"/>
        <v>398</v>
      </c>
      <c r="C123">
        <v>9</v>
      </c>
      <c r="D123" s="37"/>
      <c r="E123" s="9"/>
      <c r="I123" s="37"/>
      <c r="J123" s="37"/>
    </row>
    <row r="124" spans="1:11" s="4" customFormat="1" x14ac:dyDescent="0.25">
      <c r="A124" s="39">
        <v>7379</v>
      </c>
      <c r="B124">
        <f t="shared" si="10"/>
        <v>405</v>
      </c>
      <c r="C124">
        <v>7</v>
      </c>
      <c r="D124" s="37"/>
      <c r="E124" s="9"/>
      <c r="I124" s="37"/>
      <c r="J124" s="37"/>
    </row>
    <row r="125" spans="1:11" s="88" customFormat="1" ht="13" x14ac:dyDescent="0.3">
      <c r="A125" s="98" t="s">
        <v>124</v>
      </c>
      <c r="B125" s="100"/>
      <c r="C125" s="100"/>
      <c r="D125" s="100"/>
      <c r="E125" s="100"/>
      <c r="F125" s="100"/>
      <c r="G125" s="100"/>
      <c r="H125" s="100"/>
      <c r="I125" s="100"/>
      <c r="J125" s="100"/>
      <c r="K125" s="100"/>
    </row>
    <row r="126" spans="1:11" s="4" customFormat="1" ht="13" x14ac:dyDescent="0.3">
      <c r="A126" s="103" t="s">
        <v>127</v>
      </c>
      <c r="B126" s="103"/>
      <c r="C126" s="103"/>
      <c r="D126" s="103"/>
      <c r="E126" s="103"/>
      <c r="F126" s="103"/>
      <c r="G126" s="103"/>
      <c r="H126" s="103"/>
      <c r="I126" s="103"/>
      <c r="J126" s="103"/>
      <c r="K126" s="103"/>
    </row>
    <row r="127" spans="1:11" s="90" customFormat="1" ht="13" x14ac:dyDescent="0.3">
      <c r="A127" s="99" t="s">
        <v>128</v>
      </c>
      <c r="B127" s="100"/>
      <c r="C127" s="100"/>
      <c r="D127" s="100"/>
      <c r="E127" s="100"/>
      <c r="F127" s="100"/>
      <c r="G127" s="100"/>
      <c r="H127" s="100"/>
      <c r="I127" s="100"/>
      <c r="J127" s="100"/>
      <c r="K127" s="100"/>
    </row>
    <row r="128" spans="1:11" s="4" customFormat="1" ht="13" x14ac:dyDescent="0.3">
      <c r="A128" s="102" t="str">
        <f>A4</f>
        <v>TEST YEAR ENDING 12/31/2018</v>
      </c>
      <c r="B128" s="102"/>
      <c r="C128" s="102"/>
      <c r="D128" s="102"/>
      <c r="E128" s="102"/>
      <c r="F128" s="102"/>
      <c r="G128" s="102"/>
      <c r="H128" s="102"/>
      <c r="I128" s="102"/>
      <c r="J128" s="102"/>
      <c r="K128" s="102"/>
    </row>
    <row r="129" spans="1:11" s="4" customFormat="1" ht="13" x14ac:dyDescent="0.3">
      <c r="A129" s="87"/>
      <c r="B129" s="87"/>
      <c r="C129" s="87"/>
      <c r="D129" s="87"/>
      <c r="E129" s="87"/>
      <c r="F129" s="87"/>
      <c r="G129" s="87"/>
      <c r="H129" s="87"/>
      <c r="I129" s="87"/>
      <c r="J129" s="87"/>
      <c r="K129" s="87"/>
    </row>
    <row r="130" spans="1:11" s="4" customFormat="1" ht="13" x14ac:dyDescent="0.3">
      <c r="A130" s="102" t="s">
        <v>116</v>
      </c>
      <c r="B130" s="102"/>
      <c r="C130" s="102"/>
      <c r="D130" s="102"/>
      <c r="E130" s="102"/>
      <c r="F130" s="102"/>
      <c r="G130" s="102"/>
      <c r="H130" s="102"/>
      <c r="I130" s="102"/>
      <c r="J130" s="102"/>
      <c r="K130" s="102"/>
    </row>
    <row r="131" spans="1:11" s="4" customFormat="1" ht="13" x14ac:dyDescent="0.3">
      <c r="A131" s="103" t="s">
        <v>43</v>
      </c>
      <c r="B131" s="103"/>
      <c r="C131" s="103"/>
      <c r="D131" s="34"/>
      <c r="E131" s="103" t="s">
        <v>44</v>
      </c>
      <c r="F131" s="103"/>
      <c r="G131" s="103"/>
      <c r="H131" s="34"/>
      <c r="I131" s="34" t="s">
        <v>45</v>
      </c>
      <c r="J131" s="34"/>
      <c r="K131" s="34"/>
    </row>
    <row r="132" spans="1:11" s="4" customFormat="1" ht="26" x14ac:dyDescent="0.3">
      <c r="A132" s="35" t="s">
        <v>59</v>
      </c>
      <c r="B132" s="35" t="s">
        <v>112</v>
      </c>
      <c r="C132" s="35" t="s">
        <v>47</v>
      </c>
      <c r="D132" s="43"/>
      <c r="E132" s="35" t="s">
        <v>59</v>
      </c>
      <c r="F132" s="35" t="s">
        <v>112</v>
      </c>
      <c r="G132" s="35" t="s">
        <v>47</v>
      </c>
      <c r="I132" s="35" t="s">
        <v>59</v>
      </c>
      <c r="J132" s="35" t="s">
        <v>112</v>
      </c>
      <c r="K132" s="35" t="s">
        <v>47</v>
      </c>
    </row>
    <row r="133" spans="1:11" s="4" customFormat="1" x14ac:dyDescent="0.25">
      <c r="A133" s="97"/>
      <c r="B133" s="6"/>
      <c r="C133" s="11"/>
      <c r="D133" s="37"/>
      <c r="E133" s="9"/>
      <c r="I133" s="37"/>
      <c r="J133" s="37"/>
    </row>
    <row r="134" spans="1:11" s="4" customFormat="1" x14ac:dyDescent="0.25">
      <c r="A134" s="39">
        <v>0</v>
      </c>
      <c r="B134">
        <f>C134+B133</f>
        <v>34</v>
      </c>
      <c r="C134">
        <v>34</v>
      </c>
      <c r="D134" s="37"/>
      <c r="E134">
        <v>20</v>
      </c>
      <c r="F134">
        <f>G134+F133</f>
        <v>1399</v>
      </c>
      <c r="G134">
        <v>1399</v>
      </c>
      <c r="I134" s="39">
        <v>50</v>
      </c>
      <c r="J134" s="39">
        <f>K134+J133</f>
        <v>2278</v>
      </c>
      <c r="K134">
        <v>2278</v>
      </c>
    </row>
    <row r="135" spans="1:11" s="4" customFormat="1" x14ac:dyDescent="0.25">
      <c r="A135" s="39">
        <v>10</v>
      </c>
      <c r="B135">
        <f>C135+B134</f>
        <v>11468</v>
      </c>
      <c r="C135">
        <v>11434</v>
      </c>
      <c r="D135" s="37"/>
      <c r="E135">
        <v>30</v>
      </c>
      <c r="F135">
        <f>G135+F134</f>
        <v>10202</v>
      </c>
      <c r="G135">
        <v>8803</v>
      </c>
      <c r="I135" s="39">
        <v>60</v>
      </c>
      <c r="J135" s="39">
        <f t="shared" ref="J135:J140" si="12">K135+J134</f>
        <v>4026</v>
      </c>
      <c r="K135">
        <v>1748</v>
      </c>
    </row>
    <row r="136" spans="1:11" s="4" customFormat="1" x14ac:dyDescent="0.25">
      <c r="A136" s="39">
        <v>19</v>
      </c>
      <c r="B136">
        <f>C136+B135</f>
        <v>32264</v>
      </c>
      <c r="C136">
        <v>20796</v>
      </c>
      <c r="D136" s="37"/>
      <c r="E136">
        <v>40</v>
      </c>
      <c r="F136">
        <f>G136+F135</f>
        <v>14639</v>
      </c>
      <c r="G136">
        <v>4437</v>
      </c>
      <c r="I136" s="39">
        <v>70</v>
      </c>
      <c r="J136" s="39">
        <f t="shared" si="12"/>
        <v>5227</v>
      </c>
      <c r="K136">
        <v>1201</v>
      </c>
    </row>
    <row r="137" spans="1:11" s="4" customFormat="1" x14ac:dyDescent="0.25">
      <c r="A137" s="97"/>
      <c r="B137" s="6"/>
      <c r="C137" s="11"/>
      <c r="D137" s="37"/>
      <c r="E137">
        <v>41</v>
      </c>
      <c r="F137">
        <f>G137+F136</f>
        <v>14956</v>
      </c>
      <c r="G137">
        <v>317</v>
      </c>
      <c r="I137" s="39">
        <v>80</v>
      </c>
      <c r="J137" s="39">
        <f t="shared" si="12"/>
        <v>6150</v>
      </c>
      <c r="K137">
        <v>923</v>
      </c>
    </row>
    <row r="138" spans="1:11" s="4" customFormat="1" x14ac:dyDescent="0.25">
      <c r="A138" s="97"/>
      <c r="B138" s="6"/>
      <c r="C138" s="11"/>
      <c r="D138" s="37"/>
      <c r="E138" s="9"/>
      <c r="I138" s="39">
        <v>90</v>
      </c>
      <c r="J138" s="39">
        <f t="shared" si="12"/>
        <v>6867</v>
      </c>
      <c r="K138">
        <v>717</v>
      </c>
    </row>
    <row r="139" spans="1:11" s="4" customFormat="1" x14ac:dyDescent="0.25">
      <c r="A139" s="97"/>
      <c r="B139" s="6"/>
      <c r="C139" s="11"/>
      <c r="D139" s="37"/>
      <c r="E139" s="9"/>
      <c r="I139" s="39">
        <v>100</v>
      </c>
      <c r="J139" s="39">
        <f t="shared" si="12"/>
        <v>7442</v>
      </c>
      <c r="K139">
        <v>575</v>
      </c>
    </row>
    <row r="140" spans="1:11" s="4" customFormat="1" x14ac:dyDescent="0.25">
      <c r="A140" s="97"/>
      <c r="B140" s="6"/>
      <c r="C140" s="11"/>
      <c r="D140" s="37"/>
      <c r="E140" s="9"/>
      <c r="I140" s="39">
        <v>108</v>
      </c>
      <c r="J140" s="39">
        <f t="shared" si="12"/>
        <v>7819</v>
      </c>
      <c r="K140">
        <v>377</v>
      </c>
    </row>
    <row r="141" spans="1:11" s="4" customFormat="1" x14ac:dyDescent="0.25">
      <c r="A141" s="97"/>
      <c r="B141" s="6"/>
      <c r="C141" s="11"/>
      <c r="D141" s="37"/>
      <c r="E141" s="9"/>
      <c r="I141" s="37"/>
      <c r="J141" s="37"/>
    </row>
    <row r="142" spans="1:11" s="4" customFormat="1" ht="13" x14ac:dyDescent="0.3">
      <c r="A142" s="103" t="s">
        <v>46</v>
      </c>
      <c r="B142" s="103"/>
      <c r="C142" s="103"/>
      <c r="D142" s="103"/>
      <c r="E142" s="1"/>
      <c r="F142" s="1"/>
      <c r="G142" s="34"/>
      <c r="I142" s="37"/>
      <c r="J142" s="37"/>
    </row>
    <row r="143" spans="1:11" s="4" customFormat="1" ht="26" x14ac:dyDescent="0.3">
      <c r="A143" s="35" t="s">
        <v>59</v>
      </c>
      <c r="B143" s="35" t="s">
        <v>112</v>
      </c>
      <c r="C143" s="35" t="s">
        <v>47</v>
      </c>
      <c r="D143" s="43"/>
      <c r="E143" s="42"/>
      <c r="F143" s="42"/>
      <c r="G143" s="43"/>
      <c r="I143" s="37"/>
      <c r="J143" s="37"/>
    </row>
    <row r="144" spans="1:11" s="4" customFormat="1" ht="13" x14ac:dyDescent="0.3">
      <c r="A144" s="35"/>
      <c r="B144" s="35"/>
      <c r="C144" s="35"/>
      <c r="D144" s="43"/>
      <c r="E144" s="42"/>
      <c r="F144" s="42"/>
      <c r="G144" s="43"/>
      <c r="I144" s="37"/>
      <c r="J144" s="37"/>
    </row>
    <row r="145" spans="1:10" s="4" customFormat="1" x14ac:dyDescent="0.25">
      <c r="A145" s="39">
        <v>120</v>
      </c>
      <c r="B145">
        <f>C145+B144</f>
        <v>427</v>
      </c>
      <c r="C145">
        <v>427</v>
      </c>
      <c r="D145" s="37"/>
      <c r="E145" s="9"/>
      <c r="I145" s="37"/>
      <c r="J145" s="37"/>
    </row>
    <row r="146" spans="1:10" s="4" customFormat="1" x14ac:dyDescent="0.25">
      <c r="A146" s="39">
        <v>140</v>
      </c>
      <c r="B146">
        <f t="shared" ref="B146:B159" si="13">C146+B145</f>
        <v>961</v>
      </c>
      <c r="C146">
        <v>534</v>
      </c>
      <c r="D146" s="37"/>
      <c r="E146" s="9"/>
      <c r="I146" s="37"/>
      <c r="J146" s="37"/>
    </row>
    <row r="147" spans="1:10" s="4" customFormat="1" x14ac:dyDescent="0.25">
      <c r="A147" s="39">
        <v>160</v>
      </c>
      <c r="B147">
        <f t="shared" si="13"/>
        <v>1348</v>
      </c>
      <c r="C147">
        <v>387</v>
      </c>
      <c r="D147" s="37"/>
      <c r="E147" s="9"/>
      <c r="I147" s="37"/>
      <c r="J147" s="37"/>
    </row>
    <row r="148" spans="1:10" s="4" customFormat="1" x14ac:dyDescent="0.25">
      <c r="A148" s="39">
        <v>180</v>
      </c>
      <c r="B148">
        <f t="shared" si="13"/>
        <v>1633</v>
      </c>
      <c r="C148">
        <v>285</v>
      </c>
      <c r="D148" s="37"/>
      <c r="E148" s="9"/>
      <c r="I148" s="37"/>
      <c r="J148" s="37"/>
    </row>
    <row r="149" spans="1:10" s="4" customFormat="1" x14ac:dyDescent="0.25">
      <c r="A149" s="39">
        <v>200</v>
      </c>
      <c r="B149">
        <f t="shared" si="13"/>
        <v>1883</v>
      </c>
      <c r="C149">
        <v>250</v>
      </c>
      <c r="D149" s="37"/>
      <c r="E149" s="9"/>
      <c r="I149" s="37"/>
      <c r="J149" s="37"/>
    </row>
    <row r="150" spans="1:10" s="4" customFormat="1" x14ac:dyDescent="0.25">
      <c r="A150" s="39">
        <v>220</v>
      </c>
      <c r="B150">
        <f t="shared" si="13"/>
        <v>2055</v>
      </c>
      <c r="C150">
        <v>172</v>
      </c>
      <c r="D150" s="37"/>
      <c r="E150" s="9"/>
      <c r="I150" s="37"/>
      <c r="J150" s="37"/>
    </row>
    <row r="151" spans="1:10" s="4" customFormat="1" x14ac:dyDescent="0.25">
      <c r="A151" s="39">
        <v>240</v>
      </c>
      <c r="B151">
        <f t="shared" si="13"/>
        <v>2180</v>
      </c>
      <c r="C151">
        <v>125</v>
      </c>
      <c r="D151" s="37"/>
      <c r="E151" s="9"/>
      <c r="I151" s="37"/>
      <c r="J151" s="37"/>
    </row>
    <row r="152" spans="1:10" s="4" customFormat="1" x14ac:dyDescent="0.25">
      <c r="A152" s="39">
        <v>260</v>
      </c>
      <c r="B152">
        <f t="shared" si="13"/>
        <v>2297</v>
      </c>
      <c r="C152">
        <v>117</v>
      </c>
      <c r="D152" s="37"/>
      <c r="E152" s="9"/>
      <c r="I152" s="37"/>
      <c r="J152" s="37"/>
    </row>
    <row r="153" spans="1:10" s="4" customFormat="1" x14ac:dyDescent="0.25">
      <c r="A153" s="39">
        <v>280</v>
      </c>
      <c r="B153">
        <f t="shared" si="13"/>
        <v>2400</v>
      </c>
      <c r="C153">
        <v>103</v>
      </c>
      <c r="D153" s="37"/>
      <c r="E153" s="9"/>
      <c r="I153" s="37"/>
      <c r="J153" s="37"/>
    </row>
    <row r="154" spans="1:10" s="4" customFormat="1" x14ac:dyDescent="0.25">
      <c r="A154" s="39">
        <v>300</v>
      </c>
      <c r="B154">
        <f t="shared" si="13"/>
        <v>2483</v>
      </c>
      <c r="C154">
        <v>83</v>
      </c>
      <c r="D154" s="37"/>
      <c r="E154" s="9"/>
      <c r="I154" s="37"/>
      <c r="J154" s="37"/>
    </row>
    <row r="155" spans="1:10" s="4" customFormat="1" x14ac:dyDescent="0.25">
      <c r="A155" s="39">
        <v>400</v>
      </c>
      <c r="B155">
        <f t="shared" si="13"/>
        <v>2821</v>
      </c>
      <c r="C155">
        <v>338</v>
      </c>
      <c r="D155" s="37"/>
      <c r="E155" s="9"/>
      <c r="I155" s="37"/>
      <c r="J155" s="37"/>
    </row>
    <row r="156" spans="1:10" s="4" customFormat="1" x14ac:dyDescent="0.25">
      <c r="A156" s="39">
        <v>500</v>
      </c>
      <c r="B156">
        <f t="shared" si="13"/>
        <v>2972</v>
      </c>
      <c r="C156">
        <v>151</v>
      </c>
      <c r="D156" s="37"/>
      <c r="E156" s="9"/>
      <c r="I156" s="37"/>
      <c r="J156" s="37"/>
    </row>
    <row r="157" spans="1:10" s="4" customFormat="1" x14ac:dyDescent="0.25">
      <c r="A157" s="39">
        <v>600</v>
      </c>
      <c r="B157">
        <f t="shared" si="13"/>
        <v>3025</v>
      </c>
      <c r="C157">
        <v>53</v>
      </c>
      <c r="D157" s="37"/>
      <c r="E157" s="9"/>
      <c r="I157" s="37"/>
      <c r="J157" s="37"/>
    </row>
    <row r="158" spans="1:10" s="4" customFormat="1" x14ac:dyDescent="0.25">
      <c r="A158" s="39">
        <v>700</v>
      </c>
      <c r="B158">
        <f t="shared" si="13"/>
        <v>3038</v>
      </c>
      <c r="C158">
        <v>13</v>
      </c>
      <c r="D158" s="37"/>
      <c r="E158" s="9"/>
      <c r="I158" s="37"/>
      <c r="J158" s="37"/>
    </row>
    <row r="159" spans="1:10" s="4" customFormat="1" x14ac:dyDescent="0.25">
      <c r="A159" s="39">
        <v>815</v>
      </c>
      <c r="B159">
        <f t="shared" si="13"/>
        <v>3045</v>
      </c>
      <c r="C159">
        <v>7</v>
      </c>
      <c r="D159" s="37"/>
      <c r="E159" s="9"/>
      <c r="I159" s="37"/>
      <c r="J159" s="37"/>
    </row>
    <row r="160" spans="1:10" s="4" customFormat="1" x14ac:dyDescent="0.25">
      <c r="A160" s="97"/>
      <c r="B160" s="6"/>
      <c r="C160"/>
      <c r="D160" s="37"/>
      <c r="E160" s="9"/>
      <c r="I160" s="37"/>
      <c r="J160" s="37"/>
    </row>
    <row r="161" spans="1:11" s="4" customFormat="1" ht="13" x14ac:dyDescent="0.3">
      <c r="A161" s="105" t="s">
        <v>117</v>
      </c>
      <c r="B161" s="105"/>
      <c r="C161" s="105"/>
      <c r="D161" s="105"/>
      <c r="E161" s="105"/>
      <c r="F161" s="105"/>
      <c r="G161" s="105"/>
      <c r="H161" s="105"/>
      <c r="I161" s="105"/>
      <c r="J161" s="105"/>
      <c r="K161" s="105"/>
    </row>
    <row r="162" spans="1:11" s="4" customFormat="1" ht="13" x14ac:dyDescent="0.3">
      <c r="A162" s="103" t="s">
        <v>43</v>
      </c>
      <c r="B162" s="103"/>
      <c r="C162" s="103"/>
      <c r="D162" s="34"/>
      <c r="E162" s="103"/>
      <c r="F162" s="103"/>
      <c r="G162" s="103"/>
      <c r="H162" s="34"/>
      <c r="I162" s="34"/>
      <c r="J162" s="34"/>
      <c r="K162" s="34"/>
    </row>
    <row r="163" spans="1:11" s="4" customFormat="1" ht="26" x14ac:dyDescent="0.3">
      <c r="A163" s="35" t="s">
        <v>59</v>
      </c>
      <c r="B163" s="35" t="s">
        <v>112</v>
      </c>
      <c r="C163" s="35" t="s">
        <v>47</v>
      </c>
      <c r="D163" s="43"/>
      <c r="E163" s="42"/>
      <c r="F163" s="42"/>
      <c r="G163" s="43"/>
      <c r="I163" s="43"/>
      <c r="J163" s="43"/>
      <c r="K163" s="43"/>
    </row>
    <row r="164" spans="1:11" s="4" customFormat="1" x14ac:dyDescent="0.25">
      <c r="A164" s="97"/>
      <c r="B164" s="6"/>
      <c r="C164" s="11"/>
      <c r="D164" s="37"/>
      <c r="E164" s="9"/>
      <c r="I164" s="37"/>
      <c r="J164" s="37"/>
    </row>
    <row r="165" spans="1:11" s="4" customFormat="1" x14ac:dyDescent="0.25">
      <c r="A165" s="39">
        <v>20</v>
      </c>
      <c r="B165">
        <f>C165+B164</f>
        <v>4</v>
      </c>
      <c r="C165">
        <v>4</v>
      </c>
      <c r="D165" s="37"/>
      <c r="E165" s="9"/>
      <c r="I165" s="37"/>
      <c r="J165" s="37"/>
    </row>
    <row r="166" spans="1:11" s="4" customFormat="1" x14ac:dyDescent="0.25">
      <c r="A166" s="39">
        <v>120</v>
      </c>
      <c r="B166">
        <f>C166+B165</f>
        <v>5</v>
      </c>
      <c r="C166">
        <v>1</v>
      </c>
      <c r="D166" s="37"/>
      <c r="E166" s="9"/>
      <c r="I166" s="37"/>
      <c r="J166" s="37"/>
    </row>
    <row r="167" spans="1:11" s="4" customFormat="1" x14ac:dyDescent="0.25">
      <c r="A167" s="39">
        <v>160</v>
      </c>
      <c r="B167">
        <f>C167+B166</f>
        <v>6</v>
      </c>
      <c r="C167">
        <v>1</v>
      </c>
      <c r="D167" s="37"/>
      <c r="E167" s="9"/>
      <c r="I167" s="37"/>
      <c r="J167" s="37"/>
    </row>
    <row r="168" spans="1:11" s="4" customFormat="1" x14ac:dyDescent="0.25">
      <c r="A168" s="39">
        <v>220</v>
      </c>
      <c r="B168">
        <f>C168+B167</f>
        <v>7</v>
      </c>
      <c r="C168">
        <v>1</v>
      </c>
      <c r="D168" s="37"/>
      <c r="E168" s="9"/>
      <c r="I168" s="37"/>
      <c r="J168" s="37"/>
    </row>
    <row r="169" spans="1:11" s="4" customFormat="1" x14ac:dyDescent="0.25">
      <c r="A169" s="97"/>
      <c r="B169" s="6"/>
      <c r="C169" s="11"/>
      <c r="D169" s="37"/>
      <c r="E169" s="9"/>
      <c r="I169" s="37"/>
      <c r="J169" s="37"/>
    </row>
    <row r="170" spans="1:11" s="4" customFormat="1" ht="13" x14ac:dyDescent="0.3">
      <c r="A170" s="105" t="s">
        <v>118</v>
      </c>
      <c r="B170" s="105"/>
      <c r="C170" s="105"/>
      <c r="D170" s="105"/>
      <c r="E170" s="105"/>
      <c r="F170" s="105"/>
      <c r="G170" s="105"/>
      <c r="H170" s="105"/>
      <c r="I170" s="105"/>
      <c r="J170" s="105"/>
      <c r="K170" s="105"/>
    </row>
    <row r="171" spans="1:11" s="4" customFormat="1" ht="13" x14ac:dyDescent="0.3">
      <c r="A171" s="103" t="s">
        <v>43</v>
      </c>
      <c r="B171" s="103"/>
      <c r="C171" s="103"/>
      <c r="D171" s="34"/>
      <c r="E171" s="103"/>
      <c r="F171" s="103"/>
      <c r="G171" s="103"/>
      <c r="H171" s="34"/>
      <c r="I171" s="34"/>
      <c r="J171" s="34"/>
      <c r="K171" s="34"/>
    </row>
    <row r="172" spans="1:11" s="4" customFormat="1" ht="26" x14ac:dyDescent="0.3">
      <c r="A172" s="35" t="s">
        <v>59</v>
      </c>
      <c r="B172" s="35" t="s">
        <v>112</v>
      </c>
      <c r="C172" s="35" t="s">
        <v>47</v>
      </c>
      <c r="D172" s="43"/>
      <c r="E172" s="42"/>
      <c r="F172" s="42"/>
      <c r="G172" s="43"/>
      <c r="I172" s="43"/>
      <c r="J172" s="43"/>
      <c r="K172" s="43"/>
    </row>
    <row r="173" spans="1:11" s="4" customFormat="1" x14ac:dyDescent="0.25">
      <c r="A173" s="97"/>
      <c r="B173" s="6"/>
      <c r="C173" s="11"/>
      <c r="D173" s="37"/>
      <c r="E173" s="9"/>
      <c r="I173" s="37"/>
      <c r="J173" s="37"/>
    </row>
    <row r="174" spans="1:11" s="4" customFormat="1" x14ac:dyDescent="0.25">
      <c r="A174" s="39">
        <v>50</v>
      </c>
      <c r="B174">
        <f>C174+B173</f>
        <v>87</v>
      </c>
      <c r="C174">
        <v>87</v>
      </c>
      <c r="D174" s="37"/>
      <c r="E174" s="9"/>
      <c r="I174" s="37"/>
      <c r="J174" s="37"/>
    </row>
    <row r="175" spans="1:11" s="4" customFormat="1" x14ac:dyDescent="0.25">
      <c r="A175" s="39">
        <v>100</v>
      </c>
      <c r="B175">
        <f t="shared" ref="B175:B184" si="14">C175+B174</f>
        <v>130</v>
      </c>
      <c r="C175">
        <v>43</v>
      </c>
      <c r="D175" s="37"/>
      <c r="E175" s="9"/>
      <c r="I175" s="37"/>
      <c r="J175" s="37"/>
    </row>
    <row r="176" spans="1:11" s="4" customFormat="1" x14ac:dyDescent="0.25">
      <c r="A176" s="39">
        <v>150</v>
      </c>
      <c r="B176">
        <f t="shared" si="14"/>
        <v>149</v>
      </c>
      <c r="C176">
        <v>19</v>
      </c>
      <c r="D176" s="37"/>
      <c r="E176" s="9"/>
      <c r="I176" s="37"/>
      <c r="J176" s="37"/>
    </row>
    <row r="177" spans="1:11" s="4" customFormat="1" x14ac:dyDescent="0.25">
      <c r="A177" s="39">
        <v>200</v>
      </c>
      <c r="B177">
        <f t="shared" si="14"/>
        <v>158</v>
      </c>
      <c r="C177">
        <v>9</v>
      </c>
      <c r="D177" s="37"/>
      <c r="E177" s="9"/>
      <c r="I177" s="37"/>
      <c r="J177" s="37"/>
    </row>
    <row r="178" spans="1:11" s="4" customFormat="1" x14ac:dyDescent="0.25">
      <c r="A178" s="39">
        <v>250</v>
      </c>
      <c r="B178">
        <f t="shared" si="14"/>
        <v>162</v>
      </c>
      <c r="C178">
        <v>4</v>
      </c>
      <c r="D178" s="37"/>
      <c r="E178" s="9"/>
      <c r="I178" s="37"/>
      <c r="J178" s="37"/>
    </row>
    <row r="179" spans="1:11" s="4" customFormat="1" x14ac:dyDescent="0.25">
      <c r="A179" s="39">
        <v>300</v>
      </c>
      <c r="B179">
        <f t="shared" si="14"/>
        <v>164</v>
      </c>
      <c r="C179">
        <v>2</v>
      </c>
      <c r="D179" s="37"/>
      <c r="E179" s="9"/>
      <c r="I179" s="37"/>
      <c r="J179" s="37"/>
    </row>
    <row r="180" spans="1:11" s="4" customFormat="1" x14ac:dyDescent="0.25">
      <c r="A180" s="39">
        <v>350</v>
      </c>
      <c r="B180">
        <f t="shared" si="14"/>
        <v>165</v>
      </c>
      <c r="C180">
        <v>1</v>
      </c>
      <c r="D180" s="37"/>
      <c r="E180" s="9"/>
      <c r="I180" s="37"/>
      <c r="J180" s="37"/>
    </row>
    <row r="181" spans="1:11" s="4" customFormat="1" x14ac:dyDescent="0.25">
      <c r="A181" s="39">
        <v>400</v>
      </c>
      <c r="B181">
        <f t="shared" si="14"/>
        <v>166</v>
      </c>
      <c r="C181">
        <v>1</v>
      </c>
      <c r="D181" s="37"/>
      <c r="E181" s="9"/>
      <c r="I181" s="37"/>
      <c r="J181" s="37"/>
    </row>
    <row r="182" spans="1:11" s="4" customFormat="1" x14ac:dyDescent="0.25">
      <c r="A182" s="39">
        <v>500</v>
      </c>
      <c r="B182">
        <f t="shared" si="14"/>
        <v>169</v>
      </c>
      <c r="C182">
        <v>3</v>
      </c>
      <c r="D182" s="37"/>
      <c r="E182" s="9"/>
      <c r="I182" s="37"/>
      <c r="J182" s="37"/>
    </row>
    <row r="183" spans="1:11" s="4" customFormat="1" x14ac:dyDescent="0.25">
      <c r="A183" s="39">
        <v>600</v>
      </c>
      <c r="B183">
        <f t="shared" si="14"/>
        <v>171</v>
      </c>
      <c r="C183">
        <v>2</v>
      </c>
      <c r="D183" s="37"/>
      <c r="E183" s="9"/>
      <c r="I183" s="37"/>
      <c r="J183" s="37"/>
    </row>
    <row r="184" spans="1:11" s="4" customFormat="1" x14ac:dyDescent="0.25">
      <c r="A184" s="39">
        <v>755</v>
      </c>
      <c r="B184">
        <f t="shared" si="14"/>
        <v>172</v>
      </c>
      <c r="C184">
        <v>1</v>
      </c>
      <c r="D184" s="37"/>
      <c r="E184" s="9"/>
      <c r="I184" s="37"/>
      <c r="J184" s="37"/>
    </row>
    <row r="185" spans="1:11" s="88" customFormat="1" ht="13" x14ac:dyDescent="0.3">
      <c r="A185" s="98" t="s">
        <v>124</v>
      </c>
      <c r="B185" s="100"/>
      <c r="C185" s="100"/>
      <c r="D185" s="100"/>
      <c r="E185" s="100"/>
      <c r="F185" s="100"/>
      <c r="G185" s="100"/>
      <c r="H185" s="100"/>
      <c r="I185" s="100"/>
      <c r="J185" s="100"/>
      <c r="K185" s="100"/>
    </row>
    <row r="186" spans="1:11" s="4" customFormat="1" ht="13" x14ac:dyDescent="0.3">
      <c r="A186" s="103" t="s">
        <v>127</v>
      </c>
      <c r="B186" s="103"/>
      <c r="C186" s="103"/>
      <c r="D186" s="103"/>
      <c r="E186" s="103"/>
      <c r="F186" s="103"/>
      <c r="G186" s="103"/>
      <c r="H186" s="103"/>
      <c r="I186" s="103"/>
      <c r="J186" s="103"/>
      <c r="K186" s="103"/>
    </row>
    <row r="187" spans="1:11" s="90" customFormat="1" ht="13" x14ac:dyDescent="0.3">
      <c r="A187" s="99" t="s">
        <v>128</v>
      </c>
      <c r="B187" s="100"/>
      <c r="C187" s="100"/>
      <c r="D187" s="100"/>
      <c r="E187" s="100"/>
      <c r="F187" s="100"/>
      <c r="G187" s="100"/>
      <c r="H187" s="100"/>
      <c r="I187" s="100"/>
      <c r="J187" s="100"/>
      <c r="K187" s="100"/>
    </row>
    <row r="188" spans="1:11" s="4" customFormat="1" ht="13" x14ac:dyDescent="0.3">
      <c r="A188" s="102" t="str">
        <f>A4</f>
        <v>TEST YEAR ENDING 12/31/2018</v>
      </c>
      <c r="B188" s="102"/>
      <c r="C188" s="102"/>
      <c r="D188" s="102"/>
      <c r="E188" s="102"/>
      <c r="F188" s="102"/>
      <c r="G188" s="102"/>
      <c r="H188" s="102"/>
      <c r="I188" s="102"/>
      <c r="J188" s="102"/>
      <c r="K188" s="102"/>
    </row>
    <row r="189" spans="1:11" s="4" customFormat="1" ht="13" x14ac:dyDescent="0.3">
      <c r="A189" s="87"/>
      <c r="B189" s="87"/>
      <c r="C189" s="87"/>
      <c r="D189" s="87"/>
      <c r="E189" s="87"/>
      <c r="F189" s="87"/>
      <c r="G189" s="87"/>
      <c r="H189" s="87"/>
      <c r="I189" s="87"/>
      <c r="J189" s="87"/>
      <c r="K189" s="87"/>
    </row>
    <row r="190" spans="1:11" s="4" customFormat="1" ht="13" x14ac:dyDescent="0.3">
      <c r="A190" s="102" t="s">
        <v>119</v>
      </c>
      <c r="B190" s="101"/>
      <c r="C190" s="101"/>
      <c r="D190" s="101"/>
      <c r="E190" s="101"/>
      <c r="F190" s="101"/>
      <c r="G190" s="101"/>
      <c r="H190" s="101"/>
      <c r="I190" s="87"/>
      <c r="J190" s="87"/>
      <c r="K190" s="87"/>
    </row>
    <row r="191" spans="1:11" s="4" customFormat="1" ht="13" x14ac:dyDescent="0.3">
      <c r="A191" s="103" t="s">
        <v>43</v>
      </c>
      <c r="B191" s="103"/>
      <c r="C191" s="103"/>
      <c r="D191" s="35"/>
      <c r="E191" s="103" t="s">
        <v>44</v>
      </c>
      <c r="F191" s="103"/>
      <c r="G191" s="103"/>
      <c r="H191" s="35"/>
      <c r="I191" s="35"/>
      <c r="J191" s="35"/>
      <c r="K191" s="35"/>
    </row>
    <row r="192" spans="1:11" s="4" customFormat="1" ht="26" x14ac:dyDescent="0.3">
      <c r="A192" s="35" t="s">
        <v>59</v>
      </c>
      <c r="B192" s="35" t="s">
        <v>112</v>
      </c>
      <c r="C192" s="35" t="s">
        <v>47</v>
      </c>
      <c r="D192" s="43"/>
      <c r="E192" s="35" t="s">
        <v>59</v>
      </c>
      <c r="F192" s="35" t="s">
        <v>112</v>
      </c>
      <c r="G192" s="35" t="s">
        <v>47</v>
      </c>
      <c r="I192" s="43"/>
      <c r="J192" s="43"/>
      <c r="K192" s="43"/>
    </row>
    <row r="193" spans="1:11" s="4" customFormat="1" x14ac:dyDescent="0.25">
      <c r="A193" s="97"/>
      <c r="B193" s="6"/>
      <c r="C193" s="11"/>
      <c r="D193" s="37"/>
      <c r="E193" s="9"/>
      <c r="I193" s="37"/>
      <c r="J193" s="37"/>
    </row>
    <row r="194" spans="1:11" s="4" customFormat="1" x14ac:dyDescent="0.25">
      <c r="A194" s="39">
        <v>0</v>
      </c>
      <c r="B194">
        <f>C194+B193</f>
        <v>4</v>
      </c>
      <c r="C194">
        <v>4</v>
      </c>
      <c r="D194" s="37"/>
      <c r="E194">
        <v>100</v>
      </c>
      <c r="F194">
        <f>G194+F193</f>
        <v>48</v>
      </c>
      <c r="G194">
        <v>48</v>
      </c>
      <c r="I194" s="37"/>
      <c r="J194" s="37"/>
    </row>
    <row r="195" spans="1:11" s="4" customFormat="1" x14ac:dyDescent="0.25">
      <c r="A195" s="39">
        <v>10</v>
      </c>
      <c r="B195">
        <f t="shared" ref="B195:B201" si="15">C195+B194</f>
        <v>87</v>
      </c>
      <c r="C195">
        <v>83</v>
      </c>
      <c r="D195" s="37"/>
      <c r="E195">
        <v>150</v>
      </c>
      <c r="F195">
        <f t="shared" ref="F195:F201" si="16">G195+F194</f>
        <v>68</v>
      </c>
      <c r="G195">
        <v>20</v>
      </c>
      <c r="I195" s="37"/>
      <c r="J195" s="37"/>
    </row>
    <row r="196" spans="1:11" s="4" customFormat="1" x14ac:dyDescent="0.25">
      <c r="A196" s="39">
        <v>20</v>
      </c>
      <c r="B196">
        <f t="shared" si="15"/>
        <v>177</v>
      </c>
      <c r="C196">
        <v>90</v>
      </c>
      <c r="D196" s="37"/>
      <c r="E196">
        <v>200</v>
      </c>
      <c r="F196">
        <f t="shared" si="16"/>
        <v>74</v>
      </c>
      <c r="G196">
        <v>6</v>
      </c>
      <c r="I196" s="37"/>
      <c r="J196" s="37"/>
    </row>
    <row r="197" spans="1:11" s="4" customFormat="1" x14ac:dyDescent="0.25">
      <c r="A197" s="39">
        <v>30</v>
      </c>
      <c r="B197">
        <f t="shared" si="15"/>
        <v>219</v>
      </c>
      <c r="C197">
        <v>42</v>
      </c>
      <c r="D197" s="37"/>
      <c r="E197">
        <v>250</v>
      </c>
      <c r="F197">
        <f t="shared" si="16"/>
        <v>78</v>
      </c>
      <c r="G197">
        <v>4</v>
      </c>
      <c r="I197" s="37"/>
      <c r="J197" s="37"/>
    </row>
    <row r="198" spans="1:11" s="4" customFormat="1" x14ac:dyDescent="0.25">
      <c r="A198" s="39">
        <v>40</v>
      </c>
      <c r="B198">
        <f t="shared" si="15"/>
        <v>262</v>
      </c>
      <c r="C198">
        <v>43</v>
      </c>
      <c r="D198" s="37"/>
      <c r="E198">
        <v>300</v>
      </c>
      <c r="F198">
        <f t="shared" si="16"/>
        <v>81</v>
      </c>
      <c r="G198">
        <v>3</v>
      </c>
      <c r="I198" s="37"/>
      <c r="J198" s="37"/>
    </row>
    <row r="199" spans="1:11" s="4" customFormat="1" x14ac:dyDescent="0.25">
      <c r="A199" s="39">
        <v>50</v>
      </c>
      <c r="B199">
        <f t="shared" si="15"/>
        <v>295</v>
      </c>
      <c r="C199">
        <v>33</v>
      </c>
      <c r="D199" s="37"/>
      <c r="E199">
        <v>400</v>
      </c>
      <c r="F199">
        <f t="shared" si="16"/>
        <v>82</v>
      </c>
      <c r="G199">
        <v>1</v>
      </c>
      <c r="I199" s="37"/>
      <c r="J199" s="37"/>
    </row>
    <row r="200" spans="1:11" s="4" customFormat="1" x14ac:dyDescent="0.25">
      <c r="A200" s="39">
        <v>60</v>
      </c>
      <c r="B200">
        <f t="shared" si="15"/>
        <v>317</v>
      </c>
      <c r="C200">
        <v>22</v>
      </c>
      <c r="D200" s="37"/>
      <c r="E200">
        <v>500</v>
      </c>
      <c r="F200">
        <f t="shared" si="16"/>
        <v>83</v>
      </c>
      <c r="G200">
        <v>1</v>
      </c>
      <c r="I200" s="37"/>
      <c r="J200" s="37"/>
    </row>
    <row r="201" spans="1:11" s="4" customFormat="1" x14ac:dyDescent="0.25">
      <c r="A201" s="39">
        <v>67</v>
      </c>
      <c r="B201">
        <f t="shared" si="15"/>
        <v>329</v>
      </c>
      <c r="C201">
        <v>12</v>
      </c>
      <c r="D201" s="37"/>
      <c r="E201">
        <v>543</v>
      </c>
      <c r="F201">
        <f t="shared" si="16"/>
        <v>84</v>
      </c>
      <c r="G201">
        <v>1</v>
      </c>
      <c r="I201" s="37"/>
      <c r="J201" s="37"/>
    </row>
    <row r="202" spans="1:11" s="4" customFormat="1" x14ac:dyDescent="0.25">
      <c r="A202" s="97"/>
      <c r="B202" s="6"/>
      <c r="C202" s="11"/>
      <c r="D202" s="37"/>
      <c r="E202" s="9"/>
      <c r="I202" s="37"/>
      <c r="J202" s="37"/>
    </row>
    <row r="203" spans="1:11" s="4" customFormat="1" ht="13" x14ac:dyDescent="0.3">
      <c r="A203" s="102" t="s">
        <v>120</v>
      </c>
      <c r="B203" s="101"/>
      <c r="C203" s="101"/>
      <c r="D203" s="101"/>
      <c r="E203" s="101"/>
      <c r="F203" s="101"/>
      <c r="G203" s="101"/>
      <c r="H203" s="101"/>
      <c r="I203" s="87"/>
      <c r="J203" s="87"/>
      <c r="K203" s="87"/>
    </row>
    <row r="204" spans="1:11" s="4" customFormat="1" ht="13" x14ac:dyDescent="0.3">
      <c r="A204" s="103" t="s">
        <v>43</v>
      </c>
      <c r="B204" s="103"/>
      <c r="C204" s="103"/>
      <c r="D204" s="34"/>
      <c r="E204" s="103" t="s">
        <v>44</v>
      </c>
      <c r="F204" s="103"/>
      <c r="G204" s="103"/>
      <c r="H204" s="34"/>
      <c r="I204" s="34"/>
      <c r="J204" s="34"/>
      <c r="K204" s="34"/>
    </row>
    <row r="205" spans="1:11" s="4" customFormat="1" ht="26" x14ac:dyDescent="0.3">
      <c r="A205" s="35" t="s">
        <v>59</v>
      </c>
      <c r="B205" s="35" t="s">
        <v>112</v>
      </c>
      <c r="C205" s="35" t="s">
        <v>47</v>
      </c>
      <c r="D205" s="43"/>
      <c r="E205" s="35" t="s">
        <v>59</v>
      </c>
      <c r="F205" s="35" t="s">
        <v>112</v>
      </c>
      <c r="G205" s="35" t="s">
        <v>47</v>
      </c>
      <c r="I205" s="43"/>
      <c r="J205" s="43"/>
      <c r="K205" s="43"/>
    </row>
    <row r="206" spans="1:11" s="4" customFormat="1" x14ac:dyDescent="0.25">
      <c r="A206" s="97"/>
      <c r="B206" s="6"/>
      <c r="C206" s="11"/>
      <c r="D206" s="37"/>
      <c r="E206" s="9"/>
      <c r="I206" s="37"/>
      <c r="J206" s="37"/>
    </row>
    <row r="207" spans="1:11" s="4" customFormat="1" x14ac:dyDescent="0.25">
      <c r="A207" s="39">
        <v>0</v>
      </c>
      <c r="B207">
        <f t="shared" ref="B207:B214" si="17">C207+B206</f>
        <v>7</v>
      </c>
      <c r="C207">
        <v>7</v>
      </c>
      <c r="D207" s="37"/>
      <c r="E207">
        <v>400</v>
      </c>
      <c r="F207">
        <f t="shared" ref="F207:F212" si="18">G207+F206</f>
        <v>17</v>
      </c>
      <c r="G207">
        <v>17</v>
      </c>
      <c r="I207" s="37"/>
      <c r="J207" s="37"/>
    </row>
    <row r="208" spans="1:11" s="4" customFormat="1" x14ac:dyDescent="0.25">
      <c r="A208" s="39">
        <v>50</v>
      </c>
      <c r="B208">
        <f t="shared" si="17"/>
        <v>68</v>
      </c>
      <c r="C208">
        <v>61</v>
      </c>
      <c r="D208" s="37"/>
      <c r="E208">
        <v>500</v>
      </c>
      <c r="F208">
        <f t="shared" si="18"/>
        <v>36</v>
      </c>
      <c r="G208">
        <v>19</v>
      </c>
      <c r="I208" s="37"/>
      <c r="J208" s="37"/>
    </row>
    <row r="209" spans="1:11" s="4" customFormat="1" x14ac:dyDescent="0.25">
      <c r="A209" s="39">
        <v>100</v>
      </c>
      <c r="B209">
        <f t="shared" si="17"/>
        <v>91</v>
      </c>
      <c r="C209">
        <v>23</v>
      </c>
      <c r="D209" s="37"/>
      <c r="E209">
        <v>600</v>
      </c>
      <c r="F209">
        <f t="shared" si="18"/>
        <v>39</v>
      </c>
      <c r="G209">
        <v>3</v>
      </c>
      <c r="I209" s="37"/>
      <c r="J209" s="37"/>
    </row>
    <row r="210" spans="1:11" s="4" customFormat="1" x14ac:dyDescent="0.25">
      <c r="A210" s="39">
        <v>150</v>
      </c>
      <c r="B210">
        <f t="shared" si="17"/>
        <v>112</v>
      </c>
      <c r="C210">
        <v>21</v>
      </c>
      <c r="D210" s="37"/>
      <c r="E210">
        <v>700</v>
      </c>
      <c r="F210">
        <f t="shared" si="18"/>
        <v>40</v>
      </c>
      <c r="G210">
        <v>1</v>
      </c>
      <c r="I210" s="37"/>
      <c r="J210" s="37"/>
    </row>
    <row r="211" spans="1:11" s="4" customFormat="1" x14ac:dyDescent="0.25">
      <c r="A211" s="39">
        <v>200</v>
      </c>
      <c r="B211">
        <f t="shared" si="17"/>
        <v>122</v>
      </c>
      <c r="C211">
        <v>10</v>
      </c>
      <c r="D211" s="37"/>
      <c r="E211">
        <v>800</v>
      </c>
      <c r="F211">
        <f t="shared" si="18"/>
        <v>41</v>
      </c>
      <c r="G211">
        <v>1</v>
      </c>
      <c r="I211" s="37"/>
      <c r="J211" s="37"/>
    </row>
    <row r="212" spans="1:11" s="4" customFormat="1" x14ac:dyDescent="0.25">
      <c r="A212" s="39">
        <v>250</v>
      </c>
      <c r="B212">
        <f t="shared" si="17"/>
        <v>137</v>
      </c>
      <c r="C212">
        <v>15</v>
      </c>
      <c r="D212" s="37"/>
      <c r="E212">
        <v>1018</v>
      </c>
      <c r="F212">
        <f t="shared" si="18"/>
        <v>42</v>
      </c>
      <c r="G212">
        <v>1</v>
      </c>
      <c r="I212" s="37"/>
      <c r="J212" s="37"/>
    </row>
    <row r="213" spans="1:11" s="4" customFormat="1" x14ac:dyDescent="0.25">
      <c r="A213" s="39">
        <v>300</v>
      </c>
      <c r="B213">
        <f t="shared" si="17"/>
        <v>149</v>
      </c>
      <c r="C213">
        <v>12</v>
      </c>
      <c r="D213" s="37"/>
      <c r="E213" s="9"/>
      <c r="I213" s="37"/>
      <c r="J213" s="37"/>
    </row>
    <row r="214" spans="1:11" s="4" customFormat="1" x14ac:dyDescent="0.25">
      <c r="A214" s="39">
        <v>331</v>
      </c>
      <c r="B214">
        <f t="shared" si="17"/>
        <v>154</v>
      </c>
      <c r="C214">
        <v>5</v>
      </c>
      <c r="D214" s="37"/>
      <c r="E214" s="9"/>
      <c r="I214" s="37"/>
      <c r="J214" s="37"/>
    </row>
    <row r="215" spans="1:11" s="4" customFormat="1" x14ac:dyDescent="0.25">
      <c r="A215" s="97"/>
      <c r="B215" s="6"/>
      <c r="C215" s="11"/>
      <c r="D215" s="37"/>
      <c r="E215" s="9"/>
      <c r="I215" s="37"/>
      <c r="J215" s="37"/>
    </row>
    <row r="216" spans="1:11" s="4" customFormat="1" ht="13" x14ac:dyDescent="0.3">
      <c r="A216" s="105" t="s">
        <v>121</v>
      </c>
      <c r="B216" s="105"/>
      <c r="C216" s="105"/>
      <c r="D216" s="105"/>
      <c r="E216" s="105"/>
      <c r="F216" s="105"/>
      <c r="G216" s="105"/>
      <c r="H216" s="105"/>
      <c r="I216" s="105"/>
      <c r="J216" s="105"/>
      <c r="K216" s="105"/>
    </row>
    <row r="217" spans="1:11" s="4" customFormat="1" ht="13" x14ac:dyDescent="0.3">
      <c r="A217" s="103" t="s">
        <v>43</v>
      </c>
      <c r="B217" s="103"/>
      <c r="C217" s="103"/>
      <c r="D217" s="34"/>
      <c r="E217" s="103"/>
      <c r="F217" s="103"/>
      <c r="G217" s="103"/>
      <c r="H217" s="34"/>
      <c r="I217" s="34"/>
      <c r="J217" s="34"/>
      <c r="K217" s="34"/>
    </row>
    <row r="218" spans="1:11" s="4" customFormat="1" ht="26" x14ac:dyDescent="0.3">
      <c r="A218" s="35" t="s">
        <v>59</v>
      </c>
      <c r="B218" s="35" t="s">
        <v>112</v>
      </c>
      <c r="C218" s="35" t="s">
        <v>47</v>
      </c>
      <c r="D218" s="43"/>
      <c r="E218" s="42"/>
      <c r="F218" s="42"/>
      <c r="G218" s="43"/>
      <c r="I218" s="43"/>
      <c r="J218" s="43"/>
      <c r="K218" s="43"/>
    </row>
    <row r="219" spans="1:11" s="4" customFormat="1" x14ac:dyDescent="0.25">
      <c r="A219" s="97"/>
      <c r="B219" s="6"/>
      <c r="C219" s="11"/>
      <c r="D219" s="37"/>
      <c r="E219" s="9"/>
      <c r="I219" s="37"/>
      <c r="J219" s="37"/>
    </row>
    <row r="220" spans="1:11" s="4" customFormat="1" x14ac:dyDescent="0.25">
      <c r="A220" s="39">
        <v>100</v>
      </c>
      <c r="B220">
        <f>C220+B219</f>
        <v>3</v>
      </c>
      <c r="C220">
        <v>3</v>
      </c>
      <c r="D220" s="37"/>
      <c r="E220" s="9"/>
      <c r="I220" s="37"/>
      <c r="J220" s="37"/>
    </row>
    <row r="221" spans="1:11" s="4" customFormat="1" x14ac:dyDescent="0.25">
      <c r="A221" s="39">
        <v>200</v>
      </c>
      <c r="B221">
        <f>C221+B220</f>
        <v>5</v>
      </c>
      <c r="C221">
        <v>2</v>
      </c>
      <c r="D221" s="37"/>
      <c r="E221" s="9"/>
      <c r="I221" s="37"/>
      <c r="J221" s="37"/>
    </row>
    <row r="222" spans="1:11" s="4" customFormat="1" x14ac:dyDescent="0.25">
      <c r="A222" s="39">
        <v>300</v>
      </c>
      <c r="B222">
        <f>C222+B221</f>
        <v>6</v>
      </c>
      <c r="C222">
        <v>1</v>
      </c>
      <c r="D222" s="37"/>
      <c r="E222" s="9"/>
      <c r="I222" s="37"/>
      <c r="J222" s="37"/>
    </row>
    <row r="223" spans="1:11" s="4" customFormat="1" x14ac:dyDescent="0.25">
      <c r="A223" s="39">
        <v>394</v>
      </c>
      <c r="B223">
        <f>C223+B222</f>
        <v>7</v>
      </c>
      <c r="C223">
        <v>1</v>
      </c>
      <c r="D223" s="37"/>
      <c r="E223" s="9"/>
      <c r="I223" s="37"/>
      <c r="J223" s="37"/>
    </row>
    <row r="224" spans="1:11" s="4" customFormat="1" x14ac:dyDescent="0.25">
      <c r="A224" s="39"/>
      <c r="B224"/>
      <c r="C224"/>
      <c r="D224" s="37"/>
      <c r="E224" s="9"/>
      <c r="I224" s="37"/>
      <c r="J224" s="37"/>
    </row>
    <row r="225" spans="1:11" s="4" customFormat="1" ht="13" x14ac:dyDescent="0.3">
      <c r="A225" s="102" t="s">
        <v>122</v>
      </c>
      <c r="B225" s="102"/>
      <c r="C225" s="102"/>
      <c r="D225" s="102"/>
      <c r="E225" s="102"/>
      <c r="F225" s="102"/>
      <c r="G225" s="102"/>
      <c r="H225" s="102"/>
      <c r="I225" s="102"/>
      <c r="J225" s="102"/>
      <c r="K225" s="102"/>
    </row>
    <row r="227" spans="1:11" ht="67.5" customHeight="1" x14ac:dyDescent="0.25">
      <c r="A227" s="104" t="s">
        <v>123</v>
      </c>
      <c r="B227" s="104"/>
      <c r="C227" s="104"/>
      <c r="D227" s="104"/>
      <c r="E227" s="104"/>
      <c r="F227" s="104"/>
      <c r="G227" s="104"/>
      <c r="H227" s="104"/>
      <c r="I227" s="104"/>
      <c r="J227" s="104"/>
      <c r="K227" s="104"/>
    </row>
  </sheetData>
  <mergeCells count="51">
    <mergeCell ref="A1:K1"/>
    <mergeCell ref="A3:K3"/>
    <mergeCell ref="A61:K61"/>
    <mergeCell ref="A63:K63"/>
    <mergeCell ref="A216:K216"/>
    <mergeCell ref="A190:H190"/>
    <mergeCell ref="A170:K170"/>
    <mergeCell ref="A162:C162"/>
    <mergeCell ref="E162:G162"/>
    <mergeCell ref="A171:C171"/>
    <mergeCell ref="E171:G171"/>
    <mergeCell ref="A131:C131"/>
    <mergeCell ref="E131:G131"/>
    <mergeCell ref="A161:K161"/>
    <mergeCell ref="A130:K130"/>
    <mergeCell ref="A142:D142"/>
    <mergeCell ref="A33:C33"/>
    <mergeCell ref="E33:G33"/>
    <mergeCell ref="A67:C67"/>
    <mergeCell ref="E67:G67"/>
    <mergeCell ref="A106:C106"/>
    <mergeCell ref="E106:G106"/>
    <mergeCell ref="A2:K2"/>
    <mergeCell ref="A4:K4"/>
    <mergeCell ref="A6:K6"/>
    <mergeCell ref="A32:K32"/>
    <mergeCell ref="A7:C7"/>
    <mergeCell ref="E7:G7"/>
    <mergeCell ref="A91:C91"/>
    <mergeCell ref="E91:G91"/>
    <mergeCell ref="A62:K62"/>
    <mergeCell ref="A64:K64"/>
    <mergeCell ref="A225:K225"/>
    <mergeCell ref="A66:K66"/>
    <mergeCell ref="A105:K105"/>
    <mergeCell ref="A125:K125"/>
    <mergeCell ref="A126:K126"/>
    <mergeCell ref="A203:H203"/>
    <mergeCell ref="A127:K127"/>
    <mergeCell ref="A128:K128"/>
    <mergeCell ref="A188:K188"/>
    <mergeCell ref="A186:K186"/>
    <mergeCell ref="A185:K185"/>
    <mergeCell ref="A187:K187"/>
    <mergeCell ref="A227:K227"/>
    <mergeCell ref="A191:C191"/>
    <mergeCell ref="E191:G191"/>
    <mergeCell ref="A204:C204"/>
    <mergeCell ref="E204:G204"/>
    <mergeCell ref="A217:C217"/>
    <mergeCell ref="E217:G217"/>
  </mergeCells>
  <pageMargins left="0.7" right="0.7" top="0.75" bottom="0.75" header="0.3" footer="0.3"/>
  <pageSetup scale="54" fitToHeight="0" orientation="portrait" r:id="rId1"/>
  <headerFooter alignWithMargins="0">
    <oddHeader xml:space="preserve">&amp;RSchedule IV-J-4
&amp;A
Page &amp;P of &amp;N
</oddHeader>
    <oddFooter>&amp;LSponsored by: Nora D. Williams</oddFooter>
  </headerFooter>
  <rowBreaks count="3" manualBreakCount="3">
    <brk id="60" max="10" man="1"/>
    <brk id="124" max="10" man="1"/>
    <brk id="184"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
  <sheetViews>
    <sheetView zoomScale="75" zoomScaleNormal="75" workbookViewId="0">
      <selection activeCell="A4" sqref="A4:E4"/>
    </sheetView>
  </sheetViews>
  <sheetFormatPr defaultColWidth="9.1796875" defaultRowHeight="12.5" x14ac:dyDescent="0.25"/>
  <cols>
    <col min="1" max="1" width="8" style="6" customWidth="1"/>
    <col min="2" max="2" width="34.26953125" style="4" bestFit="1" customWidth="1"/>
    <col min="3" max="3" width="6.54296875" style="4" bestFit="1" customWidth="1"/>
    <col min="4" max="4" width="6.453125" style="4" bestFit="1" customWidth="1"/>
    <col min="5" max="5" width="96.54296875" style="9" customWidth="1"/>
    <col min="6" max="6" width="20.7265625" style="4" customWidth="1"/>
    <col min="7" max="16384" width="9.1796875" style="4"/>
  </cols>
  <sheetData>
    <row r="1" spans="1:256" s="88" customFormat="1" ht="13" x14ac:dyDescent="0.3">
      <c r="A1" s="98" t="s">
        <v>124</v>
      </c>
      <c r="B1" s="100"/>
      <c r="C1" s="100"/>
      <c r="D1" s="100"/>
      <c r="E1" s="100"/>
      <c r="F1" s="90"/>
      <c r="G1" s="90"/>
      <c r="H1" s="90"/>
      <c r="I1" s="90"/>
      <c r="J1" s="90"/>
      <c r="K1" s="91"/>
      <c r="L1" s="91"/>
      <c r="M1" s="91"/>
      <c r="N1" s="91"/>
      <c r="O1" s="91"/>
      <c r="P1" s="89"/>
    </row>
    <row r="2" spans="1:256" ht="13" x14ac:dyDescent="0.3">
      <c r="A2" s="1" t="s">
        <v>127</v>
      </c>
      <c r="B2" s="1"/>
      <c r="C2" s="1"/>
      <c r="D2" s="2"/>
      <c r="E2" s="3"/>
    </row>
    <row r="3" spans="1:256" ht="13" x14ac:dyDescent="0.3">
      <c r="A3" s="99" t="s">
        <v>131</v>
      </c>
      <c r="B3" s="100"/>
      <c r="C3" s="100"/>
      <c r="D3" s="100"/>
      <c r="E3" s="100"/>
    </row>
    <row r="4" spans="1:256" ht="13" x14ac:dyDescent="0.3">
      <c r="A4" s="102" t="s">
        <v>125</v>
      </c>
      <c r="B4" s="101"/>
      <c r="C4" s="101"/>
      <c r="D4" s="101"/>
      <c r="E4" s="101"/>
    </row>
    <row r="5" spans="1:256" ht="13" x14ac:dyDescent="0.3">
      <c r="A5" s="87"/>
      <c r="B5" s="92"/>
      <c r="C5" s="92"/>
      <c r="D5" s="92"/>
      <c r="E5" s="92"/>
    </row>
    <row r="6" spans="1:256" ht="13" x14ac:dyDescent="0.3">
      <c r="A6" s="1" t="s">
        <v>24</v>
      </c>
      <c r="B6" s="1"/>
      <c r="C6" s="1"/>
      <c r="D6" s="2"/>
      <c r="E6" s="3"/>
    </row>
    <row r="7" spans="1:256" ht="13" x14ac:dyDescent="0.3">
      <c r="B7" s="7"/>
      <c r="C7" s="8"/>
      <c r="D7" s="8"/>
    </row>
    <row r="8" spans="1:256" ht="13" x14ac:dyDescent="0.3">
      <c r="B8" s="10"/>
      <c r="C8" s="11"/>
      <c r="D8" s="11"/>
    </row>
    <row r="9" spans="1:256" ht="13" x14ac:dyDescent="0.3">
      <c r="A9" s="12" t="s">
        <v>1</v>
      </c>
      <c r="B9" s="13" t="s">
        <v>2</v>
      </c>
      <c r="C9" s="14" t="s">
        <v>25</v>
      </c>
      <c r="D9" s="14" t="s">
        <v>3</v>
      </c>
      <c r="E9" s="15" t="s">
        <v>26</v>
      </c>
    </row>
    <row r="10" spans="1:256" ht="100" x14ac:dyDescent="0.25">
      <c r="A10" s="25">
        <v>10</v>
      </c>
      <c r="B10" s="26" t="s">
        <v>27</v>
      </c>
      <c r="C10" s="26"/>
      <c r="D10" s="27" t="s">
        <v>17</v>
      </c>
      <c r="E10" s="26" t="s">
        <v>42</v>
      </c>
      <c r="F10" s="18"/>
      <c r="G10" s="16"/>
      <c r="H10" s="16"/>
      <c r="I10" s="16"/>
      <c r="J10" s="16"/>
      <c r="K10" s="18"/>
      <c r="L10" s="16"/>
      <c r="M10" s="16"/>
      <c r="N10" s="16"/>
      <c r="O10" s="16"/>
      <c r="P10" s="18"/>
      <c r="Q10" s="16"/>
      <c r="R10" s="16"/>
      <c r="S10" s="16"/>
      <c r="T10" s="16"/>
      <c r="U10" s="18"/>
      <c r="V10" s="16"/>
      <c r="W10" s="16"/>
      <c r="X10" s="16"/>
      <c r="Y10" s="16"/>
      <c r="Z10" s="18"/>
      <c r="AA10" s="16"/>
      <c r="AB10" s="16"/>
      <c r="AC10" s="16"/>
      <c r="AD10" s="16"/>
      <c r="AE10" s="18"/>
      <c r="AF10" s="16"/>
      <c r="AG10" s="16"/>
      <c r="AH10" s="16"/>
      <c r="AI10" s="16"/>
      <c r="AJ10" s="18"/>
      <c r="AK10" s="16"/>
      <c r="AL10" s="16"/>
      <c r="AM10" s="16"/>
      <c r="AN10" s="16"/>
      <c r="AO10" s="18"/>
      <c r="AP10" s="16"/>
      <c r="AQ10" s="16"/>
      <c r="AR10" s="16"/>
      <c r="AS10" s="16"/>
      <c r="AT10" s="18"/>
      <c r="AU10" s="16"/>
      <c r="AV10" s="16"/>
      <c r="AW10" s="16"/>
      <c r="AX10" s="16"/>
      <c r="AY10" s="18"/>
      <c r="AZ10" s="16"/>
      <c r="BA10" s="16"/>
      <c r="BB10" s="16"/>
      <c r="BC10" s="16"/>
      <c r="BD10" s="18"/>
      <c r="BE10" s="16"/>
      <c r="BF10" s="16"/>
      <c r="BG10" s="16"/>
      <c r="BH10" s="16"/>
      <c r="BI10" s="18"/>
      <c r="BJ10" s="16"/>
      <c r="BK10" s="16"/>
      <c r="BL10" s="16"/>
      <c r="BM10" s="16"/>
      <c r="BN10" s="18"/>
      <c r="BO10" s="16"/>
      <c r="BP10" s="16"/>
      <c r="BQ10" s="16"/>
      <c r="BR10" s="16"/>
      <c r="BS10" s="18"/>
      <c r="BT10" s="16"/>
      <c r="BU10" s="16"/>
      <c r="BV10" s="16"/>
      <c r="BW10" s="16"/>
      <c r="BX10" s="18"/>
      <c r="BY10" s="16"/>
      <c r="BZ10" s="16"/>
      <c r="CA10" s="16"/>
      <c r="CB10" s="16"/>
      <c r="CC10" s="18"/>
      <c r="CD10" s="16"/>
      <c r="CE10" s="16"/>
      <c r="CF10" s="16"/>
      <c r="CG10" s="16"/>
      <c r="CH10" s="18"/>
      <c r="CI10" s="16"/>
      <c r="CJ10" s="16"/>
      <c r="CK10" s="16"/>
      <c r="CL10" s="16"/>
      <c r="CM10" s="18"/>
      <c r="CN10" s="16"/>
      <c r="CO10" s="16"/>
      <c r="CP10" s="16"/>
      <c r="CQ10" s="16"/>
      <c r="CR10" s="18"/>
      <c r="CS10" s="16"/>
      <c r="CT10" s="16"/>
      <c r="CU10" s="16"/>
      <c r="CV10" s="16"/>
      <c r="CW10" s="18"/>
      <c r="CX10" s="16"/>
      <c r="CY10" s="16"/>
      <c r="CZ10" s="16"/>
      <c r="DA10" s="16"/>
      <c r="DB10" s="18"/>
      <c r="DC10" s="16"/>
      <c r="DD10" s="16"/>
      <c r="DE10" s="16"/>
      <c r="DF10" s="16"/>
      <c r="DG10" s="18"/>
      <c r="DH10" s="16"/>
      <c r="DI10" s="16"/>
      <c r="DJ10" s="16"/>
      <c r="DK10" s="16"/>
      <c r="DL10" s="18"/>
      <c r="DM10" s="16"/>
      <c r="DN10" s="16"/>
      <c r="DO10" s="16"/>
      <c r="DP10" s="16"/>
      <c r="DQ10" s="18"/>
      <c r="DR10" s="16"/>
      <c r="DS10" s="16"/>
      <c r="DT10" s="16"/>
      <c r="DU10" s="16"/>
      <c r="DV10" s="18"/>
      <c r="DW10" s="16"/>
      <c r="DX10" s="16"/>
      <c r="DY10" s="16"/>
      <c r="DZ10" s="16"/>
      <c r="EA10" s="18"/>
      <c r="EB10" s="16"/>
      <c r="EC10" s="16"/>
      <c r="ED10" s="16"/>
      <c r="EE10" s="16"/>
      <c r="EF10" s="18"/>
      <c r="EG10" s="16"/>
      <c r="EH10" s="16"/>
      <c r="EI10" s="16"/>
      <c r="EJ10" s="16"/>
      <c r="EK10" s="18"/>
      <c r="EL10" s="16"/>
      <c r="EM10" s="16"/>
      <c r="EN10" s="16"/>
      <c r="EO10" s="16"/>
      <c r="EP10" s="18"/>
      <c r="EQ10" s="16"/>
      <c r="ER10" s="16"/>
      <c r="ES10" s="16"/>
      <c r="ET10" s="16"/>
      <c r="EU10" s="18"/>
      <c r="EV10" s="16"/>
      <c r="EW10" s="16"/>
      <c r="EX10" s="16"/>
      <c r="EY10" s="16"/>
      <c r="EZ10" s="18"/>
      <c r="FA10" s="16"/>
      <c r="FB10" s="16"/>
      <c r="FC10" s="16"/>
      <c r="FD10" s="16"/>
      <c r="FE10" s="18"/>
      <c r="FF10" s="16"/>
      <c r="FG10" s="16"/>
      <c r="FH10" s="16"/>
      <c r="FI10" s="16"/>
      <c r="FJ10" s="18"/>
      <c r="FK10" s="16"/>
      <c r="FL10" s="16"/>
      <c r="FM10" s="16"/>
      <c r="FN10" s="16"/>
      <c r="FO10" s="18"/>
      <c r="FP10" s="16"/>
      <c r="FQ10" s="16"/>
      <c r="FR10" s="16"/>
      <c r="FS10" s="16"/>
      <c r="FT10" s="18"/>
      <c r="FU10" s="16"/>
      <c r="FV10" s="16"/>
      <c r="FW10" s="16"/>
      <c r="FX10" s="16"/>
      <c r="FY10" s="18"/>
      <c r="FZ10" s="16"/>
      <c r="GA10" s="16"/>
      <c r="GB10" s="16"/>
      <c r="GC10" s="16"/>
      <c r="GD10" s="18"/>
      <c r="GE10" s="16"/>
      <c r="GF10" s="16"/>
      <c r="GG10" s="16"/>
      <c r="GH10" s="16"/>
      <c r="GI10" s="18"/>
      <c r="GJ10" s="16"/>
      <c r="GK10" s="16"/>
      <c r="GL10" s="16"/>
      <c r="GM10" s="16"/>
      <c r="GN10" s="18"/>
      <c r="GO10" s="16"/>
      <c r="GP10" s="16"/>
      <c r="GQ10" s="16"/>
      <c r="GR10" s="16"/>
      <c r="GS10" s="18"/>
      <c r="GT10" s="16"/>
      <c r="GU10" s="16"/>
      <c r="GV10" s="16"/>
      <c r="GW10" s="16"/>
      <c r="GX10" s="18"/>
      <c r="GY10" s="16"/>
      <c r="GZ10" s="16"/>
      <c r="HA10" s="16"/>
      <c r="HB10" s="16"/>
      <c r="HC10" s="18"/>
      <c r="HD10" s="16"/>
      <c r="HE10" s="16"/>
      <c r="HF10" s="16"/>
      <c r="HG10" s="16"/>
      <c r="HH10" s="18"/>
      <c r="HI10" s="16"/>
      <c r="HJ10" s="16"/>
      <c r="HK10" s="16"/>
      <c r="HL10" s="16"/>
      <c r="HM10" s="18"/>
      <c r="HN10" s="16"/>
      <c r="HO10" s="16"/>
      <c r="HP10" s="16"/>
      <c r="HQ10" s="16"/>
      <c r="HR10" s="18"/>
      <c r="HS10" s="16"/>
      <c r="HT10" s="16"/>
      <c r="HU10" s="16"/>
      <c r="HV10" s="16"/>
      <c r="HW10" s="18"/>
      <c r="HX10" s="16"/>
      <c r="HY10" s="16"/>
      <c r="HZ10" s="16"/>
      <c r="IA10" s="16"/>
      <c r="IB10" s="18"/>
      <c r="IC10" s="16"/>
      <c r="ID10" s="16"/>
      <c r="IE10" s="16"/>
      <c r="IF10" s="16"/>
      <c r="IG10" s="18"/>
      <c r="IH10" s="16"/>
      <c r="II10" s="16"/>
      <c r="IJ10" s="16"/>
      <c r="IK10" s="16"/>
      <c r="IL10" s="18"/>
      <c r="IM10" s="16"/>
      <c r="IN10" s="16"/>
      <c r="IO10" s="16"/>
      <c r="IP10" s="16"/>
      <c r="IQ10" s="18"/>
      <c r="IR10" s="16"/>
      <c r="IS10" s="16"/>
      <c r="IT10" s="16"/>
      <c r="IU10" s="16"/>
      <c r="IV10" s="18"/>
    </row>
    <row r="11" spans="1:256" ht="37.5" x14ac:dyDescent="0.25">
      <c r="A11" s="49"/>
      <c r="B11" s="50"/>
      <c r="C11" s="16"/>
      <c r="D11" s="17"/>
      <c r="E11" s="16" t="s">
        <v>48</v>
      </c>
      <c r="F11" s="18"/>
      <c r="G11" s="16"/>
      <c r="H11" s="16"/>
      <c r="I11" s="16"/>
      <c r="J11" s="16"/>
      <c r="K11" s="18"/>
      <c r="L11" s="16"/>
      <c r="M11" s="16"/>
      <c r="N11" s="16"/>
      <c r="O11" s="16"/>
      <c r="P11" s="18"/>
      <c r="Q11" s="16"/>
      <c r="R11" s="16"/>
      <c r="S11" s="16"/>
      <c r="T11" s="16"/>
      <c r="U11" s="18"/>
      <c r="V11" s="16"/>
      <c r="W11" s="16"/>
      <c r="X11" s="16"/>
      <c r="Y11" s="16"/>
      <c r="Z11" s="18"/>
      <c r="AA11" s="16"/>
      <c r="AB11" s="16"/>
      <c r="AC11" s="16"/>
      <c r="AD11" s="16"/>
      <c r="AE11" s="18"/>
      <c r="AF11" s="16"/>
      <c r="AG11" s="16"/>
      <c r="AH11" s="16"/>
      <c r="AI11" s="16"/>
      <c r="AJ11" s="18"/>
      <c r="AK11" s="16"/>
      <c r="AL11" s="16"/>
      <c r="AM11" s="16"/>
      <c r="AN11" s="16"/>
      <c r="AO11" s="18"/>
      <c r="AP11" s="16"/>
      <c r="AQ11" s="16"/>
      <c r="AR11" s="16"/>
      <c r="AS11" s="16"/>
      <c r="AT11" s="18"/>
      <c r="AU11" s="16"/>
      <c r="AV11" s="16"/>
      <c r="AW11" s="16"/>
      <c r="AX11" s="16"/>
      <c r="AY11" s="18"/>
      <c r="AZ11" s="16"/>
      <c r="BA11" s="16"/>
      <c r="BB11" s="16"/>
      <c r="BC11" s="16"/>
      <c r="BD11" s="18"/>
      <c r="BE11" s="16"/>
      <c r="BF11" s="16"/>
      <c r="BG11" s="16"/>
      <c r="BH11" s="16"/>
      <c r="BI11" s="18"/>
      <c r="BJ11" s="16"/>
      <c r="BK11" s="16"/>
      <c r="BL11" s="16"/>
      <c r="BM11" s="16"/>
      <c r="BN11" s="18"/>
      <c r="BO11" s="16"/>
      <c r="BP11" s="16"/>
      <c r="BQ11" s="16"/>
      <c r="BR11" s="16"/>
      <c r="BS11" s="18"/>
      <c r="BT11" s="16"/>
      <c r="BU11" s="16"/>
      <c r="BV11" s="16"/>
      <c r="BW11" s="16"/>
      <c r="BX11" s="18"/>
      <c r="BY11" s="16"/>
      <c r="BZ11" s="16"/>
      <c r="CA11" s="16"/>
      <c r="CB11" s="16"/>
      <c r="CC11" s="18"/>
      <c r="CD11" s="16"/>
      <c r="CE11" s="16"/>
      <c r="CF11" s="16"/>
      <c r="CG11" s="16"/>
      <c r="CH11" s="18"/>
      <c r="CI11" s="16"/>
      <c r="CJ11" s="16"/>
      <c r="CK11" s="16"/>
      <c r="CL11" s="16"/>
      <c r="CM11" s="18"/>
      <c r="CN11" s="16"/>
      <c r="CO11" s="16"/>
      <c r="CP11" s="16"/>
      <c r="CQ11" s="16"/>
      <c r="CR11" s="18"/>
      <c r="CS11" s="16"/>
      <c r="CT11" s="16"/>
      <c r="CU11" s="16"/>
      <c r="CV11" s="16"/>
      <c r="CW11" s="18"/>
      <c r="CX11" s="16"/>
      <c r="CY11" s="16"/>
      <c r="CZ11" s="16"/>
      <c r="DA11" s="16"/>
      <c r="DB11" s="18"/>
      <c r="DC11" s="16"/>
      <c r="DD11" s="16"/>
      <c r="DE11" s="16"/>
      <c r="DF11" s="16"/>
      <c r="DG11" s="18"/>
      <c r="DH11" s="16"/>
      <c r="DI11" s="16"/>
      <c r="DJ11" s="16"/>
      <c r="DK11" s="16"/>
      <c r="DL11" s="18"/>
      <c r="DM11" s="16"/>
      <c r="DN11" s="16"/>
      <c r="DO11" s="16"/>
      <c r="DP11" s="16"/>
      <c r="DQ11" s="18"/>
      <c r="DR11" s="16"/>
      <c r="DS11" s="16"/>
      <c r="DT11" s="16"/>
      <c r="DU11" s="16"/>
      <c r="DV11" s="18"/>
      <c r="DW11" s="16"/>
      <c r="DX11" s="16"/>
      <c r="DY11" s="16"/>
      <c r="DZ11" s="16"/>
      <c r="EA11" s="18"/>
      <c r="EB11" s="16"/>
      <c r="EC11" s="16"/>
      <c r="ED11" s="16"/>
      <c r="EE11" s="16"/>
      <c r="EF11" s="18"/>
      <c r="EG11" s="16"/>
      <c r="EH11" s="16"/>
      <c r="EI11" s="16"/>
      <c r="EJ11" s="16"/>
      <c r="EK11" s="18"/>
      <c r="EL11" s="16"/>
      <c r="EM11" s="16"/>
      <c r="EN11" s="16"/>
      <c r="EO11" s="16"/>
      <c r="EP11" s="18"/>
      <c r="EQ11" s="16"/>
      <c r="ER11" s="16"/>
      <c r="ES11" s="16"/>
      <c r="ET11" s="16"/>
      <c r="EU11" s="18"/>
      <c r="EV11" s="16"/>
      <c r="EW11" s="16"/>
      <c r="EX11" s="16"/>
      <c r="EY11" s="16"/>
      <c r="EZ11" s="18"/>
      <c r="FA11" s="16"/>
      <c r="FB11" s="16"/>
      <c r="FC11" s="16"/>
      <c r="FD11" s="16"/>
      <c r="FE11" s="18"/>
      <c r="FF11" s="16"/>
      <c r="FG11" s="16"/>
      <c r="FH11" s="16"/>
      <c r="FI11" s="16"/>
      <c r="FJ11" s="18"/>
      <c r="FK11" s="16"/>
      <c r="FL11" s="16"/>
      <c r="FM11" s="16"/>
      <c r="FN11" s="16"/>
      <c r="FO11" s="18"/>
      <c r="FP11" s="16"/>
      <c r="FQ11" s="16"/>
      <c r="FR11" s="16"/>
      <c r="FS11" s="16"/>
      <c r="FT11" s="18"/>
      <c r="FU11" s="16"/>
      <c r="FV11" s="16"/>
      <c r="FW11" s="16"/>
      <c r="FX11" s="16"/>
      <c r="FY11" s="18"/>
      <c r="FZ11" s="16"/>
      <c r="GA11" s="16"/>
      <c r="GB11" s="16"/>
      <c r="GC11" s="16"/>
      <c r="GD11" s="18"/>
      <c r="GE11" s="16"/>
      <c r="GF11" s="16"/>
      <c r="GG11" s="16"/>
      <c r="GH11" s="16"/>
      <c r="GI11" s="18"/>
      <c r="GJ11" s="16"/>
      <c r="GK11" s="16"/>
      <c r="GL11" s="16"/>
      <c r="GM11" s="16"/>
      <c r="GN11" s="18"/>
      <c r="GO11" s="16"/>
      <c r="GP11" s="16"/>
      <c r="GQ11" s="16"/>
      <c r="GR11" s="16"/>
      <c r="GS11" s="18"/>
      <c r="GT11" s="16"/>
      <c r="GU11" s="16"/>
      <c r="GV11" s="16"/>
      <c r="GW11" s="16"/>
      <c r="GX11" s="18"/>
      <c r="GY11" s="16"/>
      <c r="GZ11" s="16"/>
      <c r="HA11" s="16"/>
      <c r="HB11" s="16"/>
      <c r="HC11" s="18"/>
      <c r="HD11" s="16"/>
      <c r="HE11" s="16"/>
      <c r="HF11" s="16"/>
      <c r="HG11" s="16"/>
      <c r="HH11" s="18"/>
      <c r="HI11" s="16"/>
      <c r="HJ11" s="16"/>
      <c r="HK11" s="16"/>
      <c r="HL11" s="16"/>
      <c r="HM11" s="18"/>
      <c r="HN11" s="16"/>
      <c r="HO11" s="16"/>
      <c r="HP11" s="16"/>
      <c r="HQ11" s="16"/>
      <c r="HR11" s="18"/>
      <c r="HS11" s="16"/>
      <c r="HT11" s="16"/>
      <c r="HU11" s="16"/>
      <c r="HV11" s="16"/>
      <c r="HW11" s="18"/>
      <c r="HX11" s="16"/>
      <c r="HY11" s="16"/>
      <c r="HZ11" s="16"/>
      <c r="IA11" s="16"/>
      <c r="IB11" s="18"/>
      <c r="IC11" s="16"/>
      <c r="ID11" s="16"/>
      <c r="IE11" s="16"/>
      <c r="IF11" s="16"/>
      <c r="IG11" s="18"/>
      <c r="IH11" s="16"/>
      <c r="II11" s="16"/>
      <c r="IJ11" s="16"/>
      <c r="IK11" s="16"/>
      <c r="IL11" s="18"/>
      <c r="IM11" s="16"/>
      <c r="IN11" s="16"/>
      <c r="IO11" s="16"/>
      <c r="IP11" s="16"/>
      <c r="IQ11" s="18"/>
      <c r="IR11" s="16"/>
      <c r="IS11" s="16"/>
      <c r="IT11" s="16"/>
      <c r="IU11" s="16"/>
      <c r="IV11" s="18"/>
    </row>
    <row r="12" spans="1:256" ht="50" x14ac:dyDescent="0.25">
      <c r="A12" s="19"/>
      <c r="B12" s="20"/>
      <c r="C12" s="16"/>
      <c r="D12" s="16"/>
      <c r="E12" s="50" t="s">
        <v>38</v>
      </c>
      <c r="F12" s="18"/>
      <c r="G12" s="16"/>
      <c r="H12" s="16"/>
      <c r="I12" s="16"/>
      <c r="J12" s="16"/>
      <c r="K12" s="18"/>
      <c r="L12" s="16"/>
      <c r="M12" s="16"/>
      <c r="N12" s="16"/>
      <c r="O12" s="16"/>
      <c r="P12" s="18"/>
      <c r="Q12" s="16"/>
      <c r="R12" s="16"/>
      <c r="S12" s="16"/>
      <c r="T12" s="16"/>
      <c r="U12" s="18"/>
      <c r="V12" s="16"/>
      <c r="W12" s="16"/>
      <c r="X12" s="16"/>
      <c r="Y12" s="16"/>
      <c r="Z12" s="18"/>
      <c r="AA12" s="16"/>
      <c r="AB12" s="16"/>
      <c r="AC12" s="16"/>
      <c r="AD12" s="16"/>
      <c r="AE12" s="18"/>
      <c r="AF12" s="16"/>
      <c r="AG12" s="16"/>
      <c r="AH12" s="16"/>
      <c r="AI12" s="16"/>
      <c r="AJ12" s="18"/>
      <c r="AK12" s="16"/>
      <c r="AL12" s="16"/>
      <c r="AM12" s="16"/>
      <c r="AN12" s="16"/>
      <c r="AO12" s="18"/>
      <c r="AP12" s="16"/>
      <c r="AQ12" s="16"/>
      <c r="AR12" s="16"/>
      <c r="AS12" s="16"/>
      <c r="AT12" s="18"/>
      <c r="AU12" s="16"/>
      <c r="AV12" s="16"/>
      <c r="AW12" s="16"/>
      <c r="AX12" s="16"/>
      <c r="AY12" s="18"/>
      <c r="AZ12" s="16"/>
      <c r="BA12" s="16"/>
      <c r="BB12" s="16"/>
      <c r="BC12" s="16"/>
      <c r="BD12" s="18"/>
      <c r="BE12" s="16"/>
      <c r="BF12" s="16"/>
      <c r="BG12" s="16"/>
      <c r="BH12" s="16"/>
      <c r="BI12" s="18"/>
      <c r="BJ12" s="16"/>
      <c r="BK12" s="16"/>
      <c r="BL12" s="16"/>
      <c r="BM12" s="16"/>
      <c r="BN12" s="18"/>
      <c r="BO12" s="16"/>
      <c r="BP12" s="16"/>
      <c r="BQ12" s="16"/>
      <c r="BR12" s="16"/>
      <c r="BS12" s="18"/>
      <c r="BT12" s="16"/>
      <c r="BU12" s="16"/>
      <c r="BV12" s="16"/>
      <c r="BW12" s="16"/>
      <c r="BX12" s="18"/>
      <c r="BY12" s="16"/>
      <c r="BZ12" s="16"/>
      <c r="CA12" s="16"/>
      <c r="CB12" s="16"/>
      <c r="CC12" s="18"/>
      <c r="CD12" s="16"/>
      <c r="CE12" s="16"/>
      <c r="CF12" s="16"/>
      <c r="CG12" s="16"/>
      <c r="CH12" s="18"/>
      <c r="CI12" s="16"/>
      <c r="CJ12" s="16"/>
      <c r="CK12" s="16"/>
      <c r="CL12" s="16"/>
      <c r="CM12" s="18"/>
      <c r="CN12" s="16"/>
      <c r="CO12" s="16"/>
      <c r="CP12" s="16"/>
      <c r="CQ12" s="16"/>
      <c r="CR12" s="18"/>
      <c r="CS12" s="16"/>
      <c r="CT12" s="16"/>
      <c r="CU12" s="16"/>
      <c r="CV12" s="16"/>
      <c r="CW12" s="18"/>
      <c r="CX12" s="16"/>
      <c r="CY12" s="16"/>
      <c r="CZ12" s="16"/>
      <c r="DA12" s="16"/>
      <c r="DB12" s="18"/>
      <c r="DC12" s="16"/>
      <c r="DD12" s="16"/>
      <c r="DE12" s="16"/>
      <c r="DF12" s="16"/>
      <c r="DG12" s="18"/>
      <c r="DH12" s="16"/>
      <c r="DI12" s="16"/>
      <c r="DJ12" s="16"/>
      <c r="DK12" s="16"/>
      <c r="DL12" s="18"/>
      <c r="DM12" s="16"/>
      <c r="DN12" s="16"/>
      <c r="DO12" s="16"/>
      <c r="DP12" s="16"/>
      <c r="DQ12" s="18"/>
      <c r="DR12" s="16"/>
      <c r="DS12" s="16"/>
      <c r="DT12" s="16"/>
      <c r="DU12" s="16"/>
      <c r="DV12" s="18"/>
      <c r="DW12" s="16"/>
      <c r="DX12" s="16"/>
      <c r="DY12" s="16"/>
      <c r="DZ12" s="16"/>
      <c r="EA12" s="18"/>
      <c r="EB12" s="16"/>
      <c r="EC12" s="16"/>
      <c r="ED12" s="16"/>
      <c r="EE12" s="16"/>
      <c r="EF12" s="18"/>
      <c r="EG12" s="16"/>
      <c r="EH12" s="16"/>
      <c r="EI12" s="16"/>
      <c r="EJ12" s="16"/>
      <c r="EK12" s="18"/>
      <c r="EL12" s="16"/>
      <c r="EM12" s="16"/>
      <c r="EN12" s="16"/>
      <c r="EO12" s="16"/>
      <c r="EP12" s="18"/>
      <c r="EQ12" s="16"/>
      <c r="ER12" s="16"/>
      <c r="ES12" s="16"/>
      <c r="ET12" s="16"/>
      <c r="EU12" s="18"/>
      <c r="EV12" s="16"/>
      <c r="EW12" s="16"/>
      <c r="EX12" s="16"/>
      <c r="EY12" s="16"/>
      <c r="EZ12" s="18"/>
      <c r="FA12" s="16"/>
      <c r="FB12" s="16"/>
      <c r="FC12" s="16"/>
      <c r="FD12" s="16"/>
      <c r="FE12" s="18"/>
      <c r="FF12" s="16"/>
      <c r="FG12" s="16"/>
      <c r="FH12" s="16"/>
      <c r="FI12" s="16"/>
      <c r="FJ12" s="18"/>
      <c r="FK12" s="16"/>
      <c r="FL12" s="16"/>
      <c r="FM12" s="16"/>
      <c r="FN12" s="16"/>
      <c r="FO12" s="18"/>
      <c r="FP12" s="16"/>
      <c r="FQ12" s="16"/>
      <c r="FR12" s="16"/>
      <c r="FS12" s="16"/>
      <c r="FT12" s="18"/>
      <c r="FU12" s="16"/>
      <c r="FV12" s="16"/>
      <c r="FW12" s="16"/>
      <c r="FX12" s="16"/>
      <c r="FY12" s="18"/>
      <c r="FZ12" s="16"/>
      <c r="GA12" s="16"/>
      <c r="GB12" s="16"/>
      <c r="GC12" s="16"/>
      <c r="GD12" s="18"/>
      <c r="GE12" s="16"/>
      <c r="GF12" s="16"/>
      <c r="GG12" s="16"/>
      <c r="GH12" s="16"/>
      <c r="GI12" s="18"/>
      <c r="GJ12" s="16"/>
      <c r="GK12" s="16"/>
      <c r="GL12" s="16"/>
      <c r="GM12" s="16"/>
      <c r="GN12" s="18"/>
      <c r="GO12" s="16"/>
      <c r="GP12" s="16"/>
      <c r="GQ12" s="16"/>
      <c r="GR12" s="16"/>
      <c r="GS12" s="18"/>
      <c r="GT12" s="16"/>
      <c r="GU12" s="16"/>
      <c r="GV12" s="16"/>
      <c r="GW12" s="16"/>
      <c r="GX12" s="18"/>
      <c r="GY12" s="16"/>
      <c r="GZ12" s="16"/>
      <c r="HA12" s="16"/>
      <c r="HB12" s="16"/>
      <c r="HC12" s="18"/>
      <c r="HD12" s="16"/>
      <c r="HE12" s="16"/>
      <c r="HF12" s="16"/>
      <c r="HG12" s="16"/>
      <c r="HH12" s="18"/>
      <c r="HI12" s="16"/>
      <c r="HJ12" s="16"/>
      <c r="HK12" s="16"/>
      <c r="HL12" s="16"/>
      <c r="HM12" s="18"/>
      <c r="HN12" s="16"/>
      <c r="HO12" s="16"/>
      <c r="HP12" s="16"/>
      <c r="HQ12" s="16"/>
      <c r="HR12" s="18"/>
      <c r="HS12" s="16"/>
      <c r="HT12" s="16"/>
      <c r="HU12" s="16"/>
      <c r="HV12" s="16"/>
      <c r="HW12" s="18"/>
      <c r="HX12" s="16"/>
      <c r="HY12" s="16"/>
      <c r="HZ12" s="16"/>
      <c r="IA12" s="16"/>
      <c r="IB12" s="18"/>
      <c r="IC12" s="16"/>
      <c r="ID12" s="16"/>
      <c r="IE12" s="16"/>
      <c r="IF12" s="16"/>
      <c r="IG12" s="18"/>
      <c r="IH12" s="16"/>
      <c r="II12" s="16"/>
      <c r="IJ12" s="16"/>
      <c r="IK12" s="16"/>
      <c r="IL12" s="18"/>
      <c r="IM12" s="16"/>
      <c r="IN12" s="16"/>
      <c r="IO12" s="16"/>
      <c r="IP12" s="16"/>
      <c r="IQ12" s="18"/>
      <c r="IR12" s="16"/>
      <c r="IS12" s="16"/>
      <c r="IT12" s="16"/>
      <c r="IU12" s="16"/>
      <c r="IV12" s="18"/>
    </row>
    <row r="13" spans="1:256" ht="62.5" x14ac:dyDescent="0.25">
      <c r="A13" s="19"/>
      <c r="B13" s="20"/>
      <c r="C13" s="16"/>
      <c r="D13" s="16"/>
      <c r="E13" s="16" t="s">
        <v>39</v>
      </c>
      <c r="F13" s="18"/>
      <c r="G13" s="16"/>
      <c r="H13" s="16"/>
      <c r="I13" s="16"/>
      <c r="J13" s="16"/>
      <c r="K13" s="18"/>
      <c r="L13" s="16"/>
      <c r="M13" s="16"/>
      <c r="N13" s="16"/>
      <c r="O13" s="16"/>
      <c r="P13" s="18"/>
      <c r="Q13" s="16"/>
      <c r="R13" s="16"/>
      <c r="S13" s="16"/>
      <c r="T13" s="16"/>
      <c r="U13" s="18"/>
      <c r="V13" s="16"/>
      <c r="W13" s="16"/>
      <c r="X13" s="16"/>
      <c r="Y13" s="16"/>
      <c r="Z13" s="18"/>
      <c r="AA13" s="16"/>
      <c r="AB13" s="16"/>
      <c r="AC13" s="16"/>
      <c r="AD13" s="16"/>
      <c r="AE13" s="18"/>
      <c r="AF13" s="16"/>
      <c r="AG13" s="16"/>
      <c r="AH13" s="16"/>
      <c r="AI13" s="16"/>
      <c r="AJ13" s="18"/>
      <c r="AK13" s="16"/>
      <c r="AL13" s="16"/>
      <c r="AM13" s="16"/>
      <c r="AN13" s="16"/>
      <c r="AO13" s="18"/>
      <c r="AP13" s="16"/>
      <c r="AQ13" s="16"/>
      <c r="AR13" s="16"/>
      <c r="AS13" s="16"/>
      <c r="AT13" s="18"/>
      <c r="AU13" s="16"/>
      <c r="AV13" s="16"/>
      <c r="AW13" s="16"/>
      <c r="AX13" s="16"/>
      <c r="AY13" s="18"/>
      <c r="AZ13" s="16"/>
      <c r="BA13" s="16"/>
      <c r="BB13" s="16"/>
      <c r="BC13" s="16"/>
      <c r="BD13" s="18"/>
      <c r="BE13" s="16"/>
      <c r="BF13" s="16"/>
      <c r="BG13" s="16"/>
      <c r="BH13" s="16"/>
      <c r="BI13" s="18"/>
      <c r="BJ13" s="16"/>
      <c r="BK13" s="16"/>
      <c r="BL13" s="16"/>
      <c r="BM13" s="16"/>
      <c r="BN13" s="18"/>
      <c r="BO13" s="16"/>
      <c r="BP13" s="16"/>
      <c r="BQ13" s="16"/>
      <c r="BR13" s="16"/>
      <c r="BS13" s="18"/>
      <c r="BT13" s="16"/>
      <c r="BU13" s="16"/>
      <c r="BV13" s="16"/>
      <c r="BW13" s="16"/>
      <c r="BX13" s="18"/>
      <c r="BY13" s="16"/>
      <c r="BZ13" s="16"/>
      <c r="CA13" s="16"/>
      <c r="CB13" s="16"/>
      <c r="CC13" s="18"/>
      <c r="CD13" s="16"/>
      <c r="CE13" s="16"/>
      <c r="CF13" s="16"/>
      <c r="CG13" s="16"/>
      <c r="CH13" s="18"/>
      <c r="CI13" s="16"/>
      <c r="CJ13" s="16"/>
      <c r="CK13" s="16"/>
      <c r="CL13" s="16"/>
      <c r="CM13" s="18"/>
      <c r="CN13" s="16"/>
      <c r="CO13" s="16"/>
      <c r="CP13" s="16"/>
      <c r="CQ13" s="16"/>
      <c r="CR13" s="18"/>
      <c r="CS13" s="16"/>
      <c r="CT13" s="16"/>
      <c r="CU13" s="16"/>
      <c r="CV13" s="16"/>
      <c r="CW13" s="18"/>
      <c r="CX13" s="16"/>
      <c r="CY13" s="16"/>
      <c r="CZ13" s="16"/>
      <c r="DA13" s="16"/>
      <c r="DB13" s="18"/>
      <c r="DC13" s="16"/>
      <c r="DD13" s="16"/>
      <c r="DE13" s="16"/>
      <c r="DF13" s="16"/>
      <c r="DG13" s="18"/>
      <c r="DH13" s="16"/>
      <c r="DI13" s="16"/>
      <c r="DJ13" s="16"/>
      <c r="DK13" s="16"/>
      <c r="DL13" s="18"/>
      <c r="DM13" s="16"/>
      <c r="DN13" s="16"/>
      <c r="DO13" s="16"/>
      <c r="DP13" s="16"/>
      <c r="DQ13" s="18"/>
      <c r="DR13" s="16"/>
      <c r="DS13" s="16"/>
      <c r="DT13" s="16"/>
      <c r="DU13" s="16"/>
      <c r="DV13" s="18"/>
      <c r="DW13" s="16"/>
      <c r="DX13" s="16"/>
      <c r="DY13" s="16"/>
      <c r="DZ13" s="16"/>
      <c r="EA13" s="18"/>
      <c r="EB13" s="16"/>
      <c r="EC13" s="16"/>
      <c r="ED13" s="16"/>
      <c r="EE13" s="16"/>
      <c r="EF13" s="18"/>
      <c r="EG13" s="16"/>
      <c r="EH13" s="16"/>
      <c r="EI13" s="16"/>
      <c r="EJ13" s="16"/>
      <c r="EK13" s="18"/>
      <c r="EL13" s="16"/>
      <c r="EM13" s="16"/>
      <c r="EN13" s="16"/>
      <c r="EO13" s="16"/>
      <c r="EP13" s="18"/>
      <c r="EQ13" s="16"/>
      <c r="ER13" s="16"/>
      <c r="ES13" s="16"/>
      <c r="ET13" s="16"/>
      <c r="EU13" s="18"/>
      <c r="EV13" s="16"/>
      <c r="EW13" s="16"/>
      <c r="EX13" s="16"/>
      <c r="EY13" s="16"/>
      <c r="EZ13" s="18"/>
      <c r="FA13" s="16"/>
      <c r="FB13" s="16"/>
      <c r="FC13" s="16"/>
      <c r="FD13" s="16"/>
      <c r="FE13" s="18"/>
      <c r="FF13" s="16"/>
      <c r="FG13" s="16"/>
      <c r="FH13" s="16"/>
      <c r="FI13" s="16"/>
      <c r="FJ13" s="18"/>
      <c r="FK13" s="16"/>
      <c r="FL13" s="16"/>
      <c r="FM13" s="16"/>
      <c r="FN13" s="16"/>
      <c r="FO13" s="18"/>
      <c r="FP13" s="16"/>
      <c r="FQ13" s="16"/>
      <c r="FR13" s="16"/>
      <c r="FS13" s="16"/>
      <c r="FT13" s="18"/>
      <c r="FU13" s="16"/>
      <c r="FV13" s="16"/>
      <c r="FW13" s="16"/>
      <c r="FX13" s="16"/>
      <c r="FY13" s="18"/>
      <c r="FZ13" s="16"/>
      <c r="GA13" s="16"/>
      <c r="GB13" s="16"/>
      <c r="GC13" s="16"/>
      <c r="GD13" s="18"/>
      <c r="GE13" s="16"/>
      <c r="GF13" s="16"/>
      <c r="GG13" s="16"/>
      <c r="GH13" s="16"/>
      <c r="GI13" s="18"/>
      <c r="GJ13" s="16"/>
      <c r="GK13" s="16"/>
      <c r="GL13" s="16"/>
      <c r="GM13" s="16"/>
      <c r="GN13" s="18"/>
      <c r="GO13" s="16"/>
      <c r="GP13" s="16"/>
      <c r="GQ13" s="16"/>
      <c r="GR13" s="16"/>
      <c r="GS13" s="18"/>
      <c r="GT13" s="16"/>
      <c r="GU13" s="16"/>
      <c r="GV13" s="16"/>
      <c r="GW13" s="16"/>
      <c r="GX13" s="18"/>
      <c r="GY13" s="16"/>
      <c r="GZ13" s="16"/>
      <c r="HA13" s="16"/>
      <c r="HB13" s="16"/>
      <c r="HC13" s="18"/>
      <c r="HD13" s="16"/>
      <c r="HE13" s="16"/>
      <c r="HF13" s="16"/>
      <c r="HG13" s="16"/>
      <c r="HH13" s="18"/>
      <c r="HI13" s="16"/>
      <c r="HJ13" s="16"/>
      <c r="HK13" s="16"/>
      <c r="HL13" s="16"/>
      <c r="HM13" s="18"/>
      <c r="HN13" s="16"/>
      <c r="HO13" s="16"/>
      <c r="HP13" s="16"/>
      <c r="HQ13" s="16"/>
      <c r="HR13" s="18"/>
      <c r="HS13" s="16"/>
      <c r="HT13" s="16"/>
      <c r="HU13" s="16"/>
      <c r="HV13" s="16"/>
      <c r="HW13" s="18"/>
      <c r="HX13" s="16"/>
      <c r="HY13" s="16"/>
      <c r="HZ13" s="16"/>
      <c r="IA13" s="16"/>
      <c r="IB13" s="18"/>
      <c r="IC13" s="16"/>
      <c r="ID13" s="16"/>
      <c r="IE13" s="16"/>
      <c r="IF13" s="16"/>
      <c r="IG13" s="18"/>
      <c r="IH13" s="16"/>
      <c r="II13" s="16"/>
      <c r="IJ13" s="16"/>
      <c r="IK13" s="16"/>
      <c r="IL13" s="18"/>
      <c r="IM13" s="16"/>
      <c r="IN13" s="16"/>
      <c r="IO13" s="16"/>
      <c r="IP13" s="16"/>
      <c r="IQ13" s="18"/>
      <c r="IR13" s="16"/>
      <c r="IS13" s="16"/>
      <c r="IT13" s="16"/>
      <c r="IU13" s="16"/>
      <c r="IV13" s="18"/>
    </row>
  </sheetData>
  <mergeCells count="3">
    <mergeCell ref="A1:E1"/>
    <mergeCell ref="A3:E3"/>
    <mergeCell ref="A4:E4"/>
  </mergeCells>
  <phoneticPr fontId="0" type="noConversion"/>
  <printOptions horizontalCentered="1"/>
  <pageMargins left="0.7" right="0.7" top="0.75" bottom="0.75" header="0.3" footer="0.3"/>
  <pageSetup scale="54" fitToHeight="0" orientation="landscape" horizontalDpi="4294967292" r:id="rId1"/>
  <headerFooter alignWithMargins="0">
    <oddHeader xml:space="preserve">&amp;RSchedule IV-J-4
&amp;A
Page &amp;P of &amp;N
</oddHeader>
    <oddFooter>&amp;LSponsored by: Nora D. Williams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e9c0b8d7-bdb4-4fd3-b62a-f50327aaefce" origin="autoSelectedSuggestion">
  <element uid="50c31824-0780-4910-87d1-eaaffd182d42" value=""/>
  <element uid="c64218ab-b8d1-40b6-a478-cb8be1e10ecc" value=""/>
</sis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0887C6-6D18-4378-BD8D-C818351E0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503067A5-DA63-430B-8874-893E9BB949FF}">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EBF8375-C636-4FB4-84EC-47673918BB7D}">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4.xml><?xml version="1.0" encoding="utf-8"?>
<ds:datastoreItem xmlns:ds="http://schemas.openxmlformats.org/officeDocument/2006/customXml" ds:itemID="{5CD9BC78-3135-41D8-89EE-3DA2B03B74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IV-J-4(a) TCD</vt:lpstr>
      <vt:lpstr>IV-J-4(b1) TCD</vt:lpstr>
      <vt:lpstr>IV-J-4(b2) TCD</vt:lpstr>
      <vt:lpstr>IV-J-4(c) TCD</vt:lpstr>
      <vt:lpstr>'IV-J-4(b1) TCD'!Print_Area</vt:lpstr>
      <vt:lpstr>'IV-J-4(b2) TCD'!Print_Area</vt:lpstr>
      <vt:lpstr>'IV-J-4(c) TCD'!Print_Area</vt:lpstr>
      <vt:lpstr>'IV-J-4(c) TCD'!Print_Titles</vt:lpstr>
    </vt:vector>
  </TitlesOfParts>
  <Company>Central and South West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Dunn</dc:creator>
  <cp:keywords>AEP Internal</cp:keywords>
  <cp:lastModifiedBy>s254353</cp:lastModifiedBy>
  <cp:lastPrinted>2019-04-20T23:47:40Z</cp:lastPrinted>
  <dcterms:created xsi:type="dcterms:W3CDTF">2000-02-09T23:09:06Z</dcterms:created>
  <dcterms:modified xsi:type="dcterms:W3CDTF">2019-04-20T23:49:29Z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abc2b6f6-f030-4880-bb86-a2cdcfce077f</vt:lpwstr>
  </property>
  <property fmtid="{D5CDD505-2E9C-101B-9397-08002B2CF9AE}" pid="3" name="bjSaver">
    <vt:lpwstr>+67csA82yKjSjnon/76tuYCQckurr173</vt:lpwstr>
  </property>
  <property fmtid="{D5CDD505-2E9C-101B-9397-08002B2CF9AE}" pid="4" name="bjDocumentSecurityLabel">
    <vt:lpwstr>AEP Internal</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uid="50c31824-0780-4910-87d1-eaaffd182d42"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