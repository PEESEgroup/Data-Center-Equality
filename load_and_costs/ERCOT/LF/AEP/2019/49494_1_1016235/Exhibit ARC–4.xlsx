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460"/>
  </bookViews>
  <sheets>
    <sheet name="non exempt" sheetId="4" r:id="rId1"/>
  </sheets>
  <definedNames>
    <definedName name="_xlnm.Print_Titles" localSheetId="0">'non exempt'!$3:$4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4" l="1"/>
  <c r="B55" i="4" l="1"/>
  <c r="B54" i="4"/>
  <c r="B57" i="4" s="1"/>
  <c r="B24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H30" i="4"/>
  <c r="H43" i="4"/>
  <c r="H42" i="4"/>
  <c r="H45" i="4"/>
  <c r="H52" i="4"/>
  <c r="H44" i="4"/>
  <c r="H36" i="4"/>
  <c r="H35" i="4"/>
  <c r="H38" i="4"/>
  <c r="H37" i="4"/>
  <c r="H50" i="4"/>
  <c r="H51" i="4"/>
  <c r="H31" i="4"/>
  <c r="H41" i="4"/>
  <c r="H40" i="4"/>
  <c r="H29" i="4"/>
  <c r="H28" i="4"/>
  <c r="H27" i="4"/>
  <c r="H49" i="4"/>
  <c r="H48" i="4"/>
  <c r="H46" i="4"/>
  <c r="H47" i="4"/>
  <c r="H34" i="4"/>
  <c r="H33" i="4"/>
  <c r="H32" i="4"/>
  <c r="H39" i="4"/>
  <c r="D30" i="4"/>
  <c r="D43" i="4"/>
  <c r="D42" i="4"/>
  <c r="D45" i="4"/>
  <c r="D52" i="4"/>
  <c r="D44" i="4"/>
  <c r="D36" i="4"/>
  <c r="D35" i="4"/>
  <c r="D38" i="4"/>
  <c r="D37" i="4"/>
  <c r="D50" i="4"/>
  <c r="D51" i="4"/>
  <c r="D31" i="4"/>
  <c r="D41" i="4"/>
  <c r="D40" i="4"/>
  <c r="D29" i="4"/>
  <c r="D28" i="4"/>
  <c r="D27" i="4"/>
  <c r="D49" i="4"/>
  <c r="D48" i="4"/>
  <c r="D46" i="4"/>
  <c r="D47" i="4"/>
  <c r="D34" i="4"/>
  <c r="D33" i="4"/>
  <c r="D32" i="4"/>
  <c r="D39" i="4"/>
  <c r="H14" i="4"/>
  <c r="H13" i="4"/>
  <c r="H16" i="4"/>
  <c r="H21" i="4"/>
  <c r="H15" i="4"/>
  <c r="H20" i="4"/>
  <c r="H19" i="4"/>
  <c r="H18" i="4"/>
  <c r="H12" i="4"/>
  <c r="H11" i="4"/>
  <c r="H17" i="4"/>
  <c r="H6" i="4"/>
  <c r="H9" i="4"/>
  <c r="H8" i="4"/>
  <c r="H7" i="4"/>
  <c r="H10" i="4"/>
  <c r="D14" i="4"/>
  <c r="D13" i="4"/>
  <c r="D16" i="4"/>
  <c r="D21" i="4"/>
  <c r="D15" i="4"/>
  <c r="D20" i="4"/>
  <c r="D19" i="4"/>
  <c r="D18" i="4"/>
  <c r="D12" i="4"/>
  <c r="D11" i="4"/>
  <c r="D17" i="4"/>
  <c r="D6" i="4"/>
  <c r="D9" i="4"/>
  <c r="D8" i="4"/>
  <c r="D7" i="4"/>
  <c r="D10" i="4"/>
  <c r="J58" i="4" l="1"/>
  <c r="K58" i="4"/>
  <c r="J57" i="4"/>
  <c r="K57" i="4"/>
  <c r="J54" i="4"/>
  <c r="K54" i="4"/>
  <c r="B58" i="4"/>
</calcChain>
</file>

<file path=xl/sharedStrings.xml><?xml version="1.0" encoding="utf-8"?>
<sst xmlns="http://schemas.openxmlformats.org/spreadsheetml/2006/main" count="70" uniqueCount="69">
  <si>
    <t>Target TCC</t>
  </si>
  <si>
    <t>Base</t>
  </si>
  <si>
    <t>Notes:</t>
  </si>
  <si>
    <t>AEP Incumbent Data</t>
  </si>
  <si>
    <r>
      <t>Survey Results</t>
    </r>
    <r>
      <rPr>
        <b/>
        <vertAlign val="superscript"/>
        <sz val="10"/>
        <rFont val="Arial"/>
        <family val="2"/>
      </rPr>
      <t>1</t>
    </r>
  </si>
  <si>
    <t xml:space="preserve">% Difference </t>
  </si>
  <si>
    <t>Employee Count</t>
  </si>
  <si>
    <t>Avg Base</t>
  </si>
  <si>
    <r>
      <t xml:space="preserve">Target Incentive </t>
    </r>
    <r>
      <rPr>
        <b/>
        <vertAlign val="superscript"/>
        <sz val="10"/>
        <rFont val="Arial"/>
        <family val="2"/>
      </rPr>
      <t>(2)</t>
    </r>
  </si>
  <si>
    <t>Target Incentive</t>
  </si>
  <si>
    <t>AEP Texas Count</t>
  </si>
  <si>
    <t>AEP Texas Incumbents</t>
  </si>
  <si>
    <t>AVERAGE</t>
  </si>
  <si>
    <t>AEPSC Job Count</t>
  </si>
  <si>
    <t>AEPSC Incumbent Count</t>
  </si>
  <si>
    <t>TOTAL JOB COUNT</t>
  </si>
  <si>
    <t>TOTAL INCUMBENT Count</t>
  </si>
  <si>
    <t>TX_NE1</t>
  </si>
  <si>
    <t>TX_NE2</t>
  </si>
  <si>
    <t>TX_NE3</t>
  </si>
  <si>
    <t>TX_NE4</t>
  </si>
  <si>
    <t>TX_NE5</t>
  </si>
  <si>
    <t>TX_NE6</t>
  </si>
  <si>
    <t>TX_NE7</t>
  </si>
  <si>
    <t>TX_NE8</t>
  </si>
  <si>
    <t>TX_NE9</t>
  </si>
  <si>
    <t>TX_NE10</t>
  </si>
  <si>
    <t>TX_NE11</t>
  </si>
  <si>
    <t>TX_NE12</t>
  </si>
  <si>
    <t>TX_NE13</t>
  </si>
  <si>
    <t>TX_NE14</t>
  </si>
  <si>
    <t>TX_NE15</t>
  </si>
  <si>
    <t>TX_NE16</t>
  </si>
  <si>
    <t>SVC_NE1</t>
  </si>
  <si>
    <t>SVC_NE2</t>
  </si>
  <si>
    <t>SVC_NE3</t>
  </si>
  <si>
    <t>SVC_NE4</t>
  </si>
  <si>
    <t>SVC_NE5</t>
  </si>
  <si>
    <t>SVC_NE6</t>
  </si>
  <si>
    <t>SVC_NE7</t>
  </si>
  <si>
    <t>SVC_NE8</t>
  </si>
  <si>
    <t>SVC_NE9</t>
  </si>
  <si>
    <t>SVC_NE10</t>
  </si>
  <si>
    <t>SVC_NE11</t>
  </si>
  <si>
    <t>SVC_NE12</t>
  </si>
  <si>
    <t>SVC_NE13</t>
  </si>
  <si>
    <t>SVC_NE14</t>
  </si>
  <si>
    <t>SVC_NE15</t>
  </si>
  <si>
    <t>SVC_NE16</t>
  </si>
  <si>
    <t>SVC_NE17</t>
  </si>
  <si>
    <t>SVC_NE18</t>
  </si>
  <si>
    <t>SVC_NE19</t>
  </si>
  <si>
    <t>SVC_NE20</t>
  </si>
  <si>
    <t>SVC_NE21</t>
  </si>
  <si>
    <t>SVC_NE22</t>
  </si>
  <si>
    <t>SVC_NE23</t>
  </si>
  <si>
    <t>SVC_NE24</t>
  </si>
  <si>
    <t>SVC_NE25</t>
  </si>
  <si>
    <t>SVC_NE26</t>
  </si>
  <si>
    <t>AEP Job</t>
  </si>
  <si>
    <t>AEP TEXAS</t>
  </si>
  <si>
    <t>AEP SERVICE CORP</t>
  </si>
  <si>
    <r>
      <t>% of Jobs Above Market Competitive Range</t>
    </r>
    <r>
      <rPr>
        <vertAlign val="superscript"/>
        <sz val="10"/>
        <color theme="1"/>
        <rFont val="Arial"/>
        <family val="2"/>
      </rPr>
      <t>3</t>
    </r>
  </si>
  <si>
    <r>
      <t>% of Jobs Below Market Competitive Range</t>
    </r>
    <r>
      <rPr>
        <vertAlign val="superscript"/>
        <sz val="10"/>
        <color theme="1"/>
        <rFont val="Arial"/>
        <family val="2"/>
      </rPr>
      <t>3</t>
    </r>
  </si>
  <si>
    <t>(1) Survey Data from  April 2018 Towers Watson Energy Services Middle Management &amp; Professional Survey and Towers Watson General Industry Middle Management &amp; Professional Survey, aged to November 1, 2018 at 3% annual rate.</t>
  </si>
  <si>
    <r>
      <t>Target TCC vs Survey Target TCC</t>
    </r>
    <r>
      <rPr>
        <b/>
        <vertAlign val="superscript"/>
        <sz val="10"/>
        <rFont val="Arial"/>
        <family val="2"/>
      </rPr>
      <t>(3)</t>
    </r>
  </si>
  <si>
    <r>
      <t>Base vs Survey Target TCC</t>
    </r>
    <r>
      <rPr>
        <b/>
        <vertAlign val="superscript"/>
        <sz val="10"/>
        <rFont val="Arial"/>
        <family val="2"/>
      </rPr>
      <t>(3)</t>
    </r>
  </si>
  <si>
    <t>(2) Reflects annual target incentive.</t>
  </si>
  <si>
    <t>(3) A market competitive range of +/- 10 percent has been used for these salaried nonexempt positions.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</si>
</sst>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&quot;$&quot;#,##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Border="1" applyAlignment="1">
      <alignment horizontal="center" vertical="center" wrapText="1"/>
    </xf>
    <xf numFmtId="165" fontId="2" fillId="0" borderId="0" xfId="1" applyNumberFormat="1" applyFont="1"/>
    <xf numFmtId="10" fontId="2" fillId="0" borderId="0" xfId="1" applyNumberFormat="1" applyFont="1"/>
    <xf numFmtId="165" fontId="8" fillId="0" borderId="0" xfId="0" applyNumberFormat="1" applyFont="1"/>
    <xf numFmtId="0" fontId="8" fillId="0" borderId="0" xfId="0" applyFont="1"/>
    <xf numFmtId="0" fontId="7" fillId="0" borderId="0" xfId="0" applyFont="1"/>
    <xf numFmtId="166" fontId="8" fillId="0" borderId="0" xfId="0" applyNumberFormat="1" applyFont="1"/>
    <xf numFmtId="0" fontId="3" fillId="0" borderId="4" xfId="0" applyFont="1" applyBorder="1" applyAlignment="1">
      <alignment horizontal="center" vertical="center" wrapText="1"/>
    </xf>
    <xf numFmtId="165" fontId="2" fillId="0" borderId="0" xfId="0" applyNumberFormat="1" applyFont="1" applyFill="1"/>
    <xf numFmtId="0" fontId="7" fillId="0" borderId="0" xfId="0" applyFont="1" applyAlignment="1">
      <alignment horizontal="center"/>
    </xf>
    <xf numFmtId="166" fontId="5" fillId="0" borderId="0" xfId="1" applyNumberFormat="1" applyFont="1"/>
    <xf numFmtId="166" fontId="2" fillId="0" borderId="0" xfId="1" applyNumberFormat="1" applyFont="1"/>
    <xf numFmtId="166" fontId="2" fillId="0" borderId="0" xfId="1" applyNumberFormat="1" applyFont="1" applyFill="1"/>
    <xf numFmtId="0" fontId="5" fillId="0" borderId="0" xfId="0" applyFont="1" applyAlignment="1">
      <alignment wrapText="1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0" fontId="5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2"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Q63"/>
  <sheetViews>
    <sheetView tabSelected="1" zoomScaleNormal="100" workbookViewId="0">
      <pane ySplit="4" topLeftCell="A35" activePane="bottomLeft" state="frozen"/>
      <selection pane="bottomLeft" activeCell="A64" sqref="A64"/>
    </sheetView>
  </sheetViews>
  <sheetFormatPr defaultRowHeight="12.75" x14ac:dyDescent="0.2"/>
  <cols>
    <col min="1" max="1" width="33" style="1" customWidth="1"/>
    <col min="2" max="2" width="10.42578125" style="1" customWidth="1"/>
    <col min="3" max="3" width="11.140625" style="3" bestFit="1" customWidth="1"/>
    <col min="4" max="4" width="10.140625" style="3" bestFit="1" customWidth="1"/>
    <col min="5" max="5" width="11.140625" style="3" bestFit="1" customWidth="1"/>
    <col min="6" max="6" width="6.28515625" style="1" customWidth="1"/>
    <col min="7" max="7" width="11.140625" style="3" bestFit="1" customWidth="1"/>
    <col min="8" max="8" width="10.140625" style="3" bestFit="1" customWidth="1"/>
    <col min="9" max="9" width="11.140625" style="3" bestFit="1" customWidth="1"/>
    <col min="10" max="10" width="11.140625" style="1" bestFit="1" customWidth="1"/>
    <col min="11" max="11" width="7.85546875" style="1" bestFit="1" customWidth="1"/>
    <col min="12" max="16384" width="9.140625" style="1"/>
  </cols>
  <sheetData>
    <row r="3" spans="1:12" s="5" customFormat="1" ht="26.25" customHeight="1" x14ac:dyDescent="0.2">
      <c r="B3" s="6"/>
      <c r="C3" s="24" t="s">
        <v>3</v>
      </c>
      <c r="D3" s="25"/>
      <c r="E3" s="26"/>
      <c r="G3" s="24" t="s">
        <v>4</v>
      </c>
      <c r="H3" s="25"/>
      <c r="I3" s="26"/>
      <c r="J3" s="27" t="s">
        <v>5</v>
      </c>
      <c r="K3" s="27"/>
    </row>
    <row r="4" spans="1:12" s="7" customFormat="1" ht="51" customHeight="1" x14ac:dyDescent="0.25">
      <c r="A4" s="17" t="s">
        <v>59</v>
      </c>
      <c r="B4" s="4" t="s">
        <v>6</v>
      </c>
      <c r="C4" s="9" t="s">
        <v>7</v>
      </c>
      <c r="D4" s="9" t="s">
        <v>8</v>
      </c>
      <c r="E4" s="9" t="s">
        <v>0</v>
      </c>
      <c r="G4" s="9" t="s">
        <v>1</v>
      </c>
      <c r="H4" s="9" t="s">
        <v>9</v>
      </c>
      <c r="I4" s="9" t="s">
        <v>0</v>
      </c>
      <c r="J4" s="4" t="s">
        <v>65</v>
      </c>
      <c r="K4" s="4" t="s">
        <v>66</v>
      </c>
    </row>
    <row r="5" spans="1:12" s="7" customFormat="1" x14ac:dyDescent="0.2">
      <c r="A5" s="19" t="s">
        <v>60</v>
      </c>
      <c r="B5" s="8"/>
      <c r="C5" s="10"/>
      <c r="D5" s="10"/>
      <c r="E5" s="10"/>
      <c r="G5" s="10"/>
      <c r="H5" s="10"/>
      <c r="I5" s="10"/>
      <c r="J5" s="8"/>
      <c r="K5" s="8"/>
    </row>
    <row r="6" spans="1:12" x14ac:dyDescent="0.2">
      <c r="A6" s="1" t="s">
        <v>17</v>
      </c>
      <c r="B6" s="1">
        <v>8</v>
      </c>
      <c r="C6" s="3">
        <v>43621.667249999999</v>
      </c>
      <c r="D6" s="11">
        <f t="shared" ref="D6:D21" si="0">E6-C6</f>
        <v>2181.0833625000014</v>
      </c>
      <c r="E6" s="3">
        <v>45802.7506125</v>
      </c>
      <c r="G6" s="3">
        <v>46600</v>
      </c>
      <c r="H6" s="3">
        <f t="shared" ref="H6:H21" si="1">I6-G6</f>
        <v>2352</v>
      </c>
      <c r="I6" s="3">
        <v>48952</v>
      </c>
      <c r="J6" s="21">
        <f>(E6-I6)/I6</f>
        <v>-6.433341615255761E-2</v>
      </c>
      <c r="K6" s="21">
        <f>(C6-I6)/I6</f>
        <v>-0.10888896776434061</v>
      </c>
    </row>
    <row r="7" spans="1:12" x14ac:dyDescent="0.2">
      <c r="A7" s="1" t="s">
        <v>18</v>
      </c>
      <c r="B7" s="1">
        <v>16</v>
      </c>
      <c r="C7" s="3">
        <v>37181.431875000002</v>
      </c>
      <c r="D7" s="11">
        <f t="shared" si="0"/>
        <v>1859.071593749999</v>
      </c>
      <c r="E7" s="3">
        <v>39040.503468750001</v>
      </c>
      <c r="G7" s="3">
        <v>39318</v>
      </c>
      <c r="H7" s="3">
        <f t="shared" si="1"/>
        <v>613</v>
      </c>
      <c r="I7" s="3">
        <v>39931</v>
      </c>
      <c r="J7" s="21">
        <f t="shared" ref="J7:J52" si="2">(E7-I7)/I7</f>
        <v>-2.2300882303223035E-2</v>
      </c>
      <c r="K7" s="21">
        <f t="shared" ref="K7:K52" si="3">(C7-I7)/I7</f>
        <v>-6.8857983145926671E-2</v>
      </c>
    </row>
    <row r="8" spans="1:12" x14ac:dyDescent="0.2">
      <c r="A8" s="1" t="s">
        <v>19</v>
      </c>
      <c r="B8" s="1">
        <v>18</v>
      </c>
      <c r="C8" s="3">
        <v>43283.106666666659</v>
      </c>
      <c r="D8" s="11">
        <f t="shared" si="0"/>
        <v>2164.1553333333359</v>
      </c>
      <c r="E8" s="3">
        <v>45447.261999999995</v>
      </c>
      <c r="G8" s="3">
        <v>45375</v>
      </c>
      <c r="H8" s="3">
        <f t="shared" si="1"/>
        <v>239</v>
      </c>
      <c r="I8" s="3">
        <v>45614</v>
      </c>
      <c r="J8" s="21">
        <f t="shared" si="2"/>
        <v>-3.6554128118561151E-3</v>
      </c>
      <c r="K8" s="21">
        <f t="shared" si="3"/>
        <v>-5.1100393154148743E-2</v>
      </c>
    </row>
    <row r="9" spans="1:12" x14ac:dyDescent="0.2">
      <c r="A9" s="1" t="s">
        <v>20</v>
      </c>
      <c r="B9" s="1">
        <v>35</v>
      </c>
      <c r="C9" s="3">
        <v>53078.293657142865</v>
      </c>
      <c r="D9" s="11">
        <f t="shared" si="0"/>
        <v>3184.6976194285744</v>
      </c>
      <c r="E9" s="3">
        <v>56262.99127657144</v>
      </c>
      <c r="G9" s="18">
        <v>52467</v>
      </c>
      <c r="H9" s="18">
        <f t="shared" si="1"/>
        <v>0</v>
      </c>
      <c r="I9" s="18">
        <v>52467</v>
      </c>
      <c r="J9" s="21">
        <f t="shared" si="2"/>
        <v>7.2350072932918591E-2</v>
      </c>
      <c r="K9" s="21">
        <f t="shared" si="3"/>
        <v>1.1651012200866553E-2</v>
      </c>
    </row>
    <row r="10" spans="1:12" x14ac:dyDescent="0.2">
      <c r="A10" s="1" t="s">
        <v>21</v>
      </c>
      <c r="B10" s="1">
        <v>5</v>
      </c>
      <c r="C10" s="3">
        <v>42904.374000000003</v>
      </c>
      <c r="D10" s="11">
        <f t="shared" si="0"/>
        <v>2145.2186999999976</v>
      </c>
      <c r="E10" s="3">
        <v>45049.592700000001</v>
      </c>
      <c r="G10" s="3">
        <v>50736</v>
      </c>
      <c r="H10" s="3">
        <f t="shared" si="1"/>
        <v>2565</v>
      </c>
      <c r="I10" s="3">
        <v>53301</v>
      </c>
      <c r="J10" s="21">
        <f t="shared" si="2"/>
        <v>-0.15480773906680922</v>
      </c>
      <c r="K10" s="21">
        <f t="shared" si="3"/>
        <v>-0.19505498958743733</v>
      </c>
    </row>
    <row r="11" spans="1:12" x14ac:dyDescent="0.2">
      <c r="A11" s="1" t="s">
        <v>22</v>
      </c>
      <c r="B11" s="1">
        <v>14</v>
      </c>
      <c r="C11" s="3">
        <v>76555.821428571435</v>
      </c>
      <c r="D11" s="11">
        <f t="shared" si="0"/>
        <v>6890.0239285714342</v>
      </c>
      <c r="E11" s="3">
        <v>83445.845357142869</v>
      </c>
      <c r="G11" s="3">
        <v>78942</v>
      </c>
      <c r="H11" s="3">
        <f t="shared" si="1"/>
        <v>2231</v>
      </c>
      <c r="I11" s="3">
        <v>81173</v>
      </c>
      <c r="J11" s="21">
        <f t="shared" si="2"/>
        <v>2.800001671914145E-2</v>
      </c>
      <c r="K11" s="21">
        <f t="shared" si="3"/>
        <v>-5.6880718606292305E-2</v>
      </c>
      <c r="L11" s="12"/>
    </row>
    <row r="12" spans="1:12" x14ac:dyDescent="0.2">
      <c r="A12" s="1" t="s">
        <v>23</v>
      </c>
      <c r="B12" s="1">
        <v>5</v>
      </c>
      <c r="C12" s="3">
        <v>63361.33</v>
      </c>
      <c r="D12" s="11">
        <f t="shared" si="0"/>
        <v>5068.9063999999926</v>
      </c>
      <c r="E12" s="3">
        <v>68430.236399999994</v>
      </c>
      <c r="G12" s="3">
        <v>69349</v>
      </c>
      <c r="H12" s="3">
        <f t="shared" si="1"/>
        <v>135</v>
      </c>
      <c r="I12" s="3">
        <v>69484</v>
      </c>
      <c r="J12" s="21">
        <f t="shared" si="2"/>
        <v>-1.5165557538426194E-2</v>
      </c>
      <c r="K12" s="21">
        <f t="shared" si="3"/>
        <v>-8.8116256980024149E-2</v>
      </c>
    </row>
    <row r="13" spans="1:12" x14ac:dyDescent="0.2">
      <c r="A13" s="1" t="s">
        <v>24</v>
      </c>
      <c r="B13" s="1">
        <v>11</v>
      </c>
      <c r="C13" s="3">
        <v>62260.400909090902</v>
      </c>
      <c r="D13" s="11">
        <f t="shared" si="0"/>
        <v>4980.832072727273</v>
      </c>
      <c r="E13" s="3">
        <v>67241.232981818175</v>
      </c>
      <c r="G13" s="3">
        <v>50070</v>
      </c>
      <c r="H13" s="3">
        <f t="shared" si="1"/>
        <v>483</v>
      </c>
      <c r="I13" s="3">
        <v>50553</v>
      </c>
      <c r="J13" s="21">
        <f t="shared" si="2"/>
        <v>0.33011360318513588</v>
      </c>
      <c r="K13" s="21">
        <f t="shared" si="3"/>
        <v>0.23158666961586655</v>
      </c>
    </row>
    <row r="14" spans="1:12" x14ac:dyDescent="0.2">
      <c r="A14" s="1" t="s">
        <v>25</v>
      </c>
      <c r="B14" s="1">
        <v>9</v>
      </c>
      <c r="C14" s="3">
        <v>55785.068888888891</v>
      </c>
      <c r="D14" s="11">
        <f t="shared" si="0"/>
        <v>3347.1041333333342</v>
      </c>
      <c r="E14" s="3">
        <v>59132.173022222225</v>
      </c>
      <c r="G14" s="3">
        <v>44320</v>
      </c>
      <c r="H14" s="3">
        <f t="shared" si="1"/>
        <v>332</v>
      </c>
      <c r="I14" s="3">
        <v>44652</v>
      </c>
      <c r="J14" s="21">
        <f t="shared" si="2"/>
        <v>0.32428946121612079</v>
      </c>
      <c r="K14" s="21">
        <f t="shared" si="3"/>
        <v>0.24932968039256675</v>
      </c>
    </row>
    <row r="15" spans="1:12" x14ac:dyDescent="0.2">
      <c r="A15" s="1" t="s">
        <v>26</v>
      </c>
      <c r="B15" s="1">
        <v>14</v>
      </c>
      <c r="C15" s="3">
        <v>88278.869285714303</v>
      </c>
      <c r="D15" s="11">
        <f t="shared" si="0"/>
        <v>8827.8869285714318</v>
      </c>
      <c r="E15" s="3">
        <v>97106.756214285735</v>
      </c>
      <c r="G15" s="3">
        <v>83229</v>
      </c>
      <c r="H15" s="3">
        <f t="shared" si="1"/>
        <v>1603</v>
      </c>
      <c r="I15" s="3">
        <v>84832</v>
      </c>
      <c r="J15" s="21">
        <f t="shared" si="2"/>
        <v>0.14469488181683487</v>
      </c>
      <c r="K15" s="21">
        <f t="shared" si="3"/>
        <v>4.0631710742577133E-2</v>
      </c>
    </row>
    <row r="16" spans="1:12" x14ac:dyDescent="0.2">
      <c r="A16" s="1" t="s">
        <v>27</v>
      </c>
      <c r="B16" s="1">
        <v>21</v>
      </c>
      <c r="C16" s="3">
        <v>77698.255523809523</v>
      </c>
      <c r="D16" s="11">
        <f t="shared" si="0"/>
        <v>6992.8429971428559</v>
      </c>
      <c r="E16" s="3">
        <v>84691.098520952379</v>
      </c>
      <c r="G16" s="3">
        <v>67143</v>
      </c>
      <c r="H16" s="3">
        <f t="shared" si="1"/>
        <v>1226</v>
      </c>
      <c r="I16" s="3">
        <v>68369</v>
      </c>
      <c r="J16" s="21">
        <f t="shared" si="2"/>
        <v>0.23873537013781654</v>
      </c>
      <c r="K16" s="21">
        <f t="shared" si="3"/>
        <v>0.13645446801634545</v>
      </c>
    </row>
    <row r="17" spans="1:11" x14ac:dyDescent="0.2">
      <c r="A17" s="1" t="s">
        <v>28</v>
      </c>
      <c r="B17" s="1">
        <v>6</v>
      </c>
      <c r="C17" s="3">
        <v>49765.066666666673</v>
      </c>
      <c r="D17" s="11">
        <f t="shared" si="0"/>
        <v>2985.9040000000023</v>
      </c>
      <c r="E17" s="3">
        <v>52750.970666666675</v>
      </c>
      <c r="G17" s="3">
        <v>53778</v>
      </c>
      <c r="H17" s="3">
        <f t="shared" si="1"/>
        <v>3161</v>
      </c>
      <c r="I17" s="3">
        <v>56939</v>
      </c>
      <c r="J17" s="21">
        <f t="shared" si="2"/>
        <v>-7.3552913351715432E-2</v>
      </c>
      <c r="K17" s="21">
        <f t="shared" si="3"/>
        <v>-0.12599331448275045</v>
      </c>
    </row>
    <row r="18" spans="1:11" x14ac:dyDescent="0.2">
      <c r="A18" s="1" t="s">
        <v>29</v>
      </c>
      <c r="B18" s="1">
        <v>4</v>
      </c>
      <c r="C18" s="3">
        <v>49401.849499999997</v>
      </c>
      <c r="D18" s="11">
        <f t="shared" si="0"/>
        <v>2470.0924749999976</v>
      </c>
      <c r="E18" s="3">
        <v>51871.941974999994</v>
      </c>
      <c r="G18" s="3">
        <v>62967</v>
      </c>
      <c r="H18" s="3">
        <f t="shared" si="1"/>
        <v>1216</v>
      </c>
      <c r="I18" s="3">
        <v>64183</v>
      </c>
      <c r="J18" s="21">
        <f t="shared" si="2"/>
        <v>-0.19181181971861716</v>
      </c>
      <c r="K18" s="21">
        <f t="shared" si="3"/>
        <v>-0.23029697116058775</v>
      </c>
    </row>
    <row r="19" spans="1:11" x14ac:dyDescent="0.2">
      <c r="A19" s="1" t="s">
        <v>30</v>
      </c>
      <c r="B19" s="1">
        <v>7</v>
      </c>
      <c r="C19" s="3">
        <v>50259.515714285713</v>
      </c>
      <c r="D19" s="11">
        <f t="shared" si="0"/>
        <v>3015.5709428571427</v>
      </c>
      <c r="E19" s="3">
        <v>53275.086657142856</v>
      </c>
      <c r="G19" s="3">
        <v>54230</v>
      </c>
      <c r="H19" s="3">
        <f t="shared" si="1"/>
        <v>1025</v>
      </c>
      <c r="I19" s="3">
        <v>55255</v>
      </c>
      <c r="J19" s="21">
        <f t="shared" si="2"/>
        <v>-3.5832292875887142E-2</v>
      </c>
      <c r="K19" s="21">
        <f t="shared" si="3"/>
        <v>-9.040782346781806E-2</v>
      </c>
    </row>
    <row r="20" spans="1:11" x14ac:dyDescent="0.2">
      <c r="A20" s="1" t="s">
        <v>31</v>
      </c>
      <c r="B20" s="1">
        <v>6</v>
      </c>
      <c r="C20" s="3">
        <v>71323.691666666666</v>
      </c>
      <c r="D20" s="11">
        <f t="shared" si="0"/>
        <v>6419.1322499999951</v>
      </c>
      <c r="E20" s="3">
        <v>77742.823916666661</v>
      </c>
      <c r="G20" s="3">
        <v>57480</v>
      </c>
      <c r="H20" s="3">
        <f t="shared" si="1"/>
        <v>1370</v>
      </c>
      <c r="I20" s="3">
        <v>58850</v>
      </c>
      <c r="J20" s="21">
        <f t="shared" si="2"/>
        <v>0.3210335414896629</v>
      </c>
      <c r="K20" s="21">
        <f t="shared" si="3"/>
        <v>0.21195737751345226</v>
      </c>
    </row>
    <row r="21" spans="1:11" x14ac:dyDescent="0.2">
      <c r="A21" s="1" t="s">
        <v>32</v>
      </c>
      <c r="B21" s="1">
        <v>10</v>
      </c>
      <c r="C21" s="3">
        <v>90970.531499999997</v>
      </c>
      <c r="D21" s="11">
        <f t="shared" si="0"/>
        <v>9097.053150000007</v>
      </c>
      <c r="E21" s="3">
        <v>100067.58465</v>
      </c>
      <c r="G21" s="3">
        <v>95150</v>
      </c>
      <c r="H21" s="3">
        <f t="shared" si="1"/>
        <v>8056</v>
      </c>
      <c r="I21" s="3">
        <v>103206</v>
      </c>
      <c r="J21" s="21">
        <f t="shared" si="2"/>
        <v>-3.0409233474797934E-2</v>
      </c>
      <c r="K21" s="21">
        <f t="shared" si="3"/>
        <v>-0.11855384861345274</v>
      </c>
    </row>
    <row r="22" spans="1:11" x14ac:dyDescent="0.2">
      <c r="D22" s="11"/>
      <c r="J22" s="21"/>
      <c r="K22" s="21"/>
    </row>
    <row r="23" spans="1:11" x14ac:dyDescent="0.2">
      <c r="A23" s="1" t="s">
        <v>10</v>
      </c>
      <c r="B23" s="1">
        <f>COUNT(B6:B21)</f>
        <v>16</v>
      </c>
      <c r="D23" s="11"/>
      <c r="J23" s="21"/>
      <c r="K23" s="21"/>
    </row>
    <row r="24" spans="1:11" x14ac:dyDescent="0.2">
      <c r="A24" s="1" t="s">
        <v>11</v>
      </c>
      <c r="B24" s="1">
        <f>SUM(B6:B23)</f>
        <v>205</v>
      </c>
      <c r="D24" s="11"/>
      <c r="J24" s="21"/>
      <c r="K24" s="21"/>
    </row>
    <row r="25" spans="1:11" x14ac:dyDescent="0.2">
      <c r="D25" s="11"/>
      <c r="J25" s="21"/>
      <c r="K25" s="21"/>
    </row>
    <row r="26" spans="1:11" x14ac:dyDescent="0.2">
      <c r="A26" s="19" t="s">
        <v>61</v>
      </c>
      <c r="D26" s="11"/>
      <c r="J26" s="21"/>
      <c r="K26" s="21"/>
    </row>
    <row r="27" spans="1:11" x14ac:dyDescent="0.2">
      <c r="A27" s="1" t="s">
        <v>33</v>
      </c>
      <c r="B27" s="1">
        <v>7</v>
      </c>
      <c r="C27" s="3">
        <v>41328.571428571428</v>
      </c>
      <c r="D27" s="11">
        <f t="shared" ref="D27:D52" si="4">E27-C27</f>
        <v>2066.4285714285725</v>
      </c>
      <c r="E27" s="3">
        <v>43395</v>
      </c>
      <c r="F27" s="2"/>
      <c r="G27" s="3">
        <v>45334</v>
      </c>
      <c r="H27" s="3">
        <f t="shared" ref="H27:H52" si="5">I27-G27</f>
        <v>2526</v>
      </c>
      <c r="I27" s="3">
        <v>47860</v>
      </c>
      <c r="J27" s="21">
        <f t="shared" si="2"/>
        <v>-9.3292937735060588E-2</v>
      </c>
      <c r="K27" s="21">
        <f t="shared" si="3"/>
        <v>-0.13646946450958153</v>
      </c>
    </row>
    <row r="28" spans="1:11" x14ac:dyDescent="0.2">
      <c r="A28" s="1" t="s">
        <v>34</v>
      </c>
      <c r="B28" s="1">
        <v>16</v>
      </c>
      <c r="C28" s="3">
        <v>52915.3125</v>
      </c>
      <c r="D28" s="11">
        <f t="shared" si="4"/>
        <v>3174.9187499999971</v>
      </c>
      <c r="E28" s="3">
        <v>56090.231249999997</v>
      </c>
      <c r="F28" s="2"/>
      <c r="G28" s="3">
        <v>50652</v>
      </c>
      <c r="H28" s="3">
        <f t="shared" si="5"/>
        <v>2349</v>
      </c>
      <c r="I28" s="3">
        <v>53001</v>
      </c>
      <c r="J28" s="21">
        <f t="shared" si="2"/>
        <v>5.8286282334295524E-2</v>
      </c>
      <c r="K28" s="21">
        <f t="shared" si="3"/>
        <v>-1.6167147789664345E-3</v>
      </c>
    </row>
    <row r="29" spans="1:11" x14ac:dyDescent="0.2">
      <c r="A29" s="1" t="s">
        <v>35</v>
      </c>
      <c r="B29" s="1">
        <v>10</v>
      </c>
      <c r="C29" s="3">
        <v>38508.300000000003</v>
      </c>
      <c r="D29" s="11">
        <f t="shared" si="4"/>
        <v>1925.4150000000009</v>
      </c>
      <c r="E29" s="3">
        <v>40433.715000000004</v>
      </c>
      <c r="F29" s="2"/>
      <c r="G29" s="3">
        <v>40493</v>
      </c>
      <c r="H29" s="3">
        <f t="shared" si="5"/>
        <v>224</v>
      </c>
      <c r="I29" s="3">
        <v>40717</v>
      </c>
      <c r="J29" s="21">
        <f t="shared" si="2"/>
        <v>-6.9574133654246679E-3</v>
      </c>
      <c r="K29" s="21">
        <f t="shared" si="3"/>
        <v>-5.4245155586118747E-2</v>
      </c>
    </row>
    <row r="30" spans="1:11" x14ac:dyDescent="0.2">
      <c r="A30" s="1" t="s">
        <v>36</v>
      </c>
      <c r="B30" s="1">
        <v>5</v>
      </c>
      <c r="C30" s="3">
        <v>49146.853199999998</v>
      </c>
      <c r="D30" s="11">
        <f t="shared" si="4"/>
        <v>2457.3426600000021</v>
      </c>
      <c r="E30" s="3">
        <v>51604.19586</v>
      </c>
      <c r="F30" s="2"/>
      <c r="G30" s="3">
        <v>46274</v>
      </c>
      <c r="H30" s="3">
        <f t="shared" si="5"/>
        <v>459</v>
      </c>
      <c r="I30" s="3">
        <v>46733</v>
      </c>
      <c r="J30" s="21">
        <f t="shared" si="2"/>
        <v>0.10423460638092996</v>
      </c>
      <c r="K30" s="21">
        <f t="shared" si="3"/>
        <v>5.165200607707611E-2</v>
      </c>
    </row>
    <row r="31" spans="1:11" x14ac:dyDescent="0.2">
      <c r="A31" s="1" t="s">
        <v>37</v>
      </c>
      <c r="B31" s="1">
        <v>4</v>
      </c>
      <c r="C31" s="3">
        <v>50182.684999999998</v>
      </c>
      <c r="D31" s="11">
        <f t="shared" si="4"/>
        <v>3010.9611000000004</v>
      </c>
      <c r="E31" s="3">
        <v>53193.646099999998</v>
      </c>
      <c r="F31" s="2"/>
      <c r="G31" s="3">
        <v>48541</v>
      </c>
      <c r="H31" s="3">
        <f t="shared" si="5"/>
        <v>2777</v>
      </c>
      <c r="I31" s="3">
        <v>51318</v>
      </c>
      <c r="J31" s="21">
        <f t="shared" si="2"/>
        <v>3.6549477766085935E-2</v>
      </c>
      <c r="K31" s="21">
        <f t="shared" si="3"/>
        <v>-2.2123134182937806E-2</v>
      </c>
    </row>
    <row r="32" spans="1:11" x14ac:dyDescent="0.2">
      <c r="A32" s="1" t="s">
        <v>38</v>
      </c>
      <c r="B32" s="1">
        <v>3</v>
      </c>
      <c r="C32" s="3">
        <v>38529.140000000007</v>
      </c>
      <c r="D32" s="11">
        <f t="shared" si="4"/>
        <v>1926.4570000000022</v>
      </c>
      <c r="E32" s="3">
        <v>40455.597000000009</v>
      </c>
      <c r="F32" s="2"/>
      <c r="G32" s="3">
        <v>39318</v>
      </c>
      <c r="H32" s="3">
        <f t="shared" si="5"/>
        <v>613</v>
      </c>
      <c r="I32" s="3">
        <v>39931</v>
      </c>
      <c r="J32" s="21">
        <f t="shared" si="2"/>
        <v>1.3137587338158545E-2</v>
      </c>
      <c r="K32" s="21">
        <f t="shared" si="3"/>
        <v>-3.5107059677944287E-2</v>
      </c>
    </row>
    <row r="33" spans="1:11" x14ac:dyDescent="0.2">
      <c r="A33" s="1" t="s">
        <v>39</v>
      </c>
      <c r="B33" s="1">
        <v>30</v>
      </c>
      <c r="C33" s="3">
        <v>43462.339200000002</v>
      </c>
      <c r="D33" s="11">
        <f t="shared" si="4"/>
        <v>2173.1169599999994</v>
      </c>
      <c r="E33" s="3">
        <v>45635.456160000002</v>
      </c>
      <c r="F33" s="2"/>
      <c r="G33" s="3">
        <v>45375</v>
      </c>
      <c r="H33" s="3">
        <f t="shared" si="5"/>
        <v>239</v>
      </c>
      <c r="I33" s="3">
        <v>45614</v>
      </c>
      <c r="J33" s="21">
        <f t="shared" si="2"/>
        <v>4.7038540798880927E-4</v>
      </c>
      <c r="K33" s="21">
        <f t="shared" si="3"/>
        <v>-4.7171061516201117E-2</v>
      </c>
    </row>
    <row r="34" spans="1:11" x14ac:dyDescent="0.2">
      <c r="A34" s="1" t="s">
        <v>40</v>
      </c>
      <c r="B34" s="1">
        <v>90</v>
      </c>
      <c r="C34" s="3">
        <v>54348.253744444424</v>
      </c>
      <c r="D34" s="11">
        <f t="shared" si="4"/>
        <v>3260.8952246666668</v>
      </c>
      <c r="E34" s="3">
        <v>57609.148969111091</v>
      </c>
      <c r="F34" s="2"/>
      <c r="G34" s="18">
        <v>52467</v>
      </c>
      <c r="H34" s="18">
        <f t="shared" si="5"/>
        <v>0</v>
      </c>
      <c r="I34" s="18">
        <v>52467</v>
      </c>
      <c r="J34" s="22">
        <f t="shared" si="2"/>
        <v>9.8007299237827417E-2</v>
      </c>
      <c r="K34" s="21">
        <f t="shared" si="3"/>
        <v>3.5855942677195649E-2</v>
      </c>
    </row>
    <row r="35" spans="1:11" x14ac:dyDescent="0.2">
      <c r="A35" s="1" t="s">
        <v>41</v>
      </c>
      <c r="B35" s="1">
        <v>18</v>
      </c>
      <c r="C35" s="3">
        <v>54305.855555555558</v>
      </c>
      <c r="D35" s="11">
        <f t="shared" si="4"/>
        <v>3258.3513333333321</v>
      </c>
      <c r="E35" s="3">
        <v>57564.20688888889</v>
      </c>
      <c r="F35" s="2"/>
      <c r="G35" s="3">
        <v>60444</v>
      </c>
      <c r="H35" s="3">
        <f t="shared" si="5"/>
        <v>3333</v>
      </c>
      <c r="I35" s="3">
        <v>63777</v>
      </c>
      <c r="J35" s="21">
        <f t="shared" si="2"/>
        <v>-9.7414320383698044E-2</v>
      </c>
      <c r="K35" s="21">
        <f t="shared" si="3"/>
        <v>-0.14850407583367739</v>
      </c>
    </row>
    <row r="36" spans="1:11" x14ac:dyDescent="0.2">
      <c r="A36" s="1" t="s">
        <v>42</v>
      </c>
      <c r="B36" s="1">
        <v>10</v>
      </c>
      <c r="C36" s="3">
        <v>45871.373</v>
      </c>
      <c r="D36" s="11">
        <f t="shared" si="4"/>
        <v>2293.5686500000011</v>
      </c>
      <c r="E36" s="3">
        <v>48164.941650000001</v>
      </c>
      <c r="F36" s="2"/>
      <c r="G36" s="3">
        <v>48415</v>
      </c>
      <c r="H36" s="3">
        <f t="shared" si="5"/>
        <v>1509</v>
      </c>
      <c r="I36" s="3">
        <v>49924</v>
      </c>
      <c r="J36" s="21">
        <f t="shared" si="2"/>
        <v>-3.5234723780145812E-2</v>
      </c>
      <c r="K36" s="21">
        <f t="shared" si="3"/>
        <v>-8.1175927409662701E-2</v>
      </c>
    </row>
    <row r="37" spans="1:11" x14ac:dyDescent="0.2">
      <c r="A37" s="1" t="s">
        <v>43</v>
      </c>
      <c r="B37" s="1">
        <v>85</v>
      </c>
      <c r="C37" s="3">
        <v>86050.274799999999</v>
      </c>
      <c r="D37" s="11">
        <f t="shared" si="4"/>
        <v>8605.0274800000043</v>
      </c>
      <c r="E37" s="3">
        <v>94655.302280000004</v>
      </c>
      <c r="F37" s="2"/>
      <c r="G37" s="3">
        <v>84726</v>
      </c>
      <c r="H37" s="3">
        <f t="shared" si="5"/>
        <v>3808</v>
      </c>
      <c r="I37" s="3">
        <v>88534</v>
      </c>
      <c r="J37" s="21">
        <f t="shared" si="2"/>
        <v>6.9140694874285619E-2</v>
      </c>
      <c r="K37" s="21">
        <f t="shared" si="3"/>
        <v>-2.8053913750649476E-2</v>
      </c>
    </row>
    <row r="38" spans="1:11" x14ac:dyDescent="0.2">
      <c r="A38" s="1" t="s">
        <v>44</v>
      </c>
      <c r="B38" s="1">
        <v>35</v>
      </c>
      <c r="C38" s="3">
        <v>63250.157742857147</v>
      </c>
      <c r="D38" s="11">
        <f t="shared" si="4"/>
        <v>5060.0126194285695</v>
      </c>
      <c r="E38" s="3">
        <v>68310.170362285717</v>
      </c>
      <c r="F38" s="2"/>
      <c r="G38" s="3">
        <v>69380</v>
      </c>
      <c r="H38" s="3">
        <f t="shared" si="5"/>
        <v>2976</v>
      </c>
      <c r="I38" s="3">
        <v>72356</v>
      </c>
      <c r="J38" s="21">
        <f t="shared" si="2"/>
        <v>-5.5915606690727558E-2</v>
      </c>
      <c r="K38" s="21">
        <f t="shared" si="3"/>
        <v>-0.12584778397289587</v>
      </c>
    </row>
    <row r="39" spans="1:11" x14ac:dyDescent="0.2">
      <c r="A39" s="1" t="s">
        <v>45</v>
      </c>
      <c r="B39" s="1">
        <v>8</v>
      </c>
      <c r="C39" s="3">
        <v>50911.006249999999</v>
      </c>
      <c r="D39" s="11">
        <f t="shared" si="4"/>
        <v>3054.6603749999995</v>
      </c>
      <c r="E39" s="3">
        <v>53965.666624999998</v>
      </c>
      <c r="F39" s="2"/>
      <c r="G39" s="3">
        <v>59446</v>
      </c>
      <c r="H39" s="3">
        <f t="shared" si="5"/>
        <v>2835</v>
      </c>
      <c r="I39" s="3">
        <v>62281</v>
      </c>
      <c r="J39" s="21">
        <f t="shared" si="2"/>
        <v>-0.1335131641271014</v>
      </c>
      <c r="K39" s="21">
        <f t="shared" si="3"/>
        <v>-0.18255958879915224</v>
      </c>
    </row>
    <row r="40" spans="1:11" x14ac:dyDescent="0.2">
      <c r="A40" s="1" t="s">
        <v>46</v>
      </c>
      <c r="B40" s="1">
        <v>12</v>
      </c>
      <c r="C40" s="3">
        <v>76341.876666666663</v>
      </c>
      <c r="D40" s="11">
        <f t="shared" si="4"/>
        <v>6870.7688999999955</v>
      </c>
      <c r="E40" s="3">
        <v>83212.645566666659</v>
      </c>
      <c r="F40" s="2"/>
      <c r="G40" s="3">
        <v>78942</v>
      </c>
      <c r="H40" s="3">
        <f t="shared" si="5"/>
        <v>2231</v>
      </c>
      <c r="I40" s="3">
        <v>81173</v>
      </c>
      <c r="J40" s="21">
        <f t="shared" si="2"/>
        <v>2.5127142851276395E-2</v>
      </c>
      <c r="K40" s="21">
        <f t="shared" si="3"/>
        <v>-5.9516382705250968E-2</v>
      </c>
    </row>
    <row r="41" spans="1:11" x14ac:dyDescent="0.2">
      <c r="A41" s="1" t="s">
        <v>47</v>
      </c>
      <c r="B41" s="1">
        <v>14</v>
      </c>
      <c r="C41" s="3">
        <v>65453.352714285713</v>
      </c>
      <c r="D41" s="11">
        <f t="shared" si="4"/>
        <v>5236.2682171428532</v>
      </c>
      <c r="E41" s="3">
        <v>70689.620931428566</v>
      </c>
      <c r="F41" s="2"/>
      <c r="G41" s="3">
        <v>69349</v>
      </c>
      <c r="H41" s="3">
        <f t="shared" si="5"/>
        <v>135</v>
      </c>
      <c r="I41" s="3">
        <v>69484</v>
      </c>
      <c r="J41" s="21">
        <f t="shared" si="2"/>
        <v>1.7351058249792269E-2</v>
      </c>
      <c r="K41" s="21">
        <f t="shared" si="3"/>
        <v>-5.800827939834044E-2</v>
      </c>
    </row>
    <row r="42" spans="1:11" x14ac:dyDescent="0.2">
      <c r="A42" s="1" t="s">
        <v>48</v>
      </c>
      <c r="B42" s="1">
        <v>7</v>
      </c>
      <c r="C42" s="3">
        <v>61489.060857142853</v>
      </c>
      <c r="D42" s="11">
        <f t="shared" si="4"/>
        <v>4919.1248685714309</v>
      </c>
      <c r="E42" s="3">
        <v>66408.185725714284</v>
      </c>
      <c r="F42" s="2"/>
      <c r="G42" s="3">
        <v>50070</v>
      </c>
      <c r="H42" s="3">
        <f t="shared" si="5"/>
        <v>483</v>
      </c>
      <c r="I42" s="3">
        <v>50553</v>
      </c>
      <c r="J42" s="21">
        <f t="shared" si="2"/>
        <v>0.31363491238332608</v>
      </c>
      <c r="K42" s="21">
        <f t="shared" si="3"/>
        <v>0.21632862257715374</v>
      </c>
    </row>
    <row r="43" spans="1:11" x14ac:dyDescent="0.2">
      <c r="A43" s="1" t="s">
        <v>49</v>
      </c>
      <c r="B43" s="1">
        <v>3</v>
      </c>
      <c r="C43" s="3">
        <v>53309</v>
      </c>
      <c r="D43" s="11">
        <f t="shared" si="4"/>
        <v>3198.5400000000009</v>
      </c>
      <c r="E43" s="3">
        <v>56507.54</v>
      </c>
      <c r="F43" s="2"/>
      <c r="G43" s="3">
        <v>44320</v>
      </c>
      <c r="H43" s="3">
        <f t="shared" si="5"/>
        <v>332</v>
      </c>
      <c r="I43" s="3">
        <v>44652</v>
      </c>
      <c r="J43" s="21">
        <f t="shared" si="2"/>
        <v>0.26550971960942399</v>
      </c>
      <c r="K43" s="21">
        <f t="shared" si="3"/>
        <v>0.19387709397115471</v>
      </c>
    </row>
    <row r="44" spans="1:11" x14ac:dyDescent="0.2">
      <c r="A44" s="1" t="s">
        <v>50</v>
      </c>
      <c r="B44" s="1">
        <v>9</v>
      </c>
      <c r="C44" s="3">
        <v>84580.377777777787</v>
      </c>
      <c r="D44" s="11">
        <f t="shared" si="4"/>
        <v>8458.0377777777758</v>
      </c>
      <c r="E44" s="3">
        <v>93038.415555555563</v>
      </c>
      <c r="F44" s="2"/>
      <c r="G44" s="3">
        <v>83229</v>
      </c>
      <c r="H44" s="3">
        <f t="shared" si="5"/>
        <v>1603</v>
      </c>
      <c r="I44" s="3">
        <v>84832</v>
      </c>
      <c r="J44" s="21">
        <f t="shared" si="2"/>
        <v>9.6737263715998237E-2</v>
      </c>
      <c r="K44" s="21">
        <f t="shared" si="3"/>
        <v>-2.9661238945470243E-3</v>
      </c>
    </row>
    <row r="45" spans="1:11" x14ac:dyDescent="0.2">
      <c r="A45" s="1" t="s">
        <v>51</v>
      </c>
      <c r="B45" s="1">
        <v>13</v>
      </c>
      <c r="C45" s="3">
        <v>70549.661538461543</v>
      </c>
      <c r="D45" s="11">
        <f t="shared" si="4"/>
        <v>6349.4695384615334</v>
      </c>
      <c r="E45" s="3">
        <v>76899.131076923077</v>
      </c>
      <c r="F45" s="2"/>
      <c r="G45" s="3">
        <v>67143</v>
      </c>
      <c r="H45" s="3">
        <f t="shared" si="5"/>
        <v>1226</v>
      </c>
      <c r="I45" s="3">
        <v>68369</v>
      </c>
      <c r="J45" s="21">
        <f t="shared" si="2"/>
        <v>0.12476606469193753</v>
      </c>
      <c r="K45" s="21">
        <f t="shared" si="3"/>
        <v>3.1895472194438175E-2</v>
      </c>
    </row>
    <row r="46" spans="1:11" x14ac:dyDescent="0.2">
      <c r="A46" s="1" t="s">
        <v>52</v>
      </c>
      <c r="B46" s="1">
        <v>4</v>
      </c>
      <c r="C46" s="3">
        <v>45146.590000000004</v>
      </c>
      <c r="D46" s="11">
        <f t="shared" si="4"/>
        <v>2257.3294999999998</v>
      </c>
      <c r="E46" s="3">
        <v>47403.919500000004</v>
      </c>
      <c r="F46" s="2"/>
      <c r="G46" s="3">
        <v>43807</v>
      </c>
      <c r="H46" s="3">
        <f t="shared" si="5"/>
        <v>535</v>
      </c>
      <c r="I46" s="3">
        <v>44342</v>
      </c>
      <c r="J46" s="21">
        <f t="shared" si="2"/>
        <v>6.9052354426954204E-2</v>
      </c>
      <c r="K46" s="21">
        <f t="shared" si="3"/>
        <v>1.8145099454242114E-2</v>
      </c>
    </row>
    <row r="47" spans="1:11" x14ac:dyDescent="0.2">
      <c r="A47" s="1" t="s">
        <v>53</v>
      </c>
      <c r="B47" s="1">
        <v>3</v>
      </c>
      <c r="C47" s="3">
        <v>36586.870000000003</v>
      </c>
      <c r="D47" s="11">
        <f t="shared" si="4"/>
        <v>1829.3435000000027</v>
      </c>
      <c r="E47" s="3">
        <v>38416.213500000005</v>
      </c>
      <c r="F47" s="2"/>
      <c r="G47" s="3">
        <v>40493</v>
      </c>
      <c r="H47" s="3">
        <f t="shared" si="5"/>
        <v>224</v>
      </c>
      <c r="I47" s="3">
        <v>40717</v>
      </c>
      <c r="J47" s="21">
        <f t="shared" si="2"/>
        <v>-5.650677849546859E-2</v>
      </c>
      <c r="K47" s="21">
        <f t="shared" si="3"/>
        <v>-0.10143502713854158</v>
      </c>
    </row>
    <row r="48" spans="1:11" x14ac:dyDescent="0.2">
      <c r="A48" s="1" t="s">
        <v>54</v>
      </c>
      <c r="B48" s="1">
        <v>4</v>
      </c>
      <c r="C48" s="3">
        <v>42389.172500000001</v>
      </c>
      <c r="D48" s="11">
        <f t="shared" si="4"/>
        <v>2119.4586249999993</v>
      </c>
      <c r="E48" s="3">
        <v>44508.631125</v>
      </c>
      <c r="F48" s="2"/>
      <c r="G48" s="3">
        <v>37724</v>
      </c>
      <c r="H48" s="3">
        <f t="shared" si="5"/>
        <v>214</v>
      </c>
      <c r="I48" s="3">
        <v>37938</v>
      </c>
      <c r="J48" s="21">
        <f t="shared" si="2"/>
        <v>0.17319392495650798</v>
      </c>
      <c r="K48" s="21">
        <f t="shared" si="3"/>
        <v>0.11732754757762667</v>
      </c>
    </row>
    <row r="49" spans="1:17" x14ac:dyDescent="0.2">
      <c r="A49" s="1" t="s">
        <v>55</v>
      </c>
      <c r="B49" s="1">
        <v>4</v>
      </c>
      <c r="C49" s="3">
        <v>34284.802499999998</v>
      </c>
      <c r="D49" s="11">
        <f t="shared" si="4"/>
        <v>1714.2401249999966</v>
      </c>
      <c r="E49" s="3">
        <v>35999.042624999995</v>
      </c>
      <c r="F49" s="2"/>
      <c r="G49" s="3">
        <v>31446</v>
      </c>
      <c r="H49" s="3">
        <f t="shared" si="5"/>
        <v>211</v>
      </c>
      <c r="I49" s="3">
        <v>31657</v>
      </c>
      <c r="J49" s="21">
        <f t="shared" si="2"/>
        <v>0.13715900511735143</v>
      </c>
      <c r="K49" s="21">
        <f t="shared" si="3"/>
        <v>8.3008576302239567E-2</v>
      </c>
    </row>
    <row r="50" spans="1:17" x14ac:dyDescent="0.2">
      <c r="A50" s="1" t="s">
        <v>56</v>
      </c>
      <c r="B50" s="1">
        <v>3</v>
      </c>
      <c r="C50" s="3">
        <v>50833.333333333336</v>
      </c>
      <c r="D50" s="11">
        <f t="shared" si="4"/>
        <v>3050</v>
      </c>
      <c r="E50" s="3">
        <v>53883.333333333336</v>
      </c>
      <c r="F50" s="2"/>
      <c r="G50" s="3">
        <v>44620</v>
      </c>
      <c r="H50" s="3">
        <f t="shared" si="5"/>
        <v>728</v>
      </c>
      <c r="I50" s="3">
        <v>45348</v>
      </c>
      <c r="J50" s="21">
        <f t="shared" si="2"/>
        <v>0.18821851753844349</v>
      </c>
      <c r="K50" s="21">
        <f t="shared" si="3"/>
        <v>0.12096086560230519</v>
      </c>
    </row>
    <row r="51" spans="1:17" x14ac:dyDescent="0.2">
      <c r="A51" s="1" t="s">
        <v>57</v>
      </c>
      <c r="B51" s="1">
        <v>4</v>
      </c>
      <c r="C51" s="3">
        <v>72676.303</v>
      </c>
      <c r="D51" s="11">
        <f t="shared" si="4"/>
        <v>6540.8672700000025</v>
      </c>
      <c r="E51" s="3">
        <v>79217.170270000002</v>
      </c>
      <c r="F51" s="2"/>
      <c r="G51" s="3">
        <v>57480</v>
      </c>
      <c r="H51" s="3">
        <f t="shared" si="5"/>
        <v>1370</v>
      </c>
      <c r="I51" s="3">
        <v>58850</v>
      </c>
      <c r="J51" s="21">
        <f t="shared" si="2"/>
        <v>0.34608615581988111</v>
      </c>
      <c r="K51" s="21">
        <f t="shared" si="3"/>
        <v>0.23494142735768903</v>
      </c>
    </row>
    <row r="52" spans="1:17" x14ac:dyDescent="0.2">
      <c r="A52" s="1" t="s">
        <v>58</v>
      </c>
      <c r="B52" s="1">
        <v>19</v>
      </c>
      <c r="C52" s="3">
        <v>89207.846947368424</v>
      </c>
      <c r="D52" s="11">
        <f t="shared" si="4"/>
        <v>8920.784694736838</v>
      </c>
      <c r="E52" s="3">
        <v>98128.631642105262</v>
      </c>
      <c r="F52" s="2"/>
      <c r="G52" s="3">
        <v>95150</v>
      </c>
      <c r="H52" s="3">
        <f t="shared" si="5"/>
        <v>8056</v>
      </c>
      <c r="I52" s="3">
        <v>103206</v>
      </c>
      <c r="J52" s="21">
        <f t="shared" si="2"/>
        <v>-4.9196445535092323E-2</v>
      </c>
      <c r="K52" s="21">
        <f t="shared" si="3"/>
        <v>-0.13563313230462934</v>
      </c>
    </row>
    <row r="54" spans="1:17" x14ac:dyDescent="0.2">
      <c r="A54" s="1" t="s">
        <v>13</v>
      </c>
      <c r="B54" s="1">
        <f>COUNT(B27:B52)</f>
        <v>26</v>
      </c>
      <c r="F54" s="14"/>
      <c r="G54" s="13"/>
      <c r="H54" s="13"/>
      <c r="I54" s="13" t="s">
        <v>12</v>
      </c>
      <c r="J54" s="16">
        <f>AVERAGE(J6:J52)</f>
        <v>5.8951874828368729E-2</v>
      </c>
      <c r="K54" s="16">
        <f>AVERAGE(K6:K52)</f>
        <v>-8.7852504797400026E-3</v>
      </c>
    </row>
    <row r="55" spans="1:17" x14ac:dyDescent="0.2">
      <c r="A55" s="1" t="s">
        <v>14</v>
      </c>
      <c r="B55" s="1">
        <f>SUM(B27:B53)</f>
        <v>420</v>
      </c>
    </row>
    <row r="57" spans="1:17" s="14" customFormat="1" ht="14.25" x14ac:dyDescent="0.2">
      <c r="A57" s="14" t="s">
        <v>15</v>
      </c>
      <c r="B57" s="14">
        <f>B54+B23</f>
        <v>42</v>
      </c>
      <c r="C57" s="13"/>
      <c r="D57" s="13"/>
      <c r="E57" s="13"/>
      <c r="F57" s="3" t="s">
        <v>62</v>
      </c>
      <c r="G57" s="3"/>
      <c r="H57" s="3"/>
      <c r="I57" s="3"/>
      <c r="J57" s="20">
        <f>COUNTIF(J6:J52,"&gt;.1")/$B$57</f>
        <v>0.30952380952380953</v>
      </c>
      <c r="K57" s="20">
        <f>COUNTIF(K6:K52,"&gt;.1")/$B$57</f>
        <v>0.21428571428571427</v>
      </c>
    </row>
    <row r="58" spans="1:17" ht="14.25" x14ac:dyDescent="0.2">
      <c r="A58" s="14" t="s">
        <v>16</v>
      </c>
      <c r="B58" s="14">
        <f>B55+B24</f>
        <v>625</v>
      </c>
      <c r="F58" s="3" t="s">
        <v>63</v>
      </c>
      <c r="J58" s="20">
        <f>COUNTIF(J6:J52,"&lt;-.1")/$B$57</f>
        <v>7.1428571428571425E-2</v>
      </c>
      <c r="K58" s="20">
        <f>COUNTIF(K6:K52,"&lt;-.1")/$B$57</f>
        <v>0.26190476190476192</v>
      </c>
    </row>
    <row r="60" spans="1:17" x14ac:dyDescent="0.2">
      <c r="A60" s="15" t="s">
        <v>2</v>
      </c>
    </row>
    <row r="61" spans="1:17" ht="25.5" customHeight="1" x14ac:dyDescent="0.2">
      <c r="A61" s="28" t="s">
        <v>64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3"/>
      <c r="M61" s="23"/>
      <c r="N61" s="23"/>
      <c r="O61" s="23"/>
      <c r="P61" s="23"/>
      <c r="Q61" s="23"/>
    </row>
    <row r="62" spans="1:17" x14ac:dyDescent="0.2">
      <c r="A62" s="1" t="s">
        <v>67</v>
      </c>
      <c r="C62" s="1"/>
      <c r="D62" s="1"/>
      <c r="E62" s="1"/>
      <c r="G62" s="1"/>
      <c r="H62" s="1"/>
      <c r="J62" s="3"/>
      <c r="K62" s="3"/>
      <c r="M62" s="3"/>
      <c r="N62" s="3"/>
      <c r="O62" s="3"/>
    </row>
    <row r="63" spans="1:17" ht="12.75" customHeight="1" x14ac:dyDescent="0.2">
      <c r="A63" s="1" t="s">
        <v>68</v>
      </c>
      <c r="C63" s="1"/>
      <c r="D63" s="1"/>
      <c r="E63" s="1"/>
      <c r="G63" s="1"/>
      <c r="H63" s="1"/>
      <c r="J63" s="3"/>
      <c r="K63" s="3"/>
      <c r="M63" s="3"/>
      <c r="N63" s="3"/>
      <c r="O63" s="3"/>
    </row>
  </sheetData>
  <mergeCells count="4">
    <mergeCell ref="C3:E3"/>
    <mergeCell ref="G3:I3"/>
    <mergeCell ref="J3:K3"/>
    <mergeCell ref="A61:K61"/>
  </mergeCells>
  <conditionalFormatting sqref="J6:K52">
    <cfRule type="cellIs" dxfId="1" priority="1" operator="greaterThan">
      <formula>0.1</formula>
    </cfRule>
    <cfRule type="cellIs" dxfId="0" priority="2" operator="lessThan">
      <formula>-0.1</formula>
    </cfRule>
  </conditionalFormatting>
  <printOptions horizontalCentered="1"/>
  <pageMargins left="0.25" right="0.25" top="0.75" bottom="0.75" header="0.3" footer="0.3"/>
  <pageSetup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7B6240-09A2-4744-A499-1F327B32636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F1C63C3-8AE3-4010-B48F-ECEF36B5EF77}"/>
</file>

<file path=customXml/itemProps3.xml><?xml version="1.0" encoding="utf-8"?>
<ds:datastoreItem xmlns:ds="http://schemas.openxmlformats.org/officeDocument/2006/customXml" ds:itemID="{B3AA538E-69C0-4518-82DA-1D61A42F1145}"/>
</file>

<file path=customXml/itemProps4.xml><?xml version="1.0" encoding="utf-8"?>
<ds:datastoreItem xmlns:ds="http://schemas.openxmlformats.org/officeDocument/2006/customXml" ds:itemID="{79A560D9-4F32-4F1C-A3F9-C29EF50FF9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non exempt</vt:lpstr>
      <vt:lpstr>'non exempt'!Print_Titles</vt:lpstr>
    </vt:vector>
  </TitlesOfParts>
  <Company>American Electric Power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s291679</dc:creator>
  <cp:keywords>AEP Public</cp:keywords>
  <cp:lastModifiedBy>s998510</cp:lastModifiedBy>
  <cp:lastPrinted>2019-02-24T22:39:26Z</cp:lastPrinted>
  <dcterms:created xsi:type="dcterms:W3CDTF">2018-12-19T20:55:02Z</dcterms:created>
  <dcterms:modified xsi:type="dcterms:W3CDTF">2019-04-02T15:51:24Z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1c070edb-ca0a-409f-b0d4-a0b5d99c604d</vt:lpwstr>
  </property>
  <property fmtid="{D5CDD505-2E9C-101B-9397-08002B2CF9AE}" pid="3" name="bjSaver">
    <vt:lpwstr>ymOzOy9TozdO3fPkFt/NYaxMcqEF9d4G</vt:lpwstr>
  </property>
  <property fmtid="{D5CDD505-2E9C-101B-9397-08002B2CF9AE}" pid="4" name="bjDocumentSecurityLabel">
    <vt:lpwstr>AEP Public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