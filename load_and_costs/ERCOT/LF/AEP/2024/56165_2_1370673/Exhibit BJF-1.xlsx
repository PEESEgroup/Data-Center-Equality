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epenergy.sharepoint.com/sites/regsvcs/Regulatory Base Cases/AEP Texas/2024 Base Rate Case/Filers 2-29-24/Witness Exhibits/"/>
    </mc:Choice>
  </mc:AlternateContent>
  <xr:revisionPtr revIDLastSave="0" documentId="8_{C881DCAA-47AC-4BAC-BE56-03D172F89127}" xr6:coauthVersionLast="47" xr6:coauthVersionMax="47" xr10:uidLastSave="{00000000-0000-0000-0000-000000000000}"/>
  <bookViews>
    <workbookView xWindow="795" yWindow="705" windowWidth="27375" windowHeight="14475" xr2:uid="{00000000-000D-0000-FFFF-FFFF00000000}"/>
  </bookViews>
  <sheets>
    <sheet name="BJF-1" sheetId="10" r:id="rId1"/>
  </sheets>
  <definedNames>
    <definedName name="_xlnm.Print_Area" localSheetId="0">'BJF-1'!$A$1:$E$34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0" l="1"/>
  <c r="E34" i="10" s="1"/>
</calcChain>
</file>

<file path=xl/sharedStrings.xml><?xml version="1.0" encoding="utf-8"?>
<sst xmlns="http://schemas.openxmlformats.org/spreadsheetml/2006/main" count="50" uniqueCount="40">
  <si>
    <t>Affiliate Cost Summary by Class of Service and Witness</t>
  </si>
  <si>
    <t>Class of Service</t>
  </si>
  <si>
    <t>Witness Name</t>
  </si>
  <si>
    <t>Total AEPSC Costs</t>
  </si>
  <si>
    <t>Total Affiliate Costs included in Cost of Service</t>
  </si>
  <si>
    <t>Adjusted Cost of Service Total</t>
  </si>
  <si>
    <t>(a) Customer Service</t>
  </si>
  <si>
    <t>(b) Distribution</t>
  </si>
  <si>
    <t>Brian Frantz</t>
  </si>
  <si>
    <t>PUBLIC UTILITY COMMISSION OF TEXAS</t>
  </si>
  <si>
    <t>AEP TEXAS INC</t>
  </si>
  <si>
    <t>AEPSC (Schedule V-K-1A):</t>
  </si>
  <si>
    <t>Gilbert Hughes</t>
  </si>
  <si>
    <t>(p) Corporate Communications</t>
  </si>
  <si>
    <t>(f) Corporate Safety &amp; Health</t>
  </si>
  <si>
    <t>(n) Legal</t>
  </si>
  <si>
    <t>(o) Physical/Cyber Security</t>
  </si>
  <si>
    <t>(g) Information Technology</t>
  </si>
  <si>
    <t>(h) Telecommunications</t>
  </si>
  <si>
    <t>(j) Real Estate &amp; Workplace Svcs</t>
  </si>
  <si>
    <t>(k) Human Resources</t>
  </si>
  <si>
    <t>(l) Chief Financial Officer</t>
  </si>
  <si>
    <t>(s) Internal Support</t>
  </si>
  <si>
    <t>(r) AEPSC Incentives</t>
  </si>
  <si>
    <t>Other AEPSC Affiliates (Schedule V-K-1B)</t>
  </si>
  <si>
    <t>For the Test Year Ended September 30, 2023</t>
  </si>
  <si>
    <t>Jeff Stracener</t>
  </si>
  <si>
    <t>(c) Energy Delivery</t>
  </si>
  <si>
    <t>(d) Federal &amp; External Affairs</t>
  </si>
  <si>
    <t>(e) Regulatory Services</t>
  </si>
  <si>
    <t>Shawn Robinson</t>
  </si>
  <si>
    <t>Gilbert Hughes/Chad Burnett</t>
  </si>
  <si>
    <t>Chad Burnett</t>
  </si>
  <si>
    <t>Joe Brenner</t>
  </si>
  <si>
    <t>(i) Supply Chain, Fleet, Property Management</t>
  </si>
  <si>
    <t>Brian Steinke</t>
  </si>
  <si>
    <t>Kweku Ofei Amoh</t>
  </si>
  <si>
    <t>Katie Grayem</t>
  </si>
  <si>
    <t>(m) Chief Executive Officer</t>
  </si>
  <si>
    <t>(q) Environmental Services/Project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</si>
</sst>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</numFmts>
  <fonts count="25" x14ac:knownFonts="1">
    <font>
      <sz val="10"/>
      <name val="Arial"/>
    </font>
    <font>
      <sz val="10"/>
      <name val="Arial"/>
    </font>
    <font>
      <sz val="10"/>
      <name val="MS Sans Serif"/>
      <family val="2"/>
    </font>
    <font>
      <b/>
      <sz val="10"/>
      <name val="MS Sans Serif"/>
      <family val="2"/>
    </font>
    <font>
      <b/>
      <sz val="10"/>
      <name val="MS Sans Serif"/>
      <family val="2"/>
    </font>
    <font>
      <b/>
      <sz val="10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50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7" fillId="23" borderId="7" applyNumberFormat="0" applyFont="0" applyAlignment="0" applyProtection="0"/>
    <xf numFmtId="0" fontId="20" fillId="20" borderId="8" applyNumberFormat="0" applyAlignment="0" applyProtection="0"/>
    <xf numFmtId="0" fontId="2" fillId="0" borderId="0" applyNumberFormat="0" applyFont="0" applyFill="0" applyBorder="0" applyAlignment="0" applyProtection="0">
      <alignment horizontal="left"/>
    </xf>
    <xf numFmtId="15" fontId="2" fillId="0" borderId="0" applyFont="0" applyFill="0" applyBorder="0" applyAlignment="0" applyProtection="0"/>
    <xf numFmtId="4" fontId="2" fillId="0" borderId="0" applyFont="0" applyFill="0" applyBorder="0" applyAlignment="0" applyProtection="0"/>
    <xf numFmtId="0" fontId="3" fillId="0" borderId="9">
      <alignment horizontal="center"/>
    </xf>
    <xf numFmtId="3" fontId="2" fillId="0" borderId="0" applyFont="0" applyFill="0" applyBorder="0" applyAlignment="0" applyProtection="0"/>
    <xf numFmtId="0" fontId="2" fillId="24" borderId="0" applyNumberFormat="0" applyFont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</cellStyleXfs>
  <cellXfs count="27">
    <xf numFmtId="0" fontId="0" fillId="0" borderId="0" xfId="0"/>
    <xf numFmtId="0" fontId="5" fillId="0" borderId="0" xfId="0" applyFont="1" applyBorder="1"/>
    <xf numFmtId="0" fontId="0" fillId="0" borderId="0" xfId="0" applyAlignment="1">
      <alignment horizontal="center"/>
    </xf>
    <xf numFmtId="0" fontId="5" fillId="0" borderId="0" xfId="0" applyFont="1"/>
    <xf numFmtId="0" fontId="0" fillId="0" borderId="0" xfId="0" applyFill="1"/>
    <xf numFmtId="0" fontId="5" fillId="0" borderId="11" xfId="0" applyFont="1" applyBorder="1" applyAlignment="1">
      <alignment horizontal="center" wrapText="1"/>
    </xf>
    <xf numFmtId="164" fontId="5" fillId="0" borderId="11" xfId="28" applyNumberFormat="1" applyFont="1" applyBorder="1" applyAlignment="1">
      <alignment horizontal="center" wrapText="1"/>
    </xf>
    <xf numFmtId="0" fontId="5" fillId="0" borderId="0" xfId="0" applyFont="1" applyBorder="1" applyAlignment="1">
      <alignment horizontal="center" wrapText="1"/>
    </xf>
    <xf numFmtId="164" fontId="5" fillId="0" borderId="0" xfId="28" applyNumberFormat="1" applyFont="1" applyBorder="1" applyAlignment="1">
      <alignment horizontal="center"/>
    </xf>
    <xf numFmtId="164" fontId="5" fillId="0" borderId="0" xfId="28" applyNumberFormat="1" applyFont="1" applyAlignment="1">
      <alignment horizontal="center"/>
    </xf>
    <xf numFmtId="164" fontId="1" fillId="0" borderId="0" xfId="28" applyNumberFormat="1"/>
    <xf numFmtId="5" fontId="1" fillId="0" borderId="11" xfId="29" applyNumberFormat="1" applyBorder="1"/>
    <xf numFmtId="5" fontId="1" fillId="0" borderId="13" xfId="29" applyNumberFormat="1" applyBorder="1"/>
    <xf numFmtId="0" fontId="0" fillId="0" borderId="0" xfId="0" applyFill="1" applyAlignment="1">
      <alignment horizontal="center"/>
    </xf>
    <xf numFmtId="5" fontId="1" fillId="0" borderId="0" xfId="29" applyNumberFormat="1" applyFill="1" applyBorder="1" applyAlignment="1">
      <alignment vertical="top" wrapText="1"/>
    </xf>
    <xf numFmtId="37" fontId="1" fillId="0" borderId="0" xfId="28" applyNumberFormat="1" applyFill="1" applyBorder="1" applyAlignment="1">
      <alignment vertical="top" wrapText="1"/>
    </xf>
    <xf numFmtId="5" fontId="1" fillId="0" borderId="12" xfId="29" applyNumberFormat="1" applyFill="1" applyBorder="1" applyAlignment="1">
      <alignment vertical="top" wrapText="1"/>
    </xf>
    <xf numFmtId="0" fontId="0" fillId="0" borderId="0" xfId="0" applyFill="1" applyAlignment="1">
      <alignment vertical="top"/>
    </xf>
    <xf numFmtId="0" fontId="0" fillId="0" borderId="0" xfId="0" applyFill="1" applyAlignment="1">
      <alignment vertical="top" wrapText="1"/>
    </xf>
    <xf numFmtId="0" fontId="0" fillId="0" borderId="0" xfId="0" applyFill="1" applyAlignment="1">
      <alignment horizontal="center" vertical="top" wrapText="1"/>
    </xf>
    <xf numFmtId="0" fontId="5" fillId="0" borderId="11" xfId="0" applyFont="1" applyBorder="1" applyAlignment="1">
      <alignment horizontal="center"/>
    </xf>
    <xf numFmtId="5" fontId="1" fillId="0" borderId="0" xfId="29" applyNumberFormat="1" applyBorder="1"/>
    <xf numFmtId="0" fontId="24" fillId="0" borderId="0" xfId="0" applyFont="1" applyFill="1"/>
    <xf numFmtId="0" fontId="24" fillId="0" borderId="0" xfId="0" applyFont="1" applyFill="1" applyAlignment="1">
      <alignment vertical="top" wrapText="1"/>
    </xf>
    <xf numFmtId="165" fontId="1" fillId="0" borderId="0" xfId="28" applyNumberFormat="1" applyFill="1" applyBorder="1" applyAlignment="1">
      <alignment vertical="top" wrapText="1"/>
    </xf>
    <xf numFmtId="0" fontId="4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center"/>
    </xf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urrency" xfId="29" builtinId="4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PSChar" xfId="41" xr:uid="{00000000-0005-0000-0000-000029000000}"/>
    <cellStyle name="PSDate" xfId="42" xr:uid="{00000000-0005-0000-0000-00002A000000}"/>
    <cellStyle name="PSDec" xfId="43" xr:uid="{00000000-0005-0000-0000-00002B000000}"/>
    <cellStyle name="PSHeading" xfId="44" xr:uid="{00000000-0005-0000-0000-00002C000000}"/>
    <cellStyle name="PSInt" xfId="45" xr:uid="{00000000-0005-0000-0000-00002D000000}"/>
    <cellStyle name="PSSpacer" xfId="46" xr:uid="{00000000-0005-0000-0000-00002E000000}"/>
    <cellStyle name="Title" xfId="47" builtinId="15" customBuiltin="1"/>
    <cellStyle name="Total" xfId="48" builtinId="25" customBuiltin="1"/>
    <cellStyle name="Warning Text" xfId="49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2"/>
    <pageSetUpPr fitToPage="1"/>
  </sheetPr>
  <dimension ref="A1:F35"/>
  <sheetViews>
    <sheetView tabSelected="1" zoomScale="85" zoomScaleNormal="85" workbookViewId="0">
      <selection activeCell="F27" sqref="F27"/>
    </sheetView>
  </sheetViews>
  <sheetFormatPr defaultRowHeight="12.75" x14ac:dyDescent="0.2"/>
  <cols>
    <col min="1" max="1" width="46.5703125" customWidth="1"/>
    <col min="2" max="2" width="1.7109375" customWidth="1"/>
    <col min="3" max="3" width="25.140625" bestFit="1" customWidth="1"/>
    <col min="4" max="4" width="1.7109375" style="2" customWidth="1"/>
    <col min="5" max="5" width="16.85546875" style="10" customWidth="1"/>
  </cols>
  <sheetData>
    <row r="1" spans="1:6" x14ac:dyDescent="0.2">
      <c r="A1" s="26" t="s">
        <v>9</v>
      </c>
      <c r="B1" s="25"/>
      <c r="C1" s="25"/>
      <c r="D1" s="25"/>
      <c r="E1" s="25"/>
    </row>
    <row r="2" spans="1:6" x14ac:dyDescent="0.2">
      <c r="A2" s="26" t="s">
        <v>10</v>
      </c>
      <c r="B2" s="25"/>
      <c r="C2" s="25"/>
      <c r="D2" s="25"/>
      <c r="E2" s="25"/>
    </row>
    <row r="3" spans="1:6" x14ac:dyDescent="0.2">
      <c r="A3" s="25" t="s">
        <v>0</v>
      </c>
      <c r="B3" s="25"/>
      <c r="C3" s="25"/>
      <c r="D3" s="25"/>
      <c r="E3" s="25"/>
    </row>
    <row r="4" spans="1:6" x14ac:dyDescent="0.2">
      <c r="A4" s="26" t="s">
        <v>25</v>
      </c>
      <c r="B4" s="25"/>
      <c r="C4" s="25"/>
      <c r="D4" s="25"/>
      <c r="E4" s="25"/>
    </row>
    <row r="6" spans="1:6" x14ac:dyDescent="0.2">
      <c r="E6" s="9"/>
    </row>
    <row r="7" spans="1:6" ht="25.5" x14ac:dyDescent="0.2">
      <c r="A7" s="20" t="s">
        <v>1</v>
      </c>
      <c r="B7" s="20"/>
      <c r="C7" s="20" t="s">
        <v>2</v>
      </c>
      <c r="D7" s="5"/>
      <c r="E7" s="6" t="s">
        <v>5</v>
      </c>
    </row>
    <row r="8" spans="1:6" x14ac:dyDescent="0.2">
      <c r="A8" s="1"/>
      <c r="B8" s="1"/>
      <c r="C8" s="1"/>
      <c r="D8" s="7"/>
      <c r="E8" s="8"/>
    </row>
    <row r="9" spans="1:6" x14ac:dyDescent="0.2">
      <c r="A9" s="3" t="s">
        <v>11</v>
      </c>
    </row>
    <row r="10" spans="1:6" x14ac:dyDescent="0.2">
      <c r="A10" s="3"/>
    </row>
    <row r="11" spans="1:6" x14ac:dyDescent="0.2">
      <c r="A11" s="4" t="s">
        <v>6</v>
      </c>
      <c r="B11" s="4"/>
      <c r="C11" s="4" t="s">
        <v>12</v>
      </c>
      <c r="D11" s="13"/>
      <c r="E11" s="24">
        <v>6536148</v>
      </c>
      <c r="F11" s="4"/>
    </row>
    <row r="12" spans="1:6" x14ac:dyDescent="0.2">
      <c r="A12" s="4" t="s">
        <v>7</v>
      </c>
      <c r="B12" s="4"/>
      <c r="C12" s="22" t="s">
        <v>26</v>
      </c>
      <c r="D12" s="13"/>
      <c r="E12" s="15">
        <v>2114125</v>
      </c>
      <c r="F12" s="4"/>
    </row>
    <row r="13" spans="1:6" x14ac:dyDescent="0.2">
      <c r="A13" s="22" t="s">
        <v>27</v>
      </c>
      <c r="B13" s="4"/>
      <c r="C13" s="22" t="s">
        <v>30</v>
      </c>
      <c r="D13" s="13"/>
      <c r="E13" s="15">
        <v>21229154</v>
      </c>
      <c r="F13" s="4"/>
    </row>
    <row r="14" spans="1:6" x14ac:dyDescent="0.2">
      <c r="A14" s="22" t="s">
        <v>28</v>
      </c>
      <c r="B14" s="4"/>
      <c r="C14" s="22" t="s">
        <v>31</v>
      </c>
      <c r="D14" s="13"/>
      <c r="E14" s="15">
        <v>1068926</v>
      </c>
      <c r="F14" s="4"/>
    </row>
    <row r="15" spans="1:6" x14ac:dyDescent="0.2">
      <c r="A15" s="22" t="s">
        <v>29</v>
      </c>
      <c r="B15" s="4"/>
      <c r="C15" s="22" t="s">
        <v>32</v>
      </c>
      <c r="D15" s="13"/>
      <c r="E15" s="15">
        <v>2757443</v>
      </c>
      <c r="F15" s="4"/>
    </row>
    <row r="16" spans="1:6" x14ac:dyDescent="0.2">
      <c r="A16" s="22" t="s">
        <v>14</v>
      </c>
      <c r="B16" s="4"/>
      <c r="C16" s="22" t="s">
        <v>30</v>
      </c>
      <c r="D16" s="13"/>
      <c r="E16" s="15">
        <v>1462667</v>
      </c>
      <c r="F16" s="4"/>
    </row>
    <row r="17" spans="1:6" x14ac:dyDescent="0.2">
      <c r="A17" s="22" t="s">
        <v>17</v>
      </c>
      <c r="B17" s="4"/>
      <c r="C17" s="22" t="s">
        <v>33</v>
      </c>
      <c r="D17" s="13"/>
      <c r="E17" s="15">
        <v>18544600</v>
      </c>
      <c r="F17" s="4"/>
    </row>
    <row r="18" spans="1:6" x14ac:dyDescent="0.2">
      <c r="A18" s="22" t="s">
        <v>18</v>
      </c>
      <c r="B18" s="4"/>
      <c r="C18" s="22" t="s">
        <v>30</v>
      </c>
      <c r="D18" s="13"/>
      <c r="E18" s="15">
        <v>986171</v>
      </c>
      <c r="F18" s="17"/>
    </row>
    <row r="19" spans="1:6" x14ac:dyDescent="0.2">
      <c r="A19" s="22" t="s">
        <v>34</v>
      </c>
      <c r="B19" s="4"/>
      <c r="C19" s="22" t="s">
        <v>35</v>
      </c>
      <c r="D19" s="13"/>
      <c r="E19" s="15">
        <v>312910</v>
      </c>
      <c r="F19" s="4"/>
    </row>
    <row r="20" spans="1:6" x14ac:dyDescent="0.2">
      <c r="A20" s="22" t="s">
        <v>19</v>
      </c>
      <c r="B20" s="4"/>
      <c r="C20" s="22" t="s">
        <v>36</v>
      </c>
      <c r="D20" s="13"/>
      <c r="E20" s="15">
        <v>5142326</v>
      </c>
      <c r="F20" s="4"/>
    </row>
    <row r="21" spans="1:6" x14ac:dyDescent="0.2">
      <c r="A21" s="4" t="s">
        <v>20</v>
      </c>
      <c r="B21" s="4"/>
      <c r="C21" s="22" t="s">
        <v>37</v>
      </c>
      <c r="D21" s="13"/>
      <c r="E21" s="15">
        <v>3445406</v>
      </c>
      <c r="F21" s="4"/>
    </row>
    <row r="22" spans="1:6" x14ac:dyDescent="0.2">
      <c r="A22" s="22" t="s">
        <v>21</v>
      </c>
      <c r="B22" s="4"/>
      <c r="C22" s="22" t="s">
        <v>8</v>
      </c>
      <c r="D22" s="13"/>
      <c r="E22" s="15">
        <v>10959996</v>
      </c>
      <c r="F22" s="4"/>
    </row>
    <row r="23" spans="1:6" x14ac:dyDescent="0.2">
      <c r="A23" s="22" t="s">
        <v>38</v>
      </c>
      <c r="B23" s="4"/>
      <c r="C23" s="22" t="s">
        <v>8</v>
      </c>
      <c r="D23" s="13"/>
      <c r="E23" s="15">
        <v>743903</v>
      </c>
      <c r="F23" s="4"/>
    </row>
    <row r="24" spans="1:6" x14ac:dyDescent="0.2">
      <c r="A24" s="22" t="s">
        <v>15</v>
      </c>
      <c r="B24" s="4"/>
      <c r="C24" s="22" t="s">
        <v>32</v>
      </c>
      <c r="D24" s="13"/>
      <c r="E24" s="15">
        <v>1669402</v>
      </c>
      <c r="F24" s="4"/>
    </row>
    <row r="25" spans="1:6" x14ac:dyDescent="0.2">
      <c r="A25" s="22" t="s">
        <v>16</v>
      </c>
      <c r="B25" s="4"/>
      <c r="C25" s="22" t="s">
        <v>33</v>
      </c>
      <c r="D25" s="13"/>
      <c r="E25" s="15">
        <v>1921563</v>
      </c>
      <c r="F25" s="4"/>
    </row>
    <row r="26" spans="1:6" x14ac:dyDescent="0.2">
      <c r="A26" s="22" t="s">
        <v>13</v>
      </c>
      <c r="B26" s="4"/>
      <c r="C26" s="4" t="s">
        <v>12</v>
      </c>
      <c r="D26" s="13"/>
      <c r="E26" s="15">
        <v>989136</v>
      </c>
      <c r="F26" s="4"/>
    </row>
    <row r="27" spans="1:6" x14ac:dyDescent="0.2">
      <c r="A27" s="22" t="s">
        <v>39</v>
      </c>
      <c r="B27" s="4"/>
      <c r="C27" s="22" t="s">
        <v>32</v>
      </c>
      <c r="D27" s="13"/>
      <c r="E27" s="15">
        <v>533249</v>
      </c>
      <c r="F27" s="4"/>
    </row>
    <row r="28" spans="1:6" x14ac:dyDescent="0.2">
      <c r="A28" s="23" t="s">
        <v>23</v>
      </c>
      <c r="B28" s="4"/>
      <c r="C28" s="22" t="s">
        <v>8</v>
      </c>
      <c r="D28" s="13"/>
      <c r="E28" s="15">
        <v>10441986</v>
      </c>
      <c r="F28" s="4"/>
    </row>
    <row r="29" spans="1:6" x14ac:dyDescent="0.2">
      <c r="A29" s="23" t="s">
        <v>22</v>
      </c>
      <c r="B29" s="18"/>
      <c r="C29" s="22" t="s">
        <v>8</v>
      </c>
      <c r="D29" s="19"/>
      <c r="E29" s="15">
        <v>1375747</v>
      </c>
      <c r="F29" s="4"/>
    </row>
    <row r="30" spans="1:6" x14ac:dyDescent="0.2">
      <c r="A30" s="3" t="s">
        <v>3</v>
      </c>
      <c r="B30" s="4"/>
      <c r="C30" s="4"/>
      <c r="D30" s="13"/>
      <c r="E30" s="16">
        <f>SUM(E11:E29)</f>
        <v>92234858</v>
      </c>
      <c r="F30" s="4"/>
    </row>
    <row r="31" spans="1:6" x14ac:dyDescent="0.2">
      <c r="A31" s="4"/>
      <c r="B31" s="4"/>
      <c r="C31" s="4"/>
      <c r="D31" s="13"/>
      <c r="E31" s="14"/>
      <c r="F31" s="4"/>
    </row>
    <row r="32" spans="1:6" x14ac:dyDescent="0.2">
      <c r="A32" s="3" t="s">
        <v>24</v>
      </c>
      <c r="C32" s="22" t="s">
        <v>8</v>
      </c>
      <c r="E32" s="11">
        <v>1614500</v>
      </c>
    </row>
    <row r="33" spans="1:5" x14ac:dyDescent="0.2">
      <c r="A33" s="3"/>
      <c r="E33" s="21"/>
    </row>
    <row r="34" spans="1:5" ht="13.5" thickBot="1" x14ac:dyDescent="0.25">
      <c r="A34" s="3" t="s">
        <v>4</v>
      </c>
      <c r="E34" s="12">
        <f>E32+E30</f>
        <v>93849358</v>
      </c>
    </row>
    <row r="35" spans="1:5" ht="13.5" thickTop="1" x14ac:dyDescent="0.2"/>
  </sheetData>
  <mergeCells count="4">
    <mergeCell ref="A3:E3"/>
    <mergeCell ref="A2:E2"/>
    <mergeCell ref="A4:E4"/>
    <mergeCell ref="A1:E1"/>
  </mergeCells>
  <phoneticPr fontId="6" type="noConversion"/>
  <printOptions horizontalCentered="1"/>
  <pageMargins left="1" right="0.75" top="1" bottom="1" header="0.5" footer="0.5"/>
  <pageSetup scale="94" orientation="portrait" horizontalDpi="1200" verticalDpi="1200" r:id="rId1"/>
  <headerFooter alignWithMargins="0">
    <oddHeader>&amp;RDocket No. 56165
Exhibit BJF-1
PAGE &amp;P of &amp;N</oddHeader>
    <oddFooter>&amp;CBJF-1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OWMwYjhkNy1iZGI0LTRmZDMtYjYyYS1mNTAzMjdhYWVmY2UiIG9yaWdpbj0iYXV0b1NlbGVjdGVkU3VnZ2VzdGlvbiI+PGVsZW1lbnQgdWlkPSJjNWY4ZWIxMi01YjI3LTQzOWQtYWFhNi0zNDAyYWY2MjZmYTMiIHZhbHVlPSIiIHhtbG5zPSJodHRwOi8vd3d3LmJvbGRvbmphbWVzLmNvbS8yMDA4LzAxL3NpZS9pbnRlcm5hbC9sYWJlbCIgLz48ZWxlbWVudCB1aWQ9ImM2NDIxOGFiLWI4ZDEtNDBiNi1hNDc4LWNiOGJlMWUxMGVjYyIgdmFsdWU9IiIgeG1sbnM9Imh0dHA6Ly93d3cuYm9sZG9uamFtZXMuY29tLzIwMDgvMDEvc2llL2ludGVybmFsL2xhYmVsIiAvPjwvc2lzbD48VXNlck5hbWU+Q09SUFxkdHNvNTE0PC9Vc2VyTmFtZT48RGF0ZVRpbWU+Mi8xNi8yMDI0IDQ6MDQ6NTQgUE08L0RhdGVUaW1lPjxMYWJlbFN0cmluZz5BRVAgUHVibGljPC9MYWJlbFN0cmluZz48L2l0ZW0+PC9sYWJlbEhpc3Rvcnk+</Value>
</WrappedLabelHistory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36CE24ED5F449BD16740FFC7FAF6F" ma:contentTypeVersion="34" ma:contentTypeDescription="Create a new document." ma:contentTypeScope="" ma:versionID="0a99a1cdd4ca07724118b4aa0f80c874">
  <xsd:schema xmlns:xsd="http://www.w3.org/2001/XMLSchema" xmlns:xs="http://www.w3.org/2001/XMLSchema" xmlns:p="http://schemas.microsoft.com/office/2006/metadata/properties" xmlns:ns1="http://schemas.microsoft.com/sharepoint/v3" xmlns:ns2="a1040523-5304-4b09-b6d4-64a124c994e2" xmlns:ns3="5b640fb8-5a34-41c1-9307-1b790ff29a8b" xmlns:ns4="51831b8d-857f-44dd-949b-652450d1a5df" targetNamespace="http://schemas.microsoft.com/office/2006/metadata/properties" ma:root="true" ma:fieldsID="0bd3e32b2c584a0e837a10f45775a766" ns1:_="" ns2:_="" ns3:_="" ns4:_="">
    <xsd:import namespace="http://schemas.microsoft.com/sharepoint/v3"/>
    <xsd:import namespace="a1040523-5304-4b09-b6d4-64a124c994e2"/>
    <xsd:import namespace="5b640fb8-5a34-41c1-9307-1b790ff29a8b"/>
    <xsd:import namespace="51831b8d-857f-44dd-949b-652450d1a5df"/>
    <xsd:element name="properties">
      <xsd:complexType>
        <xsd:sequence>
          <xsd:element name="documentManagement">
            <xsd:complexType>
              <xsd:all>
                <xsd:element ref="ns2:Operating_x0020_Company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lcf76f155ced4ddcb4097134ff3c332f" minOccurs="0"/>
                <xsd:element ref="ns4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40523-5304-4b09-b6d4-64a124c994e2" elementFormDefault="qualified">
    <xsd:import namespace="http://schemas.microsoft.com/office/2006/documentManagement/types"/>
    <xsd:import namespace="http://schemas.microsoft.com/office/infopath/2007/PartnerControls"/>
    <xsd:element name="Operating_x0020_Company" ma:index="8" ma:displayName="Operating Company" ma:default="AEP Ohio" ma:format="Dropdown" ma:internalName="Operating_x0020_Company" ma:readOnly="false">
      <xsd:simpleType>
        <xsd:restriction base="dms:Choice">
          <xsd:enumeration value="AEP Ohio"/>
          <xsd:enumeration value="AEP Texas"/>
          <xsd:enumeration value="Appalachian Power - Tennessee"/>
          <xsd:enumeration value="Appalachian Power - Virginia"/>
          <xsd:enumeration value="Appalachian Power - West Virginia"/>
          <xsd:enumeration value="FERC"/>
          <xsd:enumeration value="Indiana &amp; Michigan Power - Indiana"/>
          <xsd:enumeration value="Indiana &amp; Michigan Power - Michigan"/>
          <xsd:enumeration value="Kentucky Power"/>
          <xsd:enumeration value="PSO"/>
          <xsd:enumeration value="SWEPCO - Arkansas"/>
          <xsd:enumeration value="SWEPCO - Louisiana"/>
          <xsd:enumeration value="SWEPCO - TEXAS"/>
          <xsd:enumeration value="SWEPCO - Peine"/>
          <xsd:enumeration value="ET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40fb8-5a34-41c1-9307-1b790ff29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fa54f2-5b03-49c6-9483-51c08a9736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31b8d-857f-44dd-949b-652450d1a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b4476ce-ac5c-42b1-bccc-28ba47756ae8}" ma:internalName="TaxCatchAll" ma:showField="CatchAllData" ma:web="51831b8d-857f-44dd-949b-652450d1a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5b640fb8-5a34-41c1-9307-1b790ff29a8b">
      <Terms xmlns="http://schemas.microsoft.com/office/infopath/2007/PartnerControls"/>
    </lcf76f155ced4ddcb4097134ff3c332f>
    <_Flow_SignoffStatus xmlns="5b640fb8-5a34-41c1-9307-1b790ff29a8b" xsi:nil="true"/>
    <_ip_UnifiedCompliancePolicyProperties xmlns="http://schemas.microsoft.com/sharepoint/v3" xsi:nil="true"/>
    <TaxCatchAll xmlns="51831b8d-857f-44dd-949b-652450d1a5df" xsi:nil="true"/>
    <Operating_x0020_Company xmlns="a1040523-5304-4b09-b6d4-64a124c994e2">AEP Ohio</Operating_x0020_Company>
  </documentManagement>
</p:properties>
</file>

<file path=customXml/item5.xml><?xml version="1.0" encoding="utf-8"?>
<sisl xmlns:xsd="http://www.w3.org/2001/XMLSchema" xmlns:xsi="http://www.w3.org/2001/XMLSchema-instance" xmlns="http://www.boldonjames.com/2008/01/sie/internal/label" sislVersion="0" policy="e9c0b8d7-bdb4-4fd3-b62a-f50327aaefce" origin="autoSelectedSuggestion">
  <element uid="c5f8eb12-5b27-439d-aaa6-3402af626fa3" value=""/>
  <element uid="c64218ab-b8d1-40b6-a478-cb8be1e10ecc" value=""/>
</sisl>
</file>

<file path=customXml/itemProps1.xml><?xml version="1.0" encoding="utf-8"?>
<ds:datastoreItem xmlns:ds="http://schemas.openxmlformats.org/officeDocument/2006/customXml" ds:itemID="{DDA36EF0-70B7-4005-B38C-29D6CE0E862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FA382A59-10E1-4601-88A1-941DE8969352}"/>
</file>

<file path=customXml/itemProps3.xml><?xml version="1.0" encoding="utf-8"?>
<ds:datastoreItem xmlns:ds="http://schemas.openxmlformats.org/officeDocument/2006/customXml" ds:itemID="{9183EBDD-55B8-419A-9BE4-D05D9498CC1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E61FA2A-B47B-49E8-9B88-EE738B292053}">
  <ds:schemaRefs>
    <ds:schemaRef ds:uri="http://www.w3.org/XML/1998/namespace"/>
    <ds:schemaRef ds:uri="51831b8d-857f-44dd-949b-652450d1a5df"/>
    <ds:schemaRef ds:uri="http://schemas.microsoft.com/office/2006/documentManagement/types"/>
    <ds:schemaRef ds:uri="http://purl.org/dc/dcmitype/"/>
    <ds:schemaRef ds:uri="5b640fb8-5a34-41c1-9307-1b790ff29a8b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  <ds:schemaRef ds:uri="a1040523-5304-4b09-b6d4-64a124c994e2"/>
    <ds:schemaRef ds:uri="http://schemas.microsoft.com/sharepoint/v3"/>
  </ds:schemaRefs>
</ds:datastoreItem>
</file>

<file path=customXml/itemProps5.xml><?xml version="1.0" encoding="utf-8"?>
<ds:datastoreItem xmlns:ds="http://schemas.openxmlformats.org/officeDocument/2006/customXml" ds:itemID="{10092A21-E2DD-4A58-A3A9-FEBDC909C625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BJF-1</vt:lpstr>
      <vt:lpstr>'BJF-1'!Print_Area</vt:lpstr>
    </vt:vector>
  </TitlesOfParts>
  <Company>AEP-SS-IT-WE-7/1/6-(8-835-3050)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Fraley</dc:creator>
  <cp:keywords>AEP Public</cp:keywords>
  <cp:lastModifiedBy>s254353</cp:lastModifiedBy>
  <cp:lastPrinted>2024-02-29T02:46:44Z</cp:lastPrinted>
  <dcterms:created xsi:type="dcterms:W3CDTF">2009-07-22T19:04:29Z</dcterms:created>
  <dcterms:modified xsi:type="dcterms:W3CDTF">2024-02-29T02:47:40Z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3ef01e8c-ecd0-42af-a391-de79bf1ac6be</vt:lpwstr>
  </property>
  <property fmtid="{D5CDD505-2E9C-101B-9397-08002B2CF9AE}" pid="3" name="bjSaver">
    <vt:lpwstr>i5lfAags2z4Y8Fsh08PLxCGFvRlu448e</vt:lpwstr>
  </property>
  <property fmtid="{D5CDD505-2E9C-101B-9397-08002B2CF9AE}" pid="4" name="bjDocumentSecurityLabel">
    <vt:lpwstr>AEP Public</vt:lpwstr>
  </property>
  <property fmtid="{D5CDD505-2E9C-101B-9397-08002B2CF9AE}" pid="5" name="Visual Markings Removed">
    <vt:lpwstr>No</vt:lpwstr>
  </property>
  <property fmtid="{D5CDD505-2E9C-101B-9397-08002B2CF9AE}" pid="6" name="ContentTypeId">
    <vt:lpwstr>0x01010001136CE24ED5F449BD16740FFC7FAF6F</vt:lpwstr>
  </property>
  <property fmtid="{D5CDD505-2E9C-101B-9397-08002B2CF9AE}" pid="7" name="bjDocumentLabelXML">
    <vt:lpwstr>&lt;?xml version="1.0" encoding="us-ascii"?&gt;&lt;sisl xmlns:xsd="http://www.w3.org/2001/XMLSchema" xmlns:xsi="http://www.w3.org/2001/XMLSchema-instance" sislVersion="0" policy="e9c0b8d7-bdb4-4fd3-b62a-f50327aaefce" origin="autoSelectedSuggestion" xmlns="http://w</vt:lpwstr>
  </property>
  <property fmtid="{D5CDD505-2E9C-101B-9397-08002B2CF9AE}" pid="8" name="bjDocumentLabelXML-0">
    <vt:lpwstr>ww.boldonjames.com/2008/01/sie/internal/label"&gt;&lt;element uid="c5f8eb12-5b27-439d-aaa6-3402af626fa3" value="" /&gt;&lt;element uid="c64218ab-b8d1-40b6-a478-cb8be1e10ecc" value="" /&gt;&lt;/sisl&gt;</vt:lpwstr>
  </property>
  <property fmtid="{D5CDD505-2E9C-101B-9397-08002B2CF9AE}" pid="9" name="MSIP_Label_5c34e43d-0b77-4b2c-b224-1b46981ccfdb_SiteId">
    <vt:lpwstr>15f3c881-6b03-4ff6-8559-77bf5177818f</vt:lpwstr>
  </property>
  <property fmtid="{D5CDD505-2E9C-101B-9397-08002B2CF9AE}" pid="10" name="MSIP_Label_5c34e43d-0b77-4b2c-b224-1b46981ccfdb_Name">
    <vt:lpwstr>AEP Public</vt:lpwstr>
  </property>
  <property fmtid="{D5CDD505-2E9C-101B-9397-08002B2CF9AE}" pid="11" name="MSIP_Label_5c34e43d-0b77-4b2c-b224-1b46981ccfdb_Enabled">
    <vt:lpwstr>true</vt:lpwstr>
  </property>
  <property fmtid="{D5CDD505-2E9C-101B-9397-08002B2CF9AE}" pid="12" name="bjClsUserRVM">
    <vt:lpwstr>[]</vt:lpwstr>
  </property>
  <property fmtid="{D5CDD505-2E9C-101B-9397-08002B2CF9AE}" pid="13" name="bjLabelHistoryID">
    <vt:lpwstr>{DDA36EF0-70B7-4005-B38C-29D6CE0E8624}</vt:lpwstr>
  </property>
  <property fmtid="{D5CDD505-2E9C-101B-9397-08002B2CF9AE}" pid="14" name="MediaServiceImageTags">
    <vt:lpwstr/>
  </property>
</Properties>
</file>