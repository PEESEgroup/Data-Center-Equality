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02. Chad Burnett/Rate Case Expenses/"/>
    </mc:Choice>
  </mc:AlternateContent>
  <xr:revisionPtr revIDLastSave="1" documentId="8_{8382F0EE-D113-40E1-8881-C9E53C04F467}" xr6:coauthVersionLast="47" xr6:coauthVersionMax="47" xr10:uidLastSave="{598D9FFD-3F1D-4A7F-BC85-F574F6E9939C}"/>
  <bookViews>
    <workbookView xWindow="555" yWindow="60" windowWidth="28320" windowHeight="15240" tabRatio="700" xr2:uid="{00000000-000D-0000-FFFF-FFFF00000000}"/>
  </bookViews>
  <sheets>
    <sheet name="Attachment A - Summary" sheetId="8" r:id="rId1"/>
    <sheet name="Attachment B Docket 51984" sheetId="2" r:id="rId2"/>
    <sheet name="Attachment B Docket 53451" sheetId="10" r:id="rId3"/>
    <sheet name="Attachment B Docket 54824" sheetId="9" r:id="rId4"/>
    <sheet name="Attachment B Docket 55820" sheetId="12" r:id="rId5"/>
    <sheet name="Attachment B Docket 53267" sheetId="11" r:id="rId6"/>
    <sheet name="Attachment B Docket 56165" sheetId="4" r:id="rId7"/>
  </sheets>
  <externalReferences>
    <externalReference r:id="rId8"/>
  </externalReferences>
  <definedNames>
    <definedName name="_xlnm._FilterDatabase" localSheetId="1" hidden="1">'Attachment B Docket 51984'!$A$7:$N$7</definedName>
    <definedName name="_xlnm._FilterDatabase" localSheetId="5" hidden="1">'Attachment B Docket 53267'!$A$7:$N$7</definedName>
    <definedName name="_xlnm._FilterDatabase" localSheetId="2" hidden="1">'Attachment B Docket 53451'!$A$7:$N$7</definedName>
    <definedName name="_xlnm._FilterDatabase" localSheetId="3" hidden="1">'Attachment B Docket 54824'!$A$7:$N$7</definedName>
    <definedName name="_xlnm._FilterDatabase" localSheetId="4" hidden="1">'Attachment B Docket 55820'!$A$7:$N$7</definedName>
    <definedName name="End_of_Report">'[1]Current Month Balance Sheet'!#REF!</definedName>
    <definedName name="NvsASD">"V2017-02-28"</definedName>
    <definedName name="NvsAutoDrillOk">"VN"</definedName>
    <definedName name="NvsElapsedTime">0.00332175925723277</definedName>
    <definedName name="NvsEndTime">42803.5989467593</definedName>
    <definedName name="NvsInstanceHook">"""nvsMacro"""</definedName>
    <definedName name="NvsInstLang">"VENG"</definedName>
    <definedName name="NvsInstSpec">"%,FBUSINESS_UNIT,TGL_PRPT_CONS,NSWEPCO_INT_CONSOL"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"V2002-06-13"</definedName>
    <definedName name="NvsPanelSetid">"VAEP"</definedName>
    <definedName name="NvsReqBU">"V159"</definedName>
    <definedName name="NvsReqBUOnly">"VN"</definedName>
    <definedName name="NvsTransLed">"VN"</definedName>
    <definedName name="NvsTreeASD">"V2017-02-28"</definedName>
    <definedName name="NvsValTbl.ACCOUNT">"GL_ACCOUNT_TBL"</definedName>
    <definedName name="NvsValTbl.BUSINESS_UNIT">"BUS_UNIT_TBL_GL"</definedName>
    <definedName name="NvsValTbl.CURRENCY_CD">"CURRENCY_CD_TBL"</definedName>
    <definedName name="_xlnm.Print_Area" localSheetId="1">'Attachment B Docket 51984'!$A$1:$M$39</definedName>
    <definedName name="_xlnm.Print_Area" localSheetId="5">'Attachment B Docket 53267'!$A$1:$M$27</definedName>
    <definedName name="_xlnm.Print_Area" localSheetId="2">'Attachment B Docket 53451'!$A$1:$M$37</definedName>
    <definedName name="_xlnm.Print_Area" localSheetId="3">'Attachment B Docket 54824'!$A$1:$M$49</definedName>
    <definedName name="_xlnm.Print_Area" localSheetId="4">'Attachment B Docket 55820'!$A$1:$M$27</definedName>
    <definedName name="_xlnm.Print_Area" localSheetId="6">'Attachment B Docket 56165'!$A$1:$M$54</definedName>
    <definedName name="_xlnm.Print_Titles" localSheetId="0">'Attachment A - Summary'!$1:$4</definedName>
    <definedName name="_xlnm.Print_Titles" localSheetId="1">'Attachment B Docket 51984'!$1:$7</definedName>
    <definedName name="_xlnm.Print_Titles" localSheetId="5">'Attachment B Docket 53267'!$1:$7</definedName>
    <definedName name="_xlnm.Print_Titles" localSheetId="2">'Attachment B Docket 53451'!$1:$7</definedName>
    <definedName name="_xlnm.Print_Titles" localSheetId="3">'Attachment B Docket 54824'!$1:$7</definedName>
    <definedName name="_xlnm.Print_Titles" localSheetId="4">'Attachment B Docket 55820'!$1:$7</definedName>
    <definedName name="_xlnm.Print_Titles" localSheetId="6">'Attachment B Docket 56165'!$1:$7</definedName>
    <definedName name="search_directory_name">"R:\fcm90prd\nvision\rpts\Fin_Reports\"</definedName>
  </definedNames>
  <calcPr calcId="18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8" l="1"/>
  <c r="C9" i="8"/>
  <c r="C7" i="8"/>
  <c r="C6" i="8"/>
  <c r="H35" i="2"/>
  <c r="G35" i="2"/>
  <c r="F35" i="2"/>
  <c r="H27" i="2"/>
  <c r="G27" i="2"/>
  <c r="F27" i="2"/>
  <c r="H23" i="2"/>
  <c r="G23" i="2"/>
  <c r="F23" i="2"/>
  <c r="H19" i="2"/>
  <c r="H37" i="2" s="1"/>
  <c r="G19" i="2"/>
  <c r="F19" i="2"/>
  <c r="F37" i="2" s="1"/>
  <c r="G37" i="2" l="1"/>
  <c r="H24" i="4" l="1"/>
  <c r="F24" i="4"/>
  <c r="H45" i="4"/>
  <c r="F45" i="4"/>
  <c r="C34" i="8"/>
  <c r="F20" i="11"/>
  <c r="F16" i="11"/>
  <c r="F18" i="9"/>
  <c r="F48" i="9" s="1"/>
  <c r="F31" i="9"/>
  <c r="F39" i="9"/>
  <c r="F46" i="9"/>
  <c r="C36" i="8"/>
  <c r="H24" i="12"/>
  <c r="C37" i="8" s="1"/>
  <c r="G24" i="12"/>
  <c r="F24" i="12"/>
  <c r="H20" i="12"/>
  <c r="G20" i="12"/>
  <c r="F20" i="12"/>
  <c r="H15" i="12"/>
  <c r="C35" i="8" s="1"/>
  <c r="G15" i="12"/>
  <c r="F15" i="12"/>
  <c r="H11" i="12"/>
  <c r="G11" i="12"/>
  <c r="F11" i="12"/>
  <c r="G24" i="4"/>
  <c r="H26" i="12" l="1"/>
  <c r="C38" i="8"/>
  <c r="F26" i="12"/>
  <c r="G26" i="12"/>
  <c r="G46" i="9"/>
  <c r="H46" i="9"/>
  <c r="G31" i="9"/>
  <c r="H31" i="9"/>
  <c r="G45" i="4" l="1"/>
  <c r="G51" i="4"/>
  <c r="H51" i="4"/>
  <c r="F51" i="4"/>
  <c r="G18" i="9"/>
  <c r="H18" i="9"/>
  <c r="G34" i="10"/>
  <c r="H34" i="10"/>
  <c r="F34" i="10"/>
  <c r="G25" i="10" l="1"/>
  <c r="H25" i="10"/>
  <c r="F25" i="10"/>
  <c r="F14" i="10" l="1"/>
  <c r="H24" i="11"/>
  <c r="G24" i="11"/>
  <c r="F24" i="11"/>
  <c r="H20" i="11"/>
  <c r="C29" i="8" s="1"/>
  <c r="G20" i="11"/>
  <c r="H16" i="11"/>
  <c r="C28" i="8" s="1"/>
  <c r="G16" i="11"/>
  <c r="H11" i="11"/>
  <c r="C27" i="8" s="1"/>
  <c r="G11" i="11"/>
  <c r="F11" i="11"/>
  <c r="C16" i="8"/>
  <c r="C15" i="8"/>
  <c r="H18" i="10"/>
  <c r="C14" i="8" s="1"/>
  <c r="G18" i="10"/>
  <c r="F18" i="10"/>
  <c r="H14" i="10"/>
  <c r="G14" i="10"/>
  <c r="C13" i="8" l="1"/>
  <c r="H36" i="10"/>
  <c r="H26" i="11"/>
  <c r="F26" i="11"/>
  <c r="C30" i="8"/>
  <c r="C31" i="8" s="1"/>
  <c r="G26" i="11"/>
  <c r="F36" i="10"/>
  <c r="G36" i="10"/>
  <c r="H11" i="4" l="1"/>
  <c r="G11" i="4"/>
  <c r="F11" i="4"/>
  <c r="C44" i="8" l="1"/>
  <c r="F53" i="4"/>
  <c r="C41" i="8"/>
  <c r="C20" i="8"/>
  <c r="C43" i="8"/>
  <c r="G39" i="9"/>
  <c r="H39" i="9"/>
  <c r="C22" i="8" s="1"/>
  <c r="C21" i="8"/>
  <c r="C23" i="8"/>
  <c r="C48" i="8" l="1"/>
  <c r="C50" i="8"/>
  <c r="H53" i="4"/>
  <c r="G48" i="9"/>
  <c r="C24" i="8"/>
  <c r="H48" i="9"/>
  <c r="G53" i="4"/>
  <c r="C17" i="8"/>
  <c r="C51" i="8" l="1"/>
  <c r="C42" i="8"/>
  <c r="C49" i="8" s="1"/>
  <c r="C10" i="8"/>
  <c r="C52" i="8" l="1"/>
  <c r="C45" i="8"/>
  <c r="C55" i="8" s="1"/>
</calcChain>
</file>

<file path=xl/sharedStrings.xml><?xml version="1.0" encoding="utf-8"?>
<sst xmlns="http://schemas.openxmlformats.org/spreadsheetml/2006/main" count="733" uniqueCount="262">
  <si>
    <t>Voucher</t>
  </si>
  <si>
    <t>Category</t>
  </si>
  <si>
    <t>Desc</t>
  </si>
  <si>
    <t>Vendor</t>
  </si>
  <si>
    <t>Name</t>
  </si>
  <si>
    <t>Amount</t>
  </si>
  <si>
    <t>Adjustment</t>
  </si>
  <si>
    <t>Requested</t>
  </si>
  <si>
    <t>Employee Name</t>
  </si>
  <si>
    <t>Invoice</t>
  </si>
  <si>
    <t>Invoice Date</t>
  </si>
  <si>
    <t>Year</t>
  </si>
  <si>
    <t>Period</t>
  </si>
  <si>
    <t>DUGGINS WREN MANN &amp; ROMERO LLP</t>
  </si>
  <si>
    <t>BANK OF AMERICA</t>
  </si>
  <si>
    <t>SOUTHWESTERN ELECTRIC POWER COMPANY</t>
  </si>
  <si>
    <t>Employee Expense</t>
  </si>
  <si>
    <t>Legal</t>
  </si>
  <si>
    <t>Other</t>
  </si>
  <si>
    <t>SUMMARY OF RATE CASE EXPENSES</t>
  </si>
  <si>
    <t>Emp. Name</t>
  </si>
  <si>
    <t>Legal Expenses</t>
  </si>
  <si>
    <t>Other Expenses</t>
  </si>
  <si>
    <t>Employee Expenses</t>
  </si>
  <si>
    <t>Cities Expenses</t>
  </si>
  <si>
    <t xml:space="preserve">Total Other </t>
  </si>
  <si>
    <t xml:space="preserve">Total Employee </t>
  </si>
  <si>
    <t>Total Expenses Requested</t>
  </si>
  <si>
    <t>Combined Expenses Requested</t>
  </si>
  <si>
    <t>Total Combined Expenses</t>
  </si>
  <si>
    <t>Total Legal</t>
  </si>
  <si>
    <t>Grand Total Current Case</t>
  </si>
  <si>
    <t>0000256019</t>
  </si>
  <si>
    <t>Professional Services</t>
  </si>
  <si>
    <t>Cities' Expenses</t>
  </si>
  <si>
    <t>Transportation - Parking Fees</t>
  </si>
  <si>
    <t>Meals - Business</t>
  </si>
  <si>
    <t>0000161803</t>
  </si>
  <si>
    <t>Ashley M Price</t>
  </si>
  <si>
    <t>Total Cities'</t>
  </si>
  <si>
    <t>Total Company Expenses Current Case</t>
  </si>
  <si>
    <t>HAMLETT, RANDALL W</t>
  </si>
  <si>
    <t>0001009108</t>
  </si>
  <si>
    <t>02660648</t>
  </si>
  <si>
    <t>0000221859EX0001294740</t>
  </si>
  <si>
    <t>Purchased Materials</t>
  </si>
  <si>
    <t>PUCT Docket No 51984 (AEP TEXAS 2021 DCRF)</t>
  </si>
  <si>
    <t>Total Company Expenses Docket No. 51984</t>
  </si>
  <si>
    <t>PUCT Docket No 53451 (AEP TEXAS 2022 DCRF)</t>
  </si>
  <si>
    <t>Total Company Expenses Docket No. 53451</t>
  </si>
  <si>
    <t>Total Company Expenses Docket No. 54824</t>
  </si>
  <si>
    <t>Total Company Expenses Docket No. 53267</t>
  </si>
  <si>
    <t>AEP TEXAS</t>
  </si>
  <si>
    <t>Grand Total 51984</t>
  </si>
  <si>
    <t>Grand Total 53451</t>
  </si>
  <si>
    <t>Grand Total 53267</t>
  </si>
  <si>
    <t>02579098</t>
  </si>
  <si>
    <t>02579005</t>
  </si>
  <si>
    <t>02579006</t>
  </si>
  <si>
    <t>02579007</t>
  </si>
  <si>
    <t>02579008</t>
  </si>
  <si>
    <t>02579009</t>
  </si>
  <si>
    <t>02579010</t>
  </si>
  <si>
    <t>02595566</t>
  </si>
  <si>
    <t>02597561</t>
  </si>
  <si>
    <t>0000097118</t>
  </si>
  <si>
    <t>MCALLEN, CITY OF</t>
  </si>
  <si>
    <t>97522523DKT51984</t>
  </si>
  <si>
    <t>97523259DKT51984</t>
  </si>
  <si>
    <t>97524052DKT51984</t>
  </si>
  <si>
    <t>97524963DKT51984</t>
  </si>
  <si>
    <t>97525697DKT51984</t>
  </si>
  <si>
    <t>97526504DKT51984</t>
  </si>
  <si>
    <t>97526844DKT51984</t>
  </si>
  <si>
    <t>97523347DKT51984</t>
  </si>
  <si>
    <t>97527555DKT51984</t>
  </si>
  <si>
    <t>N/A</t>
  </si>
  <si>
    <t>Temporary Employees</t>
  </si>
  <si>
    <t>00987477</t>
  </si>
  <si>
    <t>M2198436</t>
  </si>
  <si>
    <t>00987691</t>
  </si>
  <si>
    <t>00987693</t>
  </si>
  <si>
    <t>00989230</t>
  </si>
  <si>
    <t>00990621</t>
  </si>
  <si>
    <t>0001007765</t>
  </si>
  <si>
    <t>ETTAIN GROUP</t>
  </si>
  <si>
    <t>Gregory K Gullickson</t>
  </si>
  <si>
    <t>0000106587EX0001035455</t>
  </si>
  <si>
    <t>AEPIN00331112TS</t>
  </si>
  <si>
    <t>0000106587EX0001036756</t>
  </si>
  <si>
    <t>0000106587EX0001036777</t>
  </si>
  <si>
    <t>0000106587EX0001046863</t>
  </si>
  <si>
    <t>0000106587EX0001056067</t>
  </si>
  <si>
    <t>02615702</t>
  </si>
  <si>
    <t>02615703</t>
  </si>
  <si>
    <t>02615704</t>
  </si>
  <si>
    <t>02615705</t>
  </si>
  <si>
    <t>97531824DKT53451</t>
  </si>
  <si>
    <t>97532540DKT53451</t>
  </si>
  <si>
    <t>97533221DKT53541</t>
  </si>
  <si>
    <t>97533944DKT53451</t>
  </si>
  <si>
    <t>Purchased Services</t>
  </si>
  <si>
    <t>M2820262</t>
  </si>
  <si>
    <t>M2858429</t>
  </si>
  <si>
    <t>M2871194</t>
  </si>
  <si>
    <t>M2885110</t>
  </si>
  <si>
    <t>01005137</t>
  </si>
  <si>
    <t>01006725</t>
  </si>
  <si>
    <t>01006789</t>
  </si>
  <si>
    <t>01006796</t>
  </si>
  <si>
    <t>0000010536</t>
  </si>
  <si>
    <t>0000164660</t>
  </si>
  <si>
    <t>APEX SYSTEMS INC</t>
  </si>
  <si>
    <t>UNICON INTERNATIONAL INC</t>
  </si>
  <si>
    <t>AEPIN00390645TS</t>
  </si>
  <si>
    <t>AEPIN00393853TS</t>
  </si>
  <si>
    <t>AEPIN00395477TS</t>
  </si>
  <si>
    <t>AEPIN00396659TS</t>
  </si>
  <si>
    <t>0000106587EX0001156825</t>
  </si>
  <si>
    <t>0000106587EX0001165526</t>
  </si>
  <si>
    <t>0000106587EX0001172820</t>
  </si>
  <si>
    <t>0000106587EX0001173053</t>
  </si>
  <si>
    <t>PUCT DOCKET NO. 51984</t>
  </si>
  <si>
    <t>PUCT DOCKET NO. 53451</t>
  </si>
  <si>
    <t>PUCT DOCKET NO. 53267</t>
  </si>
  <si>
    <t>CURRENT CASE - PUCT DOCKET NO. XXXXX</t>
  </si>
  <si>
    <t>Printing</t>
  </si>
  <si>
    <t>Printing - Tax</t>
  </si>
  <si>
    <t>Postage</t>
  </si>
  <si>
    <t>02697739</t>
  </si>
  <si>
    <t>02697737</t>
  </si>
  <si>
    <t>02697738</t>
  </si>
  <si>
    <t>02697740</t>
  </si>
  <si>
    <t>02697741</t>
  </si>
  <si>
    <t>02697742</t>
  </si>
  <si>
    <t>97542404DKT54824</t>
  </si>
  <si>
    <t>97540927DKT54824</t>
  </si>
  <si>
    <t>97541415DKT54824</t>
  </si>
  <si>
    <t>97543172DKT54824</t>
  </si>
  <si>
    <t>97543949DKT54824</t>
  </si>
  <si>
    <t>97545264DKT54824</t>
  </si>
  <si>
    <t>01018359</t>
  </si>
  <si>
    <t>01019218</t>
  </si>
  <si>
    <t>01020681</t>
  </si>
  <si>
    <t>01023134</t>
  </si>
  <si>
    <t>01024477</t>
  </si>
  <si>
    <t>01025833</t>
  </si>
  <si>
    <t>01026958</t>
  </si>
  <si>
    <t>01028961</t>
  </si>
  <si>
    <t>01032035</t>
  </si>
  <si>
    <t>39213</t>
  </si>
  <si>
    <t>39337</t>
  </si>
  <si>
    <t>39475R</t>
  </si>
  <si>
    <t>39623</t>
  </si>
  <si>
    <t>39776</t>
  </si>
  <si>
    <t>39900</t>
  </si>
  <si>
    <t>40050</t>
  </si>
  <si>
    <t>40156</t>
  </si>
  <si>
    <t>40339</t>
  </si>
  <si>
    <t>M3468275</t>
  </si>
  <si>
    <t>M3480159</t>
  </si>
  <si>
    <t>M3493582</t>
  </si>
  <si>
    <t>M3520817</t>
  </si>
  <si>
    <t>M3533286</t>
  </si>
  <si>
    <t>AEPIN00450831TS</t>
  </si>
  <si>
    <t>AEPIN00451978TS</t>
  </si>
  <si>
    <t>AEPIN00453355TS</t>
  </si>
  <si>
    <t>AEPIN00456094TS</t>
  </si>
  <si>
    <t>AEPIN00457067TS</t>
  </si>
  <si>
    <t>0000106587EX0001311270</t>
  </si>
  <si>
    <t>0000106587EX0001322288</t>
  </si>
  <si>
    <t>01023047</t>
  </si>
  <si>
    <t>01024424</t>
  </si>
  <si>
    <t>01028960</t>
  </si>
  <si>
    <t>01032034</t>
  </si>
  <si>
    <t>40151</t>
  </si>
  <si>
    <t>40333</t>
  </si>
  <si>
    <t>EXPERGY</t>
  </si>
  <si>
    <t>LEWIS &amp; ELLIS INC</t>
  </si>
  <si>
    <t>UTILITY CREDIT CONSULTANCY LLC</t>
  </si>
  <si>
    <t>WYMAN IDEAS LLC</t>
  </si>
  <si>
    <t>01030468</t>
  </si>
  <si>
    <t>01035227</t>
  </si>
  <si>
    <t>01032050</t>
  </si>
  <si>
    <t>01032049</t>
  </si>
  <si>
    <t>01034052</t>
  </si>
  <si>
    <t>01027121</t>
  </si>
  <si>
    <t>01028055</t>
  </si>
  <si>
    <t>01030467</t>
  </si>
  <si>
    <t>01035226</t>
  </si>
  <si>
    <t>0000241323</t>
  </si>
  <si>
    <t>0000216133</t>
  </si>
  <si>
    <t>0001027641</t>
  </si>
  <si>
    <t>0001015758</t>
  </si>
  <si>
    <t>AEP2356</t>
  </si>
  <si>
    <t>AEPTXSEP2023</t>
  </si>
  <si>
    <t>31208</t>
  </si>
  <si>
    <t>0211</t>
  </si>
  <si>
    <t>0212</t>
  </si>
  <si>
    <t>0001</t>
  </si>
  <si>
    <t>0002</t>
  </si>
  <si>
    <t>0003</t>
  </si>
  <si>
    <t>0004</t>
  </si>
  <si>
    <t>00343470</t>
  </si>
  <si>
    <t>00344321</t>
  </si>
  <si>
    <t>00345172</t>
  </si>
  <si>
    <t>00346162</t>
  </si>
  <si>
    <t>00346163</t>
  </si>
  <si>
    <t>00346820</t>
  </si>
  <si>
    <t>00347606</t>
  </si>
  <si>
    <t>39471</t>
  </si>
  <si>
    <t>39619</t>
  </si>
  <si>
    <t>39774</t>
  </si>
  <si>
    <t>39898</t>
  </si>
  <si>
    <t>40048</t>
  </si>
  <si>
    <t>40154</t>
  </si>
  <si>
    <t>40337</t>
  </si>
  <si>
    <t>PUCT Docket No 53267 (AEP TEXAS Wholesale Distribution Energy Storage)</t>
  </si>
  <si>
    <t>01036700</t>
  </si>
  <si>
    <t>00349213</t>
  </si>
  <si>
    <t>40497</t>
  </si>
  <si>
    <t>40656</t>
  </si>
  <si>
    <t>Grand Total 54824 &amp; 55820</t>
  </si>
  <si>
    <t>01038884</t>
  </si>
  <si>
    <t>0000106587EX0001391334</t>
  </si>
  <si>
    <t>BRATTLE GROUP</t>
  </si>
  <si>
    <t>0000085508</t>
  </si>
  <si>
    <t>01038669</t>
  </si>
  <si>
    <t>01038673</t>
  </si>
  <si>
    <t>01038674</t>
  </si>
  <si>
    <t>01038671</t>
  </si>
  <si>
    <t>01038672</t>
  </si>
  <si>
    <t>075414</t>
  </si>
  <si>
    <t>31926</t>
  </si>
  <si>
    <t>AEP2365</t>
  </si>
  <si>
    <t>0005</t>
  </si>
  <si>
    <t>0213</t>
  </si>
  <si>
    <t>00348880</t>
  </si>
  <si>
    <t>00349169</t>
  </si>
  <si>
    <t>40495</t>
  </si>
  <si>
    <t>40645</t>
  </si>
  <si>
    <t>PUCT Docket No 55820 (AEP TEXAS 2023 DCRF)</t>
  </si>
  <si>
    <t>Total Company Expenses Docket No. 55820</t>
  </si>
  <si>
    <t>PUCT DOCKET NO. 55820</t>
  </si>
  <si>
    <t>PUCT DOCKET NO. 54824 &amp; 55187</t>
  </si>
  <si>
    <t>PUCT Docket No 54824 (AEP TEXAS 2023 DCRF) and 55187</t>
  </si>
  <si>
    <t>01039231</t>
  </si>
  <si>
    <t>01039233</t>
  </si>
  <si>
    <t>01039230</t>
  </si>
  <si>
    <t>01039232</t>
  </si>
  <si>
    <t>0000312159</t>
  </si>
  <si>
    <t>BARYENBRUCH &amp; COMPANY LLC</t>
  </si>
  <si>
    <t>AEP2402</t>
  </si>
  <si>
    <t>JANUARY022024</t>
  </si>
  <si>
    <t>0006</t>
  </si>
  <si>
    <t>AEPTXNOV2023</t>
  </si>
  <si>
    <t>00349715</t>
  </si>
  <si>
    <t>40846</t>
  </si>
  <si>
    <t>SUMMARY OF RATE CASE EXPENSES THROUGH JANUARY 31, 2024</t>
  </si>
  <si>
    <t>INCURRED AS OF 01-31-2024</t>
  </si>
  <si>
    <t>PUCT DOCKET NOS. 51984, 53451, 54824,55820, 53267 and 56165</t>
  </si>
  <si>
    <t>Current Case Docket No 56165 (AEP TEXAS 2024 BASE RATE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</si>
</sst>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b/>
      <sz val="15"/>
      <color indexed="62"/>
      <name val="Calibri"/>
      <family val="2"/>
    </font>
    <font>
      <b/>
      <sz val="15"/>
      <color indexed="62"/>
      <name val="Arial"/>
      <family val="2"/>
    </font>
    <font>
      <b/>
      <sz val="13"/>
      <color indexed="62"/>
      <name val="Calibri"/>
      <family val="2"/>
    </font>
    <font>
      <b/>
      <sz val="13"/>
      <color indexed="62"/>
      <name val="Arial"/>
      <family val="2"/>
    </font>
    <font>
      <b/>
      <sz val="11"/>
      <color indexed="62"/>
      <name val="Calibri"/>
      <family val="2"/>
    </font>
    <font>
      <b/>
      <sz val="11"/>
      <color indexed="62"/>
      <name val="Arial"/>
      <family val="2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indexed="18"/>
      <name val="Arial Unicode MS"/>
    </font>
    <font>
      <sz val="11"/>
      <color theme="1"/>
      <name val="Arial"/>
      <family val="2"/>
    </font>
    <font>
      <b/>
      <sz val="10"/>
      <color indexed="18"/>
      <name val="Arial"/>
      <family val="2"/>
    </font>
    <font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3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14"/>
      </patternFill>
    </fill>
    <fill>
      <patternFill patternType="solid">
        <fgColor indexed="42"/>
      </patternFill>
    </fill>
    <fill>
      <patternFill patternType="mediumGray">
        <fgColor indexed="22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4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horizontal="left"/>
    </xf>
    <xf numFmtId="4" fontId="4" fillId="0" borderId="0" applyFont="0" applyFill="0" applyBorder="0" applyAlignment="0" applyProtection="0"/>
    <xf numFmtId="0" fontId="2" fillId="0" borderId="0"/>
    <xf numFmtId="3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6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6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6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6" fillId="9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6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6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8" borderId="0" applyNumberFormat="0" applyBorder="0" applyAlignment="0" applyProtection="0"/>
    <xf numFmtId="0" fontId="8" fillId="4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4" borderId="0" applyNumberFormat="0" applyBorder="0" applyAlignment="0" applyProtection="0"/>
    <xf numFmtId="0" fontId="8" fillId="14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3" borderId="0" applyNumberFormat="0" applyBorder="0" applyAlignment="0" applyProtection="0"/>
    <xf numFmtId="0" fontId="11" fillId="2" borderId="2" applyNumberFormat="0" applyAlignment="0" applyProtection="0"/>
    <xf numFmtId="0" fontId="12" fillId="2" borderId="2" applyNumberFormat="0" applyAlignment="0" applyProtection="0"/>
    <xf numFmtId="0" fontId="13" fillId="7" borderId="3" applyNumberFormat="0" applyAlignment="0" applyProtection="0"/>
    <xf numFmtId="0" fontId="14" fillId="7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5" applyNumberFormat="0" applyFill="0" applyAlignment="0" applyProtection="0"/>
    <xf numFmtId="0" fontId="23" fillId="0" borderId="6" applyNumberFormat="0" applyFill="0" applyAlignment="0" applyProtection="0"/>
    <xf numFmtId="0" fontId="2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4" borderId="2" applyNumberFormat="0" applyAlignment="0" applyProtection="0"/>
    <xf numFmtId="0" fontId="26" fillId="4" borderId="2" applyNumberFormat="0" applyAlignment="0" applyProtection="0"/>
    <xf numFmtId="0" fontId="27" fillId="0" borderId="7" applyNumberFormat="0" applyFill="0" applyAlignment="0" applyProtection="0"/>
    <xf numFmtId="0" fontId="28" fillId="0" borderId="7" applyNumberFormat="0" applyFill="0" applyAlignment="0" applyProtection="0"/>
    <xf numFmtId="0" fontId="29" fillId="9" borderId="0" applyNumberFormat="0" applyBorder="0" applyAlignment="0" applyProtection="0"/>
    <xf numFmtId="0" fontId="30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2" fillId="5" borderId="2" applyNumberFormat="0" applyFont="0" applyAlignment="0" applyProtection="0"/>
    <xf numFmtId="0" fontId="32" fillId="2" borderId="8" applyNumberFormat="0" applyAlignment="0" applyProtection="0"/>
    <xf numFmtId="0" fontId="33" fillId="2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0" fontId="4" fillId="0" borderId="0" applyNumberFormat="0" applyFont="0" applyFill="0" applyBorder="0" applyAlignment="0" applyProtection="0">
      <alignment horizontal="left"/>
    </xf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1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5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0" fontId="34" fillId="0" borderId="1">
      <alignment horizontal="center"/>
    </xf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4" fillId="18" borderId="0" applyNumberFormat="0" applyFont="0" applyBorder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0" borderId="9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0"/>
    <xf numFmtId="0" fontId="2" fillId="0" borderId="0"/>
  </cellStyleXfs>
  <cellXfs count="87">
    <xf numFmtId="0" fontId="0" fillId="0" borderId="0" xfId="0"/>
    <xf numFmtId="0" fontId="41" fillId="0" borderId="0" xfId="0" applyFont="1" applyFill="1" applyAlignment="1">
      <alignment horizontal="left"/>
    </xf>
    <xf numFmtId="0" fontId="41" fillId="0" borderId="0" xfId="0" applyFont="1" applyFill="1" applyBorder="1" applyAlignment="1">
      <alignment horizontal="left"/>
    </xf>
    <xf numFmtId="22" fontId="41" fillId="0" borderId="0" xfId="0" applyNumberFormat="1" applyFont="1" applyFill="1" applyAlignment="1">
      <alignment horizontal="left"/>
    </xf>
    <xf numFmtId="0" fontId="42" fillId="0" borderId="0" xfId="0" applyFont="1" applyFill="1" applyBorder="1" applyAlignment="1">
      <alignment horizontal="left"/>
    </xf>
    <xf numFmtId="43" fontId="41" fillId="0" borderId="0" xfId="0" applyNumberFormat="1" applyFont="1" applyFill="1" applyAlignment="1">
      <alignment horizontal="right"/>
    </xf>
    <xf numFmtId="43" fontId="41" fillId="0" borderId="0" xfId="0" applyNumberFormat="1" applyFont="1" applyFill="1" applyBorder="1" applyAlignment="1">
      <alignment horizontal="right"/>
    </xf>
    <xf numFmtId="0" fontId="41" fillId="0" borderId="0" xfId="0" applyNumberFormat="1" applyFont="1" applyFill="1" applyBorder="1" applyAlignment="1">
      <alignment horizontal="left"/>
    </xf>
    <xf numFmtId="0" fontId="42" fillId="0" borderId="0" xfId="0" applyNumberFormat="1" applyFont="1" applyFill="1" applyBorder="1" applyAlignment="1">
      <alignment horizontal="left"/>
    </xf>
    <xf numFmtId="43" fontId="42" fillId="0" borderId="0" xfId="0" applyNumberFormat="1" applyFont="1" applyFill="1" applyBorder="1" applyAlignment="1">
      <alignment horizontal="right"/>
    </xf>
    <xf numFmtId="43" fontId="42" fillId="0" borderId="0" xfId="1" applyNumberFormat="1" applyFont="1" applyFill="1" applyBorder="1" applyAlignment="1">
      <alignment horizontal="right"/>
    </xf>
    <xf numFmtId="14" fontId="42" fillId="0" borderId="0" xfId="0" applyNumberFormat="1" applyFont="1" applyFill="1" applyBorder="1" applyAlignment="1">
      <alignment horizontal="left"/>
    </xf>
    <xf numFmtId="14" fontId="41" fillId="0" borderId="0" xfId="0" applyNumberFormat="1" applyFont="1" applyFill="1" applyBorder="1" applyAlignment="1">
      <alignment horizontal="left"/>
    </xf>
    <xf numFmtId="0" fontId="41" fillId="0" borderId="0" xfId="0" applyNumberFormat="1" applyFont="1" applyFill="1" applyAlignment="1">
      <alignment horizontal="left"/>
    </xf>
    <xf numFmtId="14" fontId="41" fillId="0" borderId="0" xfId="0" applyNumberFormat="1" applyFont="1" applyFill="1" applyAlignment="1">
      <alignment horizontal="left"/>
    </xf>
    <xf numFmtId="0" fontId="41" fillId="0" borderId="11" xfId="0" applyFont="1" applyFill="1" applyBorder="1" applyAlignment="1">
      <alignment horizontal="left"/>
    </xf>
    <xf numFmtId="0" fontId="41" fillId="0" borderId="11" xfId="0" applyNumberFormat="1" applyFont="1" applyFill="1" applyBorder="1" applyAlignment="1">
      <alignment horizontal="left"/>
    </xf>
    <xf numFmtId="43" fontId="41" fillId="0" borderId="1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12" xfId="0" applyNumberFormat="1" applyBorder="1"/>
    <xf numFmtId="0" fontId="42" fillId="0" borderId="0" xfId="0" applyFont="1" applyFill="1" applyAlignment="1">
      <alignment horizontal="left"/>
    </xf>
    <xf numFmtId="14" fontId="42" fillId="0" borderId="0" xfId="0" applyNumberFormat="1" applyFont="1" applyFill="1" applyAlignment="1">
      <alignment horizontal="left"/>
    </xf>
    <xf numFmtId="0" fontId="42" fillId="0" borderId="14" xfId="0" applyFont="1" applyFill="1" applyBorder="1" applyAlignment="1">
      <alignment horizontal="left"/>
    </xf>
    <xf numFmtId="43" fontId="42" fillId="0" borderId="14" xfId="0" applyNumberFormat="1" applyFont="1" applyFill="1" applyBorder="1" applyAlignment="1">
      <alignment horizontal="right"/>
    </xf>
    <xf numFmtId="0" fontId="43" fillId="0" borderId="0" xfId="0" applyFont="1" applyAlignment="1">
      <alignment horizontal="center"/>
    </xf>
    <xf numFmtId="164" fontId="43" fillId="0" borderId="0" xfId="0" applyNumberFormat="1" applyFont="1"/>
    <xf numFmtId="0" fontId="43" fillId="0" borderId="0" xfId="0" applyFont="1"/>
    <xf numFmtId="164" fontId="43" fillId="0" borderId="13" xfId="0" applyNumberFormat="1" applyFont="1" applyBorder="1"/>
    <xf numFmtId="0" fontId="44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3" fontId="41" fillId="0" borderId="11" xfId="1" applyFont="1" applyFill="1" applyBorder="1" applyAlignment="1">
      <alignment horizontal="left"/>
    </xf>
    <xf numFmtId="0" fontId="42" fillId="0" borderId="11" xfId="0" applyFont="1" applyFill="1" applyBorder="1" applyAlignment="1">
      <alignment horizontal="left"/>
    </xf>
    <xf numFmtId="43" fontId="42" fillId="0" borderId="11" xfId="1" applyFont="1" applyFill="1" applyBorder="1" applyAlignment="1">
      <alignment horizontal="left"/>
    </xf>
    <xf numFmtId="14" fontId="42" fillId="0" borderId="11" xfId="0" applyNumberFormat="1" applyFont="1" applyFill="1" applyBorder="1" applyAlignment="1">
      <alignment horizontal="left"/>
    </xf>
    <xf numFmtId="43" fontId="41" fillId="0" borderId="0" xfId="1" applyFont="1" applyFill="1" applyAlignment="1">
      <alignment horizontal="left"/>
    </xf>
    <xf numFmtId="43" fontId="41" fillId="0" borderId="10" xfId="1" applyFont="1" applyFill="1" applyBorder="1" applyAlignment="1">
      <alignment horizontal="left"/>
    </xf>
    <xf numFmtId="0" fontId="43" fillId="0" borderId="0" xfId="0" applyFont="1" applyAlignment="1">
      <alignment horizontal="center"/>
    </xf>
    <xf numFmtId="49" fontId="0" fillId="0" borderId="0" xfId="0" applyNumberFormat="1"/>
    <xf numFmtId="43" fontId="41" fillId="0" borderId="0" xfId="0" applyNumberFormat="1" applyFont="1" applyFill="1" applyBorder="1" applyAlignment="1">
      <alignment horizontal="left"/>
    </xf>
    <xf numFmtId="43" fontId="41" fillId="0" borderId="0" xfId="1" applyFont="1" applyFill="1" applyBorder="1" applyAlignment="1">
      <alignment horizontal="left"/>
    </xf>
    <xf numFmtId="0" fontId="45" fillId="0" borderId="0" xfId="0" applyFont="1" applyFill="1" applyBorder="1" applyAlignment="1">
      <alignment horizontal="center"/>
    </xf>
    <xf numFmtId="0" fontId="0" fillId="0" borderId="0" xfId="0" applyFill="1" applyBorder="1" applyAlignment="1"/>
    <xf numFmtId="0" fontId="43" fillId="0" borderId="0" xfId="0" applyFont="1" applyAlignment="1">
      <alignment horizontal="center"/>
    </xf>
    <xf numFmtId="0" fontId="42" fillId="0" borderId="0" xfId="0" applyFont="1" applyFill="1" applyAlignment="1">
      <alignment horizontal="center" vertical="top" wrapText="1"/>
    </xf>
    <xf numFmtId="14" fontId="41" fillId="0" borderId="0" xfId="0" applyNumberFormat="1" applyFont="1" applyAlignment="1">
      <alignment horizontal="left"/>
    </xf>
    <xf numFmtId="0" fontId="41" fillId="0" borderId="0" xfId="0" applyFont="1" applyAlignment="1">
      <alignment horizontal="left"/>
    </xf>
    <xf numFmtId="43" fontId="42" fillId="0" borderId="0" xfId="1" applyFont="1" applyFill="1" applyBorder="1" applyAlignment="1">
      <alignment horizontal="left"/>
    </xf>
    <xf numFmtId="43" fontId="42" fillId="0" borderId="15" xfId="1" applyFont="1" applyFill="1" applyBorder="1" applyAlignment="1">
      <alignment horizontal="left"/>
    </xf>
    <xf numFmtId="49" fontId="46" fillId="0" borderId="0" xfId="0" applyNumberFormat="1" applyFont="1"/>
    <xf numFmtId="0" fontId="47" fillId="0" borderId="0" xfId="0" applyFont="1" applyFill="1" applyBorder="1" applyAlignment="1">
      <alignment horizontal="center"/>
    </xf>
    <xf numFmtId="0" fontId="46" fillId="0" borderId="0" xfId="0" applyFont="1" applyFill="1" applyBorder="1" applyAlignment="1"/>
    <xf numFmtId="0" fontId="48" fillId="0" borderId="0" xfId="0" applyFont="1" applyAlignment="1">
      <alignment horizontal="left"/>
    </xf>
    <xf numFmtId="0" fontId="41" fillId="0" borderId="0" xfId="0" quotePrefix="1" applyFont="1" applyFill="1" applyBorder="1" applyAlignment="1">
      <alignment horizontal="left"/>
    </xf>
    <xf numFmtId="43" fontId="41" fillId="0" borderId="16" xfId="1" applyFont="1" applyFill="1" applyBorder="1" applyAlignment="1">
      <alignment horizontal="left"/>
    </xf>
    <xf numFmtId="40" fontId="41" fillId="0" borderId="0" xfId="0" applyNumberFormat="1" applyFont="1" applyFill="1"/>
    <xf numFmtId="43" fontId="41" fillId="0" borderId="0" xfId="0" applyNumberFormat="1" applyFont="1" applyFill="1" applyAlignment="1">
      <alignment horizontal="left"/>
    </xf>
    <xf numFmtId="0" fontId="43" fillId="0" borderId="0" xfId="0" applyFont="1" applyAlignment="1">
      <alignment horizontal="center"/>
    </xf>
    <xf numFmtId="0" fontId="42" fillId="0" borderId="0" xfId="0" applyFont="1" applyFill="1" applyAlignment="1">
      <alignment horizontal="center" vertical="top" wrapText="1"/>
    </xf>
    <xf numFmtId="1" fontId="41" fillId="0" borderId="0" xfId="0" applyNumberFormat="1" applyFont="1" applyFill="1" applyBorder="1" applyAlignment="1">
      <alignment horizontal="left"/>
    </xf>
    <xf numFmtId="0" fontId="44" fillId="0" borderId="0" xfId="0" applyFont="1" applyFill="1" applyAlignment="1">
      <alignment horizontal="left"/>
    </xf>
    <xf numFmtId="164" fontId="0" fillId="0" borderId="0" xfId="0" applyNumberFormat="1" applyFill="1"/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12" xfId="0" applyNumberFormat="1" applyFill="1" applyBorder="1"/>
    <xf numFmtId="0" fontId="43" fillId="0" borderId="0" xfId="0" applyFont="1" applyFill="1" applyAlignment="1">
      <alignment horizontal="center"/>
    </xf>
    <xf numFmtId="164" fontId="43" fillId="0" borderId="0" xfId="0" applyNumberFormat="1" applyFont="1" applyFill="1"/>
    <xf numFmtId="0" fontId="43" fillId="0" borderId="0" xfId="0" applyFont="1" applyAlignment="1">
      <alignment horizontal="center"/>
    </xf>
    <xf numFmtId="0" fontId="42" fillId="0" borderId="0" xfId="0" applyFont="1" applyFill="1" applyAlignment="1">
      <alignment horizontal="center" vertical="top" wrapText="1"/>
    </xf>
    <xf numFmtId="49" fontId="46" fillId="0" borderId="0" xfId="0" applyNumberFormat="1" applyFont="1" applyFill="1"/>
    <xf numFmtId="0" fontId="42" fillId="0" borderId="0" xfId="0" applyFont="1" applyAlignment="1">
      <alignment horizontal="center" vertical="top" wrapText="1"/>
    </xf>
    <xf numFmtId="0" fontId="41" fillId="0" borderId="11" xfId="0" applyFont="1" applyBorder="1" applyAlignment="1">
      <alignment horizontal="left"/>
    </xf>
    <xf numFmtId="43" fontId="41" fillId="0" borderId="11" xfId="0" applyNumberFormat="1" applyFont="1" applyBorder="1" applyAlignment="1">
      <alignment horizontal="right"/>
    </xf>
    <xf numFmtId="0" fontId="42" fillId="0" borderId="0" xfId="0" applyFont="1" applyAlignment="1">
      <alignment horizontal="left"/>
    </xf>
    <xf numFmtId="43" fontId="42" fillId="0" borderId="0" xfId="0" applyNumberFormat="1" applyFont="1" applyAlignment="1">
      <alignment horizontal="right"/>
    </xf>
    <xf numFmtId="43" fontId="42" fillId="0" borderId="0" xfId="1" applyFont="1" applyFill="1" applyBorder="1" applyAlignment="1">
      <alignment horizontal="right"/>
    </xf>
    <xf numFmtId="14" fontId="42" fillId="0" borderId="0" xfId="0" applyNumberFormat="1" applyFont="1" applyAlignment="1">
      <alignment horizontal="left"/>
    </xf>
    <xf numFmtId="43" fontId="41" fillId="0" borderId="0" xfId="0" applyNumberFormat="1" applyFont="1" applyAlignment="1">
      <alignment horizontal="right"/>
    </xf>
    <xf numFmtId="1" fontId="41" fillId="0" borderId="0" xfId="0" applyNumberFormat="1" applyFont="1" applyAlignment="1">
      <alignment horizontal="left"/>
    </xf>
    <xf numFmtId="0" fontId="42" fillId="0" borderId="14" xfId="0" applyFont="1" applyBorder="1" applyAlignment="1">
      <alignment horizontal="left"/>
    </xf>
    <xf numFmtId="43" fontId="42" fillId="0" borderId="14" xfId="0" applyNumberFormat="1" applyFont="1" applyBorder="1" applyAlignment="1">
      <alignment horizontal="right"/>
    </xf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42" fillId="0" borderId="0" xfId="0" applyFont="1" applyAlignment="1">
      <alignment horizontal="center" vertical="top" wrapText="1"/>
    </xf>
    <xf numFmtId="0" fontId="42" fillId="0" borderId="0" xfId="0" applyFont="1" applyFill="1" applyAlignment="1">
      <alignment horizontal="center"/>
    </xf>
    <xf numFmtId="0" fontId="42" fillId="0" borderId="0" xfId="0" applyFont="1" applyFill="1" applyAlignment="1">
      <alignment horizontal="center" vertical="top" wrapText="1"/>
    </xf>
  </cellXfs>
  <cellStyles count="346">
    <cellStyle name="20% - Accent1 2" xfId="11" xr:uid="{00000000-0005-0000-0000-000000000000}"/>
    <cellStyle name="20% - Accent1 2 2" xfId="12" xr:uid="{00000000-0005-0000-0000-000001000000}"/>
    <cellStyle name="20% - Accent1 3" xfId="13" xr:uid="{00000000-0005-0000-0000-000002000000}"/>
    <cellStyle name="20% - Accent2 2" xfId="14" xr:uid="{00000000-0005-0000-0000-000003000000}"/>
    <cellStyle name="20% - Accent2 2 2" xfId="15" xr:uid="{00000000-0005-0000-0000-000004000000}"/>
    <cellStyle name="20% - Accent2 3" xfId="16" xr:uid="{00000000-0005-0000-0000-000005000000}"/>
    <cellStyle name="20% - Accent3 2" xfId="17" xr:uid="{00000000-0005-0000-0000-000006000000}"/>
    <cellStyle name="20% - Accent3 2 2" xfId="18" xr:uid="{00000000-0005-0000-0000-000007000000}"/>
    <cellStyle name="20% - Accent3 3" xfId="19" xr:uid="{00000000-0005-0000-0000-000008000000}"/>
    <cellStyle name="20% - Accent4 2" xfId="20" xr:uid="{00000000-0005-0000-0000-000009000000}"/>
    <cellStyle name="20% - Accent4 2 2" xfId="21" xr:uid="{00000000-0005-0000-0000-00000A000000}"/>
    <cellStyle name="20% - Accent4 3" xfId="22" xr:uid="{00000000-0005-0000-0000-00000B000000}"/>
    <cellStyle name="20% - Accent5 2" xfId="23" xr:uid="{00000000-0005-0000-0000-00000C000000}"/>
    <cellStyle name="20% - Accent5 2 2" xfId="24" xr:uid="{00000000-0005-0000-0000-00000D000000}"/>
    <cellStyle name="20% - Accent5 3" xfId="25" xr:uid="{00000000-0005-0000-0000-00000E000000}"/>
    <cellStyle name="20% - Accent6 2" xfId="26" xr:uid="{00000000-0005-0000-0000-00000F000000}"/>
    <cellStyle name="20% - Accent6 2 2" xfId="27" xr:uid="{00000000-0005-0000-0000-000010000000}"/>
    <cellStyle name="20% - Accent6 3" xfId="28" xr:uid="{00000000-0005-0000-0000-000011000000}"/>
    <cellStyle name="40% - Accent1 2" xfId="29" xr:uid="{00000000-0005-0000-0000-000012000000}"/>
    <cellStyle name="40% - Accent1 2 2" xfId="30" xr:uid="{00000000-0005-0000-0000-000013000000}"/>
    <cellStyle name="40% - Accent1 3" xfId="31" xr:uid="{00000000-0005-0000-0000-000014000000}"/>
    <cellStyle name="40% - Accent2 2" xfId="32" xr:uid="{00000000-0005-0000-0000-000015000000}"/>
    <cellStyle name="40% - Accent2 2 2" xfId="33" xr:uid="{00000000-0005-0000-0000-000016000000}"/>
    <cellStyle name="40% - Accent2 3" xfId="34" xr:uid="{00000000-0005-0000-0000-000017000000}"/>
    <cellStyle name="40% - Accent3 2" xfId="35" xr:uid="{00000000-0005-0000-0000-000018000000}"/>
    <cellStyle name="40% - Accent3 2 2" xfId="36" xr:uid="{00000000-0005-0000-0000-000019000000}"/>
    <cellStyle name="40% - Accent3 3" xfId="37" xr:uid="{00000000-0005-0000-0000-00001A000000}"/>
    <cellStyle name="40% - Accent4 2" xfId="38" xr:uid="{00000000-0005-0000-0000-00001B000000}"/>
    <cellStyle name="40% - Accent4 2 2" xfId="39" xr:uid="{00000000-0005-0000-0000-00001C000000}"/>
    <cellStyle name="40% - Accent4 3" xfId="40" xr:uid="{00000000-0005-0000-0000-00001D000000}"/>
    <cellStyle name="40% - Accent5 2" xfId="41" xr:uid="{00000000-0005-0000-0000-00001E000000}"/>
    <cellStyle name="40% - Accent5 2 2" xfId="42" xr:uid="{00000000-0005-0000-0000-00001F000000}"/>
    <cellStyle name="40% - Accent5 3" xfId="43" xr:uid="{00000000-0005-0000-0000-000020000000}"/>
    <cellStyle name="40% - Accent6 2" xfId="44" xr:uid="{00000000-0005-0000-0000-000021000000}"/>
    <cellStyle name="40% - Accent6 2 2" xfId="45" xr:uid="{00000000-0005-0000-0000-000022000000}"/>
    <cellStyle name="40% - Accent6 3" xfId="46" xr:uid="{00000000-0005-0000-0000-000023000000}"/>
    <cellStyle name="60% - Accent1 2" xfId="47" xr:uid="{00000000-0005-0000-0000-000024000000}"/>
    <cellStyle name="60% - Accent1 3" xfId="48" xr:uid="{00000000-0005-0000-0000-000025000000}"/>
    <cellStyle name="60% - Accent2 2" xfId="49" xr:uid="{00000000-0005-0000-0000-000026000000}"/>
    <cellStyle name="60% - Accent2 3" xfId="50" xr:uid="{00000000-0005-0000-0000-000027000000}"/>
    <cellStyle name="60% - Accent3 2" xfId="51" xr:uid="{00000000-0005-0000-0000-000028000000}"/>
    <cellStyle name="60% - Accent3 3" xfId="52" xr:uid="{00000000-0005-0000-0000-000029000000}"/>
    <cellStyle name="60% - Accent4 2" xfId="53" xr:uid="{00000000-0005-0000-0000-00002A000000}"/>
    <cellStyle name="60% - Accent4 3" xfId="54" xr:uid="{00000000-0005-0000-0000-00002B000000}"/>
    <cellStyle name="60% - Accent5 2" xfId="55" xr:uid="{00000000-0005-0000-0000-00002C000000}"/>
    <cellStyle name="60% - Accent5 3" xfId="56" xr:uid="{00000000-0005-0000-0000-00002D000000}"/>
    <cellStyle name="60% - Accent6 2" xfId="57" xr:uid="{00000000-0005-0000-0000-00002E000000}"/>
    <cellStyle name="60% - Accent6 3" xfId="58" xr:uid="{00000000-0005-0000-0000-00002F000000}"/>
    <cellStyle name="Accent1 2" xfId="59" xr:uid="{00000000-0005-0000-0000-000030000000}"/>
    <cellStyle name="Accent1 3" xfId="60" xr:uid="{00000000-0005-0000-0000-000031000000}"/>
    <cellStyle name="Accent2 2" xfId="61" xr:uid="{00000000-0005-0000-0000-000032000000}"/>
    <cellStyle name="Accent2 3" xfId="62" xr:uid="{00000000-0005-0000-0000-000033000000}"/>
    <cellStyle name="Accent3 2" xfId="63" xr:uid="{00000000-0005-0000-0000-000034000000}"/>
    <cellStyle name="Accent3 3" xfId="64" xr:uid="{00000000-0005-0000-0000-000035000000}"/>
    <cellStyle name="Accent4 2" xfId="65" xr:uid="{00000000-0005-0000-0000-000036000000}"/>
    <cellStyle name="Accent4 3" xfId="66" xr:uid="{00000000-0005-0000-0000-000037000000}"/>
    <cellStyle name="Accent5 2" xfId="67" xr:uid="{00000000-0005-0000-0000-000038000000}"/>
    <cellStyle name="Accent5 3" xfId="68" xr:uid="{00000000-0005-0000-0000-000039000000}"/>
    <cellStyle name="Accent6 2" xfId="69" xr:uid="{00000000-0005-0000-0000-00003A000000}"/>
    <cellStyle name="Accent6 3" xfId="70" xr:uid="{00000000-0005-0000-0000-00003B000000}"/>
    <cellStyle name="Bad 2" xfId="71" xr:uid="{00000000-0005-0000-0000-00003C000000}"/>
    <cellStyle name="Bad 3" xfId="72" xr:uid="{00000000-0005-0000-0000-00003D000000}"/>
    <cellStyle name="Calculation 2" xfId="73" xr:uid="{00000000-0005-0000-0000-00003E000000}"/>
    <cellStyle name="Calculation 3" xfId="74" xr:uid="{00000000-0005-0000-0000-00003F000000}"/>
    <cellStyle name="Check Cell 2" xfId="75" xr:uid="{00000000-0005-0000-0000-000040000000}"/>
    <cellStyle name="Check Cell 3" xfId="76" xr:uid="{00000000-0005-0000-0000-000041000000}"/>
    <cellStyle name="Comma" xfId="1" builtinId="3"/>
    <cellStyle name="Comma 10" xfId="77" xr:uid="{00000000-0005-0000-0000-000043000000}"/>
    <cellStyle name="Comma 10 2" xfId="78" xr:uid="{00000000-0005-0000-0000-000044000000}"/>
    <cellStyle name="Comma 10 3" xfId="79" xr:uid="{00000000-0005-0000-0000-000045000000}"/>
    <cellStyle name="Comma 11" xfId="80" xr:uid="{00000000-0005-0000-0000-000046000000}"/>
    <cellStyle name="Comma 11 2" xfId="81" xr:uid="{00000000-0005-0000-0000-000047000000}"/>
    <cellStyle name="Comma 2" xfId="5" xr:uid="{00000000-0005-0000-0000-000048000000}"/>
    <cellStyle name="Comma 2 2" xfId="82" xr:uid="{00000000-0005-0000-0000-000049000000}"/>
    <cellStyle name="Comma 2 2 2" xfId="83" xr:uid="{00000000-0005-0000-0000-00004A000000}"/>
    <cellStyle name="Comma 2 3" xfId="84" xr:uid="{00000000-0005-0000-0000-00004B000000}"/>
    <cellStyle name="Comma 3" xfId="85" xr:uid="{00000000-0005-0000-0000-00004C000000}"/>
    <cellStyle name="Comma 3 2" xfId="86" xr:uid="{00000000-0005-0000-0000-00004D000000}"/>
    <cellStyle name="Comma 3 3" xfId="87" xr:uid="{00000000-0005-0000-0000-00004E000000}"/>
    <cellStyle name="Comma 3 3 2" xfId="88" xr:uid="{00000000-0005-0000-0000-00004F000000}"/>
    <cellStyle name="Comma 4" xfId="89" xr:uid="{00000000-0005-0000-0000-000050000000}"/>
    <cellStyle name="Comma 4 2" xfId="90" xr:uid="{00000000-0005-0000-0000-000051000000}"/>
    <cellStyle name="Comma 4 3" xfId="91" xr:uid="{00000000-0005-0000-0000-000052000000}"/>
    <cellStyle name="Comma 4 3 2" xfId="92" xr:uid="{00000000-0005-0000-0000-000053000000}"/>
    <cellStyle name="Comma 4 4" xfId="93" xr:uid="{00000000-0005-0000-0000-000054000000}"/>
    <cellStyle name="Comma 4 5" xfId="94" xr:uid="{00000000-0005-0000-0000-000055000000}"/>
    <cellStyle name="Comma 4 5 2" xfId="95" xr:uid="{00000000-0005-0000-0000-000056000000}"/>
    <cellStyle name="Comma 4 5 3" xfId="96" xr:uid="{00000000-0005-0000-0000-000057000000}"/>
    <cellStyle name="Comma 4 6" xfId="97" xr:uid="{00000000-0005-0000-0000-000058000000}"/>
    <cellStyle name="Comma 4 6 2" xfId="98" xr:uid="{00000000-0005-0000-0000-000059000000}"/>
    <cellStyle name="Comma 5" xfId="99" xr:uid="{00000000-0005-0000-0000-00005A000000}"/>
    <cellStyle name="Comma 5 2" xfId="100" xr:uid="{00000000-0005-0000-0000-00005B000000}"/>
    <cellStyle name="Comma 6" xfId="101" xr:uid="{00000000-0005-0000-0000-00005C000000}"/>
    <cellStyle name="Comma 6 2" xfId="102" xr:uid="{00000000-0005-0000-0000-00005D000000}"/>
    <cellStyle name="Comma 7" xfId="103" xr:uid="{00000000-0005-0000-0000-00005E000000}"/>
    <cellStyle name="Comma 7 2" xfId="104" xr:uid="{00000000-0005-0000-0000-00005F000000}"/>
    <cellStyle name="Comma 8" xfId="105" xr:uid="{00000000-0005-0000-0000-000060000000}"/>
    <cellStyle name="Comma 8 2" xfId="106" xr:uid="{00000000-0005-0000-0000-000061000000}"/>
    <cellStyle name="Comma 9" xfId="107" xr:uid="{00000000-0005-0000-0000-000062000000}"/>
    <cellStyle name="Currency 2" xfId="108" xr:uid="{00000000-0005-0000-0000-000063000000}"/>
    <cellStyle name="Currency 2 2" xfId="109" xr:uid="{00000000-0005-0000-0000-000064000000}"/>
    <cellStyle name="Explanatory Text 2" xfId="110" xr:uid="{00000000-0005-0000-0000-000065000000}"/>
    <cellStyle name="Explanatory Text 3" xfId="111" xr:uid="{00000000-0005-0000-0000-000066000000}"/>
    <cellStyle name="Good 2" xfId="112" xr:uid="{00000000-0005-0000-0000-000067000000}"/>
    <cellStyle name="Good 3" xfId="113" xr:uid="{00000000-0005-0000-0000-000068000000}"/>
    <cellStyle name="Heading 1 2" xfId="114" xr:uid="{00000000-0005-0000-0000-000069000000}"/>
    <cellStyle name="Heading 1 3" xfId="115" xr:uid="{00000000-0005-0000-0000-00006A000000}"/>
    <cellStyle name="Heading 2 2" xfId="116" xr:uid="{00000000-0005-0000-0000-00006B000000}"/>
    <cellStyle name="Heading 2 3" xfId="117" xr:uid="{00000000-0005-0000-0000-00006C000000}"/>
    <cellStyle name="Heading 3 2" xfId="118" xr:uid="{00000000-0005-0000-0000-00006D000000}"/>
    <cellStyle name="Heading 3 3" xfId="119" xr:uid="{00000000-0005-0000-0000-00006E000000}"/>
    <cellStyle name="Heading 4 2" xfId="120" xr:uid="{00000000-0005-0000-0000-00006F000000}"/>
    <cellStyle name="Heading 4 3" xfId="121" xr:uid="{00000000-0005-0000-0000-000070000000}"/>
    <cellStyle name="Input 2" xfId="122" xr:uid="{00000000-0005-0000-0000-000071000000}"/>
    <cellStyle name="Input 3" xfId="123" xr:uid="{00000000-0005-0000-0000-000072000000}"/>
    <cellStyle name="Linked Cell 2" xfId="124" xr:uid="{00000000-0005-0000-0000-000073000000}"/>
    <cellStyle name="Linked Cell 3" xfId="125" xr:uid="{00000000-0005-0000-0000-000074000000}"/>
    <cellStyle name="Neutral 2" xfId="126" xr:uid="{00000000-0005-0000-0000-000075000000}"/>
    <cellStyle name="Neutral 3" xfId="127" xr:uid="{00000000-0005-0000-0000-000076000000}"/>
    <cellStyle name="Normal" xfId="0" builtinId="0"/>
    <cellStyle name="Normal 10" xfId="128" xr:uid="{00000000-0005-0000-0000-000078000000}"/>
    <cellStyle name="Normal 10 2" xfId="129" xr:uid="{00000000-0005-0000-0000-000079000000}"/>
    <cellStyle name="Normal 10 3" xfId="130" xr:uid="{00000000-0005-0000-0000-00007A000000}"/>
    <cellStyle name="Normal 11" xfId="131" xr:uid="{00000000-0005-0000-0000-00007B000000}"/>
    <cellStyle name="Normal 2" xfId="3" xr:uid="{00000000-0005-0000-0000-00007C000000}"/>
    <cellStyle name="Normal 2 2" xfId="132" xr:uid="{00000000-0005-0000-0000-00007D000000}"/>
    <cellStyle name="Normal 2 3" xfId="133" xr:uid="{00000000-0005-0000-0000-00007E000000}"/>
    <cellStyle name="Normal 2 3 2" xfId="134" xr:uid="{00000000-0005-0000-0000-00007F000000}"/>
    <cellStyle name="Normal 2 4" xfId="344" xr:uid="{00000000-0005-0000-0000-000080000000}"/>
    <cellStyle name="Normal 3" xfId="135" xr:uid="{00000000-0005-0000-0000-000081000000}"/>
    <cellStyle name="Normal 3 2" xfId="136" xr:uid="{00000000-0005-0000-0000-000082000000}"/>
    <cellStyle name="Normal 3 2 2" xfId="345" xr:uid="{00000000-0005-0000-0000-000083000000}"/>
    <cellStyle name="Normal 3 3" xfId="137" xr:uid="{00000000-0005-0000-0000-000084000000}"/>
    <cellStyle name="Normal 3 3 2" xfId="8" xr:uid="{00000000-0005-0000-0000-000085000000}"/>
    <cellStyle name="Normal 3 4" xfId="138" xr:uid="{00000000-0005-0000-0000-000086000000}"/>
    <cellStyle name="Normal 4" xfId="2" xr:uid="{00000000-0005-0000-0000-000087000000}"/>
    <cellStyle name="Normal 4 2" xfId="139" xr:uid="{00000000-0005-0000-0000-000088000000}"/>
    <cellStyle name="Normal 5" xfId="140" xr:uid="{00000000-0005-0000-0000-000089000000}"/>
    <cellStyle name="Normal 5 2" xfId="141" xr:uid="{00000000-0005-0000-0000-00008A000000}"/>
    <cellStyle name="Normal 5 3" xfId="142" xr:uid="{00000000-0005-0000-0000-00008B000000}"/>
    <cellStyle name="Normal 6" xfId="143" xr:uid="{00000000-0005-0000-0000-00008C000000}"/>
    <cellStyle name="Normal 6 2" xfId="144" xr:uid="{00000000-0005-0000-0000-00008D000000}"/>
    <cellStyle name="Normal 7" xfId="145" xr:uid="{00000000-0005-0000-0000-00008E000000}"/>
    <cellStyle name="Normal 7 2" xfId="146" xr:uid="{00000000-0005-0000-0000-00008F000000}"/>
    <cellStyle name="Normal 7 2 2" xfId="147" xr:uid="{00000000-0005-0000-0000-000090000000}"/>
    <cellStyle name="Normal 7 2 3" xfId="148" xr:uid="{00000000-0005-0000-0000-000091000000}"/>
    <cellStyle name="Normal 7 3" xfId="4" xr:uid="{00000000-0005-0000-0000-000092000000}"/>
    <cellStyle name="Normal 7 3 2" xfId="149" xr:uid="{00000000-0005-0000-0000-000093000000}"/>
    <cellStyle name="Normal 7 3 3" xfId="150" xr:uid="{00000000-0005-0000-0000-000094000000}"/>
    <cellStyle name="Normal 7 4" xfId="151" xr:uid="{00000000-0005-0000-0000-000095000000}"/>
    <cellStyle name="Normal 8" xfId="152" xr:uid="{00000000-0005-0000-0000-000096000000}"/>
    <cellStyle name="Normal 8 2" xfId="153" xr:uid="{00000000-0005-0000-0000-000097000000}"/>
    <cellStyle name="Normal 8 2 2" xfId="154" xr:uid="{00000000-0005-0000-0000-000098000000}"/>
    <cellStyle name="Normal 8 2 3" xfId="155" xr:uid="{00000000-0005-0000-0000-000099000000}"/>
    <cellStyle name="Normal 8 3" xfId="156" xr:uid="{00000000-0005-0000-0000-00009A000000}"/>
    <cellStyle name="Normal 8 4" xfId="157" xr:uid="{00000000-0005-0000-0000-00009B000000}"/>
    <cellStyle name="Normal 8 4 2" xfId="158" xr:uid="{00000000-0005-0000-0000-00009C000000}"/>
    <cellStyle name="Normal 8 5" xfId="159" xr:uid="{00000000-0005-0000-0000-00009D000000}"/>
    <cellStyle name="Normal 8 6" xfId="160" xr:uid="{00000000-0005-0000-0000-00009E000000}"/>
    <cellStyle name="Normal 9" xfId="161" xr:uid="{00000000-0005-0000-0000-00009F000000}"/>
    <cellStyle name="Normal 9 2" xfId="162" xr:uid="{00000000-0005-0000-0000-0000A0000000}"/>
    <cellStyle name="Normal 9 3" xfId="163" xr:uid="{00000000-0005-0000-0000-0000A1000000}"/>
    <cellStyle name="Normal 9 3 2" xfId="164" xr:uid="{00000000-0005-0000-0000-0000A2000000}"/>
    <cellStyle name="Note 2" xfId="165" xr:uid="{00000000-0005-0000-0000-0000A3000000}"/>
    <cellStyle name="Note 2 2" xfId="166" xr:uid="{00000000-0005-0000-0000-0000A4000000}"/>
    <cellStyle name="Note 3" xfId="167" xr:uid="{00000000-0005-0000-0000-0000A5000000}"/>
    <cellStyle name="Note 3 2" xfId="168" xr:uid="{00000000-0005-0000-0000-0000A6000000}"/>
    <cellStyle name="Note 3 2 2" xfId="169" xr:uid="{00000000-0005-0000-0000-0000A7000000}"/>
    <cellStyle name="Note 4" xfId="170" xr:uid="{00000000-0005-0000-0000-0000A8000000}"/>
    <cellStyle name="Note 4 2" xfId="171" xr:uid="{00000000-0005-0000-0000-0000A9000000}"/>
    <cellStyle name="Output 2" xfId="172" xr:uid="{00000000-0005-0000-0000-0000AA000000}"/>
    <cellStyle name="Output 3" xfId="173" xr:uid="{00000000-0005-0000-0000-0000AB000000}"/>
    <cellStyle name="Percent 2" xfId="174" xr:uid="{00000000-0005-0000-0000-0000AC000000}"/>
    <cellStyle name="Percent 3" xfId="175" xr:uid="{00000000-0005-0000-0000-0000AD000000}"/>
    <cellStyle name="PSChar" xfId="6" xr:uid="{00000000-0005-0000-0000-0000AE000000}"/>
    <cellStyle name="PSChar 10" xfId="176" xr:uid="{00000000-0005-0000-0000-0000AF000000}"/>
    <cellStyle name="PSChar 11" xfId="177" xr:uid="{00000000-0005-0000-0000-0000B0000000}"/>
    <cellStyle name="PSChar 12" xfId="178" xr:uid="{00000000-0005-0000-0000-0000B1000000}"/>
    <cellStyle name="PSChar 2" xfId="179" xr:uid="{00000000-0005-0000-0000-0000B2000000}"/>
    <cellStyle name="PSChar 2 2" xfId="180" xr:uid="{00000000-0005-0000-0000-0000B3000000}"/>
    <cellStyle name="PSChar 2 3" xfId="181" xr:uid="{00000000-0005-0000-0000-0000B4000000}"/>
    <cellStyle name="PSChar 3" xfId="182" xr:uid="{00000000-0005-0000-0000-0000B5000000}"/>
    <cellStyle name="PSChar 3 2" xfId="183" xr:uid="{00000000-0005-0000-0000-0000B6000000}"/>
    <cellStyle name="PSChar 3 3" xfId="184" xr:uid="{00000000-0005-0000-0000-0000B7000000}"/>
    <cellStyle name="PSChar 3 4" xfId="185" xr:uid="{00000000-0005-0000-0000-0000B8000000}"/>
    <cellStyle name="PSChar 3 5" xfId="186" xr:uid="{00000000-0005-0000-0000-0000B9000000}"/>
    <cellStyle name="PSChar 4" xfId="187" xr:uid="{00000000-0005-0000-0000-0000BA000000}"/>
    <cellStyle name="PSChar 4 2" xfId="188" xr:uid="{00000000-0005-0000-0000-0000BB000000}"/>
    <cellStyle name="PSChar 4 3" xfId="189" xr:uid="{00000000-0005-0000-0000-0000BC000000}"/>
    <cellStyle name="PSChar 4 4" xfId="190" xr:uid="{00000000-0005-0000-0000-0000BD000000}"/>
    <cellStyle name="PSChar 5" xfId="191" xr:uid="{00000000-0005-0000-0000-0000BE000000}"/>
    <cellStyle name="PSChar 5 2" xfId="192" xr:uid="{00000000-0005-0000-0000-0000BF000000}"/>
    <cellStyle name="PSChar 5 3" xfId="193" xr:uid="{00000000-0005-0000-0000-0000C0000000}"/>
    <cellStyle name="PSChar 5 4" xfId="194" xr:uid="{00000000-0005-0000-0000-0000C1000000}"/>
    <cellStyle name="PSChar 6" xfId="195" xr:uid="{00000000-0005-0000-0000-0000C2000000}"/>
    <cellStyle name="PSChar 6 2" xfId="196" xr:uid="{00000000-0005-0000-0000-0000C3000000}"/>
    <cellStyle name="PSChar 7" xfId="197" xr:uid="{00000000-0005-0000-0000-0000C4000000}"/>
    <cellStyle name="PSChar 7 2" xfId="198" xr:uid="{00000000-0005-0000-0000-0000C5000000}"/>
    <cellStyle name="PSChar 8" xfId="199" xr:uid="{00000000-0005-0000-0000-0000C6000000}"/>
    <cellStyle name="PSChar 8 2" xfId="200" xr:uid="{00000000-0005-0000-0000-0000C7000000}"/>
    <cellStyle name="PSChar 9" xfId="201" xr:uid="{00000000-0005-0000-0000-0000C8000000}"/>
    <cellStyle name="PSChar 9 2" xfId="202" xr:uid="{00000000-0005-0000-0000-0000C9000000}"/>
    <cellStyle name="PSDate" xfId="10" xr:uid="{00000000-0005-0000-0000-0000CA000000}"/>
    <cellStyle name="PSDate 10" xfId="203" xr:uid="{00000000-0005-0000-0000-0000CB000000}"/>
    <cellStyle name="PSDate 11" xfId="204" xr:uid="{00000000-0005-0000-0000-0000CC000000}"/>
    <cellStyle name="PSDate 12" xfId="205" xr:uid="{00000000-0005-0000-0000-0000CD000000}"/>
    <cellStyle name="PSDate 2" xfId="206" xr:uid="{00000000-0005-0000-0000-0000CE000000}"/>
    <cellStyle name="PSDate 2 2" xfId="207" xr:uid="{00000000-0005-0000-0000-0000CF000000}"/>
    <cellStyle name="PSDate 2 3" xfId="208" xr:uid="{00000000-0005-0000-0000-0000D0000000}"/>
    <cellStyle name="PSDate 3" xfId="209" xr:uid="{00000000-0005-0000-0000-0000D1000000}"/>
    <cellStyle name="PSDate 3 2" xfId="210" xr:uid="{00000000-0005-0000-0000-0000D2000000}"/>
    <cellStyle name="PSDate 3 3" xfId="211" xr:uid="{00000000-0005-0000-0000-0000D3000000}"/>
    <cellStyle name="PSDate 3 4" xfId="212" xr:uid="{00000000-0005-0000-0000-0000D4000000}"/>
    <cellStyle name="PSDate 3 5" xfId="213" xr:uid="{00000000-0005-0000-0000-0000D5000000}"/>
    <cellStyle name="PSDate 4" xfId="214" xr:uid="{00000000-0005-0000-0000-0000D6000000}"/>
    <cellStyle name="PSDate 4 2" xfId="215" xr:uid="{00000000-0005-0000-0000-0000D7000000}"/>
    <cellStyle name="PSDate 4 3" xfId="216" xr:uid="{00000000-0005-0000-0000-0000D8000000}"/>
    <cellStyle name="PSDate 4 4" xfId="217" xr:uid="{00000000-0005-0000-0000-0000D9000000}"/>
    <cellStyle name="PSDate 5" xfId="218" xr:uid="{00000000-0005-0000-0000-0000DA000000}"/>
    <cellStyle name="PSDate 5 2" xfId="219" xr:uid="{00000000-0005-0000-0000-0000DB000000}"/>
    <cellStyle name="PSDate 5 3" xfId="220" xr:uid="{00000000-0005-0000-0000-0000DC000000}"/>
    <cellStyle name="PSDate 5 4" xfId="221" xr:uid="{00000000-0005-0000-0000-0000DD000000}"/>
    <cellStyle name="PSDate 6" xfId="222" xr:uid="{00000000-0005-0000-0000-0000DE000000}"/>
    <cellStyle name="PSDate 6 2" xfId="223" xr:uid="{00000000-0005-0000-0000-0000DF000000}"/>
    <cellStyle name="PSDate 7" xfId="224" xr:uid="{00000000-0005-0000-0000-0000E0000000}"/>
    <cellStyle name="PSDate 7 2" xfId="225" xr:uid="{00000000-0005-0000-0000-0000E1000000}"/>
    <cellStyle name="PSDate 8" xfId="226" xr:uid="{00000000-0005-0000-0000-0000E2000000}"/>
    <cellStyle name="PSDate 8 2" xfId="227" xr:uid="{00000000-0005-0000-0000-0000E3000000}"/>
    <cellStyle name="PSDate 9" xfId="228" xr:uid="{00000000-0005-0000-0000-0000E4000000}"/>
    <cellStyle name="PSDate 9 2" xfId="229" xr:uid="{00000000-0005-0000-0000-0000E5000000}"/>
    <cellStyle name="PSDec" xfId="7" xr:uid="{00000000-0005-0000-0000-0000E6000000}"/>
    <cellStyle name="PSDec 10" xfId="230" xr:uid="{00000000-0005-0000-0000-0000E7000000}"/>
    <cellStyle name="PSDec 11" xfId="231" xr:uid="{00000000-0005-0000-0000-0000E8000000}"/>
    <cellStyle name="PSDec 12" xfId="232" xr:uid="{00000000-0005-0000-0000-0000E9000000}"/>
    <cellStyle name="PSDec 2" xfId="233" xr:uid="{00000000-0005-0000-0000-0000EA000000}"/>
    <cellStyle name="PSDec 2 2" xfId="234" xr:uid="{00000000-0005-0000-0000-0000EB000000}"/>
    <cellStyle name="PSDec 2 3" xfId="235" xr:uid="{00000000-0005-0000-0000-0000EC000000}"/>
    <cellStyle name="PSDec 3" xfId="236" xr:uid="{00000000-0005-0000-0000-0000ED000000}"/>
    <cellStyle name="PSDec 3 2" xfId="237" xr:uid="{00000000-0005-0000-0000-0000EE000000}"/>
    <cellStyle name="PSDec 3 3" xfId="238" xr:uid="{00000000-0005-0000-0000-0000EF000000}"/>
    <cellStyle name="PSDec 3 4" xfId="239" xr:uid="{00000000-0005-0000-0000-0000F0000000}"/>
    <cellStyle name="PSDec 3 5" xfId="240" xr:uid="{00000000-0005-0000-0000-0000F1000000}"/>
    <cellStyle name="PSDec 4" xfId="241" xr:uid="{00000000-0005-0000-0000-0000F2000000}"/>
    <cellStyle name="PSDec 4 2" xfId="242" xr:uid="{00000000-0005-0000-0000-0000F3000000}"/>
    <cellStyle name="PSDec 4 3" xfId="243" xr:uid="{00000000-0005-0000-0000-0000F4000000}"/>
    <cellStyle name="PSDec 4 4" xfId="244" xr:uid="{00000000-0005-0000-0000-0000F5000000}"/>
    <cellStyle name="PSDec 5" xfId="245" xr:uid="{00000000-0005-0000-0000-0000F6000000}"/>
    <cellStyle name="PSDec 5 2" xfId="246" xr:uid="{00000000-0005-0000-0000-0000F7000000}"/>
    <cellStyle name="PSDec 5 3" xfId="247" xr:uid="{00000000-0005-0000-0000-0000F8000000}"/>
    <cellStyle name="PSDec 5 4" xfId="248" xr:uid="{00000000-0005-0000-0000-0000F9000000}"/>
    <cellStyle name="PSDec 6" xfId="249" xr:uid="{00000000-0005-0000-0000-0000FA000000}"/>
    <cellStyle name="PSDec 6 2" xfId="250" xr:uid="{00000000-0005-0000-0000-0000FB000000}"/>
    <cellStyle name="PSDec 7" xfId="251" xr:uid="{00000000-0005-0000-0000-0000FC000000}"/>
    <cellStyle name="PSDec 7 2" xfId="252" xr:uid="{00000000-0005-0000-0000-0000FD000000}"/>
    <cellStyle name="PSDec 8" xfId="253" xr:uid="{00000000-0005-0000-0000-0000FE000000}"/>
    <cellStyle name="PSDec 8 2" xfId="254" xr:uid="{00000000-0005-0000-0000-0000FF000000}"/>
    <cellStyle name="PSDec 9" xfId="255" xr:uid="{00000000-0005-0000-0000-000000010000}"/>
    <cellStyle name="PSDec 9 2" xfId="256" xr:uid="{00000000-0005-0000-0000-000001010000}"/>
    <cellStyle name="PSHeading" xfId="257" xr:uid="{00000000-0005-0000-0000-000002010000}"/>
    <cellStyle name="PSHeading 10" xfId="258" xr:uid="{00000000-0005-0000-0000-000003010000}"/>
    <cellStyle name="PSHeading 10 2" xfId="259" xr:uid="{00000000-0005-0000-0000-000004010000}"/>
    <cellStyle name="PSHeading 11" xfId="260" xr:uid="{00000000-0005-0000-0000-000005010000}"/>
    <cellStyle name="PSHeading 11 2" xfId="261" xr:uid="{00000000-0005-0000-0000-000006010000}"/>
    <cellStyle name="PSHeading 12" xfId="262" xr:uid="{00000000-0005-0000-0000-000007010000}"/>
    <cellStyle name="PSHeading 12 2" xfId="263" xr:uid="{00000000-0005-0000-0000-000008010000}"/>
    <cellStyle name="PSHeading 12 3" xfId="264" xr:uid="{00000000-0005-0000-0000-000009010000}"/>
    <cellStyle name="PSHeading 12 3 2" xfId="265" xr:uid="{00000000-0005-0000-0000-00000A010000}"/>
    <cellStyle name="PSHeading 13" xfId="266" xr:uid="{00000000-0005-0000-0000-00000B010000}"/>
    <cellStyle name="PSHeading 2" xfId="267" xr:uid="{00000000-0005-0000-0000-00000C010000}"/>
    <cellStyle name="PSHeading 2 2" xfId="268" xr:uid="{00000000-0005-0000-0000-00000D010000}"/>
    <cellStyle name="PSHeading 2 3" xfId="269" xr:uid="{00000000-0005-0000-0000-00000E010000}"/>
    <cellStyle name="PSHeading 3" xfId="270" xr:uid="{00000000-0005-0000-0000-00000F010000}"/>
    <cellStyle name="PSHeading 3 2" xfId="271" xr:uid="{00000000-0005-0000-0000-000010010000}"/>
    <cellStyle name="PSHeading 4" xfId="272" xr:uid="{00000000-0005-0000-0000-000011010000}"/>
    <cellStyle name="PSHeading 4 2" xfId="273" xr:uid="{00000000-0005-0000-0000-000012010000}"/>
    <cellStyle name="PSHeading 5" xfId="274" xr:uid="{00000000-0005-0000-0000-000013010000}"/>
    <cellStyle name="PSHeading 5 2" xfId="275" xr:uid="{00000000-0005-0000-0000-000014010000}"/>
    <cellStyle name="PSHeading 6" xfId="276" xr:uid="{00000000-0005-0000-0000-000015010000}"/>
    <cellStyle name="PSHeading 6 2" xfId="277" xr:uid="{00000000-0005-0000-0000-000016010000}"/>
    <cellStyle name="PSHeading 7" xfId="278" xr:uid="{00000000-0005-0000-0000-000017010000}"/>
    <cellStyle name="PSHeading 7 2" xfId="279" xr:uid="{00000000-0005-0000-0000-000018010000}"/>
    <cellStyle name="PSHeading 8" xfId="280" xr:uid="{00000000-0005-0000-0000-000019010000}"/>
    <cellStyle name="PSHeading 8 2" xfId="281" xr:uid="{00000000-0005-0000-0000-00001A010000}"/>
    <cellStyle name="PSHeading 9" xfId="282" xr:uid="{00000000-0005-0000-0000-00001B010000}"/>
    <cellStyle name="PSHeading 9 2" xfId="283" xr:uid="{00000000-0005-0000-0000-00001C010000}"/>
    <cellStyle name="PSInt" xfId="9" xr:uid="{00000000-0005-0000-0000-00001D010000}"/>
    <cellStyle name="PSInt 10" xfId="284" xr:uid="{00000000-0005-0000-0000-00001E010000}"/>
    <cellStyle name="PSInt 11" xfId="285" xr:uid="{00000000-0005-0000-0000-00001F010000}"/>
    <cellStyle name="PSInt 12" xfId="286" xr:uid="{00000000-0005-0000-0000-000020010000}"/>
    <cellStyle name="PSInt 2" xfId="287" xr:uid="{00000000-0005-0000-0000-000021010000}"/>
    <cellStyle name="PSInt 2 2" xfId="288" xr:uid="{00000000-0005-0000-0000-000022010000}"/>
    <cellStyle name="PSInt 2 3" xfId="289" xr:uid="{00000000-0005-0000-0000-000023010000}"/>
    <cellStyle name="PSInt 3" xfId="290" xr:uid="{00000000-0005-0000-0000-000024010000}"/>
    <cellStyle name="PSInt 3 2" xfId="291" xr:uid="{00000000-0005-0000-0000-000025010000}"/>
    <cellStyle name="PSInt 3 3" xfId="292" xr:uid="{00000000-0005-0000-0000-000026010000}"/>
    <cellStyle name="PSInt 3 4" xfId="293" xr:uid="{00000000-0005-0000-0000-000027010000}"/>
    <cellStyle name="PSInt 3 5" xfId="294" xr:uid="{00000000-0005-0000-0000-000028010000}"/>
    <cellStyle name="PSInt 4" xfId="295" xr:uid="{00000000-0005-0000-0000-000029010000}"/>
    <cellStyle name="PSInt 4 2" xfId="296" xr:uid="{00000000-0005-0000-0000-00002A010000}"/>
    <cellStyle name="PSInt 4 3" xfId="297" xr:uid="{00000000-0005-0000-0000-00002B010000}"/>
    <cellStyle name="PSInt 4 4" xfId="298" xr:uid="{00000000-0005-0000-0000-00002C010000}"/>
    <cellStyle name="PSInt 5" xfId="299" xr:uid="{00000000-0005-0000-0000-00002D010000}"/>
    <cellStyle name="PSInt 5 2" xfId="300" xr:uid="{00000000-0005-0000-0000-00002E010000}"/>
    <cellStyle name="PSInt 5 3" xfId="301" xr:uid="{00000000-0005-0000-0000-00002F010000}"/>
    <cellStyle name="PSInt 5 4" xfId="302" xr:uid="{00000000-0005-0000-0000-000030010000}"/>
    <cellStyle name="PSInt 6" xfId="303" xr:uid="{00000000-0005-0000-0000-000031010000}"/>
    <cellStyle name="PSInt 6 2" xfId="304" xr:uid="{00000000-0005-0000-0000-000032010000}"/>
    <cellStyle name="PSInt 7" xfId="305" xr:uid="{00000000-0005-0000-0000-000033010000}"/>
    <cellStyle name="PSInt 7 2" xfId="306" xr:uid="{00000000-0005-0000-0000-000034010000}"/>
    <cellStyle name="PSInt 8" xfId="307" xr:uid="{00000000-0005-0000-0000-000035010000}"/>
    <cellStyle name="PSInt 8 2" xfId="308" xr:uid="{00000000-0005-0000-0000-000036010000}"/>
    <cellStyle name="PSInt 9" xfId="309" xr:uid="{00000000-0005-0000-0000-000037010000}"/>
    <cellStyle name="PSInt 9 2" xfId="310" xr:uid="{00000000-0005-0000-0000-000038010000}"/>
    <cellStyle name="PSSpacer" xfId="311" xr:uid="{00000000-0005-0000-0000-000039010000}"/>
    <cellStyle name="PSSpacer 10" xfId="312" xr:uid="{00000000-0005-0000-0000-00003A010000}"/>
    <cellStyle name="PSSpacer 11" xfId="313" xr:uid="{00000000-0005-0000-0000-00003B010000}"/>
    <cellStyle name="PSSpacer 12" xfId="314" xr:uid="{00000000-0005-0000-0000-00003C010000}"/>
    <cellStyle name="PSSpacer 2" xfId="315" xr:uid="{00000000-0005-0000-0000-00003D010000}"/>
    <cellStyle name="PSSpacer 2 2" xfId="316" xr:uid="{00000000-0005-0000-0000-00003E010000}"/>
    <cellStyle name="PSSpacer 2 3" xfId="317" xr:uid="{00000000-0005-0000-0000-00003F010000}"/>
    <cellStyle name="PSSpacer 3" xfId="318" xr:uid="{00000000-0005-0000-0000-000040010000}"/>
    <cellStyle name="PSSpacer 3 2" xfId="319" xr:uid="{00000000-0005-0000-0000-000041010000}"/>
    <cellStyle name="PSSpacer 3 3" xfId="320" xr:uid="{00000000-0005-0000-0000-000042010000}"/>
    <cellStyle name="PSSpacer 3 4" xfId="321" xr:uid="{00000000-0005-0000-0000-000043010000}"/>
    <cellStyle name="PSSpacer 3 5" xfId="322" xr:uid="{00000000-0005-0000-0000-000044010000}"/>
    <cellStyle name="PSSpacer 4" xfId="323" xr:uid="{00000000-0005-0000-0000-000045010000}"/>
    <cellStyle name="PSSpacer 4 2" xfId="324" xr:uid="{00000000-0005-0000-0000-000046010000}"/>
    <cellStyle name="PSSpacer 4 3" xfId="325" xr:uid="{00000000-0005-0000-0000-000047010000}"/>
    <cellStyle name="PSSpacer 4 4" xfId="326" xr:uid="{00000000-0005-0000-0000-000048010000}"/>
    <cellStyle name="PSSpacer 5" xfId="327" xr:uid="{00000000-0005-0000-0000-000049010000}"/>
    <cellStyle name="PSSpacer 5 2" xfId="328" xr:uid="{00000000-0005-0000-0000-00004A010000}"/>
    <cellStyle name="PSSpacer 5 3" xfId="329" xr:uid="{00000000-0005-0000-0000-00004B010000}"/>
    <cellStyle name="PSSpacer 5 4" xfId="330" xr:uid="{00000000-0005-0000-0000-00004C010000}"/>
    <cellStyle name="PSSpacer 6" xfId="331" xr:uid="{00000000-0005-0000-0000-00004D010000}"/>
    <cellStyle name="PSSpacer 6 2" xfId="332" xr:uid="{00000000-0005-0000-0000-00004E010000}"/>
    <cellStyle name="PSSpacer 7" xfId="333" xr:uid="{00000000-0005-0000-0000-00004F010000}"/>
    <cellStyle name="PSSpacer 7 2" xfId="334" xr:uid="{00000000-0005-0000-0000-000050010000}"/>
    <cellStyle name="PSSpacer 8" xfId="335" xr:uid="{00000000-0005-0000-0000-000051010000}"/>
    <cellStyle name="PSSpacer 8 2" xfId="336" xr:uid="{00000000-0005-0000-0000-000052010000}"/>
    <cellStyle name="PSSpacer 9" xfId="337" xr:uid="{00000000-0005-0000-0000-000053010000}"/>
    <cellStyle name="PSSpacer 9 2" xfId="338" xr:uid="{00000000-0005-0000-0000-000054010000}"/>
    <cellStyle name="Title 2" xfId="339" xr:uid="{00000000-0005-0000-0000-000055010000}"/>
    <cellStyle name="Total 2" xfId="340" xr:uid="{00000000-0005-0000-0000-000056010000}"/>
    <cellStyle name="Total 3" xfId="341" xr:uid="{00000000-0005-0000-0000-000057010000}"/>
    <cellStyle name="Warning Text 2" xfId="342" xr:uid="{00000000-0005-0000-0000-000058010000}"/>
    <cellStyle name="Warning Text 3" xfId="343" xr:uid="{00000000-0005-0000-0000-000059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COUNT%20RECONCILIATIONS\2018\06-2018\SWEPCo%20Account%20Recs%20-%20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Sheet"/>
      <sheetName val="Current Month Balance Sheet"/>
      <sheetName val="1160020_CP"/>
      <sheetName val="1160020"/>
      <sheetName val="1160021_CP"/>
      <sheetName val="1160021"/>
      <sheetName val="1160022_CP2"/>
      <sheetName val="1160022"/>
      <sheetName val="1160023_CP"/>
      <sheetName val="1160023"/>
      <sheetName val="1160024_CP"/>
      <sheetName val="1160024"/>
      <sheetName val="1160025_CP"/>
      <sheetName val="1160025"/>
      <sheetName val="1160026_CP"/>
      <sheetName val="1160026"/>
      <sheetName val="1160027_CP"/>
      <sheetName val="1160027"/>
      <sheetName val="1160028_CP"/>
      <sheetName val="1160028"/>
      <sheetName val="1231003_CP"/>
      <sheetName val="1231003"/>
      <sheetName val="1231005_CP"/>
      <sheetName val="1231005"/>
      <sheetName val="1231101_CP"/>
      <sheetName val="1231101"/>
      <sheetName val="1231102_CP"/>
      <sheetName val="1231102"/>
      <sheetName val="1240002_CP"/>
      <sheetName val="1240002"/>
      <sheetName val="1430104_CP"/>
      <sheetName val="1430104"/>
      <sheetName val="1430105_CP"/>
      <sheetName val="1430105"/>
      <sheetName val="1650006_CP"/>
      <sheetName val="1650006"/>
      <sheetName val="1650006 Support"/>
      <sheetName val="1650030_CP"/>
      <sheetName val="1650030"/>
      <sheetName val="1823000_CP"/>
      <sheetName val="1823000"/>
      <sheetName val="1823108_CP"/>
      <sheetName val="New 1823108"/>
      <sheetName val="1823108"/>
      <sheetName val="1823180_CP"/>
      <sheetName val="1823180"/>
      <sheetName val="1823235_CP"/>
      <sheetName val="1823235"/>
      <sheetName val="1823237_CP"/>
      <sheetName val="1823237"/>
      <sheetName val="1823241_CP"/>
      <sheetName val="1823241"/>
      <sheetName val="1823242_CP"/>
      <sheetName val="1823242"/>
      <sheetName val="1823243_CP"/>
      <sheetName val="1823243"/>
      <sheetName val="1823348_CP"/>
      <sheetName val="1823348"/>
      <sheetName val="1823359_CP"/>
      <sheetName val="1823359"/>
      <sheetName val="1823360_CP"/>
      <sheetName val="1823360"/>
      <sheetName val="1823539_CP"/>
      <sheetName val="1823539"/>
      <sheetName val="1860002_CP"/>
      <sheetName val="1860002"/>
      <sheetName val="1860150_CP"/>
      <sheetName val="1860150"/>
      <sheetName val="1860156_CP"/>
      <sheetName val="1860156"/>
      <sheetName val="1860160_CP"/>
      <sheetName val="1860160"/>
      <sheetName val="1860171_CP"/>
      <sheetName val="1860171"/>
      <sheetName val="2010001_CP"/>
      <sheetName val="2010001"/>
      <sheetName val="2110000_CP"/>
      <sheetName val="2110000"/>
      <sheetName val="2160001_CP"/>
      <sheetName val="2160001"/>
      <sheetName val="2161001_CP"/>
      <sheetName val="2161001"/>
      <sheetName val="2161002_CP"/>
      <sheetName val="2161002"/>
      <sheetName val="2283001_CP"/>
      <sheetName val="2283001"/>
      <sheetName val="2370009_CP"/>
      <sheetName val="2370009"/>
      <sheetName val="2420000_CP"/>
      <sheetName val="2420000"/>
      <sheetName val="2420081_CP"/>
      <sheetName val="2420081"/>
      <sheetName val="2420700_CP"/>
      <sheetName val="2420700"/>
      <sheetName val="2530000_CP"/>
      <sheetName val="2530000"/>
      <sheetName val="2530016_CP"/>
      <sheetName val="2530016"/>
      <sheetName val="2530058_CP"/>
      <sheetName val="2530058"/>
      <sheetName val="2530112_CP"/>
      <sheetName val="2530112"/>
      <sheetName val="2530120_CP"/>
      <sheetName val="2530120"/>
      <sheetName val="2530190_CP"/>
      <sheetName val="2530190"/>
      <sheetName val="2540050_CP"/>
      <sheetName val="2530050"/>
      <sheetName val="2540052_CP"/>
      <sheetName val="2540052"/>
      <sheetName val="2540174_CP"/>
      <sheetName val="2540174"/>
      <sheetName val="2540184_CP"/>
      <sheetName val="2540184"/>
      <sheetName val="2540191_CP"/>
      <sheetName val="2540191"/>
    </sheetNames>
    <sheetDataSet>
      <sheetData sheetId="0">
        <row r="6">
          <cell r="B6">
            <v>43281</v>
          </cell>
        </row>
      </sheetData>
      <sheetData sheetId="1">
        <row r="11">
          <cell r="B11">
            <v>1310000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5"/>
  <sheetViews>
    <sheetView tabSelected="1" zoomScaleNormal="100" zoomScaleSheetLayoutView="100" workbookViewId="0">
      <selection sqref="A1:M1"/>
    </sheetView>
  </sheetViews>
  <sheetFormatPr defaultRowHeight="15"/>
  <cols>
    <col min="2" max="2" width="55" style="18" customWidth="1"/>
    <col min="3" max="3" width="16.85546875" style="19" customWidth="1"/>
    <col min="5" max="5" width="11.140625" bestFit="1" customWidth="1"/>
  </cols>
  <sheetData>
    <row r="1" spans="2:3">
      <c r="B1" s="82" t="s">
        <v>52</v>
      </c>
      <c r="C1" s="82"/>
    </row>
    <row r="2" spans="2:3">
      <c r="B2" s="82" t="s">
        <v>258</v>
      </c>
      <c r="C2" s="82"/>
    </row>
    <row r="3" spans="2:3">
      <c r="B3" s="82" t="s">
        <v>260</v>
      </c>
      <c r="C3" s="82"/>
    </row>
    <row r="5" spans="2:3">
      <c r="B5" s="61" t="s">
        <v>46</v>
      </c>
      <c r="C5" s="62"/>
    </row>
    <row r="6" spans="2:3">
      <c r="B6" s="63" t="s">
        <v>24</v>
      </c>
      <c r="C6" s="62">
        <f>'Attachment B Docket 51984'!H19</f>
        <v>24763.5</v>
      </c>
    </row>
    <row r="7" spans="2:3">
      <c r="B7" s="64" t="s">
        <v>21</v>
      </c>
      <c r="C7" s="62">
        <f>'Attachment B Docket 51984'!H23</f>
        <v>0</v>
      </c>
    </row>
    <row r="8" spans="2:3">
      <c r="B8" s="64" t="s">
        <v>22</v>
      </c>
      <c r="C8" s="62">
        <f>'Attachment B Docket 51984'!H27</f>
        <v>13.75</v>
      </c>
    </row>
    <row r="9" spans="2:3" ht="15.75" thickBot="1">
      <c r="B9" s="64" t="s">
        <v>23</v>
      </c>
      <c r="C9" s="65">
        <f>'Attachment B Docket 51984'!H35</f>
        <v>5692.99</v>
      </c>
    </row>
    <row r="10" spans="2:3" s="27" customFormat="1" ht="15.75" thickTop="1">
      <c r="B10" s="66" t="s">
        <v>47</v>
      </c>
      <c r="C10" s="67">
        <f>SUM(C6:C9)</f>
        <v>30470.239999999998</v>
      </c>
    </row>
    <row r="11" spans="2:3" s="27" customFormat="1">
      <c r="B11" s="44"/>
      <c r="C11" s="26"/>
    </row>
    <row r="12" spans="2:3" s="27" customFormat="1">
      <c r="B12" s="29" t="s">
        <v>48</v>
      </c>
      <c r="C12" s="19"/>
    </row>
    <row r="13" spans="2:3" s="27" customFormat="1">
      <c r="B13" s="30" t="s">
        <v>24</v>
      </c>
      <c r="C13" s="19">
        <f>'Attachment B Docket 53451'!H14</f>
        <v>27173.5</v>
      </c>
    </row>
    <row r="14" spans="2:3" s="27" customFormat="1">
      <c r="B14" s="31" t="s">
        <v>21</v>
      </c>
      <c r="C14" s="19">
        <f>'Attachment B Docket 53451'!H18</f>
        <v>0</v>
      </c>
    </row>
    <row r="15" spans="2:3" s="27" customFormat="1">
      <c r="B15" s="31" t="s">
        <v>22</v>
      </c>
      <c r="C15" s="19">
        <f>'Attachment B Docket 53451'!H25</f>
        <v>667</v>
      </c>
    </row>
    <row r="16" spans="2:3" s="27" customFormat="1" ht="15.75" thickBot="1">
      <c r="B16" s="31" t="s">
        <v>23</v>
      </c>
      <c r="C16" s="20">
        <f>'Attachment B Docket 53451'!H34</f>
        <v>830.2399999999999</v>
      </c>
    </row>
    <row r="17" spans="2:3" s="27" customFormat="1" ht="15.75" thickTop="1">
      <c r="B17" s="44" t="s">
        <v>49</v>
      </c>
      <c r="C17" s="26">
        <f>SUM(C13:C16)</f>
        <v>28670.74</v>
      </c>
    </row>
    <row r="19" spans="2:3">
      <c r="B19" s="29" t="s">
        <v>245</v>
      </c>
    </row>
    <row r="20" spans="2:3">
      <c r="B20" s="30" t="s">
        <v>24</v>
      </c>
      <c r="C20" s="19">
        <f>'Attachment B Docket 54824'!H18</f>
        <v>30418</v>
      </c>
    </row>
    <row r="21" spans="2:3">
      <c r="B21" s="31" t="s">
        <v>21</v>
      </c>
      <c r="C21" s="19">
        <f>'Attachment B Docket 54824'!H31</f>
        <v>84223</v>
      </c>
    </row>
    <row r="22" spans="2:3">
      <c r="B22" s="31" t="s">
        <v>22</v>
      </c>
      <c r="C22" s="19">
        <f>'Attachment B Docket 54824'!H39</f>
        <v>707.6</v>
      </c>
    </row>
    <row r="23" spans="2:3" ht="15.75" thickBot="1">
      <c r="B23" s="31" t="s">
        <v>23</v>
      </c>
      <c r="C23" s="20">
        <f>'Attachment B Docket 54824'!H46</f>
        <v>510.15999999999997</v>
      </c>
    </row>
    <row r="24" spans="2:3" ht="15" customHeight="1" thickTop="1">
      <c r="B24" s="58" t="s">
        <v>50</v>
      </c>
      <c r="C24" s="26">
        <f>SUM(C20:C23)</f>
        <v>115858.76000000001</v>
      </c>
    </row>
    <row r="25" spans="2:3" ht="15" customHeight="1">
      <c r="B25" s="58"/>
      <c r="C25" s="26"/>
    </row>
    <row r="26" spans="2:3">
      <c r="B26" s="29" t="s">
        <v>217</v>
      </c>
    </row>
    <row r="27" spans="2:3">
      <c r="B27" s="30" t="s">
        <v>24</v>
      </c>
      <c r="C27" s="19">
        <f>'Attachment B Docket 53267'!H11</f>
        <v>0</v>
      </c>
    </row>
    <row r="28" spans="2:3">
      <c r="B28" s="31" t="s">
        <v>21</v>
      </c>
      <c r="C28" s="19">
        <f>'Attachment B Docket 53267'!H16</f>
        <v>19336.12</v>
      </c>
    </row>
    <row r="29" spans="2:3">
      <c r="B29" s="31" t="s">
        <v>22</v>
      </c>
      <c r="C29" s="19">
        <f>'Attachment B Docket 53267'!H20</f>
        <v>0</v>
      </c>
    </row>
    <row r="30" spans="2:3" ht="15.75" thickBot="1">
      <c r="B30" s="31" t="s">
        <v>23</v>
      </c>
      <c r="C30" s="20">
        <f>'Attachment B Docket 53267'!H24</f>
        <v>0</v>
      </c>
    </row>
    <row r="31" spans="2:3" ht="15" customHeight="1" thickTop="1">
      <c r="B31" s="58" t="s">
        <v>51</v>
      </c>
      <c r="C31" s="26">
        <f>SUM(C27:C30)</f>
        <v>19336.12</v>
      </c>
    </row>
    <row r="32" spans="2:3" ht="15" customHeight="1">
      <c r="B32" s="58"/>
      <c r="C32" s="26"/>
    </row>
    <row r="33" spans="2:5" ht="15" customHeight="1">
      <c r="B33" s="29" t="s">
        <v>241</v>
      </c>
    </row>
    <row r="34" spans="2:5">
      <c r="B34" s="30" t="s">
        <v>24</v>
      </c>
      <c r="C34" s="19">
        <f>'Attachment B Docket 55820'!H11</f>
        <v>0</v>
      </c>
    </row>
    <row r="35" spans="2:5">
      <c r="B35" s="31" t="s">
        <v>21</v>
      </c>
      <c r="C35" s="19">
        <f>'Attachment B Docket 55820'!H15</f>
        <v>6662.52</v>
      </c>
    </row>
    <row r="36" spans="2:5">
      <c r="B36" s="31" t="s">
        <v>22</v>
      </c>
      <c r="C36" s="19">
        <f>'Attachment B Docket 54824'!H45</f>
        <v>0</v>
      </c>
    </row>
    <row r="37" spans="2:5" ht="15.75" thickBot="1">
      <c r="B37" s="31" t="s">
        <v>23</v>
      </c>
      <c r="C37" s="20">
        <f>'Attachment B Docket 55820'!H24</f>
        <v>198.53</v>
      </c>
    </row>
    <row r="38" spans="2:5" ht="15.75" thickTop="1">
      <c r="B38" s="68" t="s">
        <v>242</v>
      </c>
      <c r="C38" s="26">
        <f>SUM(C34:C37)</f>
        <v>6861.05</v>
      </c>
    </row>
    <row r="39" spans="2:5">
      <c r="B39" s="68"/>
      <c r="C39" s="26"/>
    </row>
    <row r="40" spans="2:5">
      <c r="B40" s="29" t="s">
        <v>261</v>
      </c>
    </row>
    <row r="41" spans="2:5">
      <c r="B41" s="30" t="s">
        <v>24</v>
      </c>
      <c r="C41" s="19">
        <f>'Attachment B Docket 56165'!H11</f>
        <v>0</v>
      </c>
    </row>
    <row r="42" spans="2:5">
      <c r="B42" s="31" t="s">
        <v>21</v>
      </c>
      <c r="C42" s="19">
        <f>'Attachment B Docket 56165'!H24</f>
        <v>203515.33000000002</v>
      </c>
    </row>
    <row r="43" spans="2:5">
      <c r="B43" s="31" t="s">
        <v>22</v>
      </c>
      <c r="C43" s="19">
        <f>'Attachment B Docket 56165'!H45</f>
        <v>269882</v>
      </c>
    </row>
    <row r="44" spans="2:5" ht="15.75" thickBot="1">
      <c r="B44" s="31" t="s">
        <v>23</v>
      </c>
      <c r="C44" s="20">
        <f>'Attachment B Docket 56165'!H51</f>
        <v>0</v>
      </c>
    </row>
    <row r="45" spans="2:5" ht="15.75" thickTop="1">
      <c r="B45" s="25" t="s">
        <v>40</v>
      </c>
      <c r="C45" s="26">
        <f>SUM(C41:C44)</f>
        <v>473397.33</v>
      </c>
      <c r="E45" s="19"/>
    </row>
    <row r="47" spans="2:5">
      <c r="B47" s="29" t="s">
        <v>28</v>
      </c>
    </row>
    <row r="48" spans="2:5">
      <c r="B48" s="30" t="s">
        <v>24</v>
      </c>
      <c r="C48" s="19">
        <f>SUM(C6,C13,C20,C34,C27,C41)</f>
        <v>82355</v>
      </c>
    </row>
    <row r="49" spans="2:3">
      <c r="B49" s="31" t="s">
        <v>21</v>
      </c>
      <c r="C49" s="19">
        <f>SUM(C7,C14,C21,C35,C28,C42)</f>
        <v>313736.97000000003</v>
      </c>
    </row>
    <row r="50" spans="2:3">
      <c r="B50" s="31" t="s">
        <v>22</v>
      </c>
      <c r="C50" s="19">
        <f>SUM(C8,C15,C22,C36,C29,C43)</f>
        <v>271270.34999999998</v>
      </c>
    </row>
    <row r="51" spans="2:3" ht="15.75" thickBot="1">
      <c r="B51" s="31" t="s">
        <v>23</v>
      </c>
      <c r="C51" s="20">
        <f>SUM(C9,C16,C23,C37,C30,C44)</f>
        <v>7231.9199999999992</v>
      </c>
    </row>
    <row r="52" spans="2:3" ht="15.75" thickTop="1">
      <c r="B52" s="38" t="s">
        <v>29</v>
      </c>
      <c r="C52" s="26">
        <f>SUM(C48:C51)</f>
        <v>674594.24000000011</v>
      </c>
    </row>
    <row r="54" spans="2:3" ht="15.75" thickBot="1"/>
    <row r="55" spans="2:3" ht="15.75" thickBot="1">
      <c r="B55" s="25" t="s">
        <v>27</v>
      </c>
      <c r="C55" s="28">
        <f>C10++C24+C38+C31+C17+C45</f>
        <v>674594.24</v>
      </c>
    </row>
  </sheetData>
  <mergeCells count="3">
    <mergeCell ref="B1:C1"/>
    <mergeCell ref="B2:C2"/>
    <mergeCell ref="B3:C3"/>
  </mergeCells>
  <pageMargins left="0.7" right="0.7" top="0.75" bottom="0.75" header="0.3" footer="0.3"/>
  <pageSetup scale="96" orientation="portrait" r:id="rId1"/>
  <headerFooter scaleWithDoc="0">
    <oddHeader>&amp;RDocket No. 56165
Exhibit CMB-2
&amp;A
Page &amp;P of &amp;N</oddHeader>
  </headerFooter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26"/>
  <sheetViews>
    <sheetView tabSelected="1" zoomScaleNormal="100" zoomScaleSheetLayoutView="90" workbookViewId="0">
      <selection sqref="A1:M1"/>
    </sheetView>
  </sheetViews>
  <sheetFormatPr defaultColWidth="9.140625" defaultRowHeight="12"/>
  <cols>
    <col min="1" max="1" width="22.5703125" style="2" customWidth="1"/>
    <col min="2" max="2" width="19" style="2" bestFit="1" customWidth="1"/>
    <col min="3" max="3" width="10" style="2" bestFit="1" customWidth="1"/>
    <col min="4" max="4" width="11.28515625" style="7" bestFit="1" customWidth="1"/>
    <col min="5" max="5" width="35" style="2" bestFit="1" customWidth="1"/>
    <col min="6" max="6" width="14.5703125" style="6" bestFit="1" customWidth="1"/>
    <col min="7" max="7" width="14.140625" style="6" bestFit="1" customWidth="1"/>
    <col min="8" max="8" width="14.5703125" style="6" bestFit="1" customWidth="1"/>
    <col min="9" max="9" width="17.85546875" style="2" bestFit="1" customWidth="1"/>
    <col min="10" max="10" width="8.85546875" style="2" bestFit="1" customWidth="1"/>
    <col min="11" max="11" width="8" style="2" bestFit="1" customWidth="1"/>
    <col min="12" max="12" width="24.85546875" style="2" bestFit="1" customWidth="1"/>
    <col min="13" max="13" width="13.85546875" style="2" bestFit="1" customWidth="1"/>
    <col min="14" max="16384" width="9.140625" style="2"/>
  </cols>
  <sheetData>
    <row r="1" spans="1:13">
      <c r="A1" s="83" t="s">
        <v>52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>
      <c r="A2" s="83" t="s">
        <v>19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13">
      <c r="A3" s="83" t="s">
        <v>259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3" ht="12.75" customHeight="1">
      <c r="A4" s="84" t="s">
        <v>122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13" ht="12.75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spans="1:13">
      <c r="A6" s="72"/>
      <c r="B6" s="72"/>
      <c r="C6" s="72"/>
      <c r="D6" s="72"/>
      <c r="E6" s="72"/>
      <c r="F6" s="73"/>
      <c r="G6" s="73"/>
      <c r="H6" s="73"/>
      <c r="I6" s="72"/>
      <c r="J6" s="72"/>
      <c r="K6" s="72"/>
      <c r="L6" s="72"/>
      <c r="M6" s="72"/>
    </row>
    <row r="7" spans="1:13">
      <c r="A7" s="74" t="s">
        <v>1</v>
      </c>
      <c r="B7" s="74" t="s">
        <v>2</v>
      </c>
      <c r="C7" s="74" t="s">
        <v>0</v>
      </c>
      <c r="D7" s="74" t="s">
        <v>3</v>
      </c>
      <c r="E7" s="74" t="s">
        <v>4</v>
      </c>
      <c r="F7" s="75" t="s">
        <v>5</v>
      </c>
      <c r="G7" s="76" t="s">
        <v>6</v>
      </c>
      <c r="H7" s="76" t="s">
        <v>7</v>
      </c>
      <c r="I7" s="74" t="s">
        <v>8</v>
      </c>
      <c r="J7" s="74" t="s">
        <v>11</v>
      </c>
      <c r="K7" s="74" t="s">
        <v>12</v>
      </c>
      <c r="L7" s="74" t="s">
        <v>9</v>
      </c>
      <c r="M7" s="77" t="s">
        <v>10</v>
      </c>
    </row>
    <row r="8" spans="1:13">
      <c r="A8" s="46"/>
      <c r="B8" s="46"/>
      <c r="C8" s="47"/>
      <c r="D8" s="47"/>
      <c r="E8" s="47"/>
      <c r="F8" s="78"/>
      <c r="G8" s="78"/>
      <c r="H8" s="78"/>
      <c r="I8" s="47"/>
      <c r="J8" s="47"/>
      <c r="K8" s="47"/>
      <c r="L8" s="47"/>
      <c r="M8" s="46"/>
    </row>
    <row r="9" spans="1:13">
      <c r="A9" s="46" t="s">
        <v>34</v>
      </c>
      <c r="B9" s="46" t="s">
        <v>17</v>
      </c>
      <c r="C9" s="47" t="s">
        <v>56</v>
      </c>
      <c r="D9" s="47" t="s">
        <v>65</v>
      </c>
      <c r="E9" s="47" t="s">
        <v>66</v>
      </c>
      <c r="F9" s="78">
        <v>6954.5</v>
      </c>
      <c r="G9" s="78">
        <v>0</v>
      </c>
      <c r="H9" s="78">
        <v>6954.5</v>
      </c>
      <c r="I9" s="47"/>
      <c r="J9" s="79">
        <v>2021</v>
      </c>
      <c r="K9" s="79">
        <v>12</v>
      </c>
      <c r="L9" s="47" t="s">
        <v>67</v>
      </c>
      <c r="M9" s="46">
        <v>44334</v>
      </c>
    </row>
    <row r="10" spans="1:13">
      <c r="A10" s="46" t="s">
        <v>34</v>
      </c>
      <c r="B10" s="46" t="s">
        <v>17</v>
      </c>
      <c r="C10" s="47" t="s">
        <v>57</v>
      </c>
      <c r="D10" s="47" t="s">
        <v>65</v>
      </c>
      <c r="E10" s="47" t="s">
        <v>66</v>
      </c>
      <c r="F10" s="78">
        <v>6870.5</v>
      </c>
      <c r="G10" s="78">
        <v>0</v>
      </c>
      <c r="H10" s="78">
        <v>6870.5</v>
      </c>
      <c r="I10" s="47"/>
      <c r="J10" s="79">
        <v>2021</v>
      </c>
      <c r="K10" s="79">
        <v>12</v>
      </c>
      <c r="L10" s="47" t="s">
        <v>68</v>
      </c>
      <c r="M10" s="46">
        <v>44407</v>
      </c>
    </row>
    <row r="11" spans="1:13">
      <c r="A11" s="46" t="s">
        <v>34</v>
      </c>
      <c r="B11" s="46" t="s">
        <v>17</v>
      </c>
      <c r="C11" s="47" t="s">
        <v>58</v>
      </c>
      <c r="D11" s="47" t="s">
        <v>65</v>
      </c>
      <c r="E11" s="47" t="s">
        <v>66</v>
      </c>
      <c r="F11" s="78">
        <v>3955</v>
      </c>
      <c r="G11" s="78">
        <v>0</v>
      </c>
      <c r="H11" s="78">
        <v>3955</v>
      </c>
      <c r="I11" s="47"/>
      <c r="J11" s="79">
        <v>2021</v>
      </c>
      <c r="K11" s="79">
        <v>12</v>
      </c>
      <c r="L11" s="47" t="s">
        <v>69</v>
      </c>
      <c r="M11" s="46">
        <v>44406</v>
      </c>
    </row>
    <row r="12" spans="1:13">
      <c r="A12" s="46" t="s">
        <v>34</v>
      </c>
      <c r="B12" s="46" t="s">
        <v>17</v>
      </c>
      <c r="C12" s="47" t="s">
        <v>59</v>
      </c>
      <c r="D12" s="47" t="s">
        <v>65</v>
      </c>
      <c r="E12" s="47" t="s">
        <v>66</v>
      </c>
      <c r="F12" s="78">
        <v>278</v>
      </c>
      <c r="G12" s="78">
        <v>0</v>
      </c>
      <c r="H12" s="78">
        <v>278</v>
      </c>
      <c r="I12" s="47"/>
      <c r="J12" s="79">
        <v>2021</v>
      </c>
      <c r="K12" s="79">
        <v>12</v>
      </c>
      <c r="L12" s="47" t="s">
        <v>70</v>
      </c>
      <c r="M12" s="46">
        <v>44431</v>
      </c>
    </row>
    <row r="13" spans="1:13">
      <c r="A13" s="46" t="s">
        <v>34</v>
      </c>
      <c r="B13" s="46" t="s">
        <v>17</v>
      </c>
      <c r="C13" s="47" t="s">
        <v>60</v>
      </c>
      <c r="D13" s="47" t="s">
        <v>65</v>
      </c>
      <c r="E13" s="47" t="s">
        <v>66</v>
      </c>
      <c r="F13" s="78">
        <v>528</v>
      </c>
      <c r="G13" s="78">
        <v>0</v>
      </c>
      <c r="H13" s="78">
        <v>528</v>
      </c>
      <c r="I13" s="47"/>
      <c r="J13" s="79">
        <v>2021</v>
      </c>
      <c r="K13" s="79">
        <v>12</v>
      </c>
      <c r="L13" s="47" t="s">
        <v>71</v>
      </c>
      <c r="M13" s="46">
        <v>44531</v>
      </c>
    </row>
    <row r="14" spans="1:13">
      <c r="A14" s="46" t="s">
        <v>34</v>
      </c>
      <c r="B14" s="46" t="s">
        <v>17</v>
      </c>
      <c r="C14" s="47" t="s">
        <v>61</v>
      </c>
      <c r="D14" s="47" t="s">
        <v>65</v>
      </c>
      <c r="E14" s="47" t="s">
        <v>66</v>
      </c>
      <c r="F14" s="78">
        <v>3455.5</v>
      </c>
      <c r="G14" s="78">
        <v>0</v>
      </c>
      <c r="H14" s="78">
        <v>3455.5</v>
      </c>
      <c r="I14" s="47"/>
      <c r="J14" s="79">
        <v>2021</v>
      </c>
      <c r="K14" s="79">
        <v>12</v>
      </c>
      <c r="L14" s="47" t="s">
        <v>72</v>
      </c>
      <c r="M14" s="46">
        <v>44488</v>
      </c>
    </row>
    <row r="15" spans="1:13">
      <c r="A15" s="46" t="s">
        <v>34</v>
      </c>
      <c r="B15" s="46" t="s">
        <v>17</v>
      </c>
      <c r="C15" s="47" t="s">
        <v>62</v>
      </c>
      <c r="D15" s="47" t="s">
        <v>65</v>
      </c>
      <c r="E15" s="47" t="s">
        <v>66</v>
      </c>
      <c r="F15" s="78">
        <v>507</v>
      </c>
      <c r="G15" s="78">
        <v>0</v>
      </c>
      <c r="H15" s="78">
        <v>507</v>
      </c>
      <c r="I15" s="47"/>
      <c r="J15" s="79">
        <v>2021</v>
      </c>
      <c r="K15" s="79">
        <v>12</v>
      </c>
      <c r="L15" s="47" t="s">
        <v>73</v>
      </c>
      <c r="M15" s="46">
        <v>44531</v>
      </c>
    </row>
    <row r="16" spans="1:13">
      <c r="A16" s="46" t="s">
        <v>34</v>
      </c>
      <c r="B16" s="46" t="s">
        <v>17</v>
      </c>
      <c r="C16" s="47" t="s">
        <v>63</v>
      </c>
      <c r="D16" s="47" t="s">
        <v>65</v>
      </c>
      <c r="E16" s="47" t="s">
        <v>66</v>
      </c>
      <c r="F16" s="78">
        <v>2090</v>
      </c>
      <c r="G16" s="78">
        <v>0</v>
      </c>
      <c r="H16" s="78">
        <v>2090</v>
      </c>
      <c r="I16" s="47"/>
      <c r="J16" s="79">
        <v>2022</v>
      </c>
      <c r="K16" s="79">
        <v>4</v>
      </c>
      <c r="L16" s="47" t="s">
        <v>74</v>
      </c>
      <c r="M16" s="46">
        <v>44370</v>
      </c>
    </row>
    <row r="17" spans="1:13">
      <c r="A17" s="46" t="s">
        <v>34</v>
      </c>
      <c r="B17" s="46" t="s">
        <v>17</v>
      </c>
      <c r="C17" s="47" t="s">
        <v>64</v>
      </c>
      <c r="D17" s="47" t="s">
        <v>65</v>
      </c>
      <c r="E17" s="47" t="s">
        <v>66</v>
      </c>
      <c r="F17" s="78">
        <v>125</v>
      </c>
      <c r="G17" s="78">
        <v>0</v>
      </c>
      <c r="H17" s="78">
        <v>125</v>
      </c>
      <c r="I17" s="47"/>
      <c r="J17" s="79">
        <v>2022</v>
      </c>
      <c r="K17" s="79">
        <v>5</v>
      </c>
      <c r="L17" s="47" t="s">
        <v>75</v>
      </c>
      <c r="M17" s="46">
        <v>44670</v>
      </c>
    </row>
    <row r="18" spans="1:1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 ht="12.75" thickBot="1">
      <c r="A19" s="46"/>
      <c r="B19" s="46"/>
      <c r="C19" s="47"/>
      <c r="D19" s="47"/>
      <c r="E19" s="80" t="s">
        <v>39</v>
      </c>
      <c r="F19" s="81">
        <f>SUM(F9:F18)</f>
        <v>24763.5</v>
      </c>
      <c r="G19" s="81">
        <f t="shared" ref="G19:H19" si="0">SUM(G9:G18)</f>
        <v>0</v>
      </c>
      <c r="H19" s="81">
        <f t="shared" si="0"/>
        <v>24763.5</v>
      </c>
      <c r="I19" s="47"/>
      <c r="J19" s="47"/>
      <c r="K19" s="47"/>
      <c r="L19" s="47"/>
      <c r="M19" s="46"/>
    </row>
    <row r="20" spans="1:13">
      <c r="A20" s="46"/>
      <c r="B20" s="46"/>
      <c r="C20" s="47"/>
      <c r="D20" s="47"/>
      <c r="E20" s="47"/>
      <c r="F20" s="78"/>
      <c r="G20" s="78"/>
      <c r="H20" s="78"/>
      <c r="I20" s="47"/>
      <c r="J20" s="47"/>
      <c r="K20" s="47"/>
      <c r="L20" s="47"/>
      <c r="M20" s="46"/>
    </row>
    <row r="21" spans="1:13" s="1" customFormat="1">
      <c r="A21" s="46" t="s">
        <v>17</v>
      </c>
      <c r="B21" s="46" t="s">
        <v>17</v>
      </c>
      <c r="C21" s="47"/>
      <c r="D21" s="47"/>
      <c r="E21" s="47" t="s">
        <v>76</v>
      </c>
      <c r="F21" s="36"/>
      <c r="G21" s="36"/>
      <c r="H21" s="36"/>
      <c r="I21" s="47"/>
      <c r="J21" s="47"/>
      <c r="K21" s="47"/>
      <c r="L21" s="53"/>
      <c r="M21" s="46"/>
    </row>
    <row r="22" spans="1:13">
      <c r="A22" s="46"/>
      <c r="B22" s="46"/>
      <c r="C22" s="47"/>
      <c r="D22" s="47"/>
      <c r="E22" s="47"/>
      <c r="F22" s="78"/>
      <c r="G22" s="78"/>
      <c r="H22" s="78"/>
      <c r="I22" s="47"/>
      <c r="J22" s="47"/>
      <c r="K22" s="47"/>
      <c r="L22" s="47"/>
      <c r="M22" s="46"/>
    </row>
    <row r="23" spans="1:13" ht="12.75" thickBot="1">
      <c r="A23" s="46"/>
      <c r="B23" s="46"/>
      <c r="C23" s="47"/>
      <c r="D23" s="47"/>
      <c r="E23" s="80" t="s">
        <v>30</v>
      </c>
      <c r="F23" s="81">
        <f>SUM(F21:F21)</f>
        <v>0</v>
      </c>
      <c r="G23" s="81">
        <f>SUM(G21:G21)</f>
        <v>0</v>
      </c>
      <c r="H23" s="81">
        <f>SUM(H21:H21)</f>
        <v>0</v>
      </c>
      <c r="I23" s="41"/>
      <c r="J23" s="47"/>
      <c r="K23" s="47"/>
      <c r="L23" s="47"/>
      <c r="M23" s="46"/>
    </row>
    <row r="24" spans="1:13">
      <c r="A24" s="46"/>
      <c r="B24" s="46"/>
      <c r="C24" s="47"/>
      <c r="D24" s="47"/>
      <c r="E24" s="74"/>
      <c r="F24" s="75"/>
      <c r="G24" s="75"/>
      <c r="H24" s="75"/>
      <c r="I24" s="47"/>
      <c r="J24" s="47"/>
      <c r="K24" s="47"/>
      <c r="L24" s="47"/>
      <c r="M24" s="46"/>
    </row>
    <row r="25" spans="1:13">
      <c r="A25" s="46" t="s">
        <v>18</v>
      </c>
      <c r="B25" s="46" t="s">
        <v>77</v>
      </c>
      <c r="C25" s="47" t="s">
        <v>79</v>
      </c>
      <c r="D25" s="47" t="s">
        <v>84</v>
      </c>
      <c r="E25" s="47" t="s">
        <v>85</v>
      </c>
      <c r="F25" s="78">
        <v>13.75</v>
      </c>
      <c r="G25" s="78">
        <v>0</v>
      </c>
      <c r="H25" s="78">
        <v>13.75</v>
      </c>
      <c r="I25" s="47"/>
      <c r="J25" s="47">
        <v>2021</v>
      </c>
      <c r="K25" s="47">
        <v>4</v>
      </c>
      <c r="L25" s="47" t="s">
        <v>88</v>
      </c>
      <c r="M25" s="46">
        <v>44305</v>
      </c>
    </row>
    <row r="26" spans="1:13" ht="15">
      <c r="A26" s="46"/>
      <c r="B26" s="46"/>
      <c r="C26" s="39"/>
      <c r="D26" s="47"/>
      <c r="E26" s="47"/>
      <c r="F26" s="78"/>
      <c r="G26" s="78"/>
      <c r="H26" s="78"/>
      <c r="I26" s="47"/>
      <c r="J26" s="47"/>
      <c r="K26" s="47"/>
      <c r="L26" s="47"/>
      <c r="M26" s="46"/>
    </row>
    <row r="27" spans="1:13" ht="12.75" thickBot="1">
      <c r="A27" s="46"/>
      <c r="B27" s="46"/>
      <c r="C27" s="47"/>
      <c r="D27" s="47"/>
      <c r="E27" s="80" t="s">
        <v>25</v>
      </c>
      <c r="F27" s="81">
        <f>SUM(F25:F25)</f>
        <v>13.75</v>
      </c>
      <c r="G27" s="81">
        <f>SUM(G25:G25)</f>
        <v>0</v>
      </c>
      <c r="H27" s="81">
        <f>SUM(H25:H25)</f>
        <v>13.75</v>
      </c>
      <c r="I27" s="47"/>
      <c r="J27" s="47"/>
      <c r="K27" s="47"/>
      <c r="L27" s="47"/>
      <c r="M27" s="46"/>
    </row>
    <row r="28" spans="1:13">
      <c r="A28" s="46"/>
      <c r="B28" s="46"/>
      <c r="C28" s="47"/>
      <c r="D28" s="47"/>
      <c r="E28" s="47"/>
      <c r="F28" s="78"/>
      <c r="G28" s="78"/>
      <c r="H28" s="78"/>
      <c r="I28" s="47"/>
      <c r="J28" s="47"/>
      <c r="K28" s="47"/>
      <c r="L28" s="47"/>
      <c r="M28" s="46"/>
    </row>
    <row r="29" spans="1:13">
      <c r="A29" s="46" t="s">
        <v>23</v>
      </c>
      <c r="B29" s="46" t="s">
        <v>36</v>
      </c>
      <c r="C29" s="47" t="s">
        <v>78</v>
      </c>
      <c r="D29" s="47" t="s">
        <v>37</v>
      </c>
      <c r="E29" s="47" t="s">
        <v>14</v>
      </c>
      <c r="F29" s="78">
        <v>14.82</v>
      </c>
      <c r="G29" s="78">
        <v>0</v>
      </c>
      <c r="H29" s="78">
        <v>14.82</v>
      </c>
      <c r="I29" s="47" t="s">
        <v>86</v>
      </c>
      <c r="J29" s="47">
        <v>2021</v>
      </c>
      <c r="K29" s="47">
        <v>4</v>
      </c>
      <c r="L29" s="47" t="s">
        <v>87</v>
      </c>
      <c r="M29" s="46">
        <v>44302</v>
      </c>
    </row>
    <row r="30" spans="1:13">
      <c r="A30" s="46" t="s">
        <v>23</v>
      </c>
      <c r="B30" s="46" t="s">
        <v>128</v>
      </c>
      <c r="C30" s="47" t="s">
        <v>80</v>
      </c>
      <c r="D30" s="47" t="s">
        <v>37</v>
      </c>
      <c r="E30" s="47" t="s">
        <v>14</v>
      </c>
      <c r="F30" s="78">
        <v>5316.84</v>
      </c>
      <c r="G30" s="78">
        <v>0</v>
      </c>
      <c r="H30" s="78">
        <v>5316.84</v>
      </c>
      <c r="I30" s="47" t="s">
        <v>86</v>
      </c>
      <c r="J30" s="47">
        <v>2021</v>
      </c>
      <c r="K30" s="47">
        <v>4</v>
      </c>
      <c r="L30" s="47" t="s">
        <v>89</v>
      </c>
      <c r="M30" s="46">
        <v>44307</v>
      </c>
    </row>
    <row r="31" spans="1:13">
      <c r="A31" s="46" t="s">
        <v>23</v>
      </c>
      <c r="B31" s="46" t="s">
        <v>45</v>
      </c>
      <c r="C31" s="47" t="s">
        <v>81</v>
      </c>
      <c r="D31" s="47" t="s">
        <v>37</v>
      </c>
      <c r="E31" s="47" t="s">
        <v>14</v>
      </c>
      <c r="F31" s="78">
        <v>76.930000000000007</v>
      </c>
      <c r="G31" s="78">
        <v>0</v>
      </c>
      <c r="H31" s="78">
        <v>76.930000000000007</v>
      </c>
      <c r="I31" s="47" t="s">
        <v>86</v>
      </c>
      <c r="J31" s="47">
        <v>2021</v>
      </c>
      <c r="K31" s="47">
        <v>4</v>
      </c>
      <c r="L31" s="47" t="s">
        <v>90</v>
      </c>
      <c r="M31" s="46">
        <v>44307</v>
      </c>
    </row>
    <row r="32" spans="1:13">
      <c r="A32" s="46" t="s">
        <v>23</v>
      </c>
      <c r="B32" s="46" t="s">
        <v>128</v>
      </c>
      <c r="C32" s="47" t="s">
        <v>82</v>
      </c>
      <c r="D32" s="47" t="s">
        <v>37</v>
      </c>
      <c r="E32" s="47" t="s">
        <v>14</v>
      </c>
      <c r="F32" s="78">
        <v>242.73</v>
      </c>
      <c r="G32" s="78">
        <v>0</v>
      </c>
      <c r="H32" s="78">
        <v>242.73</v>
      </c>
      <c r="I32" s="47" t="s">
        <v>86</v>
      </c>
      <c r="J32" s="47">
        <v>2021</v>
      </c>
      <c r="K32" s="47">
        <v>5</v>
      </c>
      <c r="L32" s="47" t="s">
        <v>91</v>
      </c>
      <c r="M32" s="46">
        <v>44342</v>
      </c>
    </row>
    <row r="33" spans="1:15">
      <c r="A33" s="46" t="s">
        <v>23</v>
      </c>
      <c r="B33" s="46" t="s">
        <v>128</v>
      </c>
      <c r="C33" s="47" t="s">
        <v>83</v>
      </c>
      <c r="D33" s="47" t="s">
        <v>37</v>
      </c>
      <c r="E33" s="47" t="s">
        <v>14</v>
      </c>
      <c r="F33" s="78">
        <v>41.67</v>
      </c>
      <c r="G33" s="78">
        <v>0</v>
      </c>
      <c r="H33" s="78">
        <v>41.67</v>
      </c>
      <c r="I33" s="47" t="s">
        <v>86</v>
      </c>
      <c r="J33" s="47">
        <v>2021</v>
      </c>
      <c r="K33" s="47">
        <v>6</v>
      </c>
      <c r="L33" s="47" t="s">
        <v>92</v>
      </c>
      <c r="M33" s="46">
        <v>44376</v>
      </c>
    </row>
    <row r="34" spans="1:15">
      <c r="A34" s="46"/>
      <c r="B34" s="46"/>
      <c r="C34" s="47"/>
      <c r="D34" s="47"/>
      <c r="E34" s="47"/>
      <c r="F34" s="78"/>
      <c r="G34" s="78"/>
      <c r="H34" s="78"/>
      <c r="I34" s="47"/>
      <c r="J34" s="47"/>
      <c r="K34" s="47"/>
      <c r="L34" s="47"/>
      <c r="M34" s="46"/>
    </row>
    <row r="35" spans="1:15" ht="12.75" thickBot="1">
      <c r="A35" s="74"/>
      <c r="B35" s="74"/>
      <c r="C35" s="74"/>
      <c r="D35" s="74"/>
      <c r="E35" s="80" t="s">
        <v>26</v>
      </c>
      <c r="F35" s="81">
        <f>SUM(F29:F33)</f>
        <v>5692.99</v>
      </c>
      <c r="G35" s="81">
        <f>SUM(G29:G33)</f>
        <v>0</v>
      </c>
      <c r="H35" s="81">
        <f>SUM(H29:H33)</f>
        <v>5692.99</v>
      </c>
      <c r="I35" s="74"/>
      <c r="J35" s="74"/>
      <c r="K35" s="74"/>
      <c r="L35" s="74"/>
      <c r="M35" s="74"/>
    </row>
    <row r="36" spans="1:15">
      <c r="A36" s="47"/>
      <c r="B36" s="47"/>
      <c r="C36" s="47"/>
      <c r="D36" s="47"/>
      <c r="E36" s="47"/>
      <c r="F36" s="78"/>
      <c r="G36" s="78"/>
      <c r="H36" s="78"/>
      <c r="I36" s="47"/>
      <c r="J36" s="47"/>
      <c r="K36" s="47"/>
      <c r="L36" s="47"/>
      <c r="M36" s="47"/>
    </row>
    <row r="37" spans="1:15" ht="12.75" thickBot="1">
      <c r="A37" s="47"/>
      <c r="B37" s="47"/>
      <c r="C37" s="47"/>
      <c r="D37" s="47"/>
      <c r="E37" s="74" t="s">
        <v>53</v>
      </c>
      <c r="F37" s="49">
        <f>SUM(F19,F23,F27,F35)</f>
        <v>30470.239999999998</v>
      </c>
      <c r="G37" s="49">
        <f>SUM(G19,G23,G27,G35)</f>
        <v>0</v>
      </c>
      <c r="H37" s="49">
        <f>SUM(H19,H23,H27,H35)</f>
        <v>30470.239999999998</v>
      </c>
      <c r="I37" s="47"/>
      <c r="J37" s="47"/>
      <c r="K37" s="47"/>
      <c r="L37" s="47"/>
      <c r="M37" s="47"/>
    </row>
    <row r="38" spans="1:15" ht="12.75" thickTop="1">
      <c r="A38" s="47"/>
      <c r="B38" s="47"/>
      <c r="C38" s="47"/>
      <c r="D38" s="47"/>
      <c r="E38" s="47"/>
      <c r="F38" s="78"/>
      <c r="G38" s="78"/>
      <c r="H38" s="78"/>
      <c r="I38" s="47"/>
      <c r="J38" s="47"/>
      <c r="K38" s="47"/>
      <c r="L38" s="47"/>
      <c r="M38" s="47"/>
    </row>
    <row r="45" spans="1:15" ht="12.7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1:15" ht="15">
      <c r="A46" s="43"/>
      <c r="B46" s="43"/>
      <c r="C46" s="43"/>
      <c r="D46" s="43"/>
      <c r="E46" s="43"/>
      <c r="F46" s="43"/>
      <c r="G46" s="43"/>
      <c r="H46" s="43"/>
      <c r="I46" s="43"/>
      <c r="J46" s="43"/>
      <c r="L46" s="43"/>
      <c r="M46" s="43"/>
      <c r="N46" s="43"/>
      <c r="O46" s="43"/>
    </row>
    <row r="47" spans="1:15" ht="15">
      <c r="A47" s="43"/>
      <c r="B47" s="43"/>
      <c r="C47" s="43"/>
      <c r="D47" s="43"/>
      <c r="E47" s="43"/>
      <c r="F47" s="43"/>
      <c r="G47" s="43"/>
      <c r="H47" s="43"/>
      <c r="I47" s="43"/>
      <c r="J47" s="43"/>
      <c r="L47" s="43"/>
      <c r="M47" s="43"/>
      <c r="N47" s="43"/>
      <c r="O47" s="43"/>
    </row>
    <row r="48" spans="1:15" ht="15">
      <c r="A48" s="43"/>
      <c r="B48" s="43"/>
      <c r="C48" s="43"/>
      <c r="D48" s="43"/>
      <c r="E48" s="43"/>
      <c r="F48" s="43"/>
      <c r="G48" s="43"/>
      <c r="H48" s="43"/>
      <c r="I48" s="43"/>
      <c r="J48" s="43"/>
      <c r="L48" s="43"/>
      <c r="M48" s="43"/>
      <c r="N48" s="43"/>
      <c r="O48" s="43"/>
    </row>
    <row r="49" spans="1:15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L49" s="43"/>
      <c r="M49" s="43"/>
      <c r="N49" s="43"/>
      <c r="O49" s="43"/>
    </row>
    <row r="50" spans="1:15" ht="15">
      <c r="A50" s="43"/>
      <c r="B50" s="43"/>
      <c r="C50" s="43"/>
      <c r="D50" s="43"/>
      <c r="E50" s="43"/>
      <c r="F50" s="43"/>
      <c r="G50" s="43"/>
      <c r="H50" s="43"/>
      <c r="I50" s="43"/>
      <c r="J50" s="43"/>
      <c r="L50" s="43"/>
      <c r="M50" s="43"/>
      <c r="N50" s="43"/>
      <c r="O50" s="43"/>
    </row>
    <row r="51" spans="1:15" ht="15">
      <c r="A51" s="43"/>
      <c r="B51" s="43"/>
      <c r="C51" s="43"/>
      <c r="D51" s="43"/>
      <c r="E51" s="43"/>
      <c r="F51" s="43"/>
      <c r="G51" s="43"/>
      <c r="H51" s="43"/>
      <c r="I51" s="43"/>
      <c r="J51" s="43"/>
      <c r="L51" s="43"/>
      <c r="M51" s="43"/>
      <c r="N51" s="43"/>
      <c r="O51" s="43"/>
    </row>
    <row r="160" spans="1:13">
      <c r="A160" s="12"/>
      <c r="B160" s="12"/>
      <c r="M160" s="12"/>
    </row>
    <row r="161" spans="1:13">
      <c r="A161" s="12"/>
      <c r="B161" s="12"/>
      <c r="M161" s="12"/>
    </row>
    <row r="162" spans="1:13">
      <c r="A162" s="12"/>
      <c r="B162" s="12"/>
      <c r="M162" s="12"/>
    </row>
    <row r="163" spans="1:13">
      <c r="A163" s="12"/>
      <c r="B163" s="12"/>
      <c r="M163" s="12"/>
    </row>
    <row r="164" spans="1:13">
      <c r="A164" s="12"/>
      <c r="B164" s="12"/>
      <c r="M164" s="12"/>
    </row>
    <row r="165" spans="1:13">
      <c r="A165" s="12"/>
      <c r="B165" s="12"/>
      <c r="M165" s="12"/>
    </row>
    <row r="166" spans="1:13">
      <c r="A166" s="12"/>
      <c r="B166" s="12"/>
      <c r="M166" s="12"/>
    </row>
    <row r="167" spans="1:13">
      <c r="A167" s="12"/>
      <c r="B167" s="12"/>
      <c r="M167" s="12"/>
    </row>
    <row r="168" spans="1:13">
      <c r="A168" s="12"/>
      <c r="B168" s="12"/>
      <c r="M168" s="12"/>
    </row>
    <row r="169" spans="1:13">
      <c r="A169" s="12"/>
      <c r="B169" s="12"/>
      <c r="M169" s="12"/>
    </row>
    <row r="170" spans="1:13">
      <c r="A170" s="12"/>
      <c r="B170" s="12"/>
      <c r="M170" s="12"/>
    </row>
    <row r="171" spans="1:13">
      <c r="A171" s="12"/>
      <c r="B171" s="12"/>
      <c r="M171" s="12"/>
    </row>
    <row r="172" spans="1:13">
      <c r="A172" s="12"/>
      <c r="B172" s="12"/>
      <c r="M172" s="12"/>
    </row>
    <row r="173" spans="1:13">
      <c r="A173" s="12"/>
      <c r="B173" s="12"/>
      <c r="M173" s="12"/>
    </row>
    <row r="174" spans="1:13">
      <c r="A174" s="12"/>
      <c r="B174" s="12"/>
      <c r="M174" s="12"/>
    </row>
    <row r="175" spans="1:13">
      <c r="A175" s="12"/>
      <c r="B175" s="12"/>
      <c r="M175" s="12"/>
    </row>
    <row r="176" spans="1:13">
      <c r="A176" s="12"/>
      <c r="B176" s="12"/>
      <c r="M176" s="12"/>
    </row>
    <row r="177" spans="1:13">
      <c r="A177" s="12"/>
      <c r="B177" s="12"/>
      <c r="M177" s="12"/>
    </row>
    <row r="178" spans="1:13">
      <c r="A178" s="12"/>
      <c r="B178" s="12"/>
      <c r="M178" s="12"/>
    </row>
    <row r="179" spans="1:13">
      <c r="A179" s="12"/>
      <c r="B179" s="12"/>
      <c r="M179" s="12"/>
    </row>
    <row r="180" spans="1:13">
      <c r="A180" s="12"/>
      <c r="B180" s="12"/>
      <c r="M180" s="12"/>
    </row>
    <row r="181" spans="1:13">
      <c r="A181" s="12"/>
      <c r="B181" s="12"/>
      <c r="M181" s="12"/>
    </row>
    <row r="182" spans="1:13">
      <c r="A182" s="12"/>
      <c r="B182" s="12"/>
      <c r="M182" s="12"/>
    </row>
    <row r="183" spans="1:13">
      <c r="A183" s="12"/>
      <c r="B183" s="12"/>
      <c r="M183" s="12"/>
    </row>
    <row r="184" spans="1:13">
      <c r="A184" s="12"/>
      <c r="B184" s="12"/>
      <c r="M184" s="12"/>
    </row>
    <row r="185" spans="1:13">
      <c r="A185" s="12"/>
      <c r="B185" s="12"/>
      <c r="M185" s="12"/>
    </row>
    <row r="186" spans="1:13">
      <c r="A186" s="12"/>
      <c r="B186" s="12"/>
      <c r="M186" s="12"/>
    </row>
    <row r="187" spans="1:13">
      <c r="A187" s="12"/>
      <c r="B187" s="12"/>
      <c r="M187" s="12"/>
    </row>
    <row r="188" spans="1:13">
      <c r="A188" s="12"/>
      <c r="B188" s="12"/>
      <c r="M188" s="12"/>
    </row>
    <row r="189" spans="1:13">
      <c r="A189" s="12"/>
      <c r="B189" s="12"/>
      <c r="M189" s="12"/>
    </row>
    <row r="190" spans="1:13">
      <c r="A190" s="12"/>
      <c r="B190" s="12"/>
      <c r="M190" s="12"/>
    </row>
    <row r="191" spans="1:13">
      <c r="A191" s="12"/>
      <c r="B191" s="12"/>
      <c r="M191" s="12"/>
    </row>
    <row r="192" spans="1:13">
      <c r="A192" s="12"/>
      <c r="B192" s="12"/>
      <c r="M192" s="12"/>
    </row>
    <row r="193" spans="1:13">
      <c r="A193" s="12"/>
      <c r="B193" s="12"/>
      <c r="M193" s="12"/>
    </row>
    <row r="194" spans="1:13">
      <c r="A194" s="12"/>
      <c r="B194" s="12"/>
      <c r="M194" s="12"/>
    </row>
    <row r="195" spans="1:13">
      <c r="A195" s="12"/>
      <c r="B195" s="12"/>
      <c r="M195" s="12"/>
    </row>
    <row r="196" spans="1:13">
      <c r="A196" s="12"/>
      <c r="B196" s="12"/>
      <c r="M196" s="12"/>
    </row>
    <row r="197" spans="1:13">
      <c r="A197" s="12"/>
      <c r="B197" s="12"/>
      <c r="M197" s="12"/>
    </row>
    <row r="198" spans="1:13">
      <c r="A198" s="12"/>
      <c r="B198" s="12"/>
      <c r="M198" s="12"/>
    </row>
    <row r="199" spans="1:13">
      <c r="A199" s="12"/>
      <c r="B199" s="12"/>
      <c r="M199" s="12"/>
    </row>
    <row r="200" spans="1:13">
      <c r="A200" s="12"/>
      <c r="B200" s="12"/>
      <c r="M200" s="12"/>
    </row>
    <row r="201" spans="1:13">
      <c r="A201" s="12"/>
      <c r="B201" s="12"/>
      <c r="M201" s="12"/>
    </row>
    <row r="202" spans="1:13">
      <c r="A202" s="12"/>
      <c r="B202" s="12"/>
      <c r="M202" s="12"/>
    </row>
    <row r="203" spans="1:13">
      <c r="A203" s="12"/>
      <c r="B203" s="14"/>
      <c r="C203" s="1"/>
      <c r="D203" s="13"/>
      <c r="E203" s="1"/>
      <c r="F203" s="5"/>
      <c r="G203" s="5"/>
      <c r="H203" s="5"/>
      <c r="I203" s="1"/>
      <c r="J203" s="1"/>
      <c r="K203" s="1"/>
      <c r="L203" s="1"/>
      <c r="M203" s="14"/>
    </row>
    <row r="204" spans="1:13">
      <c r="A204" s="12"/>
      <c r="B204" s="14"/>
      <c r="C204" s="1"/>
      <c r="D204" s="13"/>
      <c r="E204" s="1"/>
      <c r="F204" s="5"/>
      <c r="G204" s="5"/>
      <c r="H204" s="5"/>
      <c r="I204" s="1"/>
      <c r="J204" s="1"/>
      <c r="K204" s="1"/>
      <c r="L204" s="1"/>
      <c r="M204" s="14"/>
    </row>
    <row r="205" spans="1:13">
      <c r="A205" s="12"/>
      <c r="B205" s="14"/>
      <c r="C205" s="1"/>
      <c r="D205" s="13"/>
      <c r="E205" s="1"/>
      <c r="F205" s="5"/>
      <c r="G205" s="5"/>
      <c r="H205" s="5"/>
      <c r="I205" s="1"/>
      <c r="J205" s="1"/>
      <c r="K205" s="1"/>
      <c r="L205" s="1"/>
      <c r="M205" s="14"/>
    </row>
    <row r="206" spans="1:13">
      <c r="A206" s="12"/>
      <c r="B206" s="3"/>
      <c r="C206" s="1"/>
      <c r="D206" s="13"/>
      <c r="E206" s="1"/>
      <c r="F206" s="5"/>
      <c r="G206" s="5"/>
      <c r="I206" s="1"/>
      <c r="J206" s="1"/>
      <c r="K206" s="1"/>
      <c r="L206" s="1"/>
      <c r="M206" s="14"/>
    </row>
    <row r="207" spans="1:13">
      <c r="A207" s="12"/>
      <c r="B207" s="3"/>
      <c r="C207" s="1"/>
      <c r="D207" s="13"/>
      <c r="E207" s="1"/>
      <c r="F207" s="5"/>
      <c r="G207" s="5"/>
      <c r="I207" s="1"/>
      <c r="J207" s="1"/>
      <c r="K207" s="1"/>
      <c r="L207" s="1"/>
      <c r="M207" s="14"/>
    </row>
    <row r="208" spans="1:13">
      <c r="A208" s="12"/>
      <c r="B208" s="3"/>
      <c r="C208" s="1"/>
      <c r="D208" s="13"/>
      <c r="E208" s="1"/>
      <c r="F208" s="5"/>
      <c r="G208" s="5"/>
      <c r="I208" s="1"/>
      <c r="J208" s="1"/>
      <c r="K208" s="1"/>
      <c r="L208" s="1"/>
      <c r="M208" s="14"/>
    </row>
    <row r="209" spans="1:13">
      <c r="A209" s="12"/>
      <c r="B209" s="12"/>
      <c r="M209" s="12"/>
    </row>
    <row r="210" spans="1:13">
      <c r="A210" s="12"/>
      <c r="B210" s="12"/>
      <c r="M210" s="12"/>
    </row>
    <row r="211" spans="1:13">
      <c r="A211" s="12"/>
      <c r="B211" s="12"/>
      <c r="M211" s="12"/>
    </row>
    <row r="212" spans="1:13">
      <c r="A212" s="12"/>
      <c r="B212" s="12"/>
      <c r="M212" s="12"/>
    </row>
    <row r="213" spans="1:13">
      <c r="A213" s="12"/>
      <c r="B213" s="12"/>
      <c r="M213" s="12"/>
    </row>
    <row r="214" spans="1:13">
      <c r="A214" s="12"/>
      <c r="B214" s="12"/>
      <c r="M214" s="12"/>
    </row>
    <row r="215" spans="1:13">
      <c r="A215" s="12"/>
      <c r="B215" s="12"/>
      <c r="M215" s="12"/>
    </row>
    <row r="216" spans="1:13">
      <c r="A216" s="12"/>
      <c r="B216" s="12"/>
      <c r="M216" s="12"/>
    </row>
    <row r="217" spans="1:13">
      <c r="A217" s="12"/>
      <c r="B217" s="12"/>
      <c r="M217" s="12"/>
    </row>
    <row r="218" spans="1:13">
      <c r="A218" s="12"/>
      <c r="B218" s="12"/>
      <c r="M218" s="12"/>
    </row>
    <row r="219" spans="1:13">
      <c r="A219" s="12"/>
      <c r="B219" s="12"/>
      <c r="M219" s="12"/>
    </row>
    <row r="220" spans="1:13">
      <c r="A220" s="12"/>
      <c r="B220" s="12"/>
      <c r="M220" s="12"/>
    </row>
    <row r="221" spans="1:13">
      <c r="A221" s="12"/>
      <c r="B221" s="12"/>
      <c r="M221" s="12"/>
    </row>
    <row r="222" spans="1:13">
      <c r="A222" s="12"/>
      <c r="B222" s="12"/>
      <c r="M222" s="12"/>
    </row>
    <row r="223" spans="1:13">
      <c r="A223" s="12"/>
      <c r="B223" s="12"/>
      <c r="M223" s="12"/>
    </row>
    <row r="224" spans="1:13" ht="39.75" customHeight="1">
      <c r="A224" s="12"/>
      <c r="B224" s="12"/>
      <c r="M224" s="12"/>
    </row>
    <row r="225" spans="1:13">
      <c r="A225" s="12"/>
      <c r="B225" s="12"/>
      <c r="M225" s="12"/>
    </row>
    <row r="226" spans="1:13">
      <c r="A226" s="12"/>
      <c r="B226" s="12"/>
      <c r="M226" s="12"/>
    </row>
  </sheetData>
  <sortState xmlns:xlrd2="http://schemas.microsoft.com/office/spreadsheetml/2017/richdata2" ref="A7:N2111">
    <sortCondition ref="B220:B252"/>
  </sortState>
  <mergeCells count="4">
    <mergeCell ref="A1:M1"/>
    <mergeCell ref="A2:M2"/>
    <mergeCell ref="A4:M4"/>
    <mergeCell ref="A3:M3"/>
  </mergeCells>
  <pageMargins left="0.7" right="0.7" top="1.17" bottom="0.75" header="0.3" footer="0.3"/>
  <pageSetup scale="57" fitToHeight="0" orientation="landscape" r:id="rId1"/>
  <headerFooter scaleWithDoc="0">
    <oddHeader>&amp;RDocket No. 56165
Exhibit CMB-2
&amp;A
Page &amp;P of &amp;N</oddHead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50D9-2D09-4FE8-B2D9-59151CDB0360}">
  <sheetPr>
    <pageSetUpPr fitToPage="1"/>
  </sheetPr>
  <dimension ref="A1:O224"/>
  <sheetViews>
    <sheetView tabSelected="1" view="pageBreakPreview" zoomScale="90" zoomScaleNormal="100" zoomScaleSheetLayoutView="90" workbookViewId="0">
      <selection sqref="A1:M1"/>
    </sheetView>
  </sheetViews>
  <sheetFormatPr defaultColWidth="9.140625" defaultRowHeight="12"/>
  <cols>
    <col min="1" max="1" width="17.85546875" style="2" bestFit="1" customWidth="1"/>
    <col min="2" max="2" width="27.85546875" style="2" bestFit="1" customWidth="1"/>
    <col min="3" max="3" width="10" style="2" bestFit="1" customWidth="1"/>
    <col min="4" max="4" width="11.28515625" style="7" bestFit="1" customWidth="1"/>
    <col min="5" max="5" width="35" style="2" bestFit="1" customWidth="1"/>
    <col min="6" max="6" width="14.5703125" style="6" bestFit="1" customWidth="1"/>
    <col min="7" max="7" width="14.140625" style="6" bestFit="1" customWidth="1"/>
    <col min="8" max="8" width="14.5703125" style="6" bestFit="1" customWidth="1"/>
    <col min="9" max="9" width="17.85546875" style="2" bestFit="1" customWidth="1"/>
    <col min="10" max="10" width="8" style="2" customWidth="1"/>
    <col min="11" max="11" width="8" style="2" bestFit="1" customWidth="1"/>
    <col min="12" max="12" width="24.85546875" style="2" bestFit="1" customWidth="1"/>
    <col min="13" max="13" width="13.85546875" style="2" bestFit="1" customWidth="1"/>
    <col min="14" max="16384" width="9.140625" style="2"/>
  </cols>
  <sheetData>
    <row r="1" spans="1:13">
      <c r="A1" s="85" t="s">
        <v>52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>
      <c r="A2" s="85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85" t="s">
        <v>259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2.75" customHeight="1">
      <c r="A4" s="86" t="s">
        <v>123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 ht="12.75" customHeight="1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5" customFormat="1" ht="11.25" customHeight="1">
      <c r="D6" s="16"/>
      <c r="F6" s="17"/>
      <c r="G6" s="17"/>
      <c r="H6" s="17"/>
    </row>
    <row r="7" spans="1:13" ht="11.25" customHeight="1">
      <c r="A7" s="4" t="s">
        <v>1</v>
      </c>
      <c r="B7" s="4" t="s">
        <v>2</v>
      </c>
      <c r="C7" s="4" t="s">
        <v>0</v>
      </c>
      <c r="D7" s="8" t="s">
        <v>3</v>
      </c>
      <c r="E7" s="4" t="s">
        <v>4</v>
      </c>
      <c r="F7" s="9" t="s">
        <v>5</v>
      </c>
      <c r="G7" s="10" t="s">
        <v>6</v>
      </c>
      <c r="H7" s="10" t="s">
        <v>7</v>
      </c>
      <c r="I7" s="4" t="s">
        <v>8</v>
      </c>
      <c r="J7" s="4" t="s">
        <v>11</v>
      </c>
      <c r="K7" s="4" t="s">
        <v>12</v>
      </c>
      <c r="L7" s="4" t="s">
        <v>9</v>
      </c>
      <c r="M7" s="11" t="s">
        <v>10</v>
      </c>
    </row>
    <row r="8" spans="1:13" ht="11.25" customHeight="1">
      <c r="A8" s="12"/>
      <c r="B8" s="12"/>
      <c r="M8" s="12"/>
    </row>
    <row r="9" spans="1:13" ht="11.25" customHeight="1">
      <c r="A9" s="12" t="s">
        <v>34</v>
      </c>
      <c r="B9" s="12" t="s">
        <v>17</v>
      </c>
      <c r="C9" s="2" t="s">
        <v>93</v>
      </c>
      <c r="D9" s="7" t="s">
        <v>65</v>
      </c>
      <c r="E9" s="2" t="s">
        <v>66</v>
      </c>
      <c r="F9" s="6">
        <v>9998.5</v>
      </c>
      <c r="G9" s="6">
        <v>0</v>
      </c>
      <c r="H9" s="6">
        <v>9998.5</v>
      </c>
      <c r="J9" s="60">
        <v>2022</v>
      </c>
      <c r="K9" s="60">
        <v>8</v>
      </c>
      <c r="L9" s="2" t="s">
        <v>97</v>
      </c>
      <c r="M9" s="12">
        <v>44718</v>
      </c>
    </row>
    <row r="10" spans="1:13" ht="11.25" customHeight="1">
      <c r="A10" s="12" t="s">
        <v>34</v>
      </c>
      <c r="B10" s="12" t="s">
        <v>17</v>
      </c>
      <c r="C10" s="2" t="s">
        <v>94</v>
      </c>
      <c r="D10" s="7" t="s">
        <v>65</v>
      </c>
      <c r="E10" s="2" t="s">
        <v>66</v>
      </c>
      <c r="F10" s="6">
        <v>12898</v>
      </c>
      <c r="G10" s="6">
        <v>0</v>
      </c>
      <c r="H10" s="6">
        <v>12898</v>
      </c>
      <c r="J10" s="60">
        <v>2022</v>
      </c>
      <c r="K10" s="60">
        <v>8</v>
      </c>
      <c r="L10" s="2" t="s">
        <v>98</v>
      </c>
      <c r="M10" s="12">
        <v>44733</v>
      </c>
    </row>
    <row r="11" spans="1:13" ht="11.25" customHeight="1">
      <c r="A11" s="12" t="s">
        <v>34</v>
      </c>
      <c r="B11" s="12" t="s">
        <v>17</v>
      </c>
      <c r="C11" s="2" t="s">
        <v>95</v>
      </c>
      <c r="D11" s="7" t="s">
        <v>65</v>
      </c>
      <c r="E11" s="2" t="s">
        <v>66</v>
      </c>
      <c r="F11" s="6">
        <v>3875.5</v>
      </c>
      <c r="G11" s="6">
        <v>0</v>
      </c>
      <c r="H11" s="6">
        <v>3875.5</v>
      </c>
      <c r="J11" s="60">
        <v>2022</v>
      </c>
      <c r="K11" s="60">
        <v>8</v>
      </c>
      <c r="L11" s="2" t="s">
        <v>99</v>
      </c>
      <c r="M11" s="12">
        <v>44760</v>
      </c>
    </row>
    <row r="12" spans="1:13" ht="11.25" customHeight="1">
      <c r="A12" s="12" t="s">
        <v>34</v>
      </c>
      <c r="B12" s="12" t="s">
        <v>17</v>
      </c>
      <c r="C12" s="2" t="s">
        <v>96</v>
      </c>
      <c r="D12" s="7" t="s">
        <v>65</v>
      </c>
      <c r="E12" s="2" t="s">
        <v>66</v>
      </c>
      <c r="F12" s="6">
        <v>401.5</v>
      </c>
      <c r="G12" s="6">
        <v>0</v>
      </c>
      <c r="H12" s="6">
        <v>401.5</v>
      </c>
      <c r="J12" s="60">
        <v>2022</v>
      </c>
      <c r="K12" s="60">
        <v>8</v>
      </c>
      <c r="L12" s="2" t="s">
        <v>100</v>
      </c>
      <c r="M12" s="12">
        <v>44785</v>
      </c>
    </row>
    <row r="13" spans="1:13" ht="11.25" customHeight="1">
      <c r="D13" s="2"/>
      <c r="F13" s="2"/>
      <c r="G13" s="2"/>
      <c r="H13" s="2"/>
      <c r="J13" s="60"/>
      <c r="K13" s="60"/>
    </row>
    <row r="14" spans="1:13" ht="11.25" customHeight="1" thickBot="1">
      <c r="A14" s="12"/>
      <c r="B14" s="12"/>
      <c r="E14" s="23" t="s">
        <v>39</v>
      </c>
      <c r="F14" s="24">
        <f>SUM(F9:F12)</f>
        <v>27173.5</v>
      </c>
      <c r="G14" s="24">
        <f>SUM(G9:G12)</f>
        <v>0</v>
      </c>
      <c r="H14" s="24">
        <f>SUM(H9:H12)</f>
        <v>27173.5</v>
      </c>
      <c r="M14" s="12"/>
    </row>
    <row r="15" spans="1:13" ht="11.25" customHeight="1">
      <c r="A15" s="12"/>
      <c r="B15" s="12"/>
      <c r="M15" s="12"/>
    </row>
    <row r="16" spans="1:13" s="1" customFormat="1" ht="11.25" customHeight="1">
      <c r="A16" s="12" t="s">
        <v>17</v>
      </c>
      <c r="B16" s="12" t="s">
        <v>17</v>
      </c>
      <c r="E16" s="1" t="s">
        <v>76</v>
      </c>
      <c r="F16" s="36"/>
      <c r="G16" s="36"/>
      <c r="H16" s="36"/>
      <c r="L16" s="53"/>
      <c r="M16" s="12"/>
    </row>
    <row r="17" spans="1:13" ht="11.25" customHeight="1">
      <c r="A17" s="12"/>
      <c r="B17" s="12"/>
      <c r="C17" s="1"/>
      <c r="M17" s="12"/>
    </row>
    <row r="18" spans="1:13" ht="11.25" customHeight="1" thickBot="1">
      <c r="A18" s="12"/>
      <c r="B18" s="12"/>
      <c r="C18" s="1"/>
      <c r="E18" s="23" t="s">
        <v>30</v>
      </c>
      <c r="F18" s="24">
        <f>SUM(F16:F16)</f>
        <v>0</v>
      </c>
      <c r="G18" s="24">
        <f>SUM(G16:G16)</f>
        <v>0</v>
      </c>
      <c r="H18" s="24">
        <f>SUM(H16:H16)</f>
        <v>0</v>
      </c>
      <c r="I18" s="41"/>
      <c r="M18" s="12"/>
    </row>
    <row r="19" spans="1:13" ht="11.25" customHeight="1">
      <c r="A19" s="12"/>
      <c r="B19" s="12"/>
      <c r="E19" s="4"/>
      <c r="F19" s="9"/>
      <c r="G19" s="9"/>
      <c r="H19" s="9"/>
      <c r="M19" s="12"/>
    </row>
    <row r="20" spans="1:13" ht="11.25" customHeight="1">
      <c r="A20" s="12" t="s">
        <v>18</v>
      </c>
      <c r="B20" s="46" t="s">
        <v>77</v>
      </c>
      <c r="C20" s="47" t="s">
        <v>102</v>
      </c>
      <c r="D20" s="47" t="s">
        <v>110</v>
      </c>
      <c r="E20" s="47" t="s">
        <v>112</v>
      </c>
      <c r="F20" s="5">
        <v>464</v>
      </c>
      <c r="G20" s="5">
        <v>0</v>
      </c>
      <c r="H20" s="5">
        <v>464</v>
      </c>
      <c r="I20" s="47"/>
      <c r="J20" s="47">
        <v>2022</v>
      </c>
      <c r="K20" s="47">
        <v>4</v>
      </c>
      <c r="L20" s="47" t="s">
        <v>114</v>
      </c>
      <c r="M20" s="46">
        <v>44669</v>
      </c>
    </row>
    <row r="21" spans="1:13" ht="11.25" customHeight="1">
      <c r="A21" s="12" t="s">
        <v>18</v>
      </c>
      <c r="B21" s="46" t="s">
        <v>77</v>
      </c>
      <c r="C21" s="47" t="s">
        <v>103</v>
      </c>
      <c r="D21" s="47" t="s">
        <v>110</v>
      </c>
      <c r="E21" s="47" t="s">
        <v>112</v>
      </c>
      <c r="F21" s="5">
        <v>87</v>
      </c>
      <c r="G21" s="5">
        <v>0</v>
      </c>
      <c r="H21" s="5">
        <v>87</v>
      </c>
      <c r="I21" s="47"/>
      <c r="J21" s="47">
        <v>2022</v>
      </c>
      <c r="K21" s="47">
        <v>5</v>
      </c>
      <c r="L21" s="47" t="s">
        <v>115</v>
      </c>
      <c r="M21" s="46">
        <v>44687</v>
      </c>
    </row>
    <row r="22" spans="1:13" ht="11.25" customHeight="1">
      <c r="A22" s="12" t="s">
        <v>18</v>
      </c>
      <c r="B22" s="46" t="s">
        <v>77</v>
      </c>
      <c r="C22" s="47" t="s">
        <v>104</v>
      </c>
      <c r="D22" s="47" t="s">
        <v>111</v>
      </c>
      <c r="E22" s="47" t="s">
        <v>113</v>
      </c>
      <c r="F22" s="5">
        <v>58</v>
      </c>
      <c r="G22" s="5">
        <v>0</v>
      </c>
      <c r="H22" s="5">
        <v>58</v>
      </c>
      <c r="I22" s="47"/>
      <c r="J22" s="47">
        <v>2022</v>
      </c>
      <c r="K22" s="47">
        <v>5</v>
      </c>
      <c r="L22" s="47" t="s">
        <v>116</v>
      </c>
      <c r="M22" s="46">
        <v>44697</v>
      </c>
    </row>
    <row r="23" spans="1:13" ht="11.25" customHeight="1">
      <c r="A23" s="12" t="s">
        <v>18</v>
      </c>
      <c r="B23" s="46" t="s">
        <v>77</v>
      </c>
      <c r="C23" s="47" t="s">
        <v>105</v>
      </c>
      <c r="D23" s="47" t="s">
        <v>110</v>
      </c>
      <c r="E23" s="47" t="s">
        <v>112</v>
      </c>
      <c r="F23" s="5">
        <v>58</v>
      </c>
      <c r="G23" s="5">
        <v>0</v>
      </c>
      <c r="H23" s="5">
        <v>58</v>
      </c>
      <c r="I23" s="47"/>
      <c r="J23" s="47">
        <v>2022</v>
      </c>
      <c r="K23" s="47">
        <v>5</v>
      </c>
      <c r="L23" s="47" t="s">
        <v>117</v>
      </c>
      <c r="M23" s="46">
        <v>44704</v>
      </c>
    </row>
    <row r="24" spans="1:13" ht="11.25" customHeight="1">
      <c r="A24" s="12"/>
      <c r="B24" s="12"/>
      <c r="C24" s="39"/>
      <c r="M24" s="12"/>
    </row>
    <row r="25" spans="1:13" ht="11.25" customHeight="1" thickBot="1">
      <c r="A25" s="12"/>
      <c r="B25" s="12"/>
      <c r="D25" s="2"/>
      <c r="E25" s="23" t="s">
        <v>25</v>
      </c>
      <c r="F25" s="24">
        <f>SUM(F20:F24)</f>
        <v>667</v>
      </c>
      <c r="G25" s="24">
        <f>SUM(G20:G24)</f>
        <v>0</v>
      </c>
      <c r="H25" s="24">
        <f>SUM(H20:H24)</f>
        <v>667</v>
      </c>
      <c r="M25" s="12"/>
    </row>
    <row r="26" spans="1:13" ht="11.25" customHeight="1">
      <c r="A26" s="12"/>
      <c r="B26" s="12"/>
      <c r="D26" s="2"/>
      <c r="M26" s="12"/>
    </row>
    <row r="27" spans="1:13" ht="11.25" customHeight="1">
      <c r="A27" s="46" t="s">
        <v>23</v>
      </c>
      <c r="B27" s="46" t="s">
        <v>36</v>
      </c>
      <c r="C27" s="47" t="s">
        <v>106</v>
      </c>
      <c r="D27" s="47" t="s">
        <v>37</v>
      </c>
      <c r="E27" s="47" t="s">
        <v>14</v>
      </c>
      <c r="F27" s="5">
        <v>19.13</v>
      </c>
      <c r="G27" s="5">
        <v>0</v>
      </c>
      <c r="H27" s="5">
        <v>19.13</v>
      </c>
      <c r="I27" s="47" t="s">
        <v>86</v>
      </c>
      <c r="J27" s="47">
        <v>2022</v>
      </c>
      <c r="K27" s="47">
        <v>5</v>
      </c>
      <c r="L27" s="47" t="s">
        <v>118</v>
      </c>
      <c r="M27" s="46">
        <v>44705</v>
      </c>
    </row>
    <row r="28" spans="1:13" ht="11.25" customHeight="1">
      <c r="A28" s="46" t="s">
        <v>23</v>
      </c>
      <c r="B28" s="46" t="s">
        <v>36</v>
      </c>
      <c r="C28" s="47" t="s">
        <v>106</v>
      </c>
      <c r="D28" s="47" t="s">
        <v>37</v>
      </c>
      <c r="E28" s="47" t="s">
        <v>14</v>
      </c>
      <c r="F28" s="5">
        <v>4.33</v>
      </c>
      <c r="G28" s="5">
        <v>0</v>
      </c>
      <c r="H28" s="5">
        <v>4.33</v>
      </c>
      <c r="I28" s="47" t="s">
        <v>86</v>
      </c>
      <c r="J28" s="47">
        <v>2022</v>
      </c>
      <c r="K28" s="47">
        <v>5</v>
      </c>
      <c r="L28" s="47" t="s">
        <v>118</v>
      </c>
      <c r="M28" s="46">
        <v>44705</v>
      </c>
    </row>
    <row r="29" spans="1:13" ht="11.25" customHeight="1">
      <c r="A29" s="46" t="s">
        <v>23</v>
      </c>
      <c r="B29" s="46" t="s">
        <v>128</v>
      </c>
      <c r="C29" s="47" t="s">
        <v>107</v>
      </c>
      <c r="D29" s="47" t="s">
        <v>37</v>
      </c>
      <c r="E29" s="47" t="s">
        <v>14</v>
      </c>
      <c r="F29" s="5">
        <v>478.53</v>
      </c>
      <c r="G29" s="5">
        <v>0</v>
      </c>
      <c r="H29" s="5">
        <v>478.53</v>
      </c>
      <c r="I29" s="47" t="s">
        <v>86</v>
      </c>
      <c r="J29" s="47">
        <v>2022</v>
      </c>
      <c r="K29" s="47">
        <v>6</v>
      </c>
      <c r="L29" s="47" t="s">
        <v>119</v>
      </c>
      <c r="M29" s="46">
        <v>44736</v>
      </c>
    </row>
    <row r="30" spans="1:13" ht="11.25" customHeight="1">
      <c r="A30" s="46" t="s">
        <v>23</v>
      </c>
      <c r="B30" s="46" t="s">
        <v>128</v>
      </c>
      <c r="C30" s="47" t="s">
        <v>108</v>
      </c>
      <c r="D30" s="47" t="s">
        <v>37</v>
      </c>
      <c r="E30" s="47" t="s">
        <v>14</v>
      </c>
      <c r="F30" s="5">
        <v>73.86</v>
      </c>
      <c r="G30" s="5">
        <v>0</v>
      </c>
      <c r="H30" s="5">
        <v>73.86</v>
      </c>
      <c r="I30" s="47" t="s">
        <v>86</v>
      </c>
      <c r="J30" s="47">
        <v>2022</v>
      </c>
      <c r="K30" s="47">
        <v>6</v>
      </c>
      <c r="L30" s="47" t="s">
        <v>120</v>
      </c>
      <c r="M30" s="46">
        <v>44739</v>
      </c>
    </row>
    <row r="31" spans="1:13" ht="11.25" customHeight="1">
      <c r="A31" s="46" t="s">
        <v>23</v>
      </c>
      <c r="B31" s="46" t="s">
        <v>126</v>
      </c>
      <c r="C31" s="47" t="s">
        <v>109</v>
      </c>
      <c r="D31" s="47" t="s">
        <v>37</v>
      </c>
      <c r="E31" s="47" t="s">
        <v>14</v>
      </c>
      <c r="F31" s="5">
        <v>235</v>
      </c>
      <c r="G31" s="5">
        <v>0</v>
      </c>
      <c r="H31" s="5">
        <v>235</v>
      </c>
      <c r="I31" s="47" t="s">
        <v>86</v>
      </c>
      <c r="J31" s="47">
        <v>2022</v>
      </c>
      <c r="K31" s="47">
        <v>6</v>
      </c>
      <c r="L31" s="47" t="s">
        <v>121</v>
      </c>
      <c r="M31" s="46">
        <v>44739</v>
      </c>
    </row>
    <row r="32" spans="1:13" ht="11.25" customHeight="1">
      <c r="A32" s="46" t="s">
        <v>23</v>
      </c>
      <c r="B32" s="46" t="s">
        <v>127</v>
      </c>
      <c r="C32" s="47" t="s">
        <v>109</v>
      </c>
      <c r="D32" s="47" t="s">
        <v>37</v>
      </c>
      <c r="E32" s="47" t="s">
        <v>14</v>
      </c>
      <c r="F32" s="5">
        <v>19.39</v>
      </c>
      <c r="G32" s="5">
        <v>0</v>
      </c>
      <c r="H32" s="5">
        <v>19.39</v>
      </c>
      <c r="I32" s="47" t="s">
        <v>86</v>
      </c>
      <c r="J32" s="47">
        <v>2022</v>
      </c>
      <c r="K32" s="47">
        <v>6</v>
      </c>
      <c r="L32" s="47" t="s">
        <v>121</v>
      </c>
      <c r="M32" s="46">
        <v>44739</v>
      </c>
    </row>
    <row r="33" spans="1:15" ht="11.25" customHeight="1">
      <c r="A33" s="12"/>
      <c r="B33" s="12"/>
      <c r="M33" s="12"/>
    </row>
    <row r="34" spans="1:15" s="4" customFormat="1" ht="11.25" customHeight="1" thickBot="1">
      <c r="D34" s="8"/>
      <c r="E34" s="23" t="s">
        <v>26</v>
      </c>
      <c r="F34" s="24">
        <f>SUM(F27:F32)</f>
        <v>830.2399999999999</v>
      </c>
      <c r="G34" s="24">
        <f t="shared" ref="G34:H34" si="0">SUM(G27:G32)</f>
        <v>0</v>
      </c>
      <c r="H34" s="24">
        <f t="shared" si="0"/>
        <v>830.2399999999999</v>
      </c>
    </row>
    <row r="35" spans="1:15" ht="11.25" customHeight="1"/>
    <row r="36" spans="1:15" ht="11.25" customHeight="1" thickBot="1">
      <c r="E36" s="4" t="s">
        <v>54</v>
      </c>
      <c r="F36" s="49">
        <f>SUM(F14,F18,F25,F34)</f>
        <v>28670.74</v>
      </c>
      <c r="G36" s="49">
        <f>SUM(G14,G18,G25,G34)</f>
        <v>0</v>
      </c>
      <c r="H36" s="49">
        <f>SUM(H14,H18,H25,H34)</f>
        <v>28670.74</v>
      </c>
    </row>
    <row r="37" spans="1:15" ht="11.25" customHeight="1" thickTop="1"/>
    <row r="38" spans="1:15" ht="11.25" customHeight="1"/>
    <row r="43" spans="1:15" ht="12.7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1:15" ht="15">
      <c r="A44" s="43"/>
      <c r="B44" s="43"/>
      <c r="C44" s="43"/>
      <c r="D44" s="43"/>
      <c r="E44" s="43"/>
      <c r="F44" s="43"/>
      <c r="G44" s="43"/>
      <c r="H44" s="43"/>
      <c r="I44" s="43"/>
      <c r="J44" s="43"/>
      <c r="L44" s="43"/>
      <c r="M44" s="43"/>
      <c r="N44" s="43"/>
      <c r="O44" s="43"/>
    </row>
    <row r="45" spans="1:15" ht="15">
      <c r="A45" s="43"/>
      <c r="B45" s="43"/>
      <c r="C45" s="43"/>
      <c r="D45" s="43"/>
      <c r="E45" s="43"/>
      <c r="F45" s="43"/>
      <c r="G45" s="43"/>
      <c r="H45" s="43"/>
      <c r="I45" s="43"/>
      <c r="J45" s="43"/>
      <c r="L45" s="43"/>
      <c r="M45" s="43"/>
      <c r="N45" s="43"/>
      <c r="O45" s="43"/>
    </row>
    <row r="46" spans="1:15" ht="15">
      <c r="A46" s="43"/>
      <c r="B46" s="43"/>
      <c r="C46" s="43"/>
      <c r="D46" s="43"/>
      <c r="E46" s="43"/>
      <c r="F46" s="43"/>
      <c r="G46" s="43"/>
      <c r="H46" s="43"/>
      <c r="I46" s="43"/>
      <c r="J46" s="43"/>
      <c r="L46" s="43"/>
      <c r="M46" s="43"/>
      <c r="N46" s="43"/>
      <c r="O46" s="43"/>
    </row>
    <row r="47" spans="1:15" ht="15">
      <c r="A47" s="43"/>
      <c r="B47" s="43"/>
      <c r="C47" s="43"/>
      <c r="D47" s="43"/>
      <c r="E47" s="43"/>
      <c r="F47" s="43"/>
      <c r="G47" s="43"/>
      <c r="H47" s="43"/>
      <c r="I47" s="43"/>
      <c r="J47" s="43"/>
      <c r="L47" s="43"/>
      <c r="M47" s="43"/>
      <c r="N47" s="43"/>
      <c r="O47" s="43"/>
    </row>
    <row r="48" spans="1:15" ht="15">
      <c r="A48" s="43"/>
      <c r="B48" s="43"/>
      <c r="C48" s="43"/>
      <c r="D48" s="43"/>
      <c r="E48" s="43"/>
      <c r="F48" s="43"/>
      <c r="G48" s="43"/>
      <c r="H48" s="43"/>
      <c r="I48" s="43"/>
      <c r="J48" s="43"/>
      <c r="L48" s="43"/>
      <c r="M48" s="43"/>
      <c r="N48" s="43"/>
      <c r="O48" s="43"/>
    </row>
    <row r="49" spans="1:15" ht="15">
      <c r="A49" s="43"/>
      <c r="B49" s="43"/>
      <c r="C49" s="43"/>
      <c r="D49" s="43"/>
      <c r="E49" s="43"/>
      <c r="F49" s="43"/>
      <c r="G49" s="43"/>
      <c r="H49" s="43"/>
      <c r="I49" s="43"/>
      <c r="J49" s="43"/>
      <c r="L49" s="43"/>
      <c r="M49" s="43"/>
      <c r="N49" s="43"/>
      <c r="O49" s="43"/>
    </row>
    <row r="158" spans="1:13">
      <c r="A158" s="12"/>
      <c r="B158" s="12"/>
      <c r="M158" s="12"/>
    </row>
    <row r="159" spans="1:13">
      <c r="A159" s="12"/>
      <c r="B159" s="12"/>
      <c r="M159" s="12"/>
    </row>
    <row r="160" spans="1:13">
      <c r="A160" s="12"/>
      <c r="B160" s="12"/>
      <c r="M160" s="12"/>
    </row>
    <row r="161" spans="1:13">
      <c r="A161" s="12"/>
      <c r="B161" s="12"/>
      <c r="M161" s="12"/>
    </row>
    <row r="162" spans="1:13">
      <c r="A162" s="12"/>
      <c r="B162" s="12"/>
      <c r="M162" s="12"/>
    </row>
    <row r="163" spans="1:13">
      <c r="A163" s="12"/>
      <c r="B163" s="12"/>
      <c r="M163" s="12"/>
    </row>
    <row r="164" spans="1:13">
      <c r="A164" s="12"/>
      <c r="B164" s="12"/>
      <c r="M164" s="12"/>
    </row>
    <row r="165" spans="1:13">
      <c r="A165" s="12"/>
      <c r="B165" s="12"/>
      <c r="M165" s="12"/>
    </row>
    <row r="166" spans="1:13">
      <c r="A166" s="12"/>
      <c r="B166" s="12"/>
      <c r="M166" s="12"/>
    </row>
    <row r="167" spans="1:13">
      <c r="A167" s="12"/>
      <c r="B167" s="12"/>
      <c r="M167" s="12"/>
    </row>
    <row r="168" spans="1:13">
      <c r="A168" s="12"/>
      <c r="B168" s="12"/>
      <c r="M168" s="12"/>
    </row>
    <row r="169" spans="1:13">
      <c r="A169" s="12"/>
      <c r="B169" s="12"/>
      <c r="M169" s="12"/>
    </row>
    <row r="170" spans="1:13">
      <c r="A170" s="12"/>
      <c r="B170" s="12"/>
      <c r="M170" s="12"/>
    </row>
    <row r="171" spans="1:13">
      <c r="A171" s="12"/>
      <c r="B171" s="12"/>
      <c r="M171" s="12"/>
    </row>
    <row r="172" spans="1:13">
      <c r="A172" s="12"/>
      <c r="B172" s="12"/>
      <c r="M172" s="12"/>
    </row>
    <row r="173" spans="1:13">
      <c r="A173" s="12"/>
      <c r="B173" s="12"/>
      <c r="M173" s="12"/>
    </row>
    <row r="174" spans="1:13">
      <c r="A174" s="12"/>
      <c r="B174" s="12"/>
      <c r="M174" s="12"/>
    </row>
    <row r="175" spans="1:13">
      <c r="A175" s="12"/>
      <c r="B175" s="12"/>
      <c r="M175" s="12"/>
    </row>
    <row r="176" spans="1:13">
      <c r="A176" s="12"/>
      <c r="B176" s="12"/>
      <c r="M176" s="12"/>
    </row>
    <row r="177" spans="1:13">
      <c r="A177" s="12"/>
      <c r="B177" s="12"/>
      <c r="M177" s="12"/>
    </row>
    <row r="178" spans="1:13">
      <c r="A178" s="12"/>
      <c r="B178" s="12"/>
      <c r="M178" s="12"/>
    </row>
    <row r="179" spans="1:13">
      <c r="A179" s="12"/>
      <c r="B179" s="12"/>
      <c r="M179" s="12"/>
    </row>
    <row r="180" spans="1:13">
      <c r="A180" s="12"/>
      <c r="B180" s="12"/>
      <c r="M180" s="12"/>
    </row>
    <row r="181" spans="1:13">
      <c r="A181" s="12"/>
      <c r="B181" s="12"/>
      <c r="M181" s="12"/>
    </row>
    <row r="182" spans="1:13">
      <c r="A182" s="12"/>
      <c r="B182" s="12"/>
      <c r="M182" s="12"/>
    </row>
    <row r="183" spans="1:13">
      <c r="A183" s="12"/>
      <c r="B183" s="12"/>
      <c r="M183" s="12"/>
    </row>
    <row r="184" spans="1:13">
      <c r="A184" s="12"/>
      <c r="B184" s="12"/>
      <c r="M184" s="12"/>
    </row>
    <row r="185" spans="1:13">
      <c r="A185" s="12"/>
      <c r="B185" s="12"/>
      <c r="M185" s="12"/>
    </row>
    <row r="186" spans="1:13">
      <c r="A186" s="12"/>
      <c r="B186" s="12"/>
      <c r="M186" s="12"/>
    </row>
    <row r="187" spans="1:13">
      <c r="A187" s="12"/>
      <c r="B187" s="12"/>
      <c r="M187" s="12"/>
    </row>
    <row r="188" spans="1:13">
      <c r="A188" s="12"/>
      <c r="B188" s="12"/>
      <c r="M188" s="12"/>
    </row>
    <row r="189" spans="1:13">
      <c r="A189" s="12"/>
      <c r="B189" s="12"/>
      <c r="M189" s="12"/>
    </row>
    <row r="190" spans="1:13">
      <c r="A190" s="12"/>
      <c r="B190" s="12"/>
      <c r="M190" s="12"/>
    </row>
    <row r="191" spans="1:13">
      <c r="A191" s="12"/>
      <c r="B191" s="12"/>
      <c r="M191" s="12"/>
    </row>
    <row r="192" spans="1:13">
      <c r="A192" s="12"/>
      <c r="B192" s="12"/>
      <c r="M192" s="12"/>
    </row>
    <row r="193" spans="1:13">
      <c r="A193" s="12"/>
      <c r="B193" s="12"/>
      <c r="M193" s="12"/>
    </row>
    <row r="194" spans="1:13">
      <c r="A194" s="12"/>
      <c r="B194" s="12"/>
      <c r="M194" s="12"/>
    </row>
    <row r="195" spans="1:13">
      <c r="A195" s="12"/>
      <c r="B195" s="12"/>
      <c r="M195" s="12"/>
    </row>
    <row r="196" spans="1:13">
      <c r="A196" s="12"/>
      <c r="B196" s="12"/>
      <c r="M196" s="12"/>
    </row>
    <row r="197" spans="1:13">
      <c r="A197" s="12"/>
      <c r="B197" s="12"/>
      <c r="M197" s="12"/>
    </row>
    <row r="198" spans="1:13">
      <c r="A198" s="12"/>
      <c r="B198" s="12"/>
      <c r="M198" s="12"/>
    </row>
    <row r="199" spans="1:13">
      <c r="A199" s="12"/>
      <c r="B199" s="12"/>
      <c r="M199" s="12"/>
    </row>
    <row r="200" spans="1:13">
      <c r="A200" s="12"/>
      <c r="B200" s="12"/>
      <c r="M200" s="12"/>
    </row>
    <row r="201" spans="1:13">
      <c r="A201" s="12"/>
      <c r="B201" s="14"/>
      <c r="C201" s="1"/>
      <c r="D201" s="13"/>
      <c r="E201" s="1"/>
      <c r="F201" s="5"/>
      <c r="G201" s="5"/>
      <c r="H201" s="5"/>
      <c r="I201" s="1"/>
      <c r="J201" s="1"/>
      <c r="K201" s="1"/>
      <c r="L201" s="1"/>
      <c r="M201" s="14"/>
    </row>
    <row r="202" spans="1:13">
      <c r="A202" s="12"/>
      <c r="B202" s="14"/>
      <c r="C202" s="1"/>
      <c r="D202" s="13"/>
      <c r="E202" s="1"/>
      <c r="F202" s="5"/>
      <c r="G202" s="5"/>
      <c r="H202" s="5"/>
      <c r="I202" s="1"/>
      <c r="J202" s="1"/>
      <c r="K202" s="1"/>
      <c r="L202" s="1"/>
      <c r="M202" s="14"/>
    </row>
    <row r="203" spans="1:13">
      <c r="A203" s="12"/>
      <c r="B203" s="14"/>
      <c r="C203" s="1"/>
      <c r="D203" s="13"/>
      <c r="E203" s="1"/>
      <c r="F203" s="5"/>
      <c r="G203" s="5"/>
      <c r="H203" s="5"/>
      <c r="I203" s="1"/>
      <c r="J203" s="1"/>
      <c r="K203" s="1"/>
      <c r="L203" s="1"/>
      <c r="M203" s="14"/>
    </row>
    <row r="204" spans="1:13">
      <c r="A204" s="12"/>
      <c r="B204" s="3"/>
      <c r="C204" s="1"/>
      <c r="D204" s="13"/>
      <c r="E204" s="1"/>
      <c r="F204" s="5"/>
      <c r="G204" s="5"/>
      <c r="I204" s="1"/>
      <c r="J204" s="1"/>
      <c r="K204" s="1"/>
      <c r="L204" s="1"/>
      <c r="M204" s="14"/>
    </row>
    <row r="205" spans="1:13">
      <c r="A205" s="12"/>
      <c r="B205" s="3"/>
      <c r="C205" s="1"/>
      <c r="D205" s="13"/>
      <c r="E205" s="1"/>
      <c r="F205" s="5"/>
      <c r="G205" s="5"/>
      <c r="I205" s="1"/>
      <c r="J205" s="1"/>
      <c r="K205" s="1"/>
      <c r="L205" s="1"/>
      <c r="M205" s="14"/>
    </row>
    <row r="206" spans="1:13">
      <c r="A206" s="12"/>
      <c r="B206" s="3"/>
      <c r="C206" s="1"/>
      <c r="D206" s="13"/>
      <c r="E206" s="1"/>
      <c r="F206" s="5"/>
      <c r="G206" s="5"/>
      <c r="I206" s="1"/>
      <c r="J206" s="1"/>
      <c r="K206" s="1"/>
      <c r="L206" s="1"/>
      <c r="M206" s="14"/>
    </row>
    <row r="207" spans="1:13">
      <c r="A207" s="12"/>
      <c r="B207" s="12"/>
      <c r="M207" s="12"/>
    </row>
    <row r="208" spans="1:13">
      <c r="A208" s="12"/>
      <c r="B208" s="12"/>
      <c r="M208" s="12"/>
    </row>
    <row r="209" spans="1:13">
      <c r="A209" s="12"/>
      <c r="B209" s="12"/>
      <c r="M209" s="12"/>
    </row>
    <row r="210" spans="1:13">
      <c r="A210" s="12"/>
      <c r="B210" s="12"/>
      <c r="M210" s="12"/>
    </row>
    <row r="211" spans="1:13">
      <c r="A211" s="12"/>
      <c r="B211" s="12"/>
      <c r="M211" s="12"/>
    </row>
    <row r="212" spans="1:13">
      <c r="A212" s="12"/>
      <c r="B212" s="12"/>
      <c r="M212" s="12"/>
    </row>
    <row r="213" spans="1:13">
      <c r="A213" s="12"/>
      <c r="B213" s="12"/>
      <c r="M213" s="12"/>
    </row>
    <row r="214" spans="1:13">
      <c r="A214" s="12"/>
      <c r="B214" s="12"/>
      <c r="M214" s="12"/>
    </row>
    <row r="215" spans="1:13">
      <c r="A215" s="12"/>
      <c r="B215" s="12"/>
      <c r="M215" s="12"/>
    </row>
    <row r="216" spans="1:13">
      <c r="A216" s="12"/>
      <c r="B216" s="12"/>
      <c r="M216" s="12"/>
    </row>
    <row r="217" spans="1:13">
      <c r="A217" s="12"/>
      <c r="B217" s="12"/>
      <c r="M217" s="12"/>
    </row>
    <row r="218" spans="1:13">
      <c r="A218" s="12"/>
      <c r="B218" s="12"/>
      <c r="M218" s="12"/>
    </row>
    <row r="219" spans="1:13">
      <c r="A219" s="12"/>
      <c r="B219" s="12"/>
      <c r="M219" s="12"/>
    </row>
    <row r="220" spans="1:13">
      <c r="A220" s="12"/>
      <c r="B220" s="12"/>
      <c r="M220" s="12"/>
    </row>
    <row r="221" spans="1:13">
      <c r="A221" s="12"/>
      <c r="B221" s="12"/>
      <c r="M221" s="12"/>
    </row>
    <row r="222" spans="1:13" ht="39.75" customHeight="1">
      <c r="A222" s="12"/>
      <c r="B222" s="12"/>
      <c r="M222" s="12"/>
    </row>
    <row r="223" spans="1:13">
      <c r="A223" s="12"/>
      <c r="B223" s="12"/>
      <c r="M223" s="12"/>
    </row>
    <row r="224" spans="1:13">
      <c r="A224" s="12"/>
      <c r="B224" s="12"/>
      <c r="M224" s="12"/>
    </row>
  </sheetData>
  <mergeCells count="4">
    <mergeCell ref="A1:M1"/>
    <mergeCell ref="A2:M2"/>
    <mergeCell ref="A3:M3"/>
    <mergeCell ref="A4:M4"/>
  </mergeCells>
  <pageMargins left="0.7" right="0.7" top="1.1299999999999999" bottom="0.75" header="0.3" footer="0.3"/>
  <pageSetup scale="56" fitToHeight="0" orientation="landscape" r:id="rId1"/>
  <headerFooter scaleWithDoc="0">
    <oddHeader>&amp;RDocket No. 56165
Exhibit CMB-2
&amp;A
Page &amp;P of &amp;N</oddHeader>
  </headerFooter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1FFC-A71D-47CE-B20C-63AABEF34396}">
  <sheetPr>
    <pageSetUpPr fitToPage="1"/>
  </sheetPr>
  <dimension ref="A1:O236"/>
  <sheetViews>
    <sheetView tabSelected="1" view="pageBreakPreview" zoomScale="90" zoomScaleNormal="100" zoomScaleSheetLayoutView="90" workbookViewId="0">
      <selection sqref="A1:M1"/>
    </sheetView>
  </sheetViews>
  <sheetFormatPr defaultColWidth="9.140625" defaultRowHeight="12"/>
  <cols>
    <col min="1" max="1" width="16.28515625" style="2" bestFit="1" customWidth="1"/>
    <col min="2" max="2" width="24.7109375" style="2" bestFit="1" customWidth="1"/>
    <col min="3" max="3" width="10" style="2" bestFit="1" customWidth="1"/>
    <col min="4" max="4" width="11.5703125" style="7" bestFit="1" customWidth="1"/>
    <col min="5" max="5" width="34" style="2" customWidth="1"/>
    <col min="6" max="6" width="13" style="6" customWidth="1"/>
    <col min="7" max="7" width="14.140625" style="6" bestFit="1" customWidth="1"/>
    <col min="8" max="8" width="12.85546875" style="6" customWidth="1"/>
    <col min="9" max="9" width="18.28515625" style="2" customWidth="1"/>
    <col min="10" max="10" width="8" style="2" customWidth="1"/>
    <col min="11" max="11" width="6" style="2" bestFit="1" customWidth="1"/>
    <col min="12" max="12" width="23.5703125" style="2" bestFit="1" customWidth="1"/>
    <col min="13" max="13" width="13.85546875" style="2" bestFit="1" customWidth="1"/>
    <col min="14" max="16384" width="9.140625" style="2"/>
  </cols>
  <sheetData>
    <row r="1" spans="1:13">
      <c r="A1" s="85" t="s">
        <v>52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>
      <c r="A2" s="85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85" t="s">
        <v>259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2.75" customHeight="1">
      <c r="A4" s="86" t="s">
        <v>244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s="15" customFormat="1">
      <c r="D6" s="16"/>
      <c r="F6" s="17"/>
      <c r="G6" s="17"/>
      <c r="H6" s="17"/>
    </row>
    <row r="7" spans="1:13">
      <c r="A7" s="4" t="s">
        <v>1</v>
      </c>
      <c r="B7" s="4" t="s">
        <v>2</v>
      </c>
      <c r="C7" s="4" t="s">
        <v>0</v>
      </c>
      <c r="D7" s="8" t="s">
        <v>3</v>
      </c>
      <c r="E7" s="4" t="s">
        <v>4</v>
      </c>
      <c r="F7" s="9" t="s">
        <v>5</v>
      </c>
      <c r="G7" s="10" t="s">
        <v>6</v>
      </c>
      <c r="H7" s="10" t="s">
        <v>7</v>
      </c>
      <c r="I7" s="4" t="s">
        <v>8</v>
      </c>
      <c r="J7" s="4" t="s">
        <v>11</v>
      </c>
      <c r="K7" s="4" t="s">
        <v>12</v>
      </c>
      <c r="L7" s="4" t="s">
        <v>9</v>
      </c>
      <c r="M7" s="11" t="s">
        <v>10</v>
      </c>
    </row>
    <row r="8" spans="1:13">
      <c r="A8" s="12"/>
      <c r="B8" s="12"/>
      <c r="M8" s="12"/>
    </row>
    <row r="9" spans="1:13">
      <c r="A9" s="12" t="s">
        <v>34</v>
      </c>
      <c r="B9" s="12" t="s">
        <v>17</v>
      </c>
      <c r="C9" s="2" t="s">
        <v>129</v>
      </c>
      <c r="D9" s="7" t="s">
        <v>65</v>
      </c>
      <c r="E9" s="2" t="s">
        <v>66</v>
      </c>
      <c r="F9" s="6">
        <v>13025</v>
      </c>
      <c r="G9" s="6">
        <v>0</v>
      </c>
      <c r="H9" s="6">
        <v>13025</v>
      </c>
      <c r="J9" s="2">
        <v>2023</v>
      </c>
      <c r="K9" s="2">
        <v>11</v>
      </c>
      <c r="L9" s="2" t="s">
        <v>135</v>
      </c>
      <c r="M9" s="12">
        <v>45125</v>
      </c>
    </row>
    <row r="10" spans="1:13">
      <c r="A10" s="12" t="s">
        <v>34</v>
      </c>
      <c r="B10" s="12" t="s">
        <v>17</v>
      </c>
      <c r="C10" s="54" t="s">
        <v>130</v>
      </c>
      <c r="D10" s="7" t="s">
        <v>65</v>
      </c>
      <c r="E10" s="2" t="s">
        <v>66</v>
      </c>
      <c r="F10" s="6">
        <v>7375</v>
      </c>
      <c r="G10" s="6">
        <v>0</v>
      </c>
      <c r="H10" s="6">
        <v>7375</v>
      </c>
      <c r="J10" s="2">
        <v>2023</v>
      </c>
      <c r="K10" s="2">
        <v>11</v>
      </c>
      <c r="L10" s="2" t="s">
        <v>136</v>
      </c>
      <c r="M10" s="12">
        <v>45155</v>
      </c>
    </row>
    <row r="11" spans="1:13">
      <c r="A11" s="12" t="s">
        <v>34</v>
      </c>
      <c r="B11" s="12" t="s">
        <v>17</v>
      </c>
      <c r="C11" s="54" t="s">
        <v>131</v>
      </c>
      <c r="D11" s="7" t="s">
        <v>65</v>
      </c>
      <c r="E11" s="2" t="s">
        <v>66</v>
      </c>
      <c r="F11" s="6">
        <v>7287</v>
      </c>
      <c r="G11" s="6">
        <v>0</v>
      </c>
      <c r="H11" s="6">
        <v>7287</v>
      </c>
      <c r="J11" s="2">
        <v>2023</v>
      </c>
      <c r="K11" s="2">
        <v>11</v>
      </c>
      <c r="L11" s="2" t="s">
        <v>137</v>
      </c>
      <c r="M11" s="12">
        <v>45155</v>
      </c>
    </row>
    <row r="12" spans="1:13">
      <c r="A12" s="12" t="s">
        <v>34</v>
      </c>
      <c r="B12" s="12" t="s">
        <v>17</v>
      </c>
      <c r="C12" s="54" t="s">
        <v>132</v>
      </c>
      <c r="D12" s="7" t="s">
        <v>65</v>
      </c>
      <c r="E12" s="2" t="s">
        <v>66</v>
      </c>
      <c r="F12" s="6">
        <v>1341.5</v>
      </c>
      <c r="G12" s="6">
        <v>0</v>
      </c>
      <c r="H12" s="6">
        <v>1341.5</v>
      </c>
      <c r="J12" s="2">
        <v>2023</v>
      </c>
      <c r="K12" s="2">
        <v>11</v>
      </c>
      <c r="L12" s="2" t="s">
        <v>138</v>
      </c>
      <c r="M12" s="12">
        <v>45155</v>
      </c>
    </row>
    <row r="13" spans="1:13">
      <c r="A13" s="12" t="s">
        <v>34</v>
      </c>
      <c r="B13" s="12" t="s">
        <v>17</v>
      </c>
      <c r="C13" s="54" t="s">
        <v>133</v>
      </c>
      <c r="D13" s="7" t="s">
        <v>65</v>
      </c>
      <c r="E13" s="2" t="s">
        <v>66</v>
      </c>
      <c r="F13" s="6">
        <v>1305.5</v>
      </c>
      <c r="G13" s="6">
        <v>0</v>
      </c>
      <c r="H13" s="6">
        <v>1305.5</v>
      </c>
      <c r="J13" s="2">
        <v>2023</v>
      </c>
      <c r="K13" s="2">
        <v>11</v>
      </c>
      <c r="L13" s="2" t="s">
        <v>139</v>
      </c>
      <c r="M13" s="12">
        <v>45187</v>
      </c>
    </row>
    <row r="14" spans="1:13">
      <c r="A14" s="12" t="s">
        <v>34</v>
      </c>
      <c r="B14" s="12" t="s">
        <v>17</v>
      </c>
      <c r="C14" s="54" t="s">
        <v>134</v>
      </c>
      <c r="D14" s="7" t="s">
        <v>65</v>
      </c>
      <c r="E14" s="2" t="s">
        <v>66</v>
      </c>
      <c r="F14" s="6">
        <v>84</v>
      </c>
      <c r="G14" s="6">
        <v>0</v>
      </c>
      <c r="H14" s="6">
        <v>84</v>
      </c>
      <c r="J14" s="2">
        <v>2023</v>
      </c>
      <c r="K14" s="2">
        <v>11</v>
      </c>
      <c r="L14" s="2" t="s">
        <v>140</v>
      </c>
      <c r="M14" s="12">
        <v>45225</v>
      </c>
    </row>
    <row r="15" spans="1:13">
      <c r="A15" s="12"/>
      <c r="B15" s="12"/>
      <c r="C15" s="54"/>
      <c r="M15" s="12"/>
    </row>
    <row r="16" spans="1:13">
      <c r="A16" s="12"/>
      <c r="B16" s="12"/>
      <c r="C16" s="54"/>
      <c r="M16" s="12"/>
    </row>
    <row r="17" spans="1:13">
      <c r="A17" s="12"/>
      <c r="B17" s="12"/>
      <c r="M17" s="12"/>
    </row>
    <row r="18" spans="1:13" ht="12.75" thickBot="1">
      <c r="A18" s="12"/>
      <c r="B18" s="12"/>
      <c r="D18" s="2"/>
      <c r="E18" s="23" t="s">
        <v>39</v>
      </c>
      <c r="F18" s="24">
        <f>SUM(F9:F17)</f>
        <v>30418</v>
      </c>
      <c r="G18" s="24">
        <f t="shared" ref="G18:H18" si="0">SUM(G9:G17)</f>
        <v>0</v>
      </c>
      <c r="H18" s="24">
        <f t="shared" si="0"/>
        <v>30418</v>
      </c>
      <c r="M18" s="12"/>
    </row>
    <row r="19" spans="1:13">
      <c r="A19" s="12"/>
      <c r="B19" s="12"/>
      <c r="D19" s="4"/>
      <c r="E19" s="9"/>
      <c r="F19" s="9"/>
      <c r="G19" s="9"/>
      <c r="M19" s="12"/>
    </row>
    <row r="20" spans="1:13" s="1" customFormat="1">
      <c r="A20" s="12" t="s">
        <v>17</v>
      </c>
      <c r="B20" s="12" t="s">
        <v>17</v>
      </c>
      <c r="C20" s="1" t="s">
        <v>141</v>
      </c>
      <c r="D20" s="1" t="s">
        <v>32</v>
      </c>
      <c r="E20" s="1" t="s">
        <v>13</v>
      </c>
      <c r="F20" s="36">
        <v>325</v>
      </c>
      <c r="G20" s="6">
        <v>0</v>
      </c>
      <c r="H20" s="36">
        <v>325</v>
      </c>
      <c r="J20" s="1">
        <v>2023</v>
      </c>
      <c r="K20" s="1">
        <v>3</v>
      </c>
      <c r="L20" s="47" t="s">
        <v>150</v>
      </c>
      <c r="M20" s="12">
        <v>44971</v>
      </c>
    </row>
    <row r="21" spans="1:13" s="1" customFormat="1">
      <c r="A21" s="12" t="s">
        <v>17</v>
      </c>
      <c r="B21" s="12" t="s">
        <v>17</v>
      </c>
      <c r="C21" s="1" t="s">
        <v>142</v>
      </c>
      <c r="D21" s="1" t="s">
        <v>32</v>
      </c>
      <c r="E21" s="1" t="s">
        <v>13</v>
      </c>
      <c r="F21" s="36">
        <v>15470</v>
      </c>
      <c r="G21" s="6">
        <v>0</v>
      </c>
      <c r="H21" s="36">
        <v>15470</v>
      </c>
      <c r="J21" s="1">
        <v>2023</v>
      </c>
      <c r="K21" s="1">
        <v>3</v>
      </c>
      <c r="L21" s="47" t="s">
        <v>151</v>
      </c>
      <c r="M21" s="12">
        <v>44998</v>
      </c>
    </row>
    <row r="22" spans="1:13" s="1" customFormat="1">
      <c r="A22" s="12" t="s">
        <v>17</v>
      </c>
      <c r="B22" s="12" t="s">
        <v>17</v>
      </c>
      <c r="C22" s="1" t="s">
        <v>143</v>
      </c>
      <c r="D22" s="1" t="s">
        <v>32</v>
      </c>
      <c r="E22" s="1" t="s">
        <v>13</v>
      </c>
      <c r="F22" s="36">
        <v>24181.3</v>
      </c>
      <c r="G22" s="6">
        <v>0</v>
      </c>
      <c r="H22" s="36">
        <v>24181.3</v>
      </c>
      <c r="J22" s="1">
        <v>2023</v>
      </c>
      <c r="K22" s="1">
        <v>4</v>
      </c>
      <c r="L22" s="47" t="s">
        <v>152</v>
      </c>
      <c r="M22" s="12">
        <v>45029</v>
      </c>
    </row>
    <row r="23" spans="1:13" s="1" customFormat="1">
      <c r="A23" s="12" t="s">
        <v>17</v>
      </c>
      <c r="B23" s="12" t="s">
        <v>17</v>
      </c>
      <c r="C23" s="1" t="s">
        <v>144</v>
      </c>
      <c r="D23" s="1" t="s">
        <v>32</v>
      </c>
      <c r="E23" s="1" t="s">
        <v>13</v>
      </c>
      <c r="F23" s="36">
        <v>3739.68</v>
      </c>
      <c r="G23" s="6">
        <v>0</v>
      </c>
      <c r="H23" s="36">
        <v>3739.68</v>
      </c>
      <c r="J23" s="1">
        <v>2023</v>
      </c>
      <c r="K23" s="1">
        <v>5</v>
      </c>
      <c r="L23" s="47" t="s">
        <v>153</v>
      </c>
      <c r="M23" s="12">
        <v>45058</v>
      </c>
    </row>
    <row r="24" spans="1:13" s="1" customFormat="1">
      <c r="A24" s="12" t="s">
        <v>17</v>
      </c>
      <c r="B24" s="12" t="s">
        <v>17</v>
      </c>
      <c r="C24" s="1" t="s">
        <v>145</v>
      </c>
      <c r="D24" s="1" t="s">
        <v>32</v>
      </c>
      <c r="E24" s="1" t="s">
        <v>13</v>
      </c>
      <c r="F24" s="36">
        <v>15604.91</v>
      </c>
      <c r="G24" s="6">
        <v>0</v>
      </c>
      <c r="H24" s="36">
        <v>15604.91</v>
      </c>
      <c r="J24" s="1">
        <v>2023</v>
      </c>
      <c r="K24" s="1">
        <v>6</v>
      </c>
      <c r="L24" s="47" t="s">
        <v>154</v>
      </c>
      <c r="M24" s="12">
        <v>45090</v>
      </c>
    </row>
    <row r="25" spans="1:13" s="1" customFormat="1">
      <c r="A25" s="12" t="s">
        <v>17</v>
      </c>
      <c r="B25" s="12" t="s">
        <v>17</v>
      </c>
      <c r="C25" s="1" t="s">
        <v>146</v>
      </c>
      <c r="D25" s="1" t="s">
        <v>32</v>
      </c>
      <c r="E25" s="1" t="s">
        <v>13</v>
      </c>
      <c r="F25" s="36">
        <v>12822.37</v>
      </c>
      <c r="G25" s="6">
        <v>0</v>
      </c>
      <c r="H25" s="36">
        <v>12822.37</v>
      </c>
      <c r="J25" s="1">
        <v>2023</v>
      </c>
      <c r="K25" s="1">
        <v>7</v>
      </c>
      <c r="L25" s="47" t="s">
        <v>155</v>
      </c>
      <c r="M25" s="12">
        <v>45120</v>
      </c>
    </row>
    <row r="26" spans="1:13" s="1" customFormat="1">
      <c r="A26" s="12" t="s">
        <v>17</v>
      </c>
      <c r="B26" s="12" t="s">
        <v>17</v>
      </c>
      <c r="C26" s="1" t="s">
        <v>147</v>
      </c>
      <c r="D26" s="1" t="s">
        <v>32</v>
      </c>
      <c r="E26" s="1" t="s">
        <v>13</v>
      </c>
      <c r="F26" s="36">
        <v>7508.81</v>
      </c>
      <c r="G26" s="6">
        <v>0</v>
      </c>
      <c r="H26" s="36">
        <v>7508.81</v>
      </c>
      <c r="J26" s="1">
        <v>2023</v>
      </c>
      <c r="K26" s="1">
        <v>8</v>
      </c>
      <c r="L26" s="47" t="s">
        <v>156</v>
      </c>
      <c r="M26" s="12">
        <v>45149</v>
      </c>
    </row>
    <row r="27" spans="1:13" s="1" customFormat="1">
      <c r="A27" s="12" t="s">
        <v>17</v>
      </c>
      <c r="B27" s="12" t="s">
        <v>17</v>
      </c>
      <c r="C27" s="1" t="s">
        <v>148</v>
      </c>
      <c r="D27" s="1" t="s">
        <v>32</v>
      </c>
      <c r="E27" s="1" t="s">
        <v>13</v>
      </c>
      <c r="F27" s="36">
        <v>3588.39</v>
      </c>
      <c r="G27" s="6">
        <v>0</v>
      </c>
      <c r="H27" s="36">
        <v>3588.39</v>
      </c>
      <c r="J27" s="1">
        <v>2023</v>
      </c>
      <c r="K27" s="1">
        <v>9</v>
      </c>
      <c r="L27" s="47" t="s">
        <v>157</v>
      </c>
      <c r="M27" s="12">
        <v>45182</v>
      </c>
    </row>
    <row r="28" spans="1:13" s="1" customFormat="1">
      <c r="A28" s="12" t="s">
        <v>17</v>
      </c>
      <c r="B28" s="12" t="s">
        <v>17</v>
      </c>
      <c r="C28" s="1" t="s">
        <v>149</v>
      </c>
      <c r="D28" s="1" t="s">
        <v>32</v>
      </c>
      <c r="E28" s="1" t="s">
        <v>13</v>
      </c>
      <c r="F28" s="36">
        <v>837.46</v>
      </c>
      <c r="G28" s="6">
        <v>0</v>
      </c>
      <c r="H28" s="36">
        <v>837.46</v>
      </c>
      <c r="J28" s="1">
        <v>2023</v>
      </c>
      <c r="K28" s="1">
        <v>10</v>
      </c>
      <c r="L28" s="47" t="s">
        <v>158</v>
      </c>
      <c r="M28" s="12">
        <v>45211</v>
      </c>
    </row>
    <row r="29" spans="1:13" s="1" customFormat="1">
      <c r="A29" s="12" t="s">
        <v>17</v>
      </c>
      <c r="B29" s="12" t="s">
        <v>17</v>
      </c>
      <c r="C29" s="1" t="s">
        <v>218</v>
      </c>
      <c r="D29" s="1" t="s">
        <v>32</v>
      </c>
      <c r="E29" s="1" t="s">
        <v>13</v>
      </c>
      <c r="F29" s="36">
        <v>145.08000000000001</v>
      </c>
      <c r="G29" s="6">
        <v>0</v>
      </c>
      <c r="H29" s="36">
        <v>145.08000000000001</v>
      </c>
      <c r="J29" s="1">
        <v>2023</v>
      </c>
      <c r="K29" s="1">
        <v>12</v>
      </c>
      <c r="L29" s="1" t="s">
        <v>220</v>
      </c>
      <c r="M29" s="12">
        <v>45244</v>
      </c>
    </row>
    <row r="30" spans="1:13">
      <c r="A30" s="12"/>
      <c r="B30" s="12"/>
      <c r="C30" s="1"/>
      <c r="M30" s="12"/>
    </row>
    <row r="31" spans="1:13" ht="12.75" thickBot="1">
      <c r="A31" s="12"/>
      <c r="B31" s="12"/>
      <c r="C31" s="1"/>
      <c r="E31" s="23" t="s">
        <v>30</v>
      </c>
      <c r="F31" s="24">
        <f>SUM(F20:F30)</f>
        <v>84223</v>
      </c>
      <c r="G31" s="24">
        <f>SUM(G20:G30)</f>
        <v>0</v>
      </c>
      <c r="H31" s="24">
        <f>SUM(H20:H30)</f>
        <v>84223</v>
      </c>
      <c r="I31" s="41"/>
      <c r="M31" s="12"/>
    </row>
    <row r="32" spans="1:13">
      <c r="A32" s="12"/>
      <c r="B32" s="12"/>
      <c r="E32" s="4"/>
      <c r="F32" s="9"/>
      <c r="G32" s="9"/>
      <c r="H32" s="9"/>
      <c r="M32" s="12"/>
    </row>
    <row r="33" spans="1:13">
      <c r="A33" s="12" t="s">
        <v>18</v>
      </c>
      <c r="B33" s="12" t="s">
        <v>77</v>
      </c>
      <c r="C33" s="1" t="s">
        <v>159</v>
      </c>
      <c r="D33" s="7" t="s">
        <v>110</v>
      </c>
      <c r="E33" s="2" t="s">
        <v>112</v>
      </c>
      <c r="F33" s="36">
        <v>174</v>
      </c>
      <c r="G33" s="6">
        <v>0</v>
      </c>
      <c r="H33" s="36">
        <v>174</v>
      </c>
      <c r="J33" s="2">
        <v>2023</v>
      </c>
      <c r="K33" s="2">
        <v>4</v>
      </c>
      <c r="L33" s="1" t="s">
        <v>164</v>
      </c>
      <c r="M33" s="12">
        <v>45016</v>
      </c>
    </row>
    <row r="34" spans="1:13">
      <c r="A34" s="12" t="s">
        <v>18</v>
      </c>
      <c r="B34" s="12" t="s">
        <v>77</v>
      </c>
      <c r="C34" s="1" t="s">
        <v>160</v>
      </c>
      <c r="D34" s="7" t="s">
        <v>110</v>
      </c>
      <c r="E34" s="2" t="s">
        <v>112</v>
      </c>
      <c r="F34" s="36">
        <v>290</v>
      </c>
      <c r="G34" s="6">
        <v>0</v>
      </c>
      <c r="H34" s="36">
        <v>290</v>
      </c>
      <c r="J34" s="2">
        <v>2023</v>
      </c>
      <c r="K34" s="2">
        <v>4</v>
      </c>
      <c r="L34" s="1" t="s">
        <v>165</v>
      </c>
      <c r="M34" s="12">
        <v>45022</v>
      </c>
    </row>
    <row r="35" spans="1:13">
      <c r="A35" s="12" t="s">
        <v>18</v>
      </c>
      <c r="B35" s="12" t="s">
        <v>77</v>
      </c>
      <c r="C35" s="1" t="s">
        <v>161</v>
      </c>
      <c r="D35" s="7" t="s">
        <v>110</v>
      </c>
      <c r="E35" s="2" t="s">
        <v>112</v>
      </c>
      <c r="F35" s="36">
        <v>58</v>
      </c>
      <c r="G35" s="6">
        <v>0</v>
      </c>
      <c r="H35" s="36">
        <v>58</v>
      </c>
      <c r="J35" s="2">
        <v>2023</v>
      </c>
      <c r="K35" s="2">
        <v>4</v>
      </c>
      <c r="L35" s="1" t="s">
        <v>166</v>
      </c>
      <c r="M35" s="12">
        <v>45030</v>
      </c>
    </row>
    <row r="36" spans="1:13">
      <c r="A36" s="12" t="s">
        <v>18</v>
      </c>
      <c r="B36" s="12" t="s">
        <v>77</v>
      </c>
      <c r="C36" s="1" t="s">
        <v>162</v>
      </c>
      <c r="D36" s="7" t="s">
        <v>110</v>
      </c>
      <c r="E36" s="2" t="s">
        <v>112</v>
      </c>
      <c r="F36" s="36">
        <v>29</v>
      </c>
      <c r="G36" s="6">
        <v>0</v>
      </c>
      <c r="H36" s="36">
        <v>29</v>
      </c>
      <c r="J36" s="2">
        <v>2023</v>
      </c>
      <c r="K36" s="2">
        <v>5</v>
      </c>
      <c r="L36" s="1" t="s">
        <v>167</v>
      </c>
      <c r="M36" s="12">
        <v>45044</v>
      </c>
    </row>
    <row r="37" spans="1:13">
      <c r="A37" s="12" t="s">
        <v>18</v>
      </c>
      <c r="B37" s="12" t="s">
        <v>77</v>
      </c>
      <c r="C37" s="1" t="s">
        <v>163</v>
      </c>
      <c r="D37" s="7" t="s">
        <v>110</v>
      </c>
      <c r="E37" s="2" t="s">
        <v>112</v>
      </c>
      <c r="F37" s="36">
        <v>156.6</v>
      </c>
      <c r="G37" s="6">
        <v>0</v>
      </c>
      <c r="H37" s="36">
        <v>156.6</v>
      </c>
      <c r="J37" s="2">
        <v>2023</v>
      </c>
      <c r="K37" s="2">
        <v>5</v>
      </c>
      <c r="L37" s="1" t="s">
        <v>168</v>
      </c>
      <c r="M37" s="12">
        <v>45051</v>
      </c>
    </row>
    <row r="38" spans="1:13" ht="14.25">
      <c r="A38" s="12"/>
      <c r="B38" s="12"/>
      <c r="C38" s="70"/>
      <c r="M38" s="12"/>
    </row>
    <row r="39" spans="1:13" ht="12.75" thickBot="1">
      <c r="A39" s="12"/>
      <c r="B39" s="12"/>
      <c r="D39" s="2"/>
      <c r="E39" s="23" t="s">
        <v>25</v>
      </c>
      <c r="F39" s="24">
        <f>SUM(F33:F37)</f>
        <v>707.6</v>
      </c>
      <c r="G39" s="24">
        <f>SUM(G33:G37)</f>
        <v>0</v>
      </c>
      <c r="H39" s="24">
        <f>SUM(H33:H37)</f>
        <v>707.6</v>
      </c>
      <c r="M39" s="12"/>
    </row>
    <row r="40" spans="1:13">
      <c r="A40" s="12"/>
      <c r="B40" s="12"/>
      <c r="D40" s="2"/>
      <c r="M40" s="12"/>
    </row>
    <row r="41" spans="1:13">
      <c r="A41" s="12" t="s">
        <v>16</v>
      </c>
      <c r="B41" s="12" t="s">
        <v>35</v>
      </c>
      <c r="C41" s="2" t="s">
        <v>43</v>
      </c>
      <c r="D41" s="7" t="s">
        <v>37</v>
      </c>
      <c r="E41" s="2" t="s">
        <v>14</v>
      </c>
      <c r="F41" s="6">
        <v>12</v>
      </c>
      <c r="G41" s="6">
        <v>0</v>
      </c>
      <c r="H41" s="6">
        <v>12</v>
      </c>
      <c r="I41" s="2" t="s">
        <v>38</v>
      </c>
      <c r="J41" s="2">
        <v>2023</v>
      </c>
      <c r="K41" s="2">
        <v>5</v>
      </c>
      <c r="L41" s="2" t="s">
        <v>44</v>
      </c>
      <c r="M41" s="12">
        <v>45062</v>
      </c>
    </row>
    <row r="42" spans="1:13">
      <c r="A42" s="12" t="s">
        <v>16</v>
      </c>
      <c r="B42" s="12" t="s">
        <v>35</v>
      </c>
      <c r="C42" s="2" t="s">
        <v>43</v>
      </c>
      <c r="D42" s="7" t="s">
        <v>37</v>
      </c>
      <c r="E42" s="2" t="s">
        <v>14</v>
      </c>
      <c r="F42" s="6">
        <v>12</v>
      </c>
      <c r="G42" s="6">
        <v>0</v>
      </c>
      <c r="H42" s="6">
        <v>12</v>
      </c>
      <c r="I42" s="2" t="s">
        <v>38</v>
      </c>
      <c r="J42" s="2">
        <v>2023</v>
      </c>
      <c r="K42" s="2">
        <v>5</v>
      </c>
      <c r="L42" s="2" t="s">
        <v>44</v>
      </c>
      <c r="M42" s="12">
        <v>45062</v>
      </c>
    </row>
    <row r="43" spans="1:13">
      <c r="A43" s="12" t="s">
        <v>16</v>
      </c>
      <c r="B43" s="12" t="s">
        <v>101</v>
      </c>
      <c r="C43" s="2" t="s">
        <v>171</v>
      </c>
      <c r="D43" s="7" t="s">
        <v>37</v>
      </c>
      <c r="E43" s="2" t="s">
        <v>14</v>
      </c>
      <c r="F43" s="6">
        <v>335</v>
      </c>
      <c r="G43" s="6">
        <v>0</v>
      </c>
      <c r="H43" s="6">
        <v>335</v>
      </c>
      <c r="I43" s="2" t="s">
        <v>86</v>
      </c>
      <c r="J43" s="2">
        <v>2023</v>
      </c>
      <c r="K43" s="2">
        <v>5</v>
      </c>
      <c r="L43" s="2" t="s">
        <v>169</v>
      </c>
      <c r="M43" s="12">
        <v>45070</v>
      </c>
    </row>
    <row r="44" spans="1:13">
      <c r="A44" s="12" t="s">
        <v>16</v>
      </c>
      <c r="B44" s="12" t="s">
        <v>101</v>
      </c>
      <c r="C44" s="2" t="s">
        <v>172</v>
      </c>
      <c r="D44" s="7" t="s">
        <v>37</v>
      </c>
      <c r="E44" s="2" t="s">
        <v>14</v>
      </c>
      <c r="F44" s="6">
        <v>151.16</v>
      </c>
      <c r="G44" s="6">
        <v>0</v>
      </c>
      <c r="H44" s="6">
        <v>151.16</v>
      </c>
      <c r="I44" s="2" t="s">
        <v>86</v>
      </c>
      <c r="J44" s="2">
        <v>2023</v>
      </c>
      <c r="K44" s="2">
        <v>6</v>
      </c>
      <c r="L44" s="2" t="s">
        <v>170</v>
      </c>
      <c r="M44" s="12">
        <v>45100</v>
      </c>
    </row>
    <row r="45" spans="1:13">
      <c r="A45" s="12"/>
      <c r="B45" s="12"/>
      <c r="M45" s="12"/>
    </row>
    <row r="46" spans="1:13" s="4" customFormat="1" ht="12.75" thickBot="1">
      <c r="D46" s="8"/>
      <c r="E46" s="23" t="s">
        <v>26</v>
      </c>
      <c r="F46" s="24">
        <f>SUM(F41:F45)</f>
        <v>510.15999999999997</v>
      </c>
      <c r="G46" s="24">
        <f>SUM(G41:G45)</f>
        <v>0</v>
      </c>
      <c r="H46" s="24">
        <f>SUM(H41:H45)</f>
        <v>510.15999999999997</v>
      </c>
    </row>
    <row r="48" spans="1:13" ht="12.75" thickBot="1">
      <c r="E48" s="4" t="s">
        <v>222</v>
      </c>
      <c r="F48" s="49">
        <f>SUM(F18,F31,F39,F46)</f>
        <v>115858.76000000001</v>
      </c>
      <c r="G48" s="49">
        <f>SUM(G18,G31,G39,G46)</f>
        <v>0</v>
      </c>
      <c r="H48" s="49">
        <f>SUM(H18,H31,H39,H46)</f>
        <v>115858.76000000001</v>
      </c>
    </row>
    <row r="49" spans="1:15" ht="12.75" thickTop="1"/>
    <row r="55" spans="1:15" ht="12.7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</row>
    <row r="56" spans="1:15" ht="14.25">
      <c r="A56" s="52"/>
      <c r="B56" s="52"/>
      <c r="C56" s="52"/>
      <c r="D56" s="52"/>
      <c r="E56" s="52"/>
      <c r="F56" s="52"/>
      <c r="G56" s="52"/>
      <c r="H56" s="52"/>
      <c r="I56" s="52"/>
      <c r="J56" s="52"/>
      <c r="L56" s="52"/>
      <c r="M56" s="52"/>
      <c r="N56" s="52"/>
      <c r="O56" s="52"/>
    </row>
    <row r="57" spans="1:15" ht="14.25">
      <c r="A57" s="52"/>
      <c r="B57" s="52"/>
      <c r="C57" s="52"/>
      <c r="D57" s="52"/>
      <c r="E57" s="52"/>
      <c r="F57" s="52"/>
      <c r="G57" s="52"/>
      <c r="H57" s="52"/>
      <c r="I57" s="52"/>
      <c r="J57" s="52"/>
      <c r="L57" s="52"/>
      <c r="M57" s="52"/>
      <c r="N57" s="52"/>
      <c r="O57" s="52"/>
    </row>
    <row r="58" spans="1:15" ht="14.25">
      <c r="A58" s="52"/>
      <c r="B58" s="52"/>
      <c r="C58" s="52"/>
      <c r="D58" s="52"/>
      <c r="E58" s="52"/>
      <c r="F58" s="52"/>
      <c r="G58" s="52"/>
      <c r="H58" s="52"/>
      <c r="I58" s="52"/>
      <c r="J58" s="52"/>
      <c r="L58" s="52"/>
      <c r="M58" s="52"/>
      <c r="N58" s="52"/>
      <c r="O58" s="52"/>
    </row>
    <row r="59" spans="1:15" ht="14.25">
      <c r="A59" s="52"/>
      <c r="B59" s="52"/>
      <c r="C59" s="52"/>
      <c r="D59" s="52"/>
      <c r="E59" s="52"/>
      <c r="F59" s="52"/>
      <c r="G59" s="52"/>
      <c r="H59" s="52"/>
      <c r="I59" s="52"/>
      <c r="J59" s="52"/>
      <c r="L59" s="52"/>
      <c r="M59" s="52"/>
      <c r="N59" s="52"/>
      <c r="O59" s="52"/>
    </row>
    <row r="60" spans="1:15" ht="14.25">
      <c r="A60" s="52"/>
      <c r="B60" s="52"/>
      <c r="C60" s="52"/>
      <c r="D60" s="52"/>
      <c r="E60" s="52"/>
      <c r="F60" s="52"/>
      <c r="G60" s="52"/>
      <c r="H60" s="52"/>
      <c r="I60" s="52"/>
      <c r="J60" s="52"/>
      <c r="L60" s="52"/>
      <c r="M60" s="52"/>
      <c r="N60" s="52"/>
      <c r="O60" s="52"/>
    </row>
    <row r="61" spans="1:15" ht="14.25">
      <c r="A61" s="52"/>
      <c r="B61" s="52"/>
      <c r="C61" s="52"/>
      <c r="D61" s="52"/>
      <c r="E61" s="52"/>
      <c r="F61" s="52"/>
      <c r="G61" s="52"/>
      <c r="H61" s="52"/>
      <c r="I61" s="52"/>
      <c r="J61" s="52"/>
      <c r="L61" s="52"/>
      <c r="M61" s="52"/>
      <c r="N61" s="52"/>
      <c r="O61" s="52"/>
    </row>
    <row r="170" spans="1:13">
      <c r="A170" s="12"/>
      <c r="B170" s="12"/>
      <c r="M170" s="12"/>
    </row>
    <row r="171" spans="1:13">
      <c r="A171" s="12"/>
      <c r="B171" s="12"/>
      <c r="M171" s="12"/>
    </row>
    <row r="172" spans="1:13">
      <c r="A172" s="12"/>
      <c r="B172" s="12"/>
      <c r="M172" s="12"/>
    </row>
    <row r="173" spans="1:13">
      <c r="A173" s="12"/>
      <c r="B173" s="12"/>
      <c r="M173" s="12"/>
    </row>
    <row r="174" spans="1:13">
      <c r="A174" s="12"/>
      <c r="B174" s="12"/>
      <c r="M174" s="12"/>
    </row>
    <row r="175" spans="1:13">
      <c r="A175" s="12"/>
      <c r="B175" s="12"/>
      <c r="M175" s="12"/>
    </row>
    <row r="176" spans="1:13">
      <c r="A176" s="12"/>
      <c r="B176" s="12"/>
      <c r="M176" s="12"/>
    </row>
    <row r="177" spans="1:13">
      <c r="A177" s="12"/>
      <c r="B177" s="12"/>
      <c r="M177" s="12"/>
    </row>
    <row r="178" spans="1:13">
      <c r="A178" s="12"/>
      <c r="B178" s="12"/>
      <c r="M178" s="12"/>
    </row>
    <row r="179" spans="1:13">
      <c r="A179" s="12"/>
      <c r="B179" s="12"/>
      <c r="M179" s="12"/>
    </row>
    <row r="180" spans="1:13">
      <c r="A180" s="12"/>
      <c r="B180" s="12"/>
      <c r="M180" s="12"/>
    </row>
    <row r="181" spans="1:13">
      <c r="A181" s="12"/>
      <c r="B181" s="12"/>
      <c r="M181" s="12"/>
    </row>
    <row r="182" spans="1:13">
      <c r="A182" s="12"/>
      <c r="B182" s="12"/>
      <c r="M182" s="12"/>
    </row>
    <row r="183" spans="1:13">
      <c r="A183" s="12"/>
      <c r="B183" s="12"/>
      <c r="M183" s="12"/>
    </row>
    <row r="184" spans="1:13">
      <c r="A184" s="12"/>
      <c r="B184" s="12"/>
      <c r="M184" s="12"/>
    </row>
    <row r="185" spans="1:13">
      <c r="A185" s="12"/>
      <c r="B185" s="12"/>
      <c r="M185" s="12"/>
    </row>
    <row r="186" spans="1:13">
      <c r="A186" s="12"/>
      <c r="B186" s="12"/>
      <c r="M186" s="12"/>
    </row>
    <row r="187" spans="1:13">
      <c r="A187" s="12"/>
      <c r="B187" s="12"/>
      <c r="M187" s="12"/>
    </row>
    <row r="188" spans="1:13">
      <c r="A188" s="12"/>
      <c r="B188" s="12"/>
      <c r="M188" s="12"/>
    </row>
    <row r="189" spans="1:13">
      <c r="A189" s="12"/>
      <c r="B189" s="12"/>
      <c r="M189" s="12"/>
    </row>
    <row r="190" spans="1:13">
      <c r="A190" s="12"/>
      <c r="B190" s="12"/>
      <c r="M190" s="12"/>
    </row>
    <row r="191" spans="1:13">
      <c r="A191" s="12"/>
      <c r="B191" s="12"/>
      <c r="M191" s="12"/>
    </row>
    <row r="192" spans="1:13">
      <c r="A192" s="12"/>
      <c r="B192" s="12"/>
      <c r="M192" s="12"/>
    </row>
    <row r="193" spans="1:13">
      <c r="A193" s="12"/>
      <c r="B193" s="12"/>
      <c r="M193" s="12"/>
    </row>
    <row r="194" spans="1:13">
      <c r="A194" s="12"/>
      <c r="B194" s="12"/>
      <c r="M194" s="12"/>
    </row>
    <row r="195" spans="1:13">
      <c r="A195" s="12"/>
      <c r="B195" s="12"/>
      <c r="M195" s="12"/>
    </row>
    <row r="196" spans="1:13">
      <c r="A196" s="12"/>
      <c r="B196" s="12"/>
      <c r="M196" s="12"/>
    </row>
    <row r="197" spans="1:13">
      <c r="A197" s="12"/>
      <c r="B197" s="12"/>
      <c r="M197" s="12"/>
    </row>
    <row r="198" spans="1:13">
      <c r="A198" s="12"/>
      <c r="B198" s="12"/>
      <c r="M198" s="12"/>
    </row>
    <row r="199" spans="1:13">
      <c r="A199" s="12"/>
      <c r="B199" s="12"/>
      <c r="M199" s="12"/>
    </row>
    <row r="200" spans="1:13">
      <c r="A200" s="12"/>
      <c r="B200" s="12"/>
      <c r="M200" s="12"/>
    </row>
    <row r="201" spans="1:13">
      <c r="A201" s="12"/>
      <c r="B201" s="12"/>
      <c r="M201" s="12"/>
    </row>
    <row r="202" spans="1:13">
      <c r="A202" s="12"/>
      <c r="B202" s="12"/>
      <c r="M202" s="12"/>
    </row>
    <row r="203" spans="1:13">
      <c r="A203" s="12"/>
      <c r="B203" s="12"/>
      <c r="M203" s="12"/>
    </row>
    <row r="204" spans="1:13">
      <c r="A204" s="12"/>
      <c r="B204" s="12"/>
      <c r="M204" s="12"/>
    </row>
    <row r="205" spans="1:13">
      <c r="A205" s="12"/>
      <c r="B205" s="12"/>
      <c r="M205" s="12"/>
    </row>
    <row r="206" spans="1:13">
      <c r="A206" s="12"/>
      <c r="B206" s="12"/>
      <c r="M206" s="12"/>
    </row>
    <row r="207" spans="1:13">
      <c r="A207" s="12"/>
      <c r="B207" s="12"/>
      <c r="M207" s="12"/>
    </row>
    <row r="208" spans="1:13">
      <c r="A208" s="12"/>
      <c r="B208" s="12"/>
      <c r="M208" s="12"/>
    </row>
    <row r="209" spans="1:13">
      <c r="A209" s="12"/>
      <c r="B209" s="12"/>
      <c r="M209" s="12"/>
    </row>
    <row r="210" spans="1:13">
      <c r="A210" s="12"/>
      <c r="B210" s="12"/>
      <c r="M210" s="12"/>
    </row>
    <row r="211" spans="1:13">
      <c r="A211" s="12"/>
      <c r="B211" s="12"/>
      <c r="M211" s="12"/>
    </row>
    <row r="212" spans="1:13">
      <c r="A212" s="12"/>
      <c r="B212" s="12"/>
      <c r="M212" s="12"/>
    </row>
    <row r="213" spans="1:13">
      <c r="A213" s="12"/>
      <c r="B213" s="14"/>
      <c r="C213" s="1"/>
      <c r="D213" s="13"/>
      <c r="E213" s="1"/>
      <c r="F213" s="5"/>
      <c r="G213" s="5"/>
      <c r="H213" s="5"/>
      <c r="I213" s="1"/>
      <c r="J213" s="1"/>
      <c r="K213" s="1"/>
      <c r="L213" s="1"/>
      <c r="M213" s="14"/>
    </row>
    <row r="214" spans="1:13">
      <c r="A214" s="12"/>
      <c r="B214" s="14"/>
      <c r="C214" s="1"/>
      <c r="D214" s="13"/>
      <c r="E214" s="1"/>
      <c r="F214" s="5"/>
      <c r="G214" s="5"/>
      <c r="H214" s="5"/>
      <c r="I214" s="1"/>
      <c r="J214" s="1"/>
      <c r="K214" s="1"/>
      <c r="L214" s="1"/>
      <c r="M214" s="14"/>
    </row>
    <row r="215" spans="1:13">
      <c r="A215" s="12"/>
      <c r="B215" s="14"/>
      <c r="C215" s="1"/>
      <c r="D215" s="13"/>
      <c r="E215" s="1"/>
      <c r="F215" s="5"/>
      <c r="G215" s="5"/>
      <c r="H215" s="5"/>
      <c r="I215" s="1"/>
      <c r="J215" s="1"/>
      <c r="K215" s="1"/>
      <c r="L215" s="1"/>
      <c r="M215" s="14"/>
    </row>
    <row r="216" spans="1:13">
      <c r="A216" s="12"/>
      <c r="B216" s="3"/>
      <c r="C216" s="1"/>
      <c r="D216" s="13"/>
      <c r="E216" s="1"/>
      <c r="F216" s="5"/>
      <c r="G216" s="5"/>
      <c r="I216" s="1"/>
      <c r="J216" s="1"/>
      <c r="K216" s="1"/>
      <c r="L216" s="1"/>
      <c r="M216" s="14"/>
    </row>
    <row r="217" spans="1:13">
      <c r="A217" s="12"/>
      <c r="B217" s="3"/>
      <c r="C217" s="1"/>
      <c r="D217" s="13"/>
      <c r="E217" s="1"/>
      <c r="F217" s="5"/>
      <c r="G217" s="5"/>
      <c r="I217" s="1"/>
      <c r="J217" s="1"/>
      <c r="K217" s="1"/>
      <c r="L217" s="1"/>
      <c r="M217" s="14"/>
    </row>
    <row r="218" spans="1:13">
      <c r="A218" s="12"/>
      <c r="B218" s="3"/>
      <c r="C218" s="1"/>
      <c r="D218" s="13"/>
      <c r="E218" s="1"/>
      <c r="F218" s="5"/>
      <c r="G218" s="5"/>
      <c r="I218" s="1"/>
      <c r="J218" s="1"/>
      <c r="K218" s="1"/>
      <c r="L218" s="1"/>
      <c r="M218" s="14"/>
    </row>
    <row r="219" spans="1:13">
      <c r="A219" s="12"/>
      <c r="B219" s="12"/>
      <c r="M219" s="12"/>
    </row>
    <row r="220" spans="1:13">
      <c r="A220" s="12"/>
      <c r="B220" s="12"/>
      <c r="M220" s="12"/>
    </row>
    <row r="221" spans="1:13">
      <c r="A221" s="12"/>
      <c r="B221" s="12"/>
      <c r="M221" s="12"/>
    </row>
    <row r="222" spans="1:13">
      <c r="A222" s="12"/>
      <c r="B222" s="12"/>
      <c r="M222" s="12"/>
    </row>
    <row r="223" spans="1:13">
      <c r="A223" s="12"/>
      <c r="B223" s="12"/>
      <c r="M223" s="12"/>
    </row>
    <row r="224" spans="1:13">
      <c r="A224" s="12"/>
      <c r="B224" s="12"/>
      <c r="M224" s="12"/>
    </row>
    <row r="225" spans="1:13">
      <c r="A225" s="12"/>
      <c r="B225" s="12"/>
      <c r="M225" s="12"/>
    </row>
    <row r="226" spans="1:13">
      <c r="A226" s="12"/>
      <c r="B226" s="12"/>
      <c r="M226" s="12"/>
    </row>
    <row r="227" spans="1:13">
      <c r="A227" s="12"/>
      <c r="B227" s="12"/>
      <c r="M227" s="12"/>
    </row>
    <row r="228" spans="1:13">
      <c r="A228" s="12"/>
      <c r="B228" s="12"/>
      <c r="M228" s="12"/>
    </row>
    <row r="229" spans="1:13">
      <c r="A229" s="12"/>
      <c r="B229" s="12"/>
      <c r="M229" s="12"/>
    </row>
    <row r="230" spans="1:13">
      <c r="A230" s="12"/>
      <c r="B230" s="12"/>
      <c r="M230" s="12"/>
    </row>
    <row r="231" spans="1:13">
      <c r="A231" s="12"/>
      <c r="B231" s="12"/>
      <c r="M231" s="12"/>
    </row>
    <row r="232" spans="1:13">
      <c r="A232" s="12"/>
      <c r="B232" s="12"/>
      <c r="M232" s="12"/>
    </row>
    <row r="233" spans="1:13">
      <c r="A233" s="12"/>
      <c r="B233" s="12"/>
      <c r="M233" s="12"/>
    </row>
    <row r="234" spans="1:13" ht="39.75" customHeight="1">
      <c r="A234" s="12"/>
      <c r="B234" s="12"/>
      <c r="M234" s="12"/>
    </row>
    <row r="235" spans="1:13">
      <c r="A235" s="12"/>
      <c r="B235" s="12"/>
      <c r="M235" s="12"/>
    </row>
    <row r="236" spans="1:13">
      <c r="A236" s="12"/>
      <c r="B236" s="12"/>
      <c r="M236" s="12"/>
    </row>
  </sheetData>
  <mergeCells count="4">
    <mergeCell ref="A1:M1"/>
    <mergeCell ref="A2:M2"/>
    <mergeCell ref="A3:M3"/>
    <mergeCell ref="A4:M4"/>
  </mergeCells>
  <pageMargins left="0.7" right="0.7" top="1.23" bottom="0.75" header="0.3" footer="0.3"/>
  <pageSetup scale="59" fitToHeight="0" orientation="landscape" r:id="rId1"/>
  <headerFooter scaleWithDoc="0">
    <oddHeader>&amp;RDocket No. 56165
Exhibit CMB-2
&amp;A
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9DEB-F80C-4153-A7DA-4F9987C0A90E}">
  <sheetPr>
    <pageSetUpPr fitToPage="1"/>
  </sheetPr>
  <dimension ref="A1:O214"/>
  <sheetViews>
    <sheetView tabSelected="1" view="pageBreakPreview" zoomScale="90" zoomScaleNormal="100" zoomScaleSheetLayoutView="90" workbookViewId="0">
      <selection sqref="A1:M1"/>
    </sheetView>
  </sheetViews>
  <sheetFormatPr defaultColWidth="9.140625" defaultRowHeight="12"/>
  <cols>
    <col min="1" max="1" width="16.28515625" style="2" bestFit="1" customWidth="1"/>
    <col min="2" max="2" width="24.7109375" style="2" bestFit="1" customWidth="1"/>
    <col min="3" max="3" width="10" style="2" bestFit="1" customWidth="1"/>
    <col min="4" max="4" width="11.5703125" style="7" bestFit="1" customWidth="1"/>
    <col min="5" max="5" width="34" style="2" customWidth="1"/>
    <col min="6" max="6" width="13" style="6" customWidth="1"/>
    <col min="7" max="7" width="14.140625" style="6" bestFit="1" customWidth="1"/>
    <col min="8" max="8" width="12.85546875" style="6" customWidth="1"/>
    <col min="9" max="9" width="18.28515625" style="2" customWidth="1"/>
    <col min="10" max="10" width="8" style="2" customWidth="1"/>
    <col min="11" max="11" width="6" style="2" bestFit="1" customWidth="1"/>
    <col min="12" max="12" width="23.5703125" style="2" bestFit="1" customWidth="1"/>
    <col min="13" max="13" width="13.85546875" style="2" bestFit="1" customWidth="1"/>
    <col min="14" max="16384" width="9.140625" style="2"/>
  </cols>
  <sheetData>
    <row r="1" spans="1:13">
      <c r="A1" s="85" t="s">
        <v>52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>
      <c r="A2" s="85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85" t="s">
        <v>259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2.75" customHeight="1">
      <c r="A4" s="86" t="s">
        <v>243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</row>
    <row r="6" spans="1:13" s="15" customFormat="1">
      <c r="D6" s="16"/>
      <c r="F6" s="17"/>
      <c r="G6" s="17"/>
      <c r="H6" s="17"/>
    </row>
    <row r="7" spans="1:13">
      <c r="A7" s="4" t="s">
        <v>1</v>
      </c>
      <c r="B7" s="4" t="s">
        <v>2</v>
      </c>
      <c r="C7" s="4" t="s">
        <v>0</v>
      </c>
      <c r="D7" s="8" t="s">
        <v>3</v>
      </c>
      <c r="E7" s="4" t="s">
        <v>4</v>
      </c>
      <c r="F7" s="9" t="s">
        <v>5</v>
      </c>
      <c r="G7" s="10" t="s">
        <v>6</v>
      </c>
      <c r="H7" s="10" t="s">
        <v>7</v>
      </c>
      <c r="I7" s="4" t="s">
        <v>8</v>
      </c>
      <c r="J7" s="4" t="s">
        <v>11</v>
      </c>
      <c r="K7" s="4" t="s">
        <v>12</v>
      </c>
      <c r="L7" s="4" t="s">
        <v>9</v>
      </c>
      <c r="M7" s="11" t="s">
        <v>10</v>
      </c>
    </row>
    <row r="8" spans="1:13">
      <c r="A8" s="12"/>
      <c r="B8" s="12"/>
      <c r="M8" s="12"/>
    </row>
    <row r="9" spans="1:13">
      <c r="A9" s="12" t="s">
        <v>34</v>
      </c>
      <c r="B9" s="12" t="s">
        <v>17</v>
      </c>
      <c r="C9" s="54"/>
      <c r="E9" s="2" t="s">
        <v>76</v>
      </c>
      <c r="M9" s="12"/>
    </row>
    <row r="10" spans="1:13">
      <c r="A10" s="12"/>
      <c r="B10" s="12"/>
      <c r="M10" s="12"/>
    </row>
    <row r="11" spans="1:13" ht="12.75" thickBot="1">
      <c r="A11" s="12"/>
      <c r="B11" s="12"/>
      <c r="D11" s="2"/>
      <c r="E11" s="23" t="s">
        <v>39</v>
      </c>
      <c r="F11" s="24">
        <f>SUM(F9:F10)</f>
        <v>0</v>
      </c>
      <c r="G11" s="24">
        <f>SUM(G9:G10)</f>
        <v>0</v>
      </c>
      <c r="H11" s="24">
        <f>SUM(H9:H10)</f>
        <v>0</v>
      </c>
      <c r="M11" s="12"/>
    </row>
    <row r="12" spans="1:13">
      <c r="A12" s="12"/>
      <c r="B12" s="12"/>
      <c r="D12" s="4"/>
      <c r="E12" s="9"/>
      <c r="F12" s="9"/>
      <c r="G12" s="9"/>
      <c r="M12" s="12"/>
    </row>
    <row r="13" spans="1:13" s="1" customFormat="1">
      <c r="A13" s="12" t="s">
        <v>17</v>
      </c>
      <c r="B13" s="12" t="s">
        <v>17</v>
      </c>
      <c r="C13" s="1" t="s">
        <v>219</v>
      </c>
      <c r="D13" s="1" t="s">
        <v>32</v>
      </c>
      <c r="E13" s="1" t="s">
        <v>13</v>
      </c>
      <c r="F13" s="36">
        <v>6662.52</v>
      </c>
      <c r="G13" s="6">
        <v>0</v>
      </c>
      <c r="H13" s="36">
        <v>6662.52</v>
      </c>
      <c r="J13" s="1">
        <v>2023</v>
      </c>
      <c r="K13" s="1">
        <v>12</v>
      </c>
      <c r="L13" s="1" t="s">
        <v>221</v>
      </c>
      <c r="M13" s="12">
        <v>45272</v>
      </c>
    </row>
    <row r="14" spans="1:13">
      <c r="A14" s="12"/>
      <c r="B14" s="12"/>
      <c r="C14" s="1"/>
      <c r="M14" s="12"/>
    </row>
    <row r="15" spans="1:13" ht="12.75" thickBot="1">
      <c r="A15" s="12"/>
      <c r="B15" s="12"/>
      <c r="C15" s="1"/>
      <c r="E15" s="23" t="s">
        <v>30</v>
      </c>
      <c r="F15" s="24">
        <f>SUM(F13:F14)</f>
        <v>6662.52</v>
      </c>
      <c r="G15" s="24">
        <f>SUM(G13:G14)</f>
        <v>0</v>
      </c>
      <c r="H15" s="24">
        <f>SUM(H13:H14)</f>
        <v>6662.52</v>
      </c>
      <c r="I15" s="41"/>
      <c r="M15" s="12"/>
    </row>
    <row r="16" spans="1:13">
      <c r="A16" s="12"/>
      <c r="B16" s="12"/>
      <c r="E16" s="4"/>
      <c r="F16" s="9"/>
      <c r="G16" s="9"/>
      <c r="H16" s="9"/>
      <c r="M16" s="12"/>
    </row>
    <row r="17" spans="1:13">
      <c r="A17" s="12"/>
      <c r="B17" s="12"/>
      <c r="C17" s="1"/>
      <c r="F17" s="36"/>
      <c r="H17" s="36"/>
      <c r="L17" s="1"/>
      <c r="M17" s="12"/>
    </row>
    <row r="18" spans="1:13">
      <c r="A18" s="12" t="s">
        <v>18</v>
      </c>
      <c r="B18" s="12"/>
      <c r="C18" s="1"/>
      <c r="E18" s="2" t="s">
        <v>76</v>
      </c>
      <c r="F18" s="36"/>
      <c r="H18" s="36"/>
      <c r="L18" s="1"/>
      <c r="M18" s="12"/>
    </row>
    <row r="19" spans="1:13" ht="14.25">
      <c r="A19" s="12"/>
      <c r="B19" s="12"/>
      <c r="C19" s="70"/>
      <c r="M19" s="12"/>
    </row>
    <row r="20" spans="1:13" ht="12.75" thickBot="1">
      <c r="A20" s="12"/>
      <c r="B20" s="12"/>
      <c r="D20" s="2"/>
      <c r="E20" s="23" t="s">
        <v>25</v>
      </c>
      <c r="F20" s="24">
        <f>SUM(F17:F18)</f>
        <v>0</v>
      </c>
      <c r="G20" s="24">
        <f>SUM(G17:G18)</f>
        <v>0</v>
      </c>
      <c r="H20" s="24">
        <f>SUM(H17:H18)</f>
        <v>0</v>
      </c>
      <c r="M20" s="12"/>
    </row>
    <row r="21" spans="1:13">
      <c r="A21" s="12"/>
      <c r="B21" s="12"/>
      <c r="D21" s="2"/>
      <c r="M21" s="12"/>
    </row>
    <row r="22" spans="1:13">
      <c r="A22" s="12" t="s">
        <v>16</v>
      </c>
      <c r="B22" s="12" t="s">
        <v>128</v>
      </c>
      <c r="C22" s="2" t="s">
        <v>223</v>
      </c>
      <c r="D22" s="7" t="s">
        <v>37</v>
      </c>
      <c r="E22" s="2" t="s">
        <v>14</v>
      </c>
      <c r="F22" s="6">
        <v>198.53</v>
      </c>
      <c r="G22" s="6">
        <v>0</v>
      </c>
      <c r="H22" s="6">
        <v>198.53</v>
      </c>
      <c r="I22" s="2" t="s">
        <v>86</v>
      </c>
      <c r="J22" s="2">
        <v>2023</v>
      </c>
      <c r="K22" s="2">
        <v>12</v>
      </c>
      <c r="L22" s="2" t="s">
        <v>224</v>
      </c>
      <c r="M22" s="12">
        <v>45289</v>
      </c>
    </row>
    <row r="23" spans="1:13">
      <c r="A23" s="12"/>
      <c r="B23" s="12"/>
      <c r="M23" s="12"/>
    </row>
    <row r="24" spans="1:13" s="4" customFormat="1" ht="12.75" thickBot="1">
      <c r="D24" s="8"/>
      <c r="E24" s="23" t="s">
        <v>26</v>
      </c>
      <c r="F24" s="24">
        <f>SUM(F22:F23)</f>
        <v>198.53</v>
      </c>
      <c r="G24" s="24">
        <f>SUM(G22:G23)</f>
        <v>0</v>
      </c>
      <c r="H24" s="24">
        <f>SUM(H22:H23)</f>
        <v>198.53</v>
      </c>
    </row>
    <row r="26" spans="1:13" ht="12.75" thickBot="1">
      <c r="E26" s="4" t="s">
        <v>222</v>
      </c>
      <c r="F26" s="49">
        <f>SUM(F11,F15,F20,F24)</f>
        <v>6861.05</v>
      </c>
      <c r="G26" s="49">
        <f>SUM(G11,G15,G20,G24)</f>
        <v>0</v>
      </c>
      <c r="H26" s="49">
        <f>SUM(H11,H15,H20,H24)</f>
        <v>6861.05</v>
      </c>
    </row>
    <row r="27" spans="1:13" ht="12.75" thickTop="1"/>
    <row r="33" spans="1:15" ht="12.7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15" ht="14.25">
      <c r="A34" s="52"/>
      <c r="B34" s="52"/>
      <c r="C34" s="52"/>
      <c r="D34" s="52"/>
      <c r="E34" s="52"/>
      <c r="F34" s="52"/>
      <c r="G34" s="52"/>
      <c r="H34" s="52"/>
      <c r="I34" s="52"/>
      <c r="J34" s="52"/>
      <c r="L34" s="52"/>
      <c r="M34" s="52"/>
      <c r="N34" s="52"/>
      <c r="O34" s="52"/>
    </row>
    <row r="35" spans="1:15" ht="14.25">
      <c r="A35" s="52"/>
      <c r="B35" s="52"/>
      <c r="C35" s="52"/>
      <c r="D35" s="52"/>
      <c r="E35" s="52"/>
      <c r="F35" s="52"/>
      <c r="G35" s="52"/>
      <c r="H35" s="52"/>
      <c r="I35" s="52"/>
      <c r="J35" s="52"/>
      <c r="L35" s="52"/>
      <c r="M35" s="52"/>
      <c r="N35" s="52"/>
      <c r="O35" s="52"/>
    </row>
    <row r="36" spans="1:15" ht="14.25">
      <c r="A36" s="52"/>
      <c r="B36" s="52"/>
      <c r="C36" s="52"/>
      <c r="D36" s="52"/>
      <c r="E36" s="52"/>
      <c r="F36" s="52"/>
      <c r="G36" s="52"/>
      <c r="H36" s="52"/>
      <c r="I36" s="52"/>
      <c r="J36" s="52"/>
      <c r="L36" s="52"/>
      <c r="M36" s="52"/>
      <c r="N36" s="52"/>
      <c r="O36" s="52"/>
    </row>
    <row r="37" spans="1:15" ht="14.25">
      <c r="A37" s="52"/>
      <c r="B37" s="52"/>
      <c r="C37" s="52"/>
      <c r="D37" s="52"/>
      <c r="E37" s="52"/>
      <c r="F37" s="52"/>
      <c r="G37" s="52"/>
      <c r="H37" s="52"/>
      <c r="I37" s="52"/>
      <c r="J37" s="52"/>
      <c r="L37" s="52"/>
      <c r="M37" s="52"/>
      <c r="N37" s="52"/>
      <c r="O37" s="52"/>
    </row>
    <row r="38" spans="1:15" ht="14.25">
      <c r="A38" s="52"/>
      <c r="B38" s="52"/>
      <c r="C38" s="52"/>
      <c r="D38" s="52"/>
      <c r="E38" s="52"/>
      <c r="F38" s="52"/>
      <c r="G38" s="52"/>
      <c r="H38" s="52"/>
      <c r="I38" s="52"/>
      <c r="J38" s="52"/>
      <c r="L38" s="52"/>
      <c r="M38" s="52"/>
      <c r="N38" s="52"/>
      <c r="O38" s="52"/>
    </row>
    <row r="39" spans="1:15" ht="14.25">
      <c r="A39" s="52"/>
      <c r="B39" s="52"/>
      <c r="C39" s="52"/>
      <c r="D39" s="52"/>
      <c r="E39" s="52"/>
      <c r="F39" s="52"/>
      <c r="G39" s="52"/>
      <c r="H39" s="52"/>
      <c r="I39" s="52"/>
      <c r="J39" s="52"/>
      <c r="L39" s="52"/>
      <c r="M39" s="52"/>
      <c r="N39" s="52"/>
      <c r="O39" s="52"/>
    </row>
    <row r="148" spans="1:13">
      <c r="A148" s="12"/>
      <c r="B148" s="12"/>
      <c r="M148" s="12"/>
    </row>
    <row r="149" spans="1:13">
      <c r="A149" s="12"/>
      <c r="B149" s="12"/>
      <c r="M149" s="12"/>
    </row>
    <row r="150" spans="1:13">
      <c r="A150" s="12"/>
      <c r="B150" s="12"/>
      <c r="M150" s="12"/>
    </row>
    <row r="151" spans="1:13">
      <c r="A151" s="12"/>
      <c r="B151" s="12"/>
      <c r="M151" s="12"/>
    </row>
    <row r="152" spans="1:13">
      <c r="A152" s="12"/>
      <c r="B152" s="12"/>
      <c r="M152" s="12"/>
    </row>
    <row r="153" spans="1:13">
      <c r="A153" s="12"/>
      <c r="B153" s="12"/>
      <c r="M153" s="12"/>
    </row>
    <row r="154" spans="1:13">
      <c r="A154" s="12"/>
      <c r="B154" s="12"/>
      <c r="M154" s="12"/>
    </row>
    <row r="155" spans="1:13">
      <c r="A155" s="12"/>
      <c r="B155" s="12"/>
      <c r="M155" s="12"/>
    </row>
    <row r="156" spans="1:13">
      <c r="A156" s="12"/>
      <c r="B156" s="12"/>
      <c r="M156" s="12"/>
    </row>
    <row r="157" spans="1:13">
      <c r="A157" s="12"/>
      <c r="B157" s="12"/>
      <c r="M157" s="12"/>
    </row>
    <row r="158" spans="1:13">
      <c r="A158" s="12"/>
      <c r="B158" s="12"/>
      <c r="M158" s="12"/>
    </row>
    <row r="159" spans="1:13">
      <c r="A159" s="12"/>
      <c r="B159" s="12"/>
      <c r="M159" s="12"/>
    </row>
    <row r="160" spans="1:13">
      <c r="A160" s="12"/>
      <c r="B160" s="12"/>
      <c r="M160" s="12"/>
    </row>
    <row r="161" spans="1:13">
      <c r="A161" s="12"/>
      <c r="B161" s="12"/>
      <c r="M161" s="12"/>
    </row>
    <row r="162" spans="1:13">
      <c r="A162" s="12"/>
      <c r="B162" s="12"/>
      <c r="M162" s="12"/>
    </row>
    <row r="163" spans="1:13">
      <c r="A163" s="12"/>
      <c r="B163" s="12"/>
      <c r="M163" s="12"/>
    </row>
    <row r="164" spans="1:13">
      <c r="A164" s="12"/>
      <c r="B164" s="12"/>
      <c r="M164" s="12"/>
    </row>
    <row r="165" spans="1:13">
      <c r="A165" s="12"/>
      <c r="B165" s="12"/>
      <c r="M165" s="12"/>
    </row>
    <row r="166" spans="1:13">
      <c r="A166" s="12"/>
      <c r="B166" s="12"/>
      <c r="M166" s="12"/>
    </row>
    <row r="167" spans="1:13">
      <c r="A167" s="12"/>
      <c r="B167" s="12"/>
      <c r="M167" s="12"/>
    </row>
    <row r="168" spans="1:13">
      <c r="A168" s="12"/>
      <c r="B168" s="12"/>
      <c r="M168" s="12"/>
    </row>
    <row r="169" spans="1:13">
      <c r="A169" s="12"/>
      <c r="B169" s="12"/>
      <c r="M169" s="12"/>
    </row>
    <row r="170" spans="1:13">
      <c r="A170" s="12"/>
      <c r="B170" s="12"/>
      <c r="M170" s="12"/>
    </row>
    <row r="171" spans="1:13">
      <c r="A171" s="12"/>
      <c r="B171" s="12"/>
      <c r="M171" s="12"/>
    </row>
    <row r="172" spans="1:13">
      <c r="A172" s="12"/>
      <c r="B172" s="12"/>
      <c r="M172" s="12"/>
    </row>
    <row r="173" spans="1:13">
      <c r="A173" s="12"/>
      <c r="B173" s="12"/>
      <c r="M173" s="12"/>
    </row>
    <row r="174" spans="1:13">
      <c r="A174" s="12"/>
      <c r="B174" s="12"/>
      <c r="M174" s="12"/>
    </row>
    <row r="175" spans="1:13">
      <c r="A175" s="12"/>
      <c r="B175" s="12"/>
      <c r="M175" s="12"/>
    </row>
    <row r="176" spans="1:13">
      <c r="A176" s="12"/>
      <c r="B176" s="12"/>
      <c r="M176" s="12"/>
    </row>
    <row r="177" spans="1:13">
      <c r="A177" s="12"/>
      <c r="B177" s="12"/>
      <c r="M177" s="12"/>
    </row>
    <row r="178" spans="1:13">
      <c r="A178" s="12"/>
      <c r="B178" s="12"/>
      <c r="M178" s="12"/>
    </row>
    <row r="179" spans="1:13">
      <c r="A179" s="12"/>
      <c r="B179" s="12"/>
      <c r="M179" s="12"/>
    </row>
    <row r="180" spans="1:13">
      <c r="A180" s="12"/>
      <c r="B180" s="12"/>
      <c r="M180" s="12"/>
    </row>
    <row r="181" spans="1:13">
      <c r="A181" s="12"/>
      <c r="B181" s="12"/>
      <c r="M181" s="12"/>
    </row>
    <row r="182" spans="1:13">
      <c r="A182" s="12"/>
      <c r="B182" s="12"/>
      <c r="M182" s="12"/>
    </row>
    <row r="183" spans="1:13">
      <c r="A183" s="12"/>
      <c r="B183" s="12"/>
      <c r="M183" s="12"/>
    </row>
    <row r="184" spans="1:13">
      <c r="A184" s="12"/>
      <c r="B184" s="12"/>
      <c r="M184" s="12"/>
    </row>
    <row r="185" spans="1:13">
      <c r="A185" s="12"/>
      <c r="B185" s="12"/>
      <c r="M185" s="12"/>
    </row>
    <row r="186" spans="1:13">
      <c r="A186" s="12"/>
      <c r="B186" s="12"/>
      <c r="M186" s="12"/>
    </row>
    <row r="187" spans="1:13">
      <c r="A187" s="12"/>
      <c r="B187" s="12"/>
      <c r="M187" s="12"/>
    </row>
    <row r="188" spans="1:13">
      <c r="A188" s="12"/>
      <c r="B188" s="12"/>
      <c r="M188" s="12"/>
    </row>
    <row r="189" spans="1:13">
      <c r="A189" s="12"/>
      <c r="B189" s="12"/>
      <c r="M189" s="12"/>
    </row>
    <row r="190" spans="1:13">
      <c r="A190" s="12"/>
      <c r="B190" s="12"/>
      <c r="M190" s="12"/>
    </row>
    <row r="191" spans="1:13">
      <c r="A191" s="12"/>
      <c r="B191" s="14"/>
      <c r="C191" s="1"/>
      <c r="D191" s="13"/>
      <c r="E191" s="1"/>
      <c r="F191" s="5"/>
      <c r="G191" s="5"/>
      <c r="H191" s="5"/>
      <c r="I191" s="1"/>
      <c r="J191" s="1"/>
      <c r="K191" s="1"/>
      <c r="L191" s="1"/>
      <c r="M191" s="14"/>
    </row>
    <row r="192" spans="1:13">
      <c r="A192" s="12"/>
      <c r="B192" s="14"/>
      <c r="C192" s="1"/>
      <c r="D192" s="13"/>
      <c r="E192" s="1"/>
      <c r="F192" s="5"/>
      <c r="G192" s="5"/>
      <c r="H192" s="5"/>
      <c r="I192" s="1"/>
      <c r="J192" s="1"/>
      <c r="K192" s="1"/>
      <c r="L192" s="1"/>
      <c r="M192" s="14"/>
    </row>
    <row r="193" spans="1:13">
      <c r="A193" s="12"/>
      <c r="B193" s="14"/>
      <c r="C193" s="1"/>
      <c r="D193" s="13"/>
      <c r="E193" s="1"/>
      <c r="F193" s="5"/>
      <c r="G193" s="5"/>
      <c r="H193" s="5"/>
      <c r="I193" s="1"/>
      <c r="J193" s="1"/>
      <c r="K193" s="1"/>
      <c r="L193" s="1"/>
      <c r="M193" s="14"/>
    </row>
    <row r="194" spans="1:13">
      <c r="A194" s="12"/>
      <c r="B194" s="3"/>
      <c r="C194" s="1"/>
      <c r="D194" s="13"/>
      <c r="E194" s="1"/>
      <c r="F194" s="5"/>
      <c r="G194" s="5"/>
      <c r="I194" s="1"/>
      <c r="J194" s="1"/>
      <c r="K194" s="1"/>
      <c r="L194" s="1"/>
      <c r="M194" s="14"/>
    </row>
    <row r="195" spans="1:13">
      <c r="A195" s="12"/>
      <c r="B195" s="3"/>
      <c r="C195" s="1"/>
      <c r="D195" s="13"/>
      <c r="E195" s="1"/>
      <c r="F195" s="5"/>
      <c r="G195" s="5"/>
      <c r="I195" s="1"/>
      <c r="J195" s="1"/>
      <c r="K195" s="1"/>
      <c r="L195" s="1"/>
      <c r="M195" s="14"/>
    </row>
    <row r="196" spans="1:13">
      <c r="A196" s="12"/>
      <c r="B196" s="3"/>
      <c r="C196" s="1"/>
      <c r="D196" s="13"/>
      <c r="E196" s="1"/>
      <c r="F196" s="5"/>
      <c r="G196" s="5"/>
      <c r="I196" s="1"/>
      <c r="J196" s="1"/>
      <c r="K196" s="1"/>
      <c r="L196" s="1"/>
      <c r="M196" s="14"/>
    </row>
    <row r="197" spans="1:13">
      <c r="A197" s="12"/>
      <c r="B197" s="12"/>
      <c r="M197" s="12"/>
    </row>
    <row r="198" spans="1:13">
      <c r="A198" s="12"/>
      <c r="B198" s="12"/>
      <c r="M198" s="12"/>
    </row>
    <row r="199" spans="1:13">
      <c r="A199" s="12"/>
      <c r="B199" s="12"/>
      <c r="M199" s="12"/>
    </row>
    <row r="200" spans="1:13">
      <c r="A200" s="12"/>
      <c r="B200" s="12"/>
      <c r="M200" s="12"/>
    </row>
    <row r="201" spans="1:13">
      <c r="A201" s="12"/>
      <c r="B201" s="12"/>
      <c r="M201" s="12"/>
    </row>
    <row r="202" spans="1:13">
      <c r="A202" s="12"/>
      <c r="B202" s="12"/>
      <c r="M202" s="12"/>
    </row>
    <row r="203" spans="1:13">
      <c r="A203" s="12"/>
      <c r="B203" s="12"/>
      <c r="M203" s="12"/>
    </row>
    <row r="204" spans="1:13">
      <c r="A204" s="12"/>
      <c r="B204" s="12"/>
      <c r="M204" s="12"/>
    </row>
    <row r="205" spans="1:13">
      <c r="A205" s="12"/>
      <c r="B205" s="12"/>
      <c r="M205" s="12"/>
    </row>
    <row r="206" spans="1:13">
      <c r="A206" s="12"/>
      <c r="B206" s="12"/>
      <c r="M206" s="12"/>
    </row>
    <row r="207" spans="1:13">
      <c r="A207" s="12"/>
      <c r="B207" s="12"/>
      <c r="M207" s="12"/>
    </row>
    <row r="208" spans="1:13">
      <c r="A208" s="12"/>
      <c r="B208" s="12"/>
      <c r="M208" s="12"/>
    </row>
    <row r="209" spans="1:13">
      <c r="A209" s="12"/>
      <c r="B209" s="12"/>
      <c r="M209" s="12"/>
    </row>
    <row r="210" spans="1:13">
      <c r="A210" s="12"/>
      <c r="B210" s="12"/>
      <c r="M210" s="12"/>
    </row>
    <row r="211" spans="1:13">
      <c r="A211" s="12"/>
      <c r="B211" s="12"/>
      <c r="M211" s="12"/>
    </row>
    <row r="212" spans="1:13" ht="39.75" customHeight="1">
      <c r="A212" s="12"/>
      <c r="B212" s="12"/>
      <c r="M212" s="12"/>
    </row>
    <row r="213" spans="1:13">
      <c r="A213" s="12"/>
      <c r="B213" s="12"/>
      <c r="M213" s="12"/>
    </row>
    <row r="214" spans="1:13">
      <c r="A214" s="12"/>
      <c r="B214" s="12"/>
      <c r="M214" s="12"/>
    </row>
  </sheetData>
  <mergeCells count="4">
    <mergeCell ref="A1:M1"/>
    <mergeCell ref="A2:M2"/>
    <mergeCell ref="A3:M3"/>
    <mergeCell ref="A4:M4"/>
  </mergeCells>
  <pageMargins left="0.7" right="0.7" top="1.1399999999999999" bottom="0.75" header="0.3" footer="0.3"/>
  <pageSetup scale="59" fitToHeight="0" orientation="landscape" r:id="rId1"/>
  <headerFooter scaleWithDoc="0">
    <oddHeader>&amp;RDocket No. 56165
Exhibit CMB-2
&amp;A
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074D-55E2-4E58-8715-844F78F82BEC}">
  <sheetPr>
    <pageSetUpPr fitToPage="1"/>
  </sheetPr>
  <dimension ref="A1:O214"/>
  <sheetViews>
    <sheetView tabSelected="1" view="pageBreakPreview" zoomScale="90" zoomScaleNormal="100" zoomScaleSheetLayoutView="90" workbookViewId="0">
      <selection sqref="A1:M1"/>
    </sheetView>
  </sheetViews>
  <sheetFormatPr defaultColWidth="9.140625" defaultRowHeight="12"/>
  <cols>
    <col min="1" max="1" width="16.28515625" style="2" bestFit="1" customWidth="1"/>
    <col min="2" max="2" width="19.28515625" style="2" bestFit="1" customWidth="1"/>
    <col min="3" max="3" width="10" style="2" bestFit="1" customWidth="1"/>
    <col min="4" max="4" width="11.5703125" style="7" bestFit="1" customWidth="1"/>
    <col min="5" max="5" width="35" style="2" bestFit="1" customWidth="1"/>
    <col min="6" max="6" width="13" style="6" customWidth="1"/>
    <col min="7" max="7" width="14.140625" style="6" bestFit="1" customWidth="1"/>
    <col min="8" max="8" width="12.85546875" style="6" customWidth="1"/>
    <col min="9" max="9" width="16.140625" style="2" bestFit="1" customWidth="1"/>
    <col min="10" max="10" width="8" style="2" customWidth="1"/>
    <col min="11" max="11" width="6" style="2" bestFit="1" customWidth="1"/>
    <col min="12" max="12" width="17.85546875" style="2" bestFit="1" customWidth="1"/>
    <col min="13" max="13" width="14.140625" style="2" customWidth="1"/>
    <col min="14" max="16384" width="9.140625" style="2"/>
  </cols>
  <sheetData>
    <row r="1" spans="1:13">
      <c r="A1" s="85" t="s">
        <v>52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>
      <c r="A2" s="85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85" t="s">
        <v>259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2.75" customHeight="1">
      <c r="A4" s="86" t="s">
        <v>124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13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</row>
    <row r="6" spans="1:13" s="15" customFormat="1">
      <c r="D6" s="16"/>
      <c r="F6" s="17"/>
      <c r="G6" s="17"/>
      <c r="H6" s="17"/>
    </row>
    <row r="7" spans="1:13">
      <c r="A7" s="4" t="s">
        <v>1</v>
      </c>
      <c r="B7" s="4" t="s">
        <v>2</v>
      </c>
      <c r="C7" s="4" t="s">
        <v>0</v>
      </c>
      <c r="D7" s="8" t="s">
        <v>3</v>
      </c>
      <c r="E7" s="4" t="s">
        <v>4</v>
      </c>
      <c r="F7" s="9" t="s">
        <v>5</v>
      </c>
      <c r="G7" s="10" t="s">
        <v>6</v>
      </c>
      <c r="H7" s="10" t="s">
        <v>7</v>
      </c>
      <c r="I7" s="4" t="s">
        <v>8</v>
      </c>
      <c r="J7" s="4" t="s">
        <v>11</v>
      </c>
      <c r="K7" s="4" t="s">
        <v>12</v>
      </c>
      <c r="L7" s="4" t="s">
        <v>9</v>
      </c>
      <c r="M7" s="11" t="s">
        <v>10</v>
      </c>
    </row>
    <row r="8" spans="1:13">
      <c r="A8" s="12"/>
      <c r="B8" s="12"/>
      <c r="M8" s="12"/>
    </row>
    <row r="9" spans="1:13">
      <c r="A9" s="12" t="s">
        <v>34</v>
      </c>
      <c r="B9" s="12" t="s">
        <v>17</v>
      </c>
      <c r="E9" s="2" t="s">
        <v>76</v>
      </c>
      <c r="M9" s="12"/>
    </row>
    <row r="10" spans="1:13">
      <c r="A10" s="12"/>
      <c r="B10" s="12"/>
      <c r="M10" s="12"/>
    </row>
    <row r="11" spans="1:13" ht="12.75" thickBot="1">
      <c r="A11" s="12"/>
      <c r="B11" s="12"/>
      <c r="D11" s="2"/>
      <c r="E11" s="23" t="s">
        <v>39</v>
      </c>
      <c r="F11" s="24">
        <f>SUM(F9:F9)</f>
        <v>0</v>
      </c>
      <c r="G11" s="24">
        <f>SUM(G9:G9)</f>
        <v>0</v>
      </c>
      <c r="H11" s="24">
        <f>SUM(H9:H9)</f>
        <v>0</v>
      </c>
      <c r="M11" s="12"/>
    </row>
    <row r="12" spans="1:13">
      <c r="A12" s="12"/>
      <c r="B12" s="12"/>
      <c r="D12" s="4"/>
      <c r="E12" s="9"/>
      <c r="F12" s="9"/>
      <c r="G12" s="9"/>
      <c r="M12" s="12"/>
    </row>
    <row r="13" spans="1:13" s="1" customFormat="1">
      <c r="A13" s="12" t="s">
        <v>17</v>
      </c>
      <c r="B13" s="12" t="s">
        <v>17</v>
      </c>
      <c r="C13" s="1" t="s">
        <v>173</v>
      </c>
      <c r="D13" s="1" t="s">
        <v>32</v>
      </c>
      <c r="E13" s="1" t="s">
        <v>13</v>
      </c>
      <c r="F13" s="36">
        <v>11179.07</v>
      </c>
      <c r="G13" s="6">
        <v>0</v>
      </c>
      <c r="H13" s="36">
        <v>11179.07</v>
      </c>
      <c r="J13" s="1">
        <v>2023</v>
      </c>
      <c r="K13" s="1">
        <v>9</v>
      </c>
      <c r="L13" s="47" t="s">
        <v>175</v>
      </c>
      <c r="M13" s="12">
        <v>45182</v>
      </c>
    </row>
    <row r="14" spans="1:13" s="1" customFormat="1">
      <c r="A14" s="12" t="s">
        <v>17</v>
      </c>
      <c r="B14" s="12" t="s">
        <v>17</v>
      </c>
      <c r="C14" s="1" t="s">
        <v>174</v>
      </c>
      <c r="D14" s="1" t="s">
        <v>32</v>
      </c>
      <c r="E14" s="1" t="s">
        <v>13</v>
      </c>
      <c r="F14" s="36">
        <v>8157.05</v>
      </c>
      <c r="G14" s="6"/>
      <c r="H14" s="36">
        <v>8157.05</v>
      </c>
      <c r="J14" s="1">
        <v>2023</v>
      </c>
      <c r="K14" s="1">
        <v>10</v>
      </c>
      <c r="L14" s="47" t="s">
        <v>176</v>
      </c>
      <c r="M14" s="12">
        <v>45211</v>
      </c>
    </row>
    <row r="15" spans="1:13">
      <c r="A15" s="12"/>
      <c r="B15" s="12"/>
      <c r="C15" s="1"/>
      <c r="M15" s="12"/>
    </row>
    <row r="16" spans="1:13" ht="12.75" thickBot="1">
      <c r="A16" s="12"/>
      <c r="B16" s="12"/>
      <c r="C16" s="1"/>
      <c r="E16" s="23" t="s">
        <v>30</v>
      </c>
      <c r="F16" s="24">
        <f>SUM(F13:F14)</f>
        <v>19336.12</v>
      </c>
      <c r="G16" s="24">
        <f>SUM(G13:G14)</f>
        <v>0</v>
      </c>
      <c r="H16" s="24">
        <f>SUM(H13:H14)</f>
        <v>19336.12</v>
      </c>
      <c r="I16" s="41"/>
      <c r="M16" s="12"/>
    </row>
    <row r="17" spans="1:13">
      <c r="A17" s="12"/>
      <c r="B17" s="12"/>
      <c r="E17" s="4"/>
      <c r="F17" s="9"/>
      <c r="G17" s="9"/>
      <c r="H17" s="9"/>
      <c r="M17" s="12"/>
    </row>
    <row r="18" spans="1:13">
      <c r="A18" s="12" t="s">
        <v>18</v>
      </c>
      <c r="B18" s="12"/>
      <c r="C18" s="1"/>
      <c r="E18" s="2" t="s">
        <v>76</v>
      </c>
      <c r="F18" s="36"/>
      <c r="H18" s="36"/>
      <c r="L18" s="47"/>
      <c r="M18" s="12"/>
    </row>
    <row r="19" spans="1:13" ht="14.25">
      <c r="A19" s="12"/>
      <c r="B19" s="12"/>
      <c r="C19" s="50"/>
      <c r="M19" s="12"/>
    </row>
    <row r="20" spans="1:13" ht="12.75" thickBot="1">
      <c r="A20" s="12"/>
      <c r="B20" s="12"/>
      <c r="D20" s="2"/>
      <c r="E20" s="23" t="s">
        <v>25</v>
      </c>
      <c r="F20" s="24">
        <f>SUM(F18:F18)</f>
        <v>0</v>
      </c>
      <c r="G20" s="24">
        <f>SUM(G18:G18)</f>
        <v>0</v>
      </c>
      <c r="H20" s="24">
        <f>SUM(H18:H18)</f>
        <v>0</v>
      </c>
      <c r="M20" s="12"/>
    </row>
    <row r="21" spans="1:13">
      <c r="A21" s="12"/>
      <c r="B21" s="12"/>
      <c r="D21" s="2"/>
      <c r="M21" s="12"/>
    </row>
    <row r="22" spans="1:13">
      <c r="A22" s="12" t="s">
        <v>16</v>
      </c>
      <c r="B22" s="12"/>
      <c r="E22" s="2" t="s">
        <v>76</v>
      </c>
      <c r="F22" s="6">
        <v>0</v>
      </c>
      <c r="G22" s="6">
        <v>0</v>
      </c>
      <c r="H22" s="6">
        <v>0</v>
      </c>
      <c r="K22" s="40"/>
      <c r="M22" s="12"/>
    </row>
    <row r="23" spans="1:13">
      <c r="A23" s="12"/>
      <c r="B23" s="12"/>
      <c r="M23" s="12"/>
    </row>
    <row r="24" spans="1:13" s="4" customFormat="1" ht="12.75" thickBot="1">
      <c r="D24" s="8"/>
      <c r="E24" s="23" t="s">
        <v>26</v>
      </c>
      <c r="F24" s="24">
        <f>SUM(F22)</f>
        <v>0</v>
      </c>
      <c r="G24" s="24">
        <f t="shared" ref="G24:H24" si="0">SUM(G22)</f>
        <v>0</v>
      </c>
      <c r="H24" s="24">
        <f t="shared" si="0"/>
        <v>0</v>
      </c>
    </row>
    <row r="26" spans="1:13" ht="12.75" thickBot="1">
      <c r="E26" s="4" t="s">
        <v>55</v>
      </c>
      <c r="F26" s="49">
        <f>SUM(F11,F16,F20,F24)</f>
        <v>19336.12</v>
      </c>
      <c r="G26" s="49">
        <f>SUM(G11,G16,G20,G24)</f>
        <v>0</v>
      </c>
      <c r="H26" s="49">
        <f>SUM(H11,H16,H20,H24)</f>
        <v>19336.12</v>
      </c>
    </row>
    <row r="27" spans="1:13" ht="12.75" thickTop="1"/>
    <row r="33" spans="1:15" ht="12.7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</row>
    <row r="34" spans="1:15" ht="14.25">
      <c r="A34" s="52"/>
      <c r="B34" s="52"/>
      <c r="C34" s="52"/>
      <c r="D34" s="52"/>
      <c r="E34" s="52"/>
      <c r="F34" s="52"/>
      <c r="G34" s="52"/>
      <c r="H34" s="52"/>
      <c r="I34" s="52"/>
      <c r="J34" s="52"/>
      <c r="L34" s="52"/>
      <c r="M34" s="52"/>
      <c r="N34" s="52"/>
      <c r="O34" s="52"/>
    </row>
    <row r="35" spans="1:15" ht="14.25">
      <c r="A35" s="52"/>
      <c r="B35" s="52"/>
      <c r="C35" s="52"/>
      <c r="D35" s="52"/>
      <c r="E35" s="52"/>
      <c r="F35" s="52"/>
      <c r="G35" s="52"/>
      <c r="H35" s="52"/>
      <c r="I35" s="52"/>
      <c r="J35" s="52"/>
      <c r="L35" s="52"/>
      <c r="M35" s="52"/>
      <c r="N35" s="52"/>
      <c r="O35" s="52"/>
    </row>
    <row r="36" spans="1:15" ht="14.25">
      <c r="A36" s="52"/>
      <c r="B36" s="52"/>
      <c r="C36" s="52"/>
      <c r="D36" s="52"/>
      <c r="E36" s="52"/>
      <c r="F36" s="52"/>
      <c r="G36" s="52"/>
      <c r="H36" s="52"/>
      <c r="I36" s="52"/>
      <c r="J36" s="52"/>
      <c r="L36" s="52"/>
      <c r="M36" s="52"/>
      <c r="N36" s="52"/>
      <c r="O36" s="52"/>
    </row>
    <row r="37" spans="1:15" ht="14.25">
      <c r="A37" s="52"/>
      <c r="B37" s="52"/>
      <c r="C37" s="52"/>
      <c r="D37" s="52"/>
      <c r="E37" s="52"/>
      <c r="F37" s="52"/>
      <c r="G37" s="52"/>
      <c r="H37" s="52"/>
      <c r="I37" s="52"/>
      <c r="J37" s="52"/>
      <c r="L37" s="52"/>
      <c r="M37" s="52"/>
      <c r="N37" s="52"/>
      <c r="O37" s="52"/>
    </row>
    <row r="38" spans="1:15" ht="14.25">
      <c r="A38" s="52"/>
      <c r="B38" s="52"/>
      <c r="C38" s="52"/>
      <c r="D38" s="52"/>
      <c r="E38" s="52"/>
      <c r="F38" s="52"/>
      <c r="G38" s="52"/>
      <c r="H38" s="52"/>
      <c r="I38" s="52"/>
      <c r="J38" s="52"/>
      <c r="L38" s="52"/>
      <c r="M38" s="52"/>
      <c r="N38" s="52"/>
      <c r="O38" s="52"/>
    </row>
    <row r="39" spans="1:15" ht="14.25">
      <c r="A39" s="52"/>
      <c r="B39" s="52"/>
      <c r="C39" s="52"/>
      <c r="D39" s="52"/>
      <c r="E39" s="52"/>
      <c r="F39" s="52"/>
      <c r="G39" s="52"/>
      <c r="H39" s="52"/>
      <c r="I39" s="52"/>
      <c r="J39" s="52"/>
      <c r="L39" s="52"/>
      <c r="M39" s="52"/>
      <c r="N39" s="52"/>
      <c r="O39" s="52"/>
    </row>
    <row r="148" spans="1:13">
      <c r="A148" s="12"/>
      <c r="B148" s="12"/>
      <c r="M148" s="12"/>
    </row>
    <row r="149" spans="1:13">
      <c r="A149" s="12"/>
      <c r="B149" s="12"/>
      <c r="M149" s="12"/>
    </row>
    <row r="150" spans="1:13">
      <c r="A150" s="12"/>
      <c r="B150" s="12"/>
      <c r="M150" s="12"/>
    </row>
    <row r="151" spans="1:13">
      <c r="A151" s="12"/>
      <c r="B151" s="12"/>
      <c r="M151" s="12"/>
    </row>
    <row r="152" spans="1:13">
      <c r="A152" s="12"/>
      <c r="B152" s="12"/>
      <c r="M152" s="12"/>
    </row>
    <row r="153" spans="1:13">
      <c r="A153" s="12"/>
      <c r="B153" s="12"/>
      <c r="M153" s="12"/>
    </row>
    <row r="154" spans="1:13">
      <c r="A154" s="12"/>
      <c r="B154" s="12"/>
      <c r="M154" s="12"/>
    </row>
    <row r="155" spans="1:13">
      <c r="A155" s="12"/>
      <c r="B155" s="12"/>
      <c r="M155" s="12"/>
    </row>
    <row r="156" spans="1:13">
      <c r="A156" s="12"/>
      <c r="B156" s="12"/>
      <c r="M156" s="12"/>
    </row>
    <row r="157" spans="1:13">
      <c r="A157" s="12"/>
      <c r="B157" s="12"/>
      <c r="M157" s="12"/>
    </row>
    <row r="158" spans="1:13">
      <c r="A158" s="12"/>
      <c r="B158" s="12"/>
      <c r="M158" s="12"/>
    </row>
    <row r="159" spans="1:13">
      <c r="A159" s="12"/>
      <c r="B159" s="12"/>
      <c r="M159" s="12"/>
    </row>
    <row r="160" spans="1:13">
      <c r="A160" s="12"/>
      <c r="B160" s="12"/>
      <c r="M160" s="12"/>
    </row>
    <row r="161" spans="1:13">
      <c r="A161" s="12"/>
      <c r="B161" s="12"/>
      <c r="M161" s="12"/>
    </row>
    <row r="162" spans="1:13">
      <c r="A162" s="12"/>
      <c r="B162" s="12"/>
      <c r="M162" s="12"/>
    </row>
    <row r="163" spans="1:13">
      <c r="A163" s="12"/>
      <c r="B163" s="12"/>
      <c r="M163" s="12"/>
    </row>
    <row r="164" spans="1:13">
      <c r="A164" s="12"/>
      <c r="B164" s="12"/>
      <c r="M164" s="12"/>
    </row>
    <row r="165" spans="1:13">
      <c r="A165" s="12"/>
      <c r="B165" s="12"/>
      <c r="M165" s="12"/>
    </row>
    <row r="166" spans="1:13">
      <c r="A166" s="12"/>
      <c r="B166" s="12"/>
      <c r="M166" s="12"/>
    </row>
    <row r="167" spans="1:13">
      <c r="A167" s="12"/>
      <c r="B167" s="12"/>
      <c r="M167" s="12"/>
    </row>
    <row r="168" spans="1:13">
      <c r="A168" s="12"/>
      <c r="B168" s="12"/>
      <c r="M168" s="12"/>
    </row>
    <row r="169" spans="1:13">
      <c r="A169" s="12"/>
      <c r="B169" s="12"/>
      <c r="M169" s="12"/>
    </row>
    <row r="170" spans="1:13">
      <c r="A170" s="12"/>
      <c r="B170" s="12"/>
      <c r="M170" s="12"/>
    </row>
    <row r="171" spans="1:13">
      <c r="A171" s="12"/>
      <c r="B171" s="12"/>
      <c r="M171" s="12"/>
    </row>
    <row r="172" spans="1:13">
      <c r="A172" s="12"/>
      <c r="B172" s="12"/>
      <c r="M172" s="12"/>
    </row>
    <row r="173" spans="1:13">
      <c r="A173" s="12"/>
      <c r="B173" s="12"/>
      <c r="M173" s="12"/>
    </row>
    <row r="174" spans="1:13">
      <c r="A174" s="12"/>
      <c r="B174" s="12"/>
      <c r="M174" s="12"/>
    </row>
    <row r="175" spans="1:13">
      <c r="A175" s="12"/>
      <c r="B175" s="12"/>
      <c r="M175" s="12"/>
    </row>
    <row r="176" spans="1:13">
      <c r="A176" s="12"/>
      <c r="B176" s="12"/>
      <c r="M176" s="12"/>
    </row>
    <row r="177" spans="1:13">
      <c r="A177" s="12"/>
      <c r="B177" s="12"/>
      <c r="M177" s="12"/>
    </row>
    <row r="178" spans="1:13">
      <c r="A178" s="12"/>
      <c r="B178" s="12"/>
      <c r="M178" s="12"/>
    </row>
    <row r="179" spans="1:13">
      <c r="A179" s="12"/>
      <c r="B179" s="12"/>
      <c r="M179" s="12"/>
    </row>
    <row r="180" spans="1:13">
      <c r="A180" s="12"/>
      <c r="B180" s="12"/>
      <c r="M180" s="12"/>
    </row>
    <row r="181" spans="1:13">
      <c r="A181" s="12"/>
      <c r="B181" s="12"/>
      <c r="M181" s="12"/>
    </row>
    <row r="182" spans="1:13">
      <c r="A182" s="12"/>
      <c r="B182" s="12"/>
      <c r="M182" s="12"/>
    </row>
    <row r="183" spans="1:13">
      <c r="A183" s="12"/>
      <c r="B183" s="12"/>
      <c r="M183" s="12"/>
    </row>
    <row r="184" spans="1:13">
      <c r="A184" s="12"/>
      <c r="B184" s="12"/>
      <c r="M184" s="12"/>
    </row>
    <row r="185" spans="1:13">
      <c r="A185" s="12"/>
      <c r="B185" s="12"/>
      <c r="M185" s="12"/>
    </row>
    <row r="186" spans="1:13">
      <c r="A186" s="12"/>
      <c r="B186" s="12"/>
      <c r="M186" s="12"/>
    </row>
    <row r="187" spans="1:13">
      <c r="A187" s="12"/>
      <c r="B187" s="12"/>
      <c r="M187" s="12"/>
    </row>
    <row r="188" spans="1:13">
      <c r="A188" s="12"/>
      <c r="B188" s="12"/>
      <c r="M188" s="12"/>
    </row>
    <row r="189" spans="1:13">
      <c r="A189" s="12"/>
      <c r="B189" s="12"/>
      <c r="M189" s="12"/>
    </row>
    <row r="190" spans="1:13">
      <c r="A190" s="12"/>
      <c r="B190" s="12"/>
      <c r="M190" s="12"/>
    </row>
    <row r="191" spans="1:13">
      <c r="A191" s="12"/>
      <c r="B191" s="14"/>
      <c r="C191" s="1"/>
      <c r="D191" s="13"/>
      <c r="E191" s="1"/>
      <c r="F191" s="5"/>
      <c r="G191" s="5"/>
      <c r="H191" s="5"/>
      <c r="I191" s="1"/>
      <c r="J191" s="1"/>
      <c r="K191" s="1"/>
      <c r="L191" s="1"/>
      <c r="M191" s="14"/>
    </row>
    <row r="192" spans="1:13">
      <c r="A192" s="12"/>
      <c r="B192" s="14"/>
      <c r="C192" s="1"/>
      <c r="D192" s="13"/>
      <c r="E192" s="1"/>
      <c r="F192" s="5"/>
      <c r="G192" s="5"/>
      <c r="H192" s="5"/>
      <c r="I192" s="1"/>
      <c r="J192" s="1"/>
      <c r="K192" s="1"/>
      <c r="L192" s="1"/>
      <c r="M192" s="14"/>
    </row>
    <row r="193" spans="1:13">
      <c r="A193" s="12"/>
      <c r="B193" s="14"/>
      <c r="C193" s="1"/>
      <c r="D193" s="13"/>
      <c r="E193" s="1"/>
      <c r="F193" s="5"/>
      <c r="G193" s="5"/>
      <c r="H193" s="5"/>
      <c r="I193" s="1"/>
      <c r="J193" s="1"/>
      <c r="K193" s="1"/>
      <c r="L193" s="1"/>
      <c r="M193" s="14"/>
    </row>
    <row r="194" spans="1:13">
      <c r="A194" s="12"/>
      <c r="B194" s="3"/>
      <c r="C194" s="1"/>
      <c r="D194" s="13"/>
      <c r="E194" s="1"/>
      <c r="F194" s="5"/>
      <c r="G194" s="5"/>
      <c r="I194" s="1"/>
      <c r="J194" s="1"/>
      <c r="K194" s="1"/>
      <c r="L194" s="1"/>
      <c r="M194" s="14"/>
    </row>
    <row r="195" spans="1:13">
      <c r="A195" s="12"/>
      <c r="B195" s="3"/>
      <c r="C195" s="1"/>
      <c r="D195" s="13"/>
      <c r="E195" s="1"/>
      <c r="F195" s="5"/>
      <c r="G195" s="5"/>
      <c r="I195" s="1"/>
      <c r="J195" s="1"/>
      <c r="K195" s="1"/>
      <c r="L195" s="1"/>
      <c r="M195" s="14"/>
    </row>
    <row r="196" spans="1:13">
      <c r="A196" s="12"/>
      <c r="B196" s="3"/>
      <c r="C196" s="1"/>
      <c r="D196" s="13"/>
      <c r="E196" s="1"/>
      <c r="F196" s="5"/>
      <c r="G196" s="5"/>
      <c r="I196" s="1"/>
      <c r="J196" s="1"/>
      <c r="K196" s="1"/>
      <c r="L196" s="1"/>
      <c r="M196" s="14"/>
    </row>
    <row r="197" spans="1:13">
      <c r="A197" s="12"/>
      <c r="B197" s="12"/>
      <c r="M197" s="12"/>
    </row>
    <row r="198" spans="1:13">
      <c r="A198" s="12"/>
      <c r="B198" s="12"/>
      <c r="M198" s="12"/>
    </row>
    <row r="199" spans="1:13">
      <c r="A199" s="12"/>
      <c r="B199" s="12"/>
      <c r="M199" s="12"/>
    </row>
    <row r="200" spans="1:13">
      <c r="A200" s="12"/>
      <c r="B200" s="12"/>
      <c r="M200" s="12"/>
    </row>
    <row r="201" spans="1:13">
      <c r="A201" s="12"/>
      <c r="B201" s="12"/>
      <c r="M201" s="12"/>
    </row>
    <row r="202" spans="1:13">
      <c r="A202" s="12"/>
      <c r="B202" s="12"/>
      <c r="M202" s="12"/>
    </row>
    <row r="203" spans="1:13">
      <c r="A203" s="12"/>
      <c r="B203" s="12"/>
      <c r="M203" s="12"/>
    </row>
    <row r="204" spans="1:13">
      <c r="A204" s="12"/>
      <c r="B204" s="12"/>
      <c r="M204" s="12"/>
    </row>
    <row r="205" spans="1:13">
      <c r="A205" s="12"/>
      <c r="B205" s="12"/>
      <c r="M205" s="12"/>
    </row>
    <row r="206" spans="1:13">
      <c r="A206" s="12"/>
      <c r="B206" s="12"/>
      <c r="M206" s="12"/>
    </row>
    <row r="207" spans="1:13">
      <c r="A207" s="12"/>
      <c r="B207" s="12"/>
      <c r="M207" s="12"/>
    </row>
    <row r="208" spans="1:13">
      <c r="A208" s="12"/>
      <c r="B208" s="12"/>
      <c r="M208" s="12"/>
    </row>
    <row r="209" spans="1:13">
      <c r="A209" s="12"/>
      <c r="B209" s="12"/>
      <c r="M209" s="12"/>
    </row>
    <row r="210" spans="1:13">
      <c r="A210" s="12"/>
      <c r="B210" s="12"/>
      <c r="M210" s="12"/>
    </row>
    <row r="211" spans="1:13">
      <c r="A211" s="12"/>
      <c r="B211" s="12"/>
      <c r="M211" s="12"/>
    </row>
    <row r="212" spans="1:13" ht="39.75" customHeight="1">
      <c r="A212" s="12"/>
      <c r="B212" s="12"/>
      <c r="M212" s="12"/>
    </row>
    <row r="213" spans="1:13">
      <c r="A213" s="12"/>
      <c r="B213" s="12"/>
      <c r="M213" s="12"/>
    </row>
    <row r="214" spans="1:13">
      <c r="A214" s="12"/>
      <c r="B214" s="12"/>
      <c r="M214" s="12"/>
    </row>
  </sheetData>
  <mergeCells count="4">
    <mergeCell ref="A1:M1"/>
    <mergeCell ref="A2:M2"/>
    <mergeCell ref="A3:M3"/>
    <mergeCell ref="A4:M4"/>
  </mergeCells>
  <pageMargins left="0.7" right="0.7" top="1.1599999999999999" bottom="0.75" header="0.3" footer="0.3"/>
  <pageSetup scale="62" fitToHeight="0" orientation="landscape" r:id="rId1"/>
  <headerFooter scaleWithDoc="0">
    <oddHeader>&amp;RDocket No. 56165
Exhibit CMB-2
&amp;A
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0"/>
  <sheetViews>
    <sheetView tabSelected="1" view="pageBreakPreview" zoomScale="90" zoomScaleNormal="100" zoomScaleSheetLayoutView="90" workbookViewId="0">
      <selection sqref="A1:M1"/>
    </sheetView>
  </sheetViews>
  <sheetFormatPr defaultColWidth="9.140625" defaultRowHeight="12"/>
  <cols>
    <col min="1" max="1" width="17.42578125" style="1" bestFit="1" customWidth="1"/>
    <col min="2" max="2" width="24.7109375" style="1" bestFit="1" customWidth="1"/>
    <col min="3" max="3" width="9.28515625" style="1" bestFit="1" customWidth="1"/>
    <col min="4" max="4" width="11" style="1" bestFit="1" customWidth="1"/>
    <col min="5" max="5" width="32.85546875" style="1" customWidth="1"/>
    <col min="6" max="6" width="10.85546875" style="36" bestFit="1" customWidth="1"/>
    <col min="7" max="7" width="11.42578125" style="36" bestFit="1" customWidth="1"/>
    <col min="8" max="8" width="10.85546875" style="36" bestFit="1" customWidth="1"/>
    <col min="9" max="9" width="22.7109375" style="1" bestFit="1" customWidth="1"/>
    <col min="10" max="10" width="5" style="1" bestFit="1" customWidth="1"/>
    <col min="11" max="11" width="9" style="1" bestFit="1" customWidth="1"/>
    <col min="12" max="12" width="23.5703125" style="1" bestFit="1" customWidth="1"/>
    <col min="13" max="13" width="10.85546875" style="1" bestFit="1" customWidth="1"/>
    <col min="14" max="16384" width="9.140625" style="1"/>
  </cols>
  <sheetData>
    <row r="1" spans="1:13">
      <c r="A1" s="85" t="s">
        <v>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3">
      <c r="A2" s="85" t="s">
        <v>19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3">
      <c r="A3" s="85" t="s">
        <v>259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</row>
    <row r="4" spans="1:13" ht="12" customHeight="1">
      <c r="A4" s="86" t="s">
        <v>125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6" spans="1:13" s="15" customFormat="1">
      <c r="F6" s="32"/>
      <c r="G6" s="32"/>
      <c r="H6" s="32"/>
    </row>
    <row r="7" spans="1:13" s="15" customFormat="1">
      <c r="A7" s="33" t="s">
        <v>1</v>
      </c>
      <c r="B7" s="33" t="s">
        <v>2</v>
      </c>
      <c r="C7" s="33" t="s">
        <v>0</v>
      </c>
      <c r="D7" s="33" t="s">
        <v>3</v>
      </c>
      <c r="E7" s="33" t="s">
        <v>4</v>
      </c>
      <c r="F7" s="34" t="s">
        <v>5</v>
      </c>
      <c r="G7" s="34" t="s">
        <v>6</v>
      </c>
      <c r="H7" s="34" t="s">
        <v>7</v>
      </c>
      <c r="I7" s="33" t="s">
        <v>20</v>
      </c>
      <c r="J7" s="33" t="s">
        <v>11</v>
      </c>
      <c r="K7" s="33" t="s">
        <v>12</v>
      </c>
      <c r="L7" s="33" t="s">
        <v>9</v>
      </c>
      <c r="M7" s="35" t="s">
        <v>10</v>
      </c>
    </row>
    <row r="8" spans="1:13" s="2" customFormat="1">
      <c r="A8" s="4"/>
      <c r="B8" s="4"/>
      <c r="C8" s="4"/>
      <c r="D8" s="4"/>
      <c r="E8" s="4"/>
      <c r="F8" s="48"/>
      <c r="G8" s="48"/>
      <c r="H8" s="48"/>
      <c r="I8" s="4"/>
      <c r="J8" s="4"/>
      <c r="K8" s="4"/>
      <c r="L8" s="4"/>
      <c r="M8" s="11"/>
    </row>
    <row r="9" spans="1:13" s="2" customFormat="1">
      <c r="A9" s="12" t="s">
        <v>34</v>
      </c>
      <c r="B9" s="12" t="s">
        <v>17</v>
      </c>
      <c r="C9" s="1"/>
      <c r="D9" s="1"/>
      <c r="E9" s="1" t="s">
        <v>76</v>
      </c>
      <c r="F9" s="56"/>
      <c r="G9" s="36"/>
      <c r="H9" s="36"/>
      <c r="I9" s="1"/>
      <c r="J9" s="1"/>
      <c r="K9" s="1"/>
      <c r="L9" s="1"/>
      <c r="M9" s="14"/>
    </row>
    <row r="10" spans="1:13" s="2" customFormat="1">
      <c r="A10" s="12"/>
      <c r="B10" s="4"/>
      <c r="C10" s="4"/>
      <c r="D10" s="4"/>
      <c r="I10" s="4"/>
      <c r="J10" s="4"/>
      <c r="K10" s="4"/>
      <c r="L10" s="4"/>
      <c r="M10" s="11"/>
    </row>
    <row r="11" spans="1:13" s="2" customFormat="1" ht="12.75" thickBot="1">
      <c r="A11" s="12"/>
      <c r="B11" s="4"/>
      <c r="C11" s="4"/>
      <c r="D11" s="4"/>
      <c r="E11" s="23" t="s">
        <v>39</v>
      </c>
      <c r="F11" s="24">
        <f>SUM(F9:F9)</f>
        <v>0</v>
      </c>
      <c r="G11" s="24">
        <f>SUM(G9:G9)</f>
        <v>0</v>
      </c>
      <c r="H11" s="24">
        <f>SUM(H9:H9)</f>
        <v>0</v>
      </c>
      <c r="I11" s="4"/>
      <c r="J11" s="4"/>
      <c r="K11" s="4"/>
      <c r="L11" s="4"/>
      <c r="M11" s="11"/>
    </row>
    <row r="12" spans="1:13" s="2" customFormat="1">
      <c r="A12" s="4"/>
      <c r="B12" s="4"/>
      <c r="C12" s="4"/>
      <c r="D12" s="4"/>
      <c r="E12" s="4"/>
      <c r="F12" s="48"/>
      <c r="G12" s="48"/>
      <c r="H12" s="48"/>
      <c r="I12" s="4"/>
      <c r="J12" s="4"/>
      <c r="K12" s="4"/>
      <c r="L12" s="4"/>
      <c r="M12" s="11"/>
    </row>
    <row r="13" spans="1:13">
      <c r="A13" s="12" t="s">
        <v>17</v>
      </c>
      <c r="B13" s="12" t="s">
        <v>17</v>
      </c>
      <c r="C13" s="1" t="s">
        <v>203</v>
      </c>
      <c r="D13" s="1" t="s">
        <v>32</v>
      </c>
      <c r="E13" s="1" t="s">
        <v>13</v>
      </c>
      <c r="F13" s="56">
        <v>406.12</v>
      </c>
      <c r="G13" s="36">
        <v>0</v>
      </c>
      <c r="H13" s="36">
        <v>406.12</v>
      </c>
      <c r="J13" s="1">
        <v>2023</v>
      </c>
      <c r="K13" s="1">
        <v>4</v>
      </c>
      <c r="L13" s="1" t="s">
        <v>210</v>
      </c>
      <c r="M13" s="14">
        <v>45029</v>
      </c>
    </row>
    <row r="14" spans="1:13">
      <c r="A14" s="12" t="s">
        <v>17</v>
      </c>
      <c r="B14" s="12" t="s">
        <v>17</v>
      </c>
      <c r="C14" s="1" t="s">
        <v>204</v>
      </c>
      <c r="D14" s="1" t="s">
        <v>32</v>
      </c>
      <c r="E14" s="1" t="s">
        <v>13</v>
      </c>
      <c r="F14" s="56">
        <v>270.75</v>
      </c>
      <c r="G14" s="36">
        <v>0</v>
      </c>
      <c r="H14" s="36">
        <v>270.75</v>
      </c>
      <c r="J14" s="1">
        <v>2023</v>
      </c>
      <c r="K14" s="1">
        <v>5</v>
      </c>
      <c r="L14" s="1" t="s">
        <v>211</v>
      </c>
      <c r="M14" s="14">
        <v>45058</v>
      </c>
    </row>
    <row r="15" spans="1:13">
      <c r="A15" s="12" t="s">
        <v>17</v>
      </c>
      <c r="B15" s="12" t="s">
        <v>17</v>
      </c>
      <c r="C15" s="1" t="s">
        <v>205</v>
      </c>
      <c r="D15" s="1" t="s">
        <v>32</v>
      </c>
      <c r="E15" s="1" t="s">
        <v>13</v>
      </c>
      <c r="F15" s="56">
        <v>13183.69</v>
      </c>
      <c r="G15" s="36">
        <v>0</v>
      </c>
      <c r="H15" s="36">
        <v>13183.69</v>
      </c>
      <c r="J15" s="1">
        <v>2023</v>
      </c>
      <c r="K15" s="1">
        <v>6</v>
      </c>
      <c r="L15" s="1" t="s">
        <v>212</v>
      </c>
      <c r="M15" s="14">
        <v>45090</v>
      </c>
    </row>
    <row r="16" spans="1:13">
      <c r="A16" s="12" t="s">
        <v>17</v>
      </c>
      <c r="B16" s="12" t="s">
        <v>17</v>
      </c>
      <c r="C16" s="1" t="s">
        <v>206</v>
      </c>
      <c r="D16" s="1" t="s">
        <v>32</v>
      </c>
      <c r="E16" s="1" t="s">
        <v>13</v>
      </c>
      <c r="F16" s="56">
        <v>26232.46</v>
      </c>
      <c r="G16" s="36">
        <v>0</v>
      </c>
      <c r="H16" s="36">
        <v>26232.46</v>
      </c>
      <c r="J16" s="1">
        <v>2023</v>
      </c>
      <c r="K16" s="1">
        <v>8</v>
      </c>
      <c r="L16" s="1" t="s">
        <v>213</v>
      </c>
      <c r="M16" s="14">
        <v>45120</v>
      </c>
    </row>
    <row r="17" spans="1:13">
      <c r="A17" s="12" t="s">
        <v>17</v>
      </c>
      <c r="B17" s="12" t="s">
        <v>17</v>
      </c>
      <c r="C17" s="1" t="s">
        <v>207</v>
      </c>
      <c r="D17" s="1" t="s">
        <v>32</v>
      </c>
      <c r="E17" s="1" t="s">
        <v>13</v>
      </c>
      <c r="F17" s="56">
        <v>22558.05</v>
      </c>
      <c r="G17" s="36">
        <v>0</v>
      </c>
      <c r="H17" s="36">
        <v>22558.05</v>
      </c>
      <c r="J17" s="1">
        <v>2023</v>
      </c>
      <c r="K17" s="1">
        <v>8</v>
      </c>
      <c r="L17" s="1" t="s">
        <v>214</v>
      </c>
      <c r="M17" s="14">
        <v>45149</v>
      </c>
    </row>
    <row r="18" spans="1:13">
      <c r="A18" s="12" t="s">
        <v>17</v>
      </c>
      <c r="B18" s="12" t="s">
        <v>17</v>
      </c>
      <c r="C18" s="1" t="s">
        <v>208</v>
      </c>
      <c r="D18" s="1" t="s">
        <v>32</v>
      </c>
      <c r="E18" s="1" t="s">
        <v>13</v>
      </c>
      <c r="F18" s="56">
        <v>27779.98</v>
      </c>
      <c r="G18" s="36">
        <v>0</v>
      </c>
      <c r="H18" s="36">
        <v>27779.98</v>
      </c>
      <c r="J18" s="1">
        <v>2023</v>
      </c>
      <c r="K18" s="1">
        <v>9</v>
      </c>
      <c r="L18" s="1" t="s">
        <v>215</v>
      </c>
      <c r="M18" s="14">
        <v>45182</v>
      </c>
    </row>
    <row r="19" spans="1:13">
      <c r="A19" s="12" t="s">
        <v>17</v>
      </c>
      <c r="B19" s="12" t="s">
        <v>17</v>
      </c>
      <c r="C19" s="1" t="s">
        <v>209</v>
      </c>
      <c r="D19" s="1" t="s">
        <v>32</v>
      </c>
      <c r="E19" s="1" t="s">
        <v>13</v>
      </c>
      <c r="F19" s="56">
        <v>13024.66</v>
      </c>
      <c r="G19" s="36">
        <v>0</v>
      </c>
      <c r="H19" s="36">
        <v>13024.66</v>
      </c>
      <c r="J19" s="1">
        <v>2023</v>
      </c>
      <c r="K19" s="1">
        <v>10</v>
      </c>
      <c r="L19" s="1" t="s">
        <v>216</v>
      </c>
      <c r="M19" s="14">
        <v>45211</v>
      </c>
    </row>
    <row r="20" spans="1:13">
      <c r="A20" s="12" t="s">
        <v>17</v>
      </c>
      <c r="B20" s="12" t="s">
        <v>17</v>
      </c>
      <c r="C20" s="1" t="s">
        <v>237</v>
      </c>
      <c r="D20" s="1" t="s">
        <v>32</v>
      </c>
      <c r="E20" s="1" t="s">
        <v>13</v>
      </c>
      <c r="F20" s="56">
        <v>23953.54</v>
      </c>
      <c r="G20" s="36">
        <v>0</v>
      </c>
      <c r="H20" s="36">
        <v>23953.54</v>
      </c>
      <c r="J20" s="1">
        <v>2023</v>
      </c>
      <c r="K20" s="1">
        <v>12</v>
      </c>
      <c r="L20" s="1" t="s">
        <v>239</v>
      </c>
      <c r="M20" s="14">
        <v>45244</v>
      </c>
    </row>
    <row r="21" spans="1:13">
      <c r="A21" s="12" t="s">
        <v>17</v>
      </c>
      <c r="B21" s="12" t="s">
        <v>17</v>
      </c>
      <c r="C21" s="1" t="s">
        <v>238</v>
      </c>
      <c r="D21" s="1" t="s">
        <v>32</v>
      </c>
      <c r="E21" s="1" t="s">
        <v>13</v>
      </c>
      <c r="F21" s="56">
        <v>55283.85</v>
      </c>
      <c r="G21" s="36">
        <v>0</v>
      </c>
      <c r="H21" s="36">
        <v>55283.85</v>
      </c>
      <c r="J21" s="1">
        <v>2023</v>
      </c>
      <c r="K21" s="1">
        <v>12</v>
      </c>
      <c r="L21" s="1" t="s">
        <v>240</v>
      </c>
      <c r="M21" s="14">
        <v>45272</v>
      </c>
    </row>
    <row r="22" spans="1:13">
      <c r="A22" s="12" t="s">
        <v>17</v>
      </c>
      <c r="B22" s="12" t="s">
        <v>17</v>
      </c>
      <c r="C22" s="1" t="s">
        <v>256</v>
      </c>
      <c r="D22" s="1" t="s">
        <v>32</v>
      </c>
      <c r="E22" s="1" t="s">
        <v>13</v>
      </c>
      <c r="F22" s="56">
        <v>20822.23</v>
      </c>
      <c r="G22" s="36">
        <v>0</v>
      </c>
      <c r="H22" s="56">
        <v>20822.23</v>
      </c>
      <c r="J22" s="1">
        <v>2024</v>
      </c>
      <c r="K22" s="1">
        <v>1</v>
      </c>
      <c r="L22" s="1" t="s">
        <v>257</v>
      </c>
      <c r="M22" s="14">
        <v>45303</v>
      </c>
    </row>
    <row r="23" spans="1:13">
      <c r="A23" s="12"/>
      <c r="B23" s="12"/>
      <c r="F23" s="56"/>
      <c r="M23" s="14"/>
    </row>
    <row r="24" spans="1:13" s="21" customFormat="1" ht="12.75" thickBot="1">
      <c r="A24" s="11"/>
      <c r="B24" s="11"/>
      <c r="E24" s="23" t="s">
        <v>30</v>
      </c>
      <c r="F24" s="24">
        <f>+SUM(F13:F23)</f>
        <v>203515.33000000002</v>
      </c>
      <c r="G24" s="24">
        <f t="shared" ref="G24" si="0">+SUM(G13:G23)</f>
        <v>0</v>
      </c>
      <c r="H24" s="24">
        <f>+SUM(H13:H23)</f>
        <v>203515.33000000002</v>
      </c>
      <c r="M24" s="22"/>
    </row>
    <row r="25" spans="1:13">
      <c r="A25" s="12"/>
      <c r="B25" s="12"/>
      <c r="F25" s="55"/>
      <c r="G25" s="55"/>
      <c r="H25" s="55"/>
      <c r="M25" s="14"/>
    </row>
    <row r="26" spans="1:13">
      <c r="A26" s="12" t="s">
        <v>18</v>
      </c>
      <c r="B26" s="12" t="s">
        <v>33</v>
      </c>
      <c r="C26" s="1" t="s">
        <v>181</v>
      </c>
      <c r="D26" s="1" t="s">
        <v>190</v>
      </c>
      <c r="E26" s="1" t="s">
        <v>177</v>
      </c>
      <c r="F26" s="41">
        <v>3187</v>
      </c>
      <c r="G26" s="41">
        <v>0</v>
      </c>
      <c r="H26" s="41">
        <v>3187</v>
      </c>
      <c r="I26" s="2"/>
      <c r="J26" s="1">
        <v>2023</v>
      </c>
      <c r="K26" s="1">
        <v>10</v>
      </c>
      <c r="L26" s="1" t="s">
        <v>194</v>
      </c>
      <c r="M26" s="14">
        <v>45204</v>
      </c>
    </row>
    <row r="27" spans="1:13">
      <c r="A27" s="12" t="s">
        <v>18</v>
      </c>
      <c r="B27" s="12" t="s">
        <v>33</v>
      </c>
      <c r="C27" s="1" t="s">
        <v>182</v>
      </c>
      <c r="D27" s="1" t="s">
        <v>42</v>
      </c>
      <c r="E27" s="1" t="s">
        <v>41</v>
      </c>
      <c r="F27" s="41">
        <v>229.5</v>
      </c>
      <c r="G27" s="41">
        <v>0</v>
      </c>
      <c r="H27" s="41">
        <v>229.5</v>
      </c>
      <c r="I27" s="2"/>
      <c r="J27" s="1">
        <v>2023</v>
      </c>
      <c r="K27" s="1">
        <v>11</v>
      </c>
      <c r="L27" s="1" t="s">
        <v>195</v>
      </c>
      <c r="M27" s="14">
        <v>45203</v>
      </c>
    </row>
    <row r="28" spans="1:13">
      <c r="A28" s="12" t="s">
        <v>18</v>
      </c>
      <c r="B28" s="12" t="s">
        <v>33</v>
      </c>
      <c r="C28" s="1" t="s">
        <v>183</v>
      </c>
      <c r="D28" s="1" t="s">
        <v>191</v>
      </c>
      <c r="E28" s="1" t="s">
        <v>178</v>
      </c>
      <c r="F28" s="41">
        <v>245</v>
      </c>
      <c r="G28" s="41">
        <v>0</v>
      </c>
      <c r="H28" s="41">
        <v>245</v>
      </c>
      <c r="I28" s="2"/>
      <c r="J28" s="1">
        <v>2023</v>
      </c>
      <c r="K28" s="1">
        <v>10</v>
      </c>
      <c r="L28" s="1" t="s">
        <v>196</v>
      </c>
      <c r="M28" s="14">
        <v>45208</v>
      </c>
    </row>
    <row r="29" spans="1:13">
      <c r="A29" s="12" t="s">
        <v>18</v>
      </c>
      <c r="B29" s="12" t="s">
        <v>33</v>
      </c>
      <c r="C29" s="1" t="s">
        <v>184</v>
      </c>
      <c r="D29" s="1" t="s">
        <v>192</v>
      </c>
      <c r="E29" s="1" t="s">
        <v>179</v>
      </c>
      <c r="F29" s="41">
        <v>12445</v>
      </c>
      <c r="G29" s="41">
        <v>0</v>
      </c>
      <c r="H29" s="41">
        <v>12445</v>
      </c>
      <c r="I29" s="2"/>
      <c r="J29" s="1">
        <v>2023</v>
      </c>
      <c r="K29" s="1">
        <v>10</v>
      </c>
      <c r="L29" s="1" t="s">
        <v>197</v>
      </c>
      <c r="M29" s="14">
        <v>45200</v>
      </c>
    </row>
    <row r="30" spans="1:13">
      <c r="A30" s="12" t="s">
        <v>18</v>
      </c>
      <c r="B30" s="12" t="s">
        <v>33</v>
      </c>
      <c r="C30" s="1" t="s">
        <v>185</v>
      </c>
      <c r="D30" s="1" t="s">
        <v>192</v>
      </c>
      <c r="E30" s="1" t="s">
        <v>179</v>
      </c>
      <c r="F30" s="41">
        <v>7205</v>
      </c>
      <c r="G30" s="41">
        <v>0</v>
      </c>
      <c r="H30" s="41">
        <v>7205</v>
      </c>
      <c r="I30" s="2"/>
      <c r="J30" s="1">
        <v>2023</v>
      </c>
      <c r="K30" s="1">
        <v>11</v>
      </c>
      <c r="L30" s="1" t="s">
        <v>198</v>
      </c>
      <c r="M30" s="14">
        <v>45231</v>
      </c>
    </row>
    <row r="31" spans="1:13">
      <c r="A31" s="12" t="s">
        <v>18</v>
      </c>
      <c r="B31" s="12" t="s">
        <v>33</v>
      </c>
      <c r="C31" s="1" t="s">
        <v>186</v>
      </c>
      <c r="D31" s="1" t="s">
        <v>193</v>
      </c>
      <c r="E31" s="1" t="s">
        <v>180</v>
      </c>
      <c r="F31" s="41">
        <v>900</v>
      </c>
      <c r="G31" s="41">
        <v>0</v>
      </c>
      <c r="H31" s="41">
        <v>900</v>
      </c>
      <c r="I31" s="2"/>
      <c r="J31" s="1">
        <v>2023</v>
      </c>
      <c r="K31" s="1">
        <v>8</v>
      </c>
      <c r="L31" s="1" t="s">
        <v>199</v>
      </c>
      <c r="M31" s="14">
        <v>45153</v>
      </c>
    </row>
    <row r="32" spans="1:13">
      <c r="A32" s="12" t="s">
        <v>18</v>
      </c>
      <c r="B32" s="12" t="s">
        <v>33</v>
      </c>
      <c r="C32" s="1" t="s">
        <v>187</v>
      </c>
      <c r="D32" s="1" t="s">
        <v>193</v>
      </c>
      <c r="E32" s="1" t="s">
        <v>180</v>
      </c>
      <c r="F32" s="41">
        <v>15420</v>
      </c>
      <c r="G32" s="41">
        <v>0</v>
      </c>
      <c r="H32" s="41">
        <v>15420</v>
      </c>
      <c r="I32" s="2"/>
      <c r="J32" s="1">
        <v>2023</v>
      </c>
      <c r="K32" s="1">
        <v>9</v>
      </c>
      <c r="L32" s="1" t="s">
        <v>200</v>
      </c>
      <c r="M32" s="14">
        <v>45173</v>
      </c>
    </row>
    <row r="33" spans="1:13">
      <c r="A33" s="12" t="s">
        <v>18</v>
      </c>
      <c r="B33" s="12" t="s">
        <v>33</v>
      </c>
      <c r="C33" s="1" t="s">
        <v>188</v>
      </c>
      <c r="D33" s="1" t="s">
        <v>193</v>
      </c>
      <c r="E33" s="1" t="s">
        <v>180</v>
      </c>
      <c r="F33" s="41">
        <v>11160</v>
      </c>
      <c r="G33" s="41">
        <v>0</v>
      </c>
      <c r="H33" s="41">
        <v>11160</v>
      </c>
      <c r="I33" s="2"/>
      <c r="J33" s="1">
        <v>2023</v>
      </c>
      <c r="K33" s="1">
        <v>10</v>
      </c>
      <c r="L33" s="1" t="s">
        <v>201</v>
      </c>
      <c r="M33" s="14">
        <v>45201</v>
      </c>
    </row>
    <row r="34" spans="1:13">
      <c r="A34" s="12" t="s">
        <v>18</v>
      </c>
      <c r="B34" s="12" t="s">
        <v>33</v>
      </c>
      <c r="C34" s="1" t="s">
        <v>189</v>
      </c>
      <c r="D34" s="1" t="s">
        <v>193</v>
      </c>
      <c r="E34" s="1" t="s">
        <v>180</v>
      </c>
      <c r="F34" s="41">
        <v>13920</v>
      </c>
      <c r="G34" s="41">
        <v>0</v>
      </c>
      <c r="H34" s="41">
        <v>13920</v>
      </c>
      <c r="I34" s="2"/>
      <c r="J34" s="1">
        <v>2023</v>
      </c>
      <c r="K34" s="1">
        <v>11</v>
      </c>
      <c r="L34" s="1" t="s">
        <v>202</v>
      </c>
      <c r="M34" s="14">
        <v>45238</v>
      </c>
    </row>
    <row r="35" spans="1:13">
      <c r="A35" s="12" t="s">
        <v>18</v>
      </c>
      <c r="B35" s="12" t="s">
        <v>33</v>
      </c>
      <c r="C35" s="1" t="s">
        <v>227</v>
      </c>
      <c r="D35" s="1" t="s">
        <v>226</v>
      </c>
      <c r="E35" s="1" t="s">
        <v>225</v>
      </c>
      <c r="F35" s="41">
        <v>27137.5</v>
      </c>
      <c r="G35" s="41">
        <v>0</v>
      </c>
      <c r="H35" s="41">
        <v>27137.5</v>
      </c>
      <c r="I35" s="2"/>
      <c r="J35" s="1">
        <v>2023</v>
      </c>
      <c r="K35" s="1">
        <v>12</v>
      </c>
      <c r="L35" s="1" t="s">
        <v>232</v>
      </c>
      <c r="M35" s="14">
        <v>45272</v>
      </c>
    </row>
    <row r="36" spans="1:13">
      <c r="A36" s="12" t="s">
        <v>18</v>
      </c>
      <c r="B36" s="12" t="s">
        <v>33</v>
      </c>
      <c r="C36" s="1" t="s">
        <v>228</v>
      </c>
      <c r="D36" s="1" t="s">
        <v>191</v>
      </c>
      <c r="E36" s="1" t="s">
        <v>178</v>
      </c>
      <c r="F36" s="41">
        <v>2450</v>
      </c>
      <c r="G36" s="41">
        <v>0</v>
      </c>
      <c r="H36" s="41">
        <v>2450</v>
      </c>
      <c r="I36" s="2"/>
      <c r="J36" s="1">
        <v>2023</v>
      </c>
      <c r="K36" s="1">
        <v>12</v>
      </c>
      <c r="L36" s="1" t="s">
        <v>233</v>
      </c>
      <c r="M36" s="14">
        <v>45266</v>
      </c>
    </row>
    <row r="37" spans="1:13">
      <c r="A37" s="12" t="s">
        <v>18</v>
      </c>
      <c r="B37" s="12" t="s">
        <v>33</v>
      </c>
      <c r="C37" s="1" t="s">
        <v>229</v>
      </c>
      <c r="D37" s="1" t="s">
        <v>190</v>
      </c>
      <c r="E37" s="1" t="s">
        <v>177</v>
      </c>
      <c r="F37" s="41">
        <v>9562</v>
      </c>
      <c r="G37" s="41">
        <v>0</v>
      </c>
      <c r="H37" s="41">
        <v>9562</v>
      </c>
      <c r="I37" s="2"/>
      <c r="J37" s="1">
        <v>2023</v>
      </c>
      <c r="K37" s="1">
        <v>12</v>
      </c>
      <c r="L37" s="1" t="s">
        <v>234</v>
      </c>
      <c r="M37" s="14">
        <v>45265</v>
      </c>
    </row>
    <row r="38" spans="1:13">
      <c r="A38" s="12" t="s">
        <v>18</v>
      </c>
      <c r="B38" s="12" t="s">
        <v>33</v>
      </c>
      <c r="C38" s="1" t="s">
        <v>230</v>
      </c>
      <c r="D38" s="1" t="s">
        <v>193</v>
      </c>
      <c r="E38" s="1" t="s">
        <v>180</v>
      </c>
      <c r="F38" s="41">
        <v>19200</v>
      </c>
      <c r="G38" s="41">
        <v>0</v>
      </c>
      <c r="H38" s="41">
        <v>19200</v>
      </c>
      <c r="I38" s="2"/>
      <c r="J38" s="1">
        <v>2023</v>
      </c>
      <c r="K38" s="1">
        <v>12</v>
      </c>
      <c r="L38" s="1" t="s">
        <v>235</v>
      </c>
      <c r="M38" s="14">
        <v>45272</v>
      </c>
    </row>
    <row r="39" spans="1:13">
      <c r="A39" s="12" t="s">
        <v>18</v>
      </c>
      <c r="B39" s="12" t="s">
        <v>33</v>
      </c>
      <c r="C39" s="1" t="s">
        <v>231</v>
      </c>
      <c r="D39" s="1" t="s">
        <v>192</v>
      </c>
      <c r="E39" s="1" t="s">
        <v>179</v>
      </c>
      <c r="F39" s="41">
        <v>1310</v>
      </c>
      <c r="G39" s="41">
        <v>0</v>
      </c>
      <c r="H39" s="41">
        <v>1310</v>
      </c>
      <c r="I39" s="2"/>
      <c r="J39" s="1">
        <v>2023</v>
      </c>
      <c r="K39" s="1">
        <v>12</v>
      </c>
      <c r="L39" s="1" t="s">
        <v>236</v>
      </c>
      <c r="M39" s="14">
        <v>45261</v>
      </c>
    </row>
    <row r="40" spans="1:13">
      <c r="A40" s="12" t="s">
        <v>18</v>
      </c>
      <c r="B40" s="12" t="s">
        <v>33</v>
      </c>
      <c r="C40" s="1" t="s">
        <v>246</v>
      </c>
      <c r="D40" s="1" t="s">
        <v>190</v>
      </c>
      <c r="E40" s="1" t="s">
        <v>177</v>
      </c>
      <c r="F40" s="41">
        <v>25125</v>
      </c>
      <c r="G40" s="41">
        <v>0</v>
      </c>
      <c r="H40" s="41">
        <v>25125</v>
      </c>
      <c r="I40" s="2"/>
      <c r="J40" s="1">
        <v>2024</v>
      </c>
      <c r="K40" s="1">
        <v>1</v>
      </c>
      <c r="L40" s="1" t="s">
        <v>252</v>
      </c>
      <c r="M40" s="14">
        <v>45290</v>
      </c>
    </row>
    <row r="41" spans="1:13">
      <c r="A41" s="12" t="s">
        <v>18</v>
      </c>
      <c r="B41" s="12" t="s">
        <v>33</v>
      </c>
      <c r="C41" s="1" t="s">
        <v>247</v>
      </c>
      <c r="D41" s="1" t="s">
        <v>250</v>
      </c>
      <c r="E41" s="1" t="s">
        <v>251</v>
      </c>
      <c r="F41" s="41">
        <v>112287.5</v>
      </c>
      <c r="G41" s="41">
        <v>0</v>
      </c>
      <c r="H41" s="41">
        <v>112287.5</v>
      </c>
      <c r="I41" s="2"/>
      <c r="J41" s="1">
        <v>2024</v>
      </c>
      <c r="K41" s="1">
        <v>1</v>
      </c>
      <c r="L41" s="1" t="s">
        <v>253</v>
      </c>
      <c r="M41" s="14">
        <v>45293</v>
      </c>
    </row>
    <row r="42" spans="1:13">
      <c r="A42" s="12" t="s">
        <v>18</v>
      </c>
      <c r="B42" s="12" t="s">
        <v>33</v>
      </c>
      <c r="C42" s="1" t="s">
        <v>248</v>
      </c>
      <c r="D42" s="1" t="s">
        <v>193</v>
      </c>
      <c r="E42" s="1" t="s">
        <v>180</v>
      </c>
      <c r="F42" s="41">
        <v>7920</v>
      </c>
      <c r="G42" s="41">
        <v>0</v>
      </c>
      <c r="H42" s="41">
        <v>7920</v>
      </c>
      <c r="I42" s="2"/>
      <c r="J42" s="1">
        <v>2024</v>
      </c>
      <c r="K42" s="1">
        <v>1</v>
      </c>
      <c r="L42" s="1" t="s">
        <v>254</v>
      </c>
      <c r="M42" s="14">
        <v>45295</v>
      </c>
    </row>
    <row r="43" spans="1:13">
      <c r="A43" s="12" t="s">
        <v>18</v>
      </c>
      <c r="B43" s="12" t="s">
        <v>33</v>
      </c>
      <c r="C43" s="1" t="s">
        <v>249</v>
      </c>
      <c r="D43" s="1" t="s">
        <v>42</v>
      </c>
      <c r="E43" s="1" t="s">
        <v>41</v>
      </c>
      <c r="F43" s="41">
        <v>178.5</v>
      </c>
      <c r="G43" s="41">
        <v>0</v>
      </c>
      <c r="H43" s="41">
        <v>178.5</v>
      </c>
      <c r="I43" s="2"/>
      <c r="J43" s="1">
        <v>2024</v>
      </c>
      <c r="K43" s="1">
        <v>1</v>
      </c>
      <c r="L43" s="1" t="s">
        <v>255</v>
      </c>
      <c r="M43" s="14">
        <v>45266</v>
      </c>
    </row>
    <row r="44" spans="1:13">
      <c r="A44" s="14"/>
      <c r="B44" s="14"/>
      <c r="F44" s="41"/>
      <c r="G44" s="41"/>
      <c r="H44" s="41"/>
      <c r="I44" s="2"/>
      <c r="M44" s="14"/>
    </row>
    <row r="45" spans="1:13" s="21" customFormat="1" ht="12.75" thickBot="1">
      <c r="A45" s="22"/>
      <c r="B45" s="22"/>
      <c r="E45" s="23" t="s">
        <v>25</v>
      </c>
      <c r="F45" s="24">
        <f>SUM(F26:F44)</f>
        <v>269882</v>
      </c>
      <c r="G45" s="24">
        <f>SUM(G26:G44)</f>
        <v>0</v>
      </c>
      <c r="H45" s="24">
        <f>SUM(H26:H44)</f>
        <v>269882</v>
      </c>
      <c r="M45" s="22"/>
    </row>
    <row r="46" spans="1:13">
      <c r="A46" s="14"/>
      <c r="B46" s="14"/>
      <c r="F46" s="41"/>
      <c r="G46" s="41"/>
      <c r="H46" s="41"/>
      <c r="I46" s="2"/>
      <c r="M46" s="14"/>
    </row>
    <row r="47" spans="1:13">
      <c r="A47" s="14"/>
      <c r="B47" s="14"/>
      <c r="F47" s="41"/>
      <c r="G47" s="41"/>
      <c r="H47" s="41"/>
      <c r="I47" s="2"/>
      <c r="M47" s="14"/>
    </row>
    <row r="48" spans="1:13">
      <c r="A48" s="14"/>
      <c r="B48" s="14"/>
      <c r="F48" s="41"/>
      <c r="G48" s="41"/>
      <c r="H48" s="41"/>
      <c r="I48" s="2"/>
      <c r="M48" s="14"/>
    </row>
    <row r="49" spans="1:13">
      <c r="A49" s="12" t="s">
        <v>16</v>
      </c>
      <c r="B49" s="12"/>
      <c r="C49" s="2"/>
      <c r="D49" s="7"/>
      <c r="E49" s="2" t="s">
        <v>76</v>
      </c>
      <c r="F49" s="41"/>
      <c r="G49" s="41"/>
      <c r="H49" s="41"/>
      <c r="I49" s="2"/>
      <c r="M49" s="14"/>
    </row>
    <row r="50" spans="1:13">
      <c r="A50" s="14"/>
      <c r="B50" s="14"/>
      <c r="M50" s="14"/>
    </row>
    <row r="51" spans="1:13" s="21" customFormat="1" ht="12.75" thickBot="1">
      <c r="E51" s="23" t="s">
        <v>26</v>
      </c>
      <c r="F51" s="24">
        <f>SUM(F47:F50)</f>
        <v>0</v>
      </c>
      <c r="G51" s="24">
        <f t="shared" ref="G51:H51" si="1">SUM(G47:G50)</f>
        <v>0</v>
      </c>
      <c r="H51" s="24">
        <f t="shared" si="1"/>
        <v>0</v>
      </c>
    </row>
    <row r="52" spans="1:13">
      <c r="F52" s="37"/>
      <c r="G52" s="37"/>
      <c r="H52" s="37"/>
    </row>
    <row r="53" spans="1:13" ht="12.75" thickBot="1">
      <c r="A53" s="12"/>
      <c r="E53" s="4" t="s">
        <v>31</v>
      </c>
      <c r="F53" s="49">
        <f>SUM(F11,F24,F45,F51)</f>
        <v>473397.33</v>
      </c>
      <c r="G53" s="49">
        <f>SUM(G11,G24,G45,G51)</f>
        <v>0</v>
      </c>
      <c r="H53" s="49">
        <f>SUM(H11,H24,H45,H51)</f>
        <v>473397.33</v>
      </c>
      <c r="I53" s="2"/>
    </row>
    <row r="54" spans="1:13" ht="12.75" thickTop="1"/>
    <row r="60" spans="1:13">
      <c r="I60" s="57"/>
    </row>
  </sheetData>
  <mergeCells count="4">
    <mergeCell ref="A1:M1"/>
    <mergeCell ref="A2:M2"/>
    <mergeCell ref="A4:M4"/>
    <mergeCell ref="A3:M3"/>
  </mergeCells>
  <pageMargins left="0.7" right="0.7" top="1.18" bottom="0.75" header="0.3" footer="0.3"/>
  <pageSetup scale="61" fitToHeight="0" orientation="landscape" r:id="rId1"/>
  <headerFooter scaleWithDoc="0">
    <oddHeader>&amp;RDocket No. 56165
Exhibit CMB-2
&amp;A
Page &amp;P of &amp;N</oddHeader>
  </headerFooter>
  <colBreaks count="1" manualBreakCount="1">
    <brk id="13" max="18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mM1ZjhlYjEyLTViMjctNDM5ZC1hYWE2LTM0MDJhZjYyNmZhMyIgdmFsdWU9IiIgeG1sbnM9Imh0dHA6Ly93d3cuYm9sZG9uamFtZXMuY29tLzIwMDgvMDEvc2llL2ludGVybmFsL2xhYmVsIiAvPjwvc2lzbD48VXNlck5hbWU+Q09SUFxzMjgwNTY5PC9Vc2VyTmFtZT48RGF0ZVRpbWU+Ny8yOC8yMDIyIDc6NTA6NDQgUE08L0RhdGVUaW1lPjxMYWJlbFN0cmluZz5BRVAgUHVibGljPC9MYWJlbFN0cmluZz48L2l0ZW0+PC9sYWJlbEhpc3Rvcnk+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erating_x0020_Company xmlns="a1040523-5304-4b09-b6d4-64a124c994e2">SWEPCO - Texas</Operating_x0020_Company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</documentManagement>
</p:properties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c5f8eb12-5b27-439d-aaa6-3402af626fa3" value=""/>
</sisl>
</file>

<file path=customXml/itemProps1.xml><?xml version="1.0" encoding="utf-8"?>
<ds:datastoreItem xmlns:ds="http://schemas.openxmlformats.org/officeDocument/2006/customXml" ds:itemID="{05390449-766F-4547-A133-610E6596F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D16F10-0F91-47D6-A797-4AEB34E5D2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B25E1C-E6D5-44CC-917E-67076DDBD5FA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0877D7B8-843A-4DC7-B1D9-B8D50D46EE34}">
  <ds:schemaRefs>
    <ds:schemaRef ds:uri="http://schemas.microsoft.com/office/2006/metadata/properties"/>
    <ds:schemaRef ds:uri="http://schemas.microsoft.com/office/infopath/2007/PartnerControls"/>
    <ds:schemaRef ds:uri="e0498165-3a74-4894-9e44-68a81c3ff65a"/>
    <ds:schemaRef ds:uri="a1040523-5304-4b09-b6d4-64a124c994e2"/>
    <ds:schemaRef ds:uri="http://schemas.microsoft.com/sharepoint/v3"/>
    <ds:schemaRef ds:uri="5b640fb8-5a34-41c1-9307-1b790ff29a8b"/>
    <ds:schemaRef ds:uri="51831b8d-857f-44dd-949b-652450d1a5df"/>
  </ds:schemaRefs>
</ds:datastoreItem>
</file>

<file path=customXml/itemProps5.xml><?xml version="1.0" encoding="utf-8"?>
<ds:datastoreItem xmlns:ds="http://schemas.openxmlformats.org/officeDocument/2006/customXml" ds:itemID="{953A3D51-BCA6-40F9-B6AE-E2355AAA8CA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13</vt:i4>
      </vt:variant>
    </vt:vector>
  </HeadingPairs>
  <TitlesOfParts>
    <vt:vector size="20" baseType="lpstr">
      <vt:lpstr>Attachment A - Summary</vt:lpstr>
      <vt:lpstr>Attachment B Docket 51984</vt:lpstr>
      <vt:lpstr>Attachment B Docket 53451</vt:lpstr>
      <vt:lpstr>Attachment B Docket 54824</vt:lpstr>
      <vt:lpstr>Attachment B Docket 55820</vt:lpstr>
      <vt:lpstr>Attachment B Docket 53267</vt:lpstr>
      <vt:lpstr>Attachment B Docket 56165</vt:lpstr>
      <vt:lpstr>'Attachment B Docket 51984'!Print_Area</vt:lpstr>
      <vt:lpstr>'Attachment B Docket 53267'!Print_Area</vt:lpstr>
      <vt:lpstr>'Attachment B Docket 53451'!Print_Area</vt:lpstr>
      <vt:lpstr>'Attachment B Docket 54824'!Print_Area</vt:lpstr>
      <vt:lpstr>'Attachment B Docket 55820'!Print_Area</vt:lpstr>
      <vt:lpstr>'Attachment B Docket 56165'!Print_Area</vt:lpstr>
      <vt:lpstr>'Attachment A - Summary'!Print_Titles</vt:lpstr>
      <vt:lpstr>'Attachment B Docket 51984'!Print_Titles</vt:lpstr>
      <vt:lpstr>'Attachment B Docket 53267'!Print_Titles</vt:lpstr>
      <vt:lpstr>'Attachment B Docket 53451'!Print_Titles</vt:lpstr>
      <vt:lpstr>'Attachment B Docket 54824'!Print_Titles</vt:lpstr>
      <vt:lpstr>'Attachment B Docket 55820'!Print_Titles</vt:lpstr>
      <vt:lpstr>'Attachment B Docket 56165'!Print_Titles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s273817</dc:creator>
  <cp:keywords/>
  <cp:lastModifiedBy>s254353</cp:lastModifiedBy>
  <cp:lastPrinted>2024-02-27T20:37:41Z</cp:lastPrinted>
  <dcterms:created xsi:type="dcterms:W3CDTF">2018-07-17T15:06:37Z</dcterms:created>
  <dcterms:modified xsi:type="dcterms:W3CDTF">2024-02-27T20:38:21Z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3661cf5a-cc1f-480d-afcc-6172e8f2918e</vt:lpwstr>
  </property>
  <property fmtid="{D5CDD505-2E9C-101B-9397-08002B2CF9AE}" pid="3" name="bjSaver">
    <vt:lpwstr>EM1ASCoC2G6Qh4pOE6VoTQfS0PmNmBqS</vt:lpwstr>
  </property>
  <property fmtid="{D5CDD505-2E9C-101B-9397-08002B2CF9AE}" pid="4" name="bjDocumentSecurityLabel">
    <vt:lpwstr>AEP Public</vt:lpwstr>
  </property>
  <property fmtid="{D5CDD505-2E9C-101B-9397-08002B2CF9AE}" pid="5" name="ContentTypeId">
    <vt:lpwstr>0x01010001136CE24ED5F449BD16740FFC7FAF6F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7" name="bjDocumentLabelXML-0">
    <vt:lpwstr>ames.com/2008/01/sie/internal/label"&gt;&lt;element uid="c5f8eb12-5b27-439d-aaa6-3402af626fa3" value="" /&gt;&lt;/sisl&gt;</vt:lpwstr>
  </property>
  <property fmtid="{D5CDD505-2E9C-101B-9397-08002B2CF9AE}" pid="8" name="MSIP_Label_5c34e43d-0b77-4b2c-b224-1b46981ccfdb_SiteId">
    <vt:lpwstr>15f3c881-6b03-4ff6-8559-77bf5177818f</vt:lpwstr>
  </property>
  <property fmtid="{D5CDD505-2E9C-101B-9397-08002B2CF9AE}" pid="9" name="MSIP_Label_5c34e43d-0b77-4b2c-b224-1b46981ccfdb_Name">
    <vt:lpwstr>AEP Public</vt:lpwstr>
  </property>
  <property fmtid="{D5CDD505-2E9C-101B-9397-08002B2CF9AE}" pid="10" name="MSIP_Label_5c34e43d-0b77-4b2c-b224-1b46981ccfdb_Enabled">
    <vt:lpwstr>true</vt:lpwstr>
  </property>
  <property fmtid="{D5CDD505-2E9C-101B-9397-08002B2CF9AE}" pid="11" name="bjClsUserRVM">
    <vt:lpwstr>[]</vt:lpwstr>
  </property>
  <property fmtid="{D5CDD505-2E9C-101B-9397-08002B2CF9AE}" pid="12" name="bjLabelHistoryID">
    <vt:lpwstr>{21B25E1C-E6D5-44CC-917E-67076DDBD5FA}</vt:lpwstr>
  </property>
  <property fmtid="{D5CDD505-2E9C-101B-9397-08002B2CF9AE}" pid="13" name="MediaServiceImageTags">
    <vt:lpwstr/>
  </property>
</Properties>
</file>