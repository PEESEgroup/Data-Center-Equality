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254353\AEP\Regulatory Services - 2024 Base Rate Case\Schedule Drafts\Electronic\"/>
    </mc:Choice>
  </mc:AlternateContent>
  <xr:revisionPtr revIDLastSave="0" documentId="8_{DA8C277F-3F56-44E9-B871-599F66A2A1AB}" xr6:coauthVersionLast="47" xr6:coauthVersionMax="47" xr10:uidLastSave="{00000000-0000-0000-0000-000000000000}"/>
  <bookViews>
    <workbookView xWindow="29085" yWindow="240" windowWidth="28320" windowHeight="15240" xr2:uid="{00000000-000D-0000-FFFF-FFFF00000000}"/>
  </bookViews>
  <sheets>
    <sheet name="IV-J-1" sheetId="1" r:id="rId1"/>
  </sheets>
  <externalReferences>
    <externalReference r:id="rId2"/>
    <externalReference r:id="rId3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L35" i="1"/>
  <c r="L34" i="1"/>
  <c r="L33" i="1"/>
  <c r="L32" i="1"/>
  <c r="L31" i="1"/>
  <c r="L30" i="1"/>
  <c r="L36" i="1" l="1"/>
  <c r="K19" i="1" l="1"/>
  <c r="J19" i="1"/>
  <c r="I19" i="1"/>
  <c r="H19" i="1"/>
  <c r="G19" i="1"/>
  <c r="F19" i="1"/>
  <c r="K18" i="1"/>
  <c r="J18" i="1"/>
  <c r="I18" i="1"/>
  <c r="H18" i="1"/>
  <c r="G18" i="1"/>
  <c r="F18" i="1"/>
  <c r="K17" i="1"/>
  <c r="J17" i="1"/>
  <c r="I17" i="1"/>
  <c r="H17" i="1"/>
  <c r="G17" i="1"/>
  <c r="F17" i="1"/>
  <c r="M19" i="1"/>
  <c r="M18" i="1"/>
  <c r="M17" i="1"/>
  <c r="M21" i="1" l="1"/>
  <c r="L19" i="1"/>
  <c r="E18" i="1"/>
  <c r="E17" i="1"/>
  <c r="L18" i="1"/>
  <c r="L17" i="1"/>
  <c r="E19" i="1"/>
  <c r="E21" i="1" l="1"/>
  <c r="K21" i="1"/>
  <c r="G21" i="1"/>
  <c r="H21" i="1"/>
  <c r="I21" i="1"/>
  <c r="J21" i="1"/>
  <c r="F21" i="1"/>
  <c r="L21" i="1" l="1"/>
  <c r="K26" i="1" l="1"/>
  <c r="I26" i="1" l="1"/>
  <c r="G26" i="1"/>
  <c r="J26" i="1"/>
  <c r="F26" i="1"/>
  <c r="L26" i="1" s="1"/>
  <c r="H26" i="1"/>
  <c r="E26" i="1" l="1"/>
</calcChain>
</file>

<file path=xl/sharedStrings.xml><?xml version="1.0" encoding="utf-8"?>
<sst xmlns="http://schemas.openxmlformats.org/spreadsheetml/2006/main" count="43" uniqueCount="41">
  <si>
    <t>PUBLIC UTILITY COMMISSION OF TEXAS</t>
  </si>
  <si>
    <t>AEP TEXAS INC</t>
  </si>
  <si>
    <t>Test Year</t>
  </si>
  <si>
    <t>Description</t>
  </si>
  <si>
    <t>Revenue</t>
  </si>
  <si>
    <t>Residential</t>
  </si>
  <si>
    <t>Secondary</t>
  </si>
  <si>
    <t>Primary</t>
  </si>
  <si>
    <t>Transmission</t>
  </si>
  <si>
    <t>Lighting</t>
  </si>
  <si>
    <t>Total</t>
  </si>
  <si>
    <t>Line</t>
  </si>
  <si>
    <t>Requirement</t>
  </si>
  <si>
    <t>=&lt; 10 kW</t>
  </si>
  <si>
    <t>&gt; 10 kW</t>
  </si>
  <si>
    <t>TX Retail</t>
  </si>
  <si>
    <t>No.</t>
  </si>
  <si>
    <t>IV-J-1 REVENUE SUMMARY</t>
  </si>
  <si>
    <t>Transmission (TRAN)</t>
  </si>
  <si>
    <t>Metering (MET)</t>
  </si>
  <si>
    <t>Customer - Billing (TBIL) - T&amp;D Customer Service (TDCS)</t>
  </si>
  <si>
    <t>DIST + TRAN + MET + TBILL + TDCS</t>
  </si>
  <si>
    <t>Distribution Cost Recovery Factor (DCRF)</t>
  </si>
  <si>
    <t>Revenues Relating to This Rate Case</t>
  </si>
  <si>
    <t>TEST YEAR ENDING 9/30/2023</t>
  </si>
  <si>
    <t xml:space="preserve">Energy Efficiency Cost Recovery Factors </t>
  </si>
  <si>
    <t>Regulatory Asset Recovery</t>
  </si>
  <si>
    <t>Transition Charge 3</t>
  </si>
  <si>
    <t>System Restoration Charge</t>
  </si>
  <si>
    <t>Nuclear Decommissioning Collections</t>
  </si>
  <si>
    <t>Wholesale</t>
  </si>
  <si>
    <t>Distribution</t>
  </si>
  <si>
    <t>Service</t>
  </si>
  <si>
    <t>BESS</t>
  </si>
  <si>
    <t>Docket - 56165</t>
  </si>
  <si>
    <t>Transmission Cost Recovery Factor (TCRF)</t>
  </si>
  <si>
    <t>Income Tax Refund Rider - Annual Proposed</t>
  </si>
  <si>
    <t>Test Year Revenue Approved in Other Dockets</t>
  </si>
  <si>
    <t xml:space="preserve">Mobile Temporary Emergency Electric Energy Facilities Annual </t>
  </si>
  <si>
    <t>Distribution (DIST)*</t>
  </si>
  <si>
    <t>*Distribution (DIST) includes February 2024 DCRF revenue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</si>
</sst>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00000"/>
    <numFmt numFmtId="167" formatCode="&quot;$&quot;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u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2" applyFont="1" applyFill="1" applyBorder="1"/>
    <xf numFmtId="0" fontId="3" fillId="0" borderId="0" xfId="2" applyFont="1" applyFill="1" applyBorder="1" applyAlignment="1">
      <alignment horizontal="center"/>
    </xf>
    <xf numFmtId="0" fontId="4" fillId="0" borderId="0" xfId="0" applyFont="1"/>
    <xf numFmtId="0" fontId="5" fillId="0" borderId="1" xfId="2" applyFont="1" applyFill="1" applyBorder="1" applyAlignment="1">
      <alignment horizontal="left"/>
    </xf>
    <xf numFmtId="0" fontId="3" fillId="0" borderId="0" xfId="2" quotePrefix="1" applyFont="1" applyFill="1" applyBorder="1"/>
    <xf numFmtId="0" fontId="5" fillId="0" borderId="2" xfId="2" applyFont="1" applyFill="1" applyBorder="1"/>
    <xf numFmtId="0" fontId="5" fillId="0" borderId="2" xfId="2" applyFont="1" applyFill="1" applyBorder="1" applyAlignment="1">
      <alignment horizontal="left"/>
    </xf>
    <xf numFmtId="0" fontId="5" fillId="0" borderId="3" xfId="2" applyFont="1" applyFill="1" applyBorder="1" applyAlignment="1">
      <alignment horizontal="left"/>
    </xf>
    <xf numFmtId="0" fontId="3" fillId="0" borderId="0" xfId="2" quotePrefix="1" applyFont="1" applyFill="1" applyBorder="1" applyAlignment="1">
      <alignment horizontal="center"/>
    </xf>
    <xf numFmtId="0" fontId="3" fillId="0" borderId="1" xfId="2" applyFont="1" applyFill="1" applyBorder="1"/>
    <xf numFmtId="0" fontId="3" fillId="0" borderId="1" xfId="2" applyFont="1" applyFill="1" applyBorder="1" applyAlignment="1">
      <alignment horizontal="center"/>
    </xf>
    <xf numFmtId="0" fontId="3" fillId="0" borderId="2" xfId="2" applyFont="1" applyFill="1" applyBorder="1" applyAlignment="1">
      <alignment horizontal="center"/>
    </xf>
    <xf numFmtId="0" fontId="3" fillId="0" borderId="2" xfId="2" quotePrefix="1" applyFont="1" applyFill="1" applyBorder="1" applyAlignment="1">
      <alignment horizontal="center"/>
    </xf>
    <xf numFmtId="0" fontId="3" fillId="0" borderId="3" xfId="2" applyFont="1" applyFill="1" applyBorder="1" applyAlignment="1">
      <alignment horizontal="center"/>
    </xf>
    <xf numFmtId="0" fontId="3" fillId="0" borderId="3" xfId="2" quotePrefix="1" applyFont="1" applyFill="1" applyBorder="1" applyAlignment="1">
      <alignment horizontal="center"/>
    </xf>
    <xf numFmtId="0" fontId="3" fillId="0" borderId="4" xfId="2" applyFont="1" applyFill="1" applyBorder="1"/>
    <xf numFmtId="0" fontId="3" fillId="0" borderId="4" xfId="2" quotePrefix="1" applyFont="1" applyFill="1" applyBorder="1" applyAlignment="1">
      <alignment horizontal="center"/>
    </xf>
    <xf numFmtId="0" fontId="3" fillId="0" borderId="4" xfId="2" applyFont="1" applyFill="1" applyBorder="1" applyAlignment="1">
      <alignment horizontal="center"/>
    </xf>
    <xf numFmtId="164" fontId="3" fillId="0" borderId="0" xfId="3" applyNumberFormat="1" applyFont="1" applyFill="1" applyBorder="1"/>
    <xf numFmtId="165" fontId="3" fillId="0" borderId="0" xfId="1" applyNumberFormat="1" applyFont="1" applyFill="1" applyBorder="1"/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horizontal="center"/>
    </xf>
    <xf numFmtId="164" fontId="3" fillId="0" borderId="0" xfId="1" applyNumberFormat="1" applyFont="1" applyFill="1" applyBorder="1" applyAlignment="1">
      <alignment horizontal="right"/>
    </xf>
    <xf numFmtId="0" fontId="3" fillId="0" borderId="0" xfId="2" applyFont="1" applyFill="1" applyBorder="1" applyAlignment="1">
      <alignment horizontal="left"/>
    </xf>
    <xf numFmtId="166" fontId="3" fillId="0" borderId="0" xfId="2" applyNumberFormat="1" applyFont="1" applyFill="1" applyBorder="1" applyAlignment="1">
      <alignment horizontal="center"/>
    </xf>
    <xf numFmtId="37" fontId="3" fillId="0" borderId="0" xfId="2" applyNumberFormat="1" applyFont="1" applyFill="1" applyBorder="1" applyAlignment="1">
      <alignment horizontal="right"/>
    </xf>
    <xf numFmtId="164" fontId="3" fillId="0" borderId="0" xfId="3" applyNumberFormat="1" applyFont="1" applyFill="1" applyBorder="1" applyAlignment="1">
      <alignment horizontal="center"/>
    </xf>
    <xf numFmtId="0" fontId="5" fillId="0" borderId="5" xfId="2" applyFont="1" applyFill="1" applyBorder="1" applyAlignment="1">
      <alignment horizontal="center"/>
    </xf>
    <xf numFmtId="0" fontId="6" fillId="0" borderId="0" xfId="0" applyFont="1"/>
    <xf numFmtId="43" fontId="4" fillId="0" borderId="0" xfId="0" applyNumberFormat="1" applyFont="1"/>
    <xf numFmtId="164" fontId="4" fillId="0" borderId="0" xfId="1" applyNumberFormat="1" applyFont="1"/>
    <xf numFmtId="165" fontId="5" fillId="0" borderId="6" xfId="3" applyNumberFormat="1" applyFont="1" applyFill="1" applyBorder="1"/>
    <xf numFmtId="164" fontId="5" fillId="0" borderId="7" xfId="3" applyNumberFormat="1" applyFont="1" applyFill="1" applyBorder="1"/>
    <xf numFmtId="37" fontId="4" fillId="0" borderId="0" xfId="0" applyNumberFormat="1" applyFont="1"/>
    <xf numFmtId="0" fontId="4" fillId="0" borderId="0" xfId="0" applyFont="1" applyAlignment="1">
      <alignment horizontal="center"/>
    </xf>
    <xf numFmtId="0" fontId="7" fillId="0" borderId="0" xfId="2" applyFont="1" applyFill="1" applyBorder="1" applyAlignment="1">
      <alignment horizontal="left"/>
    </xf>
    <xf numFmtId="167" fontId="4" fillId="0" borderId="0" xfId="0" applyNumberFormat="1" applyFont="1"/>
    <xf numFmtId="43" fontId="4" fillId="0" borderId="0" xfId="1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38" fontId="4" fillId="0" borderId="0" xfId="0" applyNumberFormat="1" applyFont="1"/>
    <xf numFmtId="8" fontId="3" fillId="0" borderId="0" xfId="4" applyNumberFormat="1" applyFont="1" applyFill="1" applyBorder="1"/>
    <xf numFmtId="10" fontId="4" fillId="0" borderId="0" xfId="0" applyNumberFormat="1" applyFont="1"/>
    <xf numFmtId="164" fontId="4" fillId="0" borderId="0" xfId="0" applyNumberFormat="1" applyFont="1"/>
  </cellXfs>
  <cellStyles count="5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oktuls2fs002\REGPRICING\AEP%20Texas\Rate%20Cases\AEP%20Texas%202024\Cost%20of%20Service\Sch%20II-I-1%20AEP%20Texas%20COS%20STUDY%20Final.xlsx" TargetMode="External"/><Relationship Id="rId1" Type="http://schemas.openxmlformats.org/officeDocument/2006/relationships/externalLinkPath" Target="file:///Y:\AEP%20Texas\Rate%20Cases\AEP%20Texas%202024\Cost%20of%20Service\Sch%20II-I-1%20AEP%20Texas%20COS%20STUDY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AEP%20Texas\Rate%20Cases\AEP%20Texas%202024\Schedules\Jackson\Schedule%20IV-J-7%20Proof%20of%20Revenue%20Statement%20Final.xlsx" TargetMode="External"/><Relationship Id="rId1" Type="http://schemas.openxmlformats.org/officeDocument/2006/relationships/externalLinkPath" Target="file:///C:\Users\s254353\AppData\Local\Microsoft\Windows\INetCache\Content.Outlook\4JUHF2VV\Schedule%20IV-J-7%20Proof%20of%20Revenue%20Statement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I-I-1"/>
      <sheetName val="II-I-2"/>
      <sheetName val="II-I-2.c"/>
      <sheetName val="II-I-2.f"/>
      <sheetName val="II-I TOTAL COMPANY"/>
      <sheetName val="Juris Alloc Split"/>
      <sheetName val="Retail Summary Proposed"/>
      <sheetName val="Distribution"/>
      <sheetName val="Meter"/>
      <sheetName val="TDCustSvc"/>
      <sheetName val="DCRF"/>
      <sheetName val="Sch II-I-1 AEP Texas COS STUDY "/>
    </sheetNames>
    <sheetDataSet>
      <sheetData sheetId="0">
        <row r="14">
          <cell r="D14">
            <v>428545774.98000002</v>
          </cell>
        </row>
      </sheetData>
      <sheetData sheetId="1"/>
      <sheetData sheetId="2"/>
      <sheetData sheetId="3"/>
      <sheetData sheetId="4">
        <row r="87">
          <cell r="F87">
            <v>285576871.0336352</v>
          </cell>
        </row>
      </sheetData>
      <sheetData sheetId="5"/>
      <sheetData sheetId="6">
        <row r="57">
          <cell r="F57">
            <v>746512977.56729388</v>
          </cell>
          <cell r="G57">
            <v>431533506.31527013</v>
          </cell>
          <cell r="H57">
            <v>16585326.931923557</v>
          </cell>
          <cell r="I57">
            <v>218032012.80138281</v>
          </cell>
          <cell r="L57">
            <v>50209141.550451651</v>
          </cell>
          <cell r="P57">
            <v>16068.328938787485</v>
          </cell>
          <cell r="Q57">
            <v>28274936.236523345</v>
          </cell>
          <cell r="R57">
            <v>1861985.4028035237</v>
          </cell>
        </row>
        <row r="62">
          <cell r="G62">
            <v>23527397.047757253</v>
          </cell>
          <cell r="H62">
            <v>4470397.6607326753</v>
          </cell>
          <cell r="I62">
            <v>17747327.39044667</v>
          </cell>
          <cell r="L62">
            <v>2386784.1775244419</v>
          </cell>
          <cell r="P62">
            <v>2011888.2170185286</v>
          </cell>
          <cell r="Q62">
            <v>7.553946624049642</v>
          </cell>
          <cell r="R62">
            <v>41759.103291734915</v>
          </cell>
        </row>
        <row r="67">
          <cell r="G67">
            <v>14986684.255034046</v>
          </cell>
          <cell r="H67">
            <v>1592197.0243637017</v>
          </cell>
          <cell r="I67">
            <v>1966806.2652791096</v>
          </cell>
          <cell r="L67">
            <v>29999.574538913388</v>
          </cell>
          <cell r="P67">
            <v>3357.3270181200437</v>
          </cell>
          <cell r="Q67">
            <v>272365.7415845748</v>
          </cell>
          <cell r="R67">
            <v>524.32800650898434</v>
          </cell>
        </row>
        <row r="72">
          <cell r="G72">
            <v>23321633.18082308</v>
          </cell>
          <cell r="H72">
            <v>985252.86259934085</v>
          </cell>
          <cell r="I72">
            <v>17553758.714965492</v>
          </cell>
          <cell r="L72">
            <v>4558360.2862402443</v>
          </cell>
          <cell r="P72">
            <v>4870260.6561981272</v>
          </cell>
          <cell r="Q72">
            <v>473027.21254701348</v>
          </cell>
        </row>
      </sheetData>
      <sheetData sheetId="7">
        <row r="28">
          <cell r="H28">
            <v>4777087836.416275</v>
          </cell>
        </row>
      </sheetData>
      <sheetData sheetId="8"/>
      <sheetData sheetId="9"/>
      <sheetData sheetId="10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lling Units"/>
      <sheetName val="Rate Summary"/>
      <sheetName val="Revenue Summary"/>
      <sheetName val="AEPTX RS"/>
      <sheetName val="AEPTX Sec LT 10"/>
      <sheetName val="AEPTX Sec GT 10"/>
      <sheetName val="Primary"/>
      <sheetName val="AEPTX Primary Line "/>
      <sheetName val="AEPTX Primary Sub"/>
      <sheetName val="AEPTX Trans"/>
      <sheetName val="AEPTX Lighting"/>
      <sheetName val="WDS BESS"/>
    </sheetNames>
    <sheetDataSet>
      <sheetData sheetId="0"/>
      <sheetData sheetId="1"/>
      <sheetData sheetId="2">
        <row r="30">
          <cell r="F30">
            <v>-3758854.01</v>
          </cell>
          <cell r="G30">
            <v>-180057.09</v>
          </cell>
          <cell r="H30">
            <v>-1945063.55</v>
          </cell>
          <cell r="I30">
            <v>-435673.66</v>
          </cell>
          <cell r="J30">
            <v>-52581.760000000002</v>
          </cell>
          <cell r="K30">
            <v>-221100.53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M44"/>
  <sheetViews>
    <sheetView tabSelected="1" workbookViewId="0"/>
  </sheetViews>
  <sheetFormatPr defaultRowHeight="15.75" x14ac:dyDescent="0.25"/>
  <cols>
    <col min="1" max="1" width="9.140625" style="3"/>
    <col min="2" max="2" width="5.7109375" style="3" customWidth="1"/>
    <col min="3" max="3" width="5.140625" style="3" bestFit="1" customWidth="1"/>
    <col min="4" max="4" width="64" style="3" customWidth="1"/>
    <col min="5" max="5" width="18.28515625" style="3" bestFit="1" customWidth="1"/>
    <col min="6" max="6" width="23.7109375" style="3" bestFit="1" customWidth="1"/>
    <col min="7" max="7" width="16.85546875" style="3" bestFit="1" customWidth="1"/>
    <col min="8" max="8" width="17.28515625" style="3" bestFit="1" customWidth="1"/>
    <col min="9" max="9" width="16.140625" style="3" bestFit="1" customWidth="1"/>
    <col min="10" max="10" width="16.85546875" style="3" bestFit="1" customWidth="1"/>
    <col min="11" max="11" width="15.5703125" style="3" bestFit="1" customWidth="1"/>
    <col min="12" max="12" width="16.85546875" style="3" bestFit="1" customWidth="1"/>
    <col min="13" max="13" width="14" style="3" bestFit="1" customWidth="1"/>
    <col min="14" max="16384" width="9.140625" style="3"/>
  </cols>
  <sheetData>
    <row r="3" spans="2:13" ht="16.5" thickBo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2"/>
    </row>
    <row r="4" spans="2:13" x14ac:dyDescent="0.25">
      <c r="B4" s="1"/>
      <c r="C4" s="1"/>
      <c r="D4" s="4" t="s">
        <v>0</v>
      </c>
      <c r="E4" s="1"/>
      <c r="F4" s="5"/>
      <c r="G4" s="1"/>
      <c r="H4" s="1"/>
      <c r="I4" s="1"/>
      <c r="J4" s="1"/>
      <c r="K4" s="1"/>
      <c r="L4" s="2"/>
    </row>
    <row r="5" spans="2:13" x14ac:dyDescent="0.25">
      <c r="B5" s="1"/>
      <c r="C5" s="1"/>
      <c r="D5" s="6" t="s">
        <v>1</v>
      </c>
      <c r="E5" s="1"/>
      <c r="F5" s="5"/>
      <c r="G5" s="1"/>
      <c r="H5" s="1"/>
      <c r="I5" s="1"/>
      <c r="J5" s="1"/>
      <c r="K5" s="1"/>
      <c r="L5" s="2"/>
    </row>
    <row r="6" spans="2:13" x14ac:dyDescent="0.25">
      <c r="B6" s="1"/>
      <c r="C6" s="1"/>
      <c r="D6" s="7" t="s">
        <v>17</v>
      </c>
      <c r="E6" s="1"/>
      <c r="F6" s="1"/>
      <c r="G6" s="1"/>
      <c r="H6" s="1"/>
      <c r="I6" s="1"/>
      <c r="J6" s="1"/>
      <c r="K6" s="1"/>
      <c r="L6" s="2"/>
    </row>
    <row r="7" spans="2:13" x14ac:dyDescent="0.25">
      <c r="B7" s="1"/>
      <c r="C7" s="1"/>
      <c r="D7" s="7" t="s">
        <v>24</v>
      </c>
      <c r="E7" s="1"/>
      <c r="F7" s="1"/>
      <c r="G7" s="1"/>
      <c r="H7" s="1"/>
      <c r="I7" s="1"/>
      <c r="J7" s="1"/>
      <c r="K7" s="1"/>
      <c r="L7" s="2"/>
    </row>
    <row r="8" spans="2:13" ht="16.5" thickBot="1" x14ac:dyDescent="0.3">
      <c r="B8" s="1"/>
      <c r="C8" s="1"/>
      <c r="D8" s="8" t="s">
        <v>34</v>
      </c>
      <c r="E8" s="1"/>
      <c r="F8" s="1"/>
      <c r="G8" s="1"/>
      <c r="H8" s="1"/>
      <c r="I8" s="1"/>
      <c r="J8" s="1"/>
      <c r="K8" s="1"/>
      <c r="L8" s="2"/>
    </row>
    <row r="9" spans="2:13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2"/>
    </row>
    <row r="10" spans="2:13" ht="16.5" thickBot="1" x14ac:dyDescent="0.3">
      <c r="B10" s="1"/>
      <c r="C10" s="1"/>
      <c r="D10" s="1"/>
      <c r="E10" s="9">
        <v>1</v>
      </c>
      <c r="F10" s="9">
        <v>2</v>
      </c>
      <c r="G10" s="9">
        <v>3</v>
      </c>
      <c r="H10" s="9">
        <v>4</v>
      </c>
      <c r="I10" s="9">
        <v>5</v>
      </c>
      <c r="J10" s="9">
        <v>6</v>
      </c>
      <c r="K10" s="9">
        <v>7</v>
      </c>
      <c r="L10" s="9">
        <v>8</v>
      </c>
      <c r="M10" s="35">
        <v>9</v>
      </c>
    </row>
    <row r="11" spans="2:13" x14ac:dyDescent="0.25">
      <c r="B11" s="10"/>
      <c r="C11" s="10"/>
      <c r="D11" s="10"/>
      <c r="E11" s="11" t="s">
        <v>2</v>
      </c>
      <c r="F11" s="10"/>
      <c r="G11" s="10"/>
      <c r="H11" s="11"/>
      <c r="I11" s="11"/>
      <c r="J11" s="11"/>
      <c r="K11" s="10"/>
      <c r="L11" s="10"/>
      <c r="M11" s="39" t="s">
        <v>30</v>
      </c>
    </row>
    <row r="12" spans="2:13" x14ac:dyDescent="0.25">
      <c r="B12" s="12"/>
      <c r="C12" s="12"/>
      <c r="D12" s="12" t="s">
        <v>3</v>
      </c>
      <c r="E12" s="13" t="s">
        <v>4</v>
      </c>
      <c r="F12" s="12" t="s">
        <v>5</v>
      </c>
      <c r="G12" s="12" t="s">
        <v>6</v>
      </c>
      <c r="H12" s="12" t="s">
        <v>6</v>
      </c>
      <c r="I12" s="12" t="s">
        <v>7</v>
      </c>
      <c r="J12" s="12" t="s">
        <v>8</v>
      </c>
      <c r="K12" s="12" t="s">
        <v>9</v>
      </c>
      <c r="L12" s="12" t="s">
        <v>10</v>
      </c>
      <c r="M12" s="40" t="s">
        <v>31</v>
      </c>
    </row>
    <row r="13" spans="2:13" x14ac:dyDescent="0.25">
      <c r="B13" s="12" t="s">
        <v>11</v>
      </c>
      <c r="C13" s="12"/>
      <c r="D13" s="12"/>
      <c r="E13" s="13" t="s">
        <v>12</v>
      </c>
      <c r="F13" s="12"/>
      <c r="G13" s="13" t="s">
        <v>13</v>
      </c>
      <c r="H13" s="13" t="s">
        <v>14</v>
      </c>
      <c r="I13" s="12"/>
      <c r="J13" s="12"/>
      <c r="K13" s="12"/>
      <c r="L13" s="12" t="s">
        <v>15</v>
      </c>
      <c r="M13" s="40" t="s">
        <v>32</v>
      </c>
    </row>
    <row r="14" spans="2:13" ht="16.5" thickBot="1" x14ac:dyDescent="0.3">
      <c r="B14" s="14" t="s">
        <v>16</v>
      </c>
      <c r="C14" s="14"/>
      <c r="D14" s="14"/>
      <c r="E14" s="15" t="s">
        <v>10</v>
      </c>
      <c r="F14" s="14"/>
      <c r="G14" s="14"/>
      <c r="H14" s="14"/>
      <c r="I14" s="14"/>
      <c r="J14" s="14"/>
      <c r="K14" s="14"/>
      <c r="L14" s="14"/>
      <c r="M14" s="41" t="s">
        <v>33</v>
      </c>
    </row>
    <row r="15" spans="2:13" x14ac:dyDescent="0.25">
      <c r="B15" s="1"/>
      <c r="C15" s="1"/>
      <c r="D15" s="16"/>
      <c r="E15" s="17"/>
      <c r="F15" s="17"/>
      <c r="G15" s="17"/>
      <c r="H15" s="17"/>
      <c r="I15" s="17"/>
      <c r="J15" s="17"/>
      <c r="K15" s="17"/>
      <c r="L15" s="18"/>
    </row>
    <row r="16" spans="2:13" x14ac:dyDescent="0.25">
      <c r="B16" s="2">
        <v>1</v>
      </c>
      <c r="C16" s="2"/>
      <c r="D16" s="1" t="s">
        <v>18</v>
      </c>
      <c r="E16" s="20"/>
      <c r="F16" s="21"/>
      <c r="G16" s="21"/>
      <c r="H16" s="21"/>
      <c r="I16" s="21"/>
      <c r="J16" s="21"/>
      <c r="K16" s="21"/>
      <c r="L16" s="21"/>
    </row>
    <row r="17" spans="2:13" x14ac:dyDescent="0.25">
      <c r="B17" s="2">
        <v>2</v>
      </c>
      <c r="C17" s="2"/>
      <c r="D17" s="1" t="s">
        <v>39</v>
      </c>
      <c r="E17" s="21">
        <f>SUM(F17:K17)+M17</f>
        <v>798275270.480667</v>
      </c>
      <c r="F17" s="21">
        <f>'[1]Retail Summary Proposed'!$G$57+'[1]Retail Summary Proposed'!$G$72</f>
        <v>454855139.49609321</v>
      </c>
      <c r="G17" s="21">
        <f>'[1]Retail Summary Proposed'!$H$57+'[1]Retail Summary Proposed'!$H$72</f>
        <v>17570579.794522896</v>
      </c>
      <c r="H17" s="21">
        <f>'[1]Retail Summary Proposed'!$I$57+'[1]Retail Summary Proposed'!$I$72</f>
        <v>235585771.5163483</v>
      </c>
      <c r="I17" s="21">
        <f>'[1]Retail Summary Proposed'!$L$57+'[1]Retail Summary Proposed'!$L$72</f>
        <v>54767501.836691894</v>
      </c>
      <c r="J17" s="21">
        <f>'[1]Retail Summary Proposed'!$P$57+'[1]Retail Summary Proposed'!$P$72</f>
        <v>4886328.985136915</v>
      </c>
      <c r="K17" s="21">
        <f>'[1]Retail Summary Proposed'!$Q$57+'[1]Retail Summary Proposed'!$Q$72</f>
        <v>28747963.449070357</v>
      </c>
      <c r="L17" s="22">
        <f>SUM(F17:K17)</f>
        <v>796413285.07786345</v>
      </c>
      <c r="M17" s="42">
        <f>'[1]Retail Summary Proposed'!$R$57</f>
        <v>1861985.4028035237</v>
      </c>
    </row>
    <row r="18" spans="2:13" x14ac:dyDescent="0.25">
      <c r="B18" s="2">
        <v>3</v>
      </c>
      <c r="C18" s="2"/>
      <c r="D18" s="1" t="s">
        <v>19</v>
      </c>
      <c r="E18" s="21">
        <f>SUM(F18:K18)+M18</f>
        <v>50185561.150717929</v>
      </c>
      <c r="F18" s="21">
        <f>'[1]Retail Summary Proposed'!$G$62</f>
        <v>23527397.047757253</v>
      </c>
      <c r="G18" s="21">
        <f>'[1]Retail Summary Proposed'!$H$62</f>
        <v>4470397.6607326753</v>
      </c>
      <c r="H18" s="21">
        <f>'[1]Retail Summary Proposed'!$I$62</f>
        <v>17747327.39044667</v>
      </c>
      <c r="I18" s="21">
        <f>'[1]Retail Summary Proposed'!$L$62</f>
        <v>2386784.1775244419</v>
      </c>
      <c r="J18" s="23">
        <f>'[1]Retail Summary Proposed'!$P$62</f>
        <v>2011888.2170185286</v>
      </c>
      <c r="K18" s="21">
        <f>'[1]Retail Summary Proposed'!$Q$62</f>
        <v>7.553946624049642</v>
      </c>
      <c r="L18" s="22">
        <f>SUM(F18:K18)</f>
        <v>50143802.047426194</v>
      </c>
      <c r="M18" s="42">
        <f>'[1]Retail Summary Proposed'!$R$62</f>
        <v>41759.103291734915</v>
      </c>
    </row>
    <row r="19" spans="2:13" x14ac:dyDescent="0.25">
      <c r="B19" s="2">
        <v>4</v>
      </c>
      <c r="C19" s="2"/>
      <c r="D19" s="24" t="s">
        <v>20</v>
      </c>
      <c r="E19" s="21">
        <f>SUM(F19:K19)+M19</f>
        <v>18851934.515824977</v>
      </c>
      <c r="F19" s="21">
        <f>'[1]Retail Summary Proposed'!$G$67</f>
        <v>14986684.255034046</v>
      </c>
      <c r="G19" s="21">
        <f>'[1]Retail Summary Proposed'!$H$67</f>
        <v>1592197.0243637017</v>
      </c>
      <c r="H19" s="21">
        <f>'[1]Retail Summary Proposed'!$I$67</f>
        <v>1966806.2652791096</v>
      </c>
      <c r="I19" s="21">
        <f>'[1]Retail Summary Proposed'!$L$67</f>
        <v>29999.574538913388</v>
      </c>
      <c r="J19" s="23">
        <f>'[1]Retail Summary Proposed'!$P$67</f>
        <v>3357.3270181200437</v>
      </c>
      <c r="K19" s="22">
        <f>'[1]Retail Summary Proposed'!$Q$67</f>
        <v>272365.7415845748</v>
      </c>
      <c r="L19" s="22">
        <f>SUM(F19:K19)</f>
        <v>18851410.187818468</v>
      </c>
      <c r="M19" s="42">
        <f>'[1]Retail Summary Proposed'!$R$67</f>
        <v>524.32800650898434</v>
      </c>
    </row>
    <row r="20" spans="2:13" ht="16.5" thickBot="1" x14ac:dyDescent="0.3">
      <c r="B20" s="2">
        <v>5</v>
      </c>
      <c r="C20" s="2"/>
      <c r="D20" s="1"/>
      <c r="E20" s="19"/>
      <c r="F20" s="19"/>
      <c r="G20" s="19"/>
      <c r="H20" s="19"/>
      <c r="I20" s="25"/>
      <c r="J20" s="26"/>
      <c r="K20" s="27"/>
      <c r="L20" s="2"/>
    </row>
    <row r="21" spans="2:13" ht="22.5" customHeight="1" thickBot="1" x14ac:dyDescent="0.3">
      <c r="B21" s="2">
        <v>6</v>
      </c>
      <c r="C21" s="2"/>
      <c r="D21" s="28" t="s">
        <v>21</v>
      </c>
      <c r="E21" s="32">
        <f t="shared" ref="E21:M21" si="0">SUM(E16:E19)</f>
        <v>867312766.14721</v>
      </c>
      <c r="F21" s="32">
        <f t="shared" si="0"/>
        <v>493369220.79888451</v>
      </c>
      <c r="G21" s="32">
        <f t="shared" si="0"/>
        <v>23633174.479619272</v>
      </c>
      <c r="H21" s="32">
        <f t="shared" si="0"/>
        <v>255299905.17207408</v>
      </c>
      <c r="I21" s="32">
        <f t="shared" si="0"/>
        <v>57184285.58875525</v>
      </c>
      <c r="J21" s="32">
        <f t="shared" si="0"/>
        <v>6901574.5291735642</v>
      </c>
      <c r="K21" s="32">
        <f t="shared" si="0"/>
        <v>29020336.744601555</v>
      </c>
      <c r="L21" s="33">
        <f t="shared" si="0"/>
        <v>865408497.31310821</v>
      </c>
      <c r="M21" s="32">
        <f t="shared" si="0"/>
        <v>1904268.8341017675</v>
      </c>
    </row>
    <row r="22" spans="2:13" x14ac:dyDescent="0.25">
      <c r="B22" s="35">
        <v>7</v>
      </c>
      <c r="E22" s="21"/>
      <c r="F22" s="31"/>
      <c r="G22" s="31"/>
      <c r="H22" s="31"/>
      <c r="I22" s="31"/>
      <c r="J22" s="31"/>
      <c r="K22" s="31"/>
      <c r="L22" s="31"/>
      <c r="M22" s="37"/>
    </row>
    <row r="23" spans="2:13" x14ac:dyDescent="0.25">
      <c r="B23" s="35">
        <v>8</v>
      </c>
      <c r="E23" s="37"/>
      <c r="F23" s="37"/>
      <c r="G23" s="37"/>
      <c r="H23" s="37"/>
      <c r="I23" s="37"/>
      <c r="J23" s="37"/>
      <c r="K23" s="37"/>
      <c r="L23" s="37"/>
    </row>
    <row r="24" spans="2:13" x14ac:dyDescent="0.25">
      <c r="B24" s="35">
        <v>9</v>
      </c>
      <c r="D24" s="29"/>
      <c r="E24" s="21"/>
      <c r="F24" s="21"/>
      <c r="G24" s="21"/>
      <c r="H24" s="21"/>
      <c r="I24" s="21"/>
      <c r="J24" s="21"/>
      <c r="K24" s="21"/>
      <c r="L24" s="21"/>
      <c r="M24" s="37"/>
    </row>
    <row r="25" spans="2:13" x14ac:dyDescent="0.25">
      <c r="B25" s="35">
        <v>10</v>
      </c>
      <c r="D25" s="36" t="s">
        <v>23</v>
      </c>
      <c r="E25" s="20"/>
      <c r="F25" s="21"/>
      <c r="G25" s="21"/>
      <c r="H25" s="21"/>
      <c r="I25" s="21"/>
      <c r="J25" s="21"/>
      <c r="K25" s="21"/>
      <c r="L25" s="21"/>
      <c r="M25" s="37"/>
    </row>
    <row r="26" spans="2:13" x14ac:dyDescent="0.25">
      <c r="B26" s="35">
        <v>11</v>
      </c>
      <c r="D26" s="24" t="s">
        <v>36</v>
      </c>
      <c r="E26" s="43">
        <f>SUM(F26:K26)</f>
        <v>-6593330.5999999996</v>
      </c>
      <c r="F26" s="43">
        <f>'[2]Revenue Summary'!$F$30</f>
        <v>-3758854.01</v>
      </c>
      <c r="G26" s="43">
        <f>'[2]Revenue Summary'!$G$30</f>
        <v>-180057.09</v>
      </c>
      <c r="H26" s="43">
        <f>'[2]Revenue Summary'!$H$30</f>
        <v>-1945063.55</v>
      </c>
      <c r="I26" s="43">
        <f>'[2]Revenue Summary'!$I$30</f>
        <v>-435673.66</v>
      </c>
      <c r="J26" s="43">
        <f>'[2]Revenue Summary'!$J$30</f>
        <v>-52581.760000000002</v>
      </c>
      <c r="K26" s="43">
        <f>'[2]Revenue Summary'!$K$30</f>
        <v>-221100.53</v>
      </c>
      <c r="L26" s="43">
        <f>SUM(F26:K26)</f>
        <v>-6593330.5999999996</v>
      </c>
      <c r="M26" s="43"/>
    </row>
    <row r="27" spans="2:13" x14ac:dyDescent="0.25">
      <c r="B27" s="35">
        <v>12</v>
      </c>
      <c r="M27" s="21"/>
    </row>
    <row r="28" spans="2:13" x14ac:dyDescent="0.25">
      <c r="B28" s="35">
        <v>13</v>
      </c>
      <c r="D28" s="36" t="s">
        <v>37</v>
      </c>
      <c r="M28" s="21"/>
    </row>
    <row r="29" spans="2:13" x14ac:dyDescent="0.25">
      <c r="B29" s="35">
        <v>14</v>
      </c>
      <c r="D29" s="24" t="s">
        <v>22</v>
      </c>
      <c r="E29" s="21">
        <v>104867863.88999999</v>
      </c>
      <c r="F29" s="21">
        <v>60613641.559999987</v>
      </c>
      <c r="G29" s="21">
        <v>5782103.6000000015</v>
      </c>
      <c r="H29" s="21">
        <v>30054887.959999997</v>
      </c>
      <c r="I29" s="21">
        <v>6303373.3399999999</v>
      </c>
      <c r="J29" s="21">
        <v>80713.959999999992</v>
      </c>
      <c r="K29" s="21">
        <v>2033143.4700000002</v>
      </c>
      <c r="L29" s="21">
        <f t="shared" ref="L29:L36" si="1">SUM(F29:K29)</f>
        <v>104867863.88999999</v>
      </c>
      <c r="M29" s="21"/>
    </row>
    <row r="30" spans="2:13" x14ac:dyDescent="0.25">
      <c r="B30" s="35">
        <v>15</v>
      </c>
      <c r="D30" s="24" t="s">
        <v>35</v>
      </c>
      <c r="E30" s="21">
        <v>421817283.29999995</v>
      </c>
      <c r="F30" s="21">
        <v>195216362.53999996</v>
      </c>
      <c r="G30" s="21">
        <v>6531262.9400000004</v>
      </c>
      <c r="H30" s="21">
        <v>120827863.64</v>
      </c>
      <c r="I30" s="21">
        <v>44440660.159999996</v>
      </c>
      <c r="J30" s="21">
        <v>52489197.030000001</v>
      </c>
      <c r="K30" s="21">
        <v>2311936.9899999998</v>
      </c>
      <c r="L30" s="21">
        <f t="shared" si="1"/>
        <v>421817283.29999995</v>
      </c>
      <c r="M30" s="21"/>
    </row>
    <row r="31" spans="2:13" x14ac:dyDescent="0.25">
      <c r="B31" s="35">
        <v>16</v>
      </c>
      <c r="D31" s="24" t="s">
        <v>25</v>
      </c>
      <c r="E31" s="21">
        <v>25957338.510000002</v>
      </c>
      <c r="F31" s="21">
        <v>14232786.710000001</v>
      </c>
      <c r="G31" s="21">
        <v>627738</v>
      </c>
      <c r="H31" s="21">
        <v>9509405.7300000004</v>
      </c>
      <c r="I31" s="21">
        <v>1583104.49</v>
      </c>
      <c r="J31" s="21">
        <v>4303.2700000000004</v>
      </c>
      <c r="K31" s="21">
        <v>0.31</v>
      </c>
      <c r="L31" s="21">
        <f t="shared" si="1"/>
        <v>25957338.509999998</v>
      </c>
      <c r="M31" s="21"/>
    </row>
    <row r="32" spans="2:13" x14ac:dyDescent="0.25">
      <c r="B32" s="35">
        <v>17</v>
      </c>
      <c r="D32" s="24" t="s">
        <v>26</v>
      </c>
      <c r="E32" s="21">
        <v>5308009.0999999996</v>
      </c>
      <c r="F32" s="21">
        <v>2981645.4299999997</v>
      </c>
      <c r="G32" s="21">
        <v>115912.84000000001</v>
      </c>
      <c r="H32" s="21">
        <v>1661005.65</v>
      </c>
      <c r="I32" s="21">
        <v>484462.00000000006</v>
      </c>
      <c r="J32" s="21">
        <v>0</v>
      </c>
      <c r="K32" s="21">
        <v>64983.180000000029</v>
      </c>
      <c r="L32" s="21">
        <f t="shared" si="1"/>
        <v>5308009.0999999996</v>
      </c>
      <c r="M32" s="21"/>
    </row>
    <row r="33" spans="2:13" x14ac:dyDescent="0.25">
      <c r="B33" s="35">
        <v>18</v>
      </c>
      <c r="D33" s="24" t="s">
        <v>38</v>
      </c>
      <c r="E33" s="21">
        <v>22105946</v>
      </c>
      <c r="F33" s="21">
        <v>12165405.16</v>
      </c>
      <c r="G33" s="21">
        <v>602663.81852797326</v>
      </c>
      <c r="H33" s="21">
        <v>6935856.9100000001</v>
      </c>
      <c r="I33" s="21">
        <v>1323615.55</v>
      </c>
      <c r="J33" s="21">
        <v>0</v>
      </c>
      <c r="K33" s="21">
        <v>1077541.0888440211</v>
      </c>
      <c r="L33" s="21">
        <f t="shared" si="1"/>
        <v>22105082.527371995</v>
      </c>
      <c r="M33" s="21"/>
    </row>
    <row r="34" spans="2:13" x14ac:dyDescent="0.25">
      <c r="B34" s="35">
        <v>19</v>
      </c>
      <c r="D34" s="24" t="s">
        <v>27</v>
      </c>
      <c r="E34" s="21">
        <v>73475236.200000018</v>
      </c>
      <c r="F34" s="21">
        <v>27997172.240000002</v>
      </c>
      <c r="G34" s="21">
        <v>4512469.45</v>
      </c>
      <c r="H34" s="21">
        <v>29546967.220000003</v>
      </c>
      <c r="I34" s="21">
        <v>6055191.0099999998</v>
      </c>
      <c r="J34" s="21">
        <v>4110819.16</v>
      </c>
      <c r="K34" s="21">
        <v>1252617.1199999999</v>
      </c>
      <c r="L34" s="21">
        <f t="shared" si="1"/>
        <v>73475236.200000003</v>
      </c>
      <c r="M34" s="21"/>
    </row>
    <row r="35" spans="2:13" x14ac:dyDescent="0.25">
      <c r="B35" s="35">
        <v>20</v>
      </c>
      <c r="D35" s="24" t="s">
        <v>28</v>
      </c>
      <c r="E35" s="21">
        <v>26545183.279999997</v>
      </c>
      <c r="F35" s="21">
        <v>14176856.449999999</v>
      </c>
      <c r="G35" s="21">
        <v>706508.42999999993</v>
      </c>
      <c r="H35" s="21">
        <v>8486678.3999999985</v>
      </c>
      <c r="I35" s="21">
        <v>1497618.7000000002</v>
      </c>
      <c r="J35" s="21">
        <v>0</v>
      </c>
      <c r="K35" s="21">
        <v>1677521.2999999998</v>
      </c>
      <c r="L35" s="21">
        <f t="shared" si="1"/>
        <v>26545183.279999997</v>
      </c>
      <c r="M35" s="21"/>
    </row>
    <row r="36" spans="2:13" x14ac:dyDescent="0.25">
      <c r="B36" s="35">
        <v>21</v>
      </c>
      <c r="D36" s="24" t="s">
        <v>29</v>
      </c>
      <c r="E36" s="34">
        <v>65851.990000000005</v>
      </c>
      <c r="F36" s="21">
        <v>30334.720000000001</v>
      </c>
      <c r="G36" s="21">
        <v>1137.92</v>
      </c>
      <c r="H36" s="21">
        <v>19911.009999999998</v>
      </c>
      <c r="I36" s="21">
        <v>6842.02</v>
      </c>
      <c r="J36" s="21">
        <v>6685.95</v>
      </c>
      <c r="K36" s="21">
        <v>940.37</v>
      </c>
      <c r="L36" s="21">
        <f t="shared" si="1"/>
        <v>65851.989999999991</v>
      </c>
      <c r="M36" s="34"/>
    </row>
    <row r="37" spans="2:13" x14ac:dyDescent="0.25">
      <c r="B37" s="35">
        <v>22</v>
      </c>
    </row>
    <row r="38" spans="2:13" x14ac:dyDescent="0.25">
      <c r="B38" s="35">
        <v>23</v>
      </c>
      <c r="D38" s="1" t="s">
        <v>40</v>
      </c>
      <c r="E38" s="45"/>
    </row>
    <row r="39" spans="2:13" x14ac:dyDescent="0.25">
      <c r="D39" s="24"/>
      <c r="E39" s="44"/>
      <c r="F39" s="30"/>
    </row>
    <row r="40" spans="2:13" x14ac:dyDescent="0.25">
      <c r="E40" s="44"/>
      <c r="F40" s="38"/>
    </row>
    <row r="41" spans="2:13" x14ac:dyDescent="0.25">
      <c r="E41" s="44"/>
      <c r="F41" s="38"/>
      <c r="G41" s="38"/>
      <c r="H41" s="38"/>
      <c r="J41" s="30"/>
    </row>
    <row r="42" spans="2:13" x14ac:dyDescent="0.25">
      <c r="F42" s="38"/>
      <c r="H42" s="30"/>
    </row>
    <row r="43" spans="2:13" x14ac:dyDescent="0.25">
      <c r="G43" s="38"/>
    </row>
    <row r="44" spans="2:13" x14ac:dyDescent="0.25">
      <c r="F44" s="30"/>
    </row>
  </sheetData>
  <printOptions horizontalCentered="1"/>
  <pageMargins left="0.7" right="0.7" top="0.75" bottom="0.75" header="0.3" footer="0.3"/>
  <pageSetup scale="51" orientation="landscape" r:id="rId1"/>
  <headerFooter>
    <oddHeader>&amp;CPUBLIC UTILITY COMMISSION OF TEXAS
AEP TEXAS INC
SCHEDULE IV-J-1 REVENUE SUMMARY
TEST YEAR ENDING 09/30/2023&amp;RDocket No. 56165
SCHEDULE IV-J-1 REVENUE SUMMARY</oddHeader>
    <oddFooter>&amp;LSponsored by: Jennifer L. Jackson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YXV0b1NlbGVjdGVkU3VnZ2VzdGlvbiI+PGVsZW1lbnQgdWlkPSI5MzZlMjJkNS00NWE3LTRjYjctOTVhYi0xYWE4YzdjODg3ODkiIHZhbHVlPSIiIHhtbG5zPSJodHRwOi8vd3d3LmJvbGRvbmphbWVzLmNvbS8yMDA4LzAxL3NpZS9pbnRlcm5hbC9sYWJlbCIgLz48ZWxlbWVudCB1aWQ9ImM2NDIxOGFiLWI4ZDEtNDBiNi1hNDc4LWNiOGJlMWUxMGVjYyIgdmFsdWU9IiIgeG1sbnM9Imh0dHA6Ly93d3cuYm9sZG9uamFtZXMuY29tLzIwMDgvMDEvc2llL2ludGVybmFsL2xhYmVsIiAvPjwvc2lzbD48VXNlck5hbWU+Q09SUFxkdHNvYTEyPC9Vc2VyTmFtZT48RGF0ZVRpbWU+MS8yNS8yMDI0IDU6NTM6NDIgUE08L0RhdGVUaW1lPjxMYWJlbFN0cmluZz5VbmNhdGVnb3JpemVkPC9MYWJlbFN0cmluZz48L2l0ZW0+PC9sYWJlbEhpc3Rvcnk+</Value>
</WrappedLabelHistor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  <Operating_x0020_Company xmlns="a1040523-5304-4b09-b6d4-64a124c994e2">AEP Ohio</Operating_x0020_Company>
  </documentManagement>
</p:properties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Props1.xml><?xml version="1.0" encoding="utf-8"?>
<ds:datastoreItem xmlns:ds="http://schemas.openxmlformats.org/officeDocument/2006/customXml" ds:itemID="{67D0273C-C1C2-4BCC-80D0-9272800F18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C9788D-2EF8-4375-B49E-AAC4E9BDE3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949EF4-7107-40C7-B2EA-9D2AB7952D7F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0349AF89-43F8-4C4E-8300-8E53C1EFC7A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b640fb8-5a34-41c1-9307-1b790ff29a8b"/>
    <ds:schemaRef ds:uri="51831b8d-857f-44dd-949b-652450d1a5df"/>
    <ds:schemaRef ds:uri="a1040523-5304-4b09-b6d4-64a124c994e2"/>
  </ds:schemaRefs>
</ds:datastoreItem>
</file>

<file path=customXml/itemProps5.xml><?xml version="1.0" encoding="utf-8"?>
<ds:datastoreItem xmlns:ds="http://schemas.openxmlformats.org/officeDocument/2006/customXml" ds:itemID="{313A9F10-F36D-4872-8899-1FEE3984CDF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IV-J-1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dtsoa12</dc:creator>
  <cp:lastModifiedBy>s254353</cp:lastModifiedBy>
  <cp:lastPrinted>2024-02-27T14:31:28Z</cp:lastPrinted>
  <dcterms:created xsi:type="dcterms:W3CDTF">2019-04-24T14:06:09Z</dcterms:created>
  <dcterms:modified xsi:type="dcterms:W3CDTF">2024-02-27T14:34:16Z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d0995dcd-3dfe-4130-82ff-f02fda032d80</vt:lpwstr>
  </property>
  <property fmtid="{D5CDD505-2E9C-101B-9397-08002B2CF9AE}" pid="3" name="bjDocumentSecurityLabel">
    <vt:lpwstr>Uncategorized</vt:lpwstr>
  </property>
  <property fmtid="{D5CDD505-2E9C-101B-9397-08002B2CF9AE}" pid="4" name="bjSaver">
    <vt:lpwstr>UhaBZRC4hf8PDNfVc3fDEeb6MeC3iUVD</vt:lpwstr>
  </property>
  <property fmtid="{D5CDD505-2E9C-101B-9397-08002B2CF9AE}" pid="5" name="Visual Markings Removed">
    <vt:lpwstr>No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policy="e9c0b8d7-bdb4-4fd3-b62a-f50327aaefce" origin="autoSelectedSuggestion" xmlns="http://w</vt:lpwstr>
  </property>
  <property fmtid="{D5CDD505-2E9C-101B-9397-08002B2CF9AE}" pid="7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8" name="MSIP_Label_574d496c-7ac4-4b13-81fd-698eca66b217_SiteId">
    <vt:lpwstr>15f3c881-6b03-4ff6-8559-77bf5177818f</vt:lpwstr>
  </property>
  <property fmtid="{D5CDD505-2E9C-101B-9397-08002B2CF9AE}" pid="9" name="MSIP_Label_574d496c-7ac4-4b13-81fd-698eca66b217_Name">
    <vt:lpwstr>Uncategorized</vt:lpwstr>
  </property>
  <property fmtid="{D5CDD505-2E9C-101B-9397-08002B2CF9AE}" pid="10" name="MSIP_Label_574d496c-7ac4-4b13-81fd-698eca66b217_Enabled">
    <vt:lpwstr>true</vt:lpwstr>
  </property>
  <property fmtid="{D5CDD505-2E9C-101B-9397-08002B2CF9AE}" pid="11" name="bjClsUserRVM">
    <vt:lpwstr>[]</vt:lpwstr>
  </property>
  <property fmtid="{D5CDD505-2E9C-101B-9397-08002B2CF9AE}" pid="12" name="bjLabelHistoryID">
    <vt:lpwstr>{D1949EF4-7107-40C7-B2EA-9D2AB7952D7F}</vt:lpwstr>
  </property>
  <property fmtid="{D5CDD505-2E9C-101B-9397-08002B2CF9AE}" pid="13" name="ContentTypeId">
    <vt:lpwstr>0x01010001136CE24ED5F449BD16740FFC7FAF6F</vt:lpwstr>
  </property>
  <property fmtid="{D5CDD505-2E9C-101B-9397-08002B2CF9AE}" pid="14" name="MediaServiceImageTags">
    <vt:lpwstr/>
  </property>
</Properties>
</file>