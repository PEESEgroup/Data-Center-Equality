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Testimony Drafts/15. Brian Frantz/"/>
    </mc:Choice>
  </mc:AlternateContent>
  <xr:revisionPtr revIDLastSave="2" documentId="8_{7DFF8450-693C-45D3-BB4D-B9B44348BF50}" xr6:coauthVersionLast="47" xr6:coauthVersionMax="47" xr10:uidLastSave="{1C555D1E-56D9-4A33-951E-33E10237F1CE}"/>
  <bookViews>
    <workbookView xWindow="-108" yWindow="-108" windowWidth="41496" windowHeight="16776" xr2:uid="{00000000-000D-0000-FFFF-FFFF00000000}"/>
  </bookViews>
  <sheets>
    <sheet name="EXHIBIT BJF-8" sheetId="1" r:id="rId1"/>
  </sheets>
  <definedNames>
    <definedName name="_xlnm.Print_Area" localSheetId="0">'EXHIBIT BJF-8'!$A$1:$C$15</definedName>
    <definedName name="_xlnm.Print_Titles" localSheetId="0">'EXHIBIT BJF-8'!$1:$7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<sst xmlns="http://schemas.openxmlformats.org/spreadsheetml/2006/main" count="16" uniqueCount="15">
  <si>
    <t>Allocation Factor</t>
  </si>
  <si>
    <t>Total</t>
  </si>
  <si>
    <t>Chief Executive Officer Class of Service</t>
  </si>
  <si>
    <t>Chief Executive Officer</t>
  </si>
  <si>
    <t>Chief Executive Officer Total</t>
  </si>
  <si>
    <t>PUBLIC UTILITY COMMISSION OF TEXAS</t>
  </si>
  <si>
    <t>AEP TEXAS INC</t>
  </si>
  <si>
    <t>39 - 100% to One Company</t>
  </si>
  <si>
    <t>For the Test Year Ended September 30, 2023</t>
  </si>
  <si>
    <t>08 - Number of Electric Retail Cust</t>
  </si>
  <si>
    <t>09 - Number of Employees</t>
  </si>
  <si>
    <t>33 - Number of Workstations</t>
  </si>
  <si>
    <t>58 - Total Assets</t>
  </si>
  <si>
    <t>60 - AEPSC Bill less Indir and Int</t>
  </si>
  <si>
    <t>61 - Total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</si>
</sst>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_(* #,##0_);_(* \(#,##0\);_(* &quot;-&quot;??_);_(@_)"/>
  </numFmts>
  <fonts count="24" x14ac:knownFonts="1">
    <font>
      <sz val="10"/>
      <name val="MS Sans Serif"/>
    </font>
    <font>
      <b/>
      <sz val="10"/>
      <name val="MS Sans Serif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5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48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ont="0" applyFill="0" applyBorder="0" applyAlignment="0" applyProtection="0">
      <alignment horizontal="left"/>
    </xf>
    <xf numFmtId="15" fontId="17" fillId="0" borderId="0" applyFont="0" applyFill="0" applyBorder="0" applyAlignment="0" applyProtection="0"/>
    <xf numFmtId="4" fontId="17" fillId="0" borderId="0" applyFont="0" applyFill="0" applyBorder="0" applyAlignment="0" applyProtection="0"/>
    <xf numFmtId="0" fontId="18" fillId="0" borderId="9">
      <alignment horizontal="center"/>
    </xf>
    <xf numFmtId="3" fontId="17" fillId="0" borderId="0" applyFont="0" applyFill="0" applyBorder="0" applyAlignment="0" applyProtection="0"/>
    <xf numFmtId="0" fontId="17" fillId="24" borderId="0" applyNumberFormat="0" applyFont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8">
    <xf numFmtId="0" fontId="0" fillId="0" borderId="0" xfId="0"/>
    <xf numFmtId="0" fontId="23" fillId="0" borderId="0" xfId="0" applyFont="1" applyAlignment="1"/>
    <xf numFmtId="0" fontId="23" fillId="0" borderId="0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/>
    </xf>
    <xf numFmtId="0" fontId="18" fillId="0" borderId="11" xfId="0" applyFont="1" applyBorder="1" applyAlignment="1">
      <alignment horizontal="left"/>
    </xf>
    <xf numFmtId="0" fontId="18" fillId="0" borderId="0" xfId="0" applyFont="1" applyAlignment="1"/>
    <xf numFmtId="0" fontId="7" fillId="0" borderId="15" xfId="0" applyFont="1" applyBorder="1"/>
    <xf numFmtId="42" fontId="0" fillId="0" borderId="16" xfId="0" applyNumberFormat="1" applyBorder="1"/>
    <xf numFmtId="0" fontId="0" fillId="0" borderId="17" xfId="0" applyBorder="1"/>
    <xf numFmtId="164" fontId="0" fillId="0" borderId="16" xfId="0" applyNumberFormat="1" applyBorder="1"/>
    <xf numFmtId="0" fontId="18" fillId="0" borderId="18" xfId="0" applyFont="1" applyBorder="1"/>
    <xf numFmtId="0" fontId="1" fillId="0" borderId="19" xfId="0" applyFont="1" applyBorder="1"/>
    <xf numFmtId="42" fontId="1" fillId="0" borderId="20" xfId="0" applyNumberFormat="1" applyFont="1" applyBorder="1"/>
    <xf numFmtId="0" fontId="18" fillId="0" borderId="0" xfId="0" applyFont="1" applyAlignment="1">
      <alignment horizontal="center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SChar" xfId="39" xr:uid="{00000000-0005-0000-0000-000027000000}"/>
    <cellStyle name="PSDate" xfId="40" xr:uid="{00000000-0005-0000-0000-000028000000}"/>
    <cellStyle name="PSDec" xfId="41" xr:uid="{00000000-0005-0000-0000-000029000000}"/>
    <cellStyle name="PSHeading" xfId="42" xr:uid="{00000000-0005-0000-0000-00002A000000}"/>
    <cellStyle name="PSInt" xfId="43" xr:uid="{00000000-0005-0000-0000-00002B000000}"/>
    <cellStyle name="PSSpacer" xfId="44" xr:uid="{00000000-0005-0000-0000-00002C000000}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15"/>
  <sheetViews>
    <sheetView tabSelected="1" zoomScaleNormal="100" workbookViewId="0">
      <selection activeCell="F10" sqref="F10"/>
    </sheetView>
  </sheetViews>
  <sheetFormatPr defaultRowHeight="12.6" x14ac:dyDescent="0.25"/>
  <cols>
    <col min="1" max="1" width="44.44140625" customWidth="1"/>
    <col min="2" max="2" width="36.44140625" bestFit="1" customWidth="1"/>
    <col min="3" max="3" width="18.88671875" bestFit="1" customWidth="1"/>
  </cols>
  <sheetData>
    <row r="1" spans="1:4" x14ac:dyDescent="0.25">
      <c r="A1" s="17" t="s">
        <v>5</v>
      </c>
      <c r="B1" s="17"/>
      <c r="C1" s="17"/>
      <c r="D1" s="9"/>
    </row>
    <row r="2" spans="1:4" x14ac:dyDescent="0.25">
      <c r="A2" s="17" t="s">
        <v>6</v>
      </c>
      <c r="B2" s="17"/>
      <c r="C2" s="17"/>
      <c r="D2" s="9"/>
    </row>
    <row r="3" spans="1:4" x14ac:dyDescent="0.25">
      <c r="A3" s="17" t="s">
        <v>2</v>
      </c>
      <c r="B3" s="17"/>
      <c r="C3" s="17"/>
      <c r="D3" s="9"/>
    </row>
    <row r="4" spans="1:4" x14ac:dyDescent="0.25">
      <c r="A4" s="17" t="s">
        <v>8</v>
      </c>
      <c r="B4" s="17"/>
      <c r="C4" s="17"/>
      <c r="D4" s="9"/>
    </row>
    <row r="5" spans="1:4" x14ac:dyDescent="0.25">
      <c r="A5" s="2"/>
      <c r="B5" s="2"/>
      <c r="C5" s="2"/>
      <c r="D5" s="1"/>
    </row>
    <row r="7" spans="1:4" s="7" customFormat="1" x14ac:dyDescent="0.25">
      <c r="A7" s="8" t="s">
        <v>2</v>
      </c>
      <c r="B7" s="3" t="s">
        <v>0</v>
      </c>
      <c r="C7" s="3" t="s">
        <v>1</v>
      </c>
    </row>
    <row r="8" spans="1:4" x14ac:dyDescent="0.25">
      <c r="A8" s="10" t="s">
        <v>3</v>
      </c>
      <c r="B8" s="4" t="s">
        <v>9</v>
      </c>
      <c r="C8" s="11">
        <v>5536.23</v>
      </c>
    </row>
    <row r="9" spans="1:4" x14ac:dyDescent="0.25">
      <c r="A9" s="12"/>
      <c r="B9" s="5" t="s">
        <v>10</v>
      </c>
      <c r="C9" s="13">
        <v>46184.93</v>
      </c>
    </row>
    <row r="10" spans="1:4" x14ac:dyDescent="0.25">
      <c r="A10" s="12"/>
      <c r="B10" s="5" t="s">
        <v>11</v>
      </c>
      <c r="C10" s="13">
        <v>2.42</v>
      </c>
    </row>
    <row r="11" spans="1:4" x14ac:dyDescent="0.25">
      <c r="A11" s="12"/>
      <c r="B11" s="5" t="s">
        <v>7</v>
      </c>
      <c r="C11" s="13">
        <v>53840.119999999995</v>
      </c>
    </row>
    <row r="12" spans="1:4" x14ac:dyDescent="0.25">
      <c r="A12" s="12"/>
      <c r="B12" s="5" t="s">
        <v>12</v>
      </c>
      <c r="C12" s="13">
        <v>620461.44999999995</v>
      </c>
    </row>
    <row r="13" spans="1:4" x14ac:dyDescent="0.25">
      <c r="A13" s="12"/>
      <c r="B13" s="5" t="s">
        <v>13</v>
      </c>
      <c r="C13" s="13">
        <v>6927.659999999988</v>
      </c>
    </row>
    <row r="14" spans="1:4" x14ac:dyDescent="0.25">
      <c r="A14" s="12"/>
      <c r="B14" s="6" t="s">
        <v>14</v>
      </c>
      <c r="C14" s="13">
        <v>10950.68</v>
      </c>
    </row>
    <row r="15" spans="1:4" x14ac:dyDescent="0.25">
      <c r="A15" s="14" t="s">
        <v>4</v>
      </c>
      <c r="B15" s="15"/>
      <c r="C15" s="16">
        <f>SUM(C8:C14)</f>
        <v>743903.49</v>
      </c>
    </row>
  </sheetData>
  <mergeCells count="4">
    <mergeCell ref="A2:C2"/>
    <mergeCell ref="A3:C3"/>
    <mergeCell ref="A4:C4"/>
    <mergeCell ref="A1:C1"/>
  </mergeCells>
  <phoneticPr fontId="22" type="noConversion"/>
  <pageMargins left="0.75" right="0.75" top="1" bottom="1" header="0.5" footer="0.5"/>
  <pageSetup scale="91" orientation="portrait" horizontalDpi="1200" verticalDpi="1200" r:id="rId1"/>
  <headerFooter alignWithMargins="0">
    <oddHeader>&amp;RDocket No. 56165
Exhibit BJF-8
PAGE &amp;P OF &amp;N</oddHeader>
    <oddFooter>&amp;CBJF-8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+PGVsZW1lbnQgdWlkPSJjNWY4ZWIxMi01YjI3LTQzOWQtYWFhNi0zNDAyYWY2MjZmYTM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+Q09SUFxzMTg2MzY5PC9Vc2VyTmFtZT48RGF0ZVRpbWU+Mi80LzIwMjQgODowMToxNSBQTTwvRGF0ZVRpbWU+PExhYmVsU3RyaW5nPkFFUCBQdWJsaWM8L0xhYmVsU3RyaW5nPjwvaXRlbT48L2xhYmVsSGlzdG9yeT4=</Value>
</WrappedLabelHistor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Props1.xml><?xml version="1.0" encoding="utf-8"?>
<ds:datastoreItem xmlns:ds="http://schemas.openxmlformats.org/officeDocument/2006/customXml" ds:itemID="{B6D1D97E-C098-4963-9600-99E181B16466}"/>
</file>

<file path=customXml/itemProps2.xml><?xml version="1.0" encoding="utf-8"?>
<ds:datastoreItem xmlns:ds="http://schemas.openxmlformats.org/officeDocument/2006/customXml" ds:itemID="{D712FEBD-47F9-46C5-BF52-226C57ECC2AE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D01A77E8-6D51-4997-9847-BA02A201827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4.xml><?xml version="1.0" encoding="utf-8"?>
<ds:datastoreItem xmlns:ds="http://schemas.openxmlformats.org/officeDocument/2006/customXml" ds:itemID="{30ED3C1B-CFFC-4B37-8871-6D1B2FE06B30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919F9CED-869E-4DE3-95F7-1EE0CD0A60A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EXHIBIT BJF-8</vt:lpstr>
      <vt:lpstr>'EXHIBIT BJF-8'!Print_Area</vt:lpstr>
      <vt:lpstr>'EXHIBIT BJF-8'!Print_Titles</vt:lpstr>
    </vt:vector>
  </TitlesOfParts>
  <Company>AEP-IT-CPS 4/30/3-(8-835-3050)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Fraley</dc:creator>
  <cp:keywords>AEP Public</cp:keywords>
  <cp:lastModifiedBy>d000298</cp:lastModifiedBy>
  <cp:lastPrinted>2024-02-13T14:29:41Z</cp:lastPrinted>
  <dcterms:created xsi:type="dcterms:W3CDTF">2012-05-31T18:45:25Z</dcterms:created>
  <dcterms:modified xsi:type="dcterms:W3CDTF">2024-02-13T14:29:48Z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188b0331-2aeb-4c2a-9ea2-71592949fdf5</vt:lpwstr>
  </property>
  <property fmtid="{D5CDD505-2E9C-101B-9397-08002B2CF9AE}" pid="3" name="bjSaver">
    <vt:lpwstr>i5lfAags2z4Y8Fsh08PLxCGFvRlu448e</vt:lpwstr>
  </property>
  <property fmtid="{D5CDD505-2E9C-101B-9397-08002B2CF9AE}" pid="4" name="bjDocumentSecurityLabel">
    <vt:lpwstr>AEP Public</vt:lpwstr>
  </property>
  <property fmtid="{D5CDD505-2E9C-101B-9397-08002B2CF9AE}" pid="5" name="Visual Markings Removed">
    <vt:lpwstr>No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8" name="MSIP_Label_5c34e43d-0b77-4b2c-b224-1b46981ccfdb_SiteId">
    <vt:lpwstr>15f3c881-6b03-4ff6-8559-77bf5177818f</vt:lpwstr>
  </property>
  <property fmtid="{D5CDD505-2E9C-101B-9397-08002B2CF9AE}" pid="9" name="MSIP_Label_5c34e43d-0b77-4b2c-b224-1b46981ccfdb_Name">
    <vt:lpwstr>AEP Public</vt:lpwstr>
  </property>
  <property fmtid="{D5CDD505-2E9C-101B-9397-08002B2CF9AE}" pid="10" name="MSIP_Label_5c34e43d-0b77-4b2c-b224-1b46981ccfdb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{D712FEBD-47F9-46C5-BF52-226C57ECC2AE}</vt:lpwstr>
  </property>
  <property fmtid="{D5CDD505-2E9C-101B-9397-08002B2CF9AE}" pid="13" name="ContentTypeId">
    <vt:lpwstr>0x01010001136CE24ED5F449BD16740FFC7FAF6F</vt:lpwstr>
  </property>
  <property fmtid="{D5CDD505-2E9C-101B-9397-08002B2CF9AE}" pid="14" name="MediaServiceImageTags">
    <vt:lpwstr/>
  </property>
</Properties>
</file>