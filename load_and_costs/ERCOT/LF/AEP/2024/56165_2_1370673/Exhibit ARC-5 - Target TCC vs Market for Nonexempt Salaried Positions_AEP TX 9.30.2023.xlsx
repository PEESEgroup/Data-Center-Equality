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20. Andy Carlin/Exhibits/"/>
    </mc:Choice>
  </mc:AlternateContent>
  <xr:revisionPtr revIDLastSave="1" documentId="13_ncr:1_{F2D54B1C-3C40-4699-9F4B-643F7906DB9B}" xr6:coauthVersionLast="47" xr6:coauthVersionMax="47" xr10:uidLastSave="{71F507F5-39BC-43B4-9E20-1C4245EC9742}"/>
  <bookViews>
    <workbookView xWindow="28680" yWindow="-525" windowWidth="29040" windowHeight="15720" activeTab="2" xr2:uid="{00000000-000D-0000-FFFF-FFFF00000000}"/>
  </bookViews>
  <sheets>
    <sheet name="non exempt" sheetId="4" r:id="rId1"/>
    <sheet name="Chart1" sheetId="5" r:id="rId2"/>
    <sheet name="Graph Data" sheetId="6" r:id="rId3"/>
  </sheets>
  <externalReferences>
    <externalReference r:id="rId4"/>
  </externalReferences>
  <definedNames>
    <definedName name="_xlnm._FilterDatabase" localSheetId="2" hidden="1">'Graph Data'!$A$3:$B$35</definedName>
    <definedName name="_xlnm.Print_Area" localSheetId="0">'non exempt'!$A$1:$J$64</definedName>
    <definedName name="_xlnm.Print_Titles" localSheetId="0">'non exempt'!$3:$4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4" l="1"/>
  <c r="J19" i="4"/>
  <c r="H24" i="4"/>
  <c r="H22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H40" i="4"/>
  <c r="D40" i="4"/>
  <c r="H39" i="4"/>
  <c r="D39" i="4"/>
  <c r="H38" i="4"/>
  <c r="D38" i="4"/>
  <c r="H37" i="4"/>
  <c r="D37" i="4"/>
  <c r="H36" i="4"/>
  <c r="D36" i="4"/>
  <c r="H35" i="4"/>
  <c r="D35" i="4"/>
  <c r="H34" i="4"/>
  <c r="D34" i="4"/>
  <c r="H33" i="4"/>
  <c r="D33" i="4"/>
  <c r="H32" i="4"/>
  <c r="D32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24" i="4"/>
  <c r="D24" i="4"/>
  <c r="J23" i="4"/>
  <c r="H23" i="4"/>
  <c r="D23" i="4"/>
  <c r="J22" i="4"/>
  <c r="D22" i="4"/>
  <c r="J21" i="4"/>
  <c r="H21" i="4"/>
  <c r="D21" i="4"/>
  <c r="H20" i="4"/>
  <c r="D20" i="4"/>
  <c r="D19" i="4"/>
  <c r="H19" i="4" l="1"/>
  <c r="J32" i="4"/>
  <c r="J26" i="4"/>
  <c r="H26" i="4"/>
  <c r="D26" i="4"/>
  <c r="J25" i="4"/>
  <c r="H25" i="4"/>
  <c r="D25" i="4"/>
  <c r="J18" i="4"/>
  <c r="H18" i="4"/>
  <c r="D18" i="4"/>
  <c r="J17" i="4"/>
  <c r="H17" i="4"/>
  <c r="D17" i="4"/>
  <c r="J16" i="4"/>
  <c r="H16" i="4"/>
  <c r="D16" i="4"/>
  <c r="J15" i="4"/>
  <c r="H15" i="4"/>
  <c r="D15" i="4"/>
  <c r="J14" i="4"/>
  <c r="H14" i="4"/>
  <c r="D14" i="4"/>
  <c r="J13" i="4"/>
  <c r="H13" i="4"/>
  <c r="D13" i="4"/>
  <c r="J12" i="4"/>
  <c r="H12" i="4"/>
  <c r="D12" i="4"/>
  <c r="A3" i="6" l="1"/>
  <c r="B9" i="6" l="1"/>
  <c r="J11" i="4"/>
  <c r="J10" i="4"/>
  <c r="J9" i="4"/>
  <c r="B20" i="6" s="1"/>
  <c r="J8" i="4"/>
  <c r="B12" i="6" s="1"/>
  <c r="J7" i="4"/>
  <c r="H11" i="4"/>
  <c r="H10" i="4"/>
  <c r="H9" i="4"/>
  <c r="H8" i="4"/>
  <c r="H7" i="4"/>
  <c r="D11" i="4"/>
  <c r="D10" i="4"/>
  <c r="D9" i="4"/>
  <c r="D8" i="4"/>
  <c r="D7" i="4"/>
  <c r="B28" i="4" l="1"/>
  <c r="B27" i="6" l="1"/>
  <c r="B22" i="6"/>
  <c r="B25" i="6"/>
  <c r="J55" i="4"/>
  <c r="J38" i="4"/>
  <c r="J37" i="4"/>
  <c r="J36" i="4"/>
  <c r="B23" i="6" s="1"/>
  <c r="J35" i="4"/>
  <c r="J34" i="4"/>
  <c r="B14" i="6" s="1"/>
  <c r="J33" i="4"/>
  <c r="B29" i="6" l="1"/>
  <c r="B17" i="6"/>
  <c r="B6" i="6"/>
  <c r="B33" i="6"/>
  <c r="B28" i="6"/>
  <c r="B18" i="6"/>
  <c r="B26" i="6"/>
  <c r="B13" i="6"/>
  <c r="B19" i="6"/>
  <c r="B34" i="6"/>
  <c r="B21" i="6"/>
  <c r="B24" i="6"/>
  <c r="B16" i="6"/>
  <c r="B10" i="6"/>
  <c r="B4" i="6"/>
  <c r="B11" i="6"/>
  <c r="B7" i="6"/>
  <c r="B5" i="6"/>
  <c r="B30" i="6"/>
  <c r="B32" i="6"/>
  <c r="B8" i="6"/>
  <c r="B15" i="6"/>
  <c r="B57" i="4"/>
  <c r="B56" i="4"/>
  <c r="B58" i="4" s="1"/>
  <c r="B29" i="4"/>
  <c r="J6" i="4"/>
  <c r="B31" i="6" s="1"/>
  <c r="H6" i="4"/>
  <c r="D6" i="4"/>
  <c r="B35" i="6" l="1"/>
  <c r="J57" i="4"/>
  <c r="B59" i="4"/>
  <c r="J58" i="4" l="1"/>
  <c r="J59" i="4"/>
</calcChain>
</file>

<file path=xl/sharedStrings.xml><?xml version="1.0" encoding="utf-8"?>
<sst xmlns="http://schemas.openxmlformats.org/spreadsheetml/2006/main" count="111" uniqueCount="78">
  <si>
    <t>Target TCC</t>
  </si>
  <si>
    <t>Base</t>
  </si>
  <si>
    <t>Notes:</t>
  </si>
  <si>
    <t>AEP Incumbent Data</t>
  </si>
  <si>
    <r>
      <t>Survey Results</t>
    </r>
    <r>
      <rPr>
        <b/>
        <vertAlign val="superscript"/>
        <sz val="10"/>
        <rFont val="Arial"/>
        <family val="2"/>
      </rPr>
      <t>1</t>
    </r>
  </si>
  <si>
    <t xml:space="preserve">% Difference </t>
  </si>
  <si>
    <t>Employee Count</t>
  </si>
  <si>
    <t>Avg Base</t>
  </si>
  <si>
    <r>
      <t xml:space="preserve">Target Incentive </t>
    </r>
    <r>
      <rPr>
        <b/>
        <vertAlign val="superscript"/>
        <sz val="10"/>
        <rFont val="Arial"/>
        <family val="2"/>
      </rPr>
      <t>(2)</t>
    </r>
  </si>
  <si>
    <t>Target Incentive</t>
  </si>
  <si>
    <t>Target TCC vs Survey Target TCC</t>
  </si>
  <si>
    <t>AEP SERVICE CORP</t>
  </si>
  <si>
    <t>AVERAGE</t>
  </si>
  <si>
    <t>AEPSC Job Count</t>
  </si>
  <si>
    <t>AEPSC Incumbent Count</t>
  </si>
  <si>
    <t>TOTAL JOB COUNT</t>
  </si>
  <si>
    <t>TOTAL INCUMBENT Count</t>
  </si>
  <si>
    <t>Rate case job identifier</t>
  </si>
  <si>
    <t>SVC_NE1</t>
  </si>
  <si>
    <t>SVC_NE2</t>
  </si>
  <si>
    <t>SVC_NE3</t>
  </si>
  <si>
    <t>SVC_NE4</t>
  </si>
  <si>
    <t>SVC_NE5</t>
  </si>
  <si>
    <t>SVC_NE6</t>
  </si>
  <si>
    <t>SVC_NE7</t>
  </si>
  <si>
    <t>SVC_NE8</t>
  </si>
  <si>
    <t>SVC_NE9</t>
  </si>
  <si>
    <t>SVC_NE10</t>
  </si>
  <si>
    <t>SVC_NE11</t>
  </si>
  <si>
    <r>
      <t>% of Jobs Below Market Competitive Range</t>
    </r>
    <r>
      <rPr>
        <vertAlign val="superscript"/>
        <sz val="10"/>
        <color theme="1"/>
        <rFont val="Arial"/>
        <family val="2"/>
      </rPr>
      <t>3</t>
    </r>
  </si>
  <si>
    <r>
      <t>% of Jobs Above Market Competitive Range</t>
    </r>
    <r>
      <rPr>
        <vertAlign val="superscript"/>
        <sz val="10"/>
        <color theme="1"/>
        <rFont val="Arial"/>
        <family val="2"/>
      </rPr>
      <t>3</t>
    </r>
  </si>
  <si>
    <t>(3) A market competitive range of +/- 10 percent has been used for these salaried nonexempt positions</t>
  </si>
  <si>
    <t>(2) Reflects annual target incentive.</t>
  </si>
  <si>
    <t>Market Low</t>
  </si>
  <si>
    <t>Market Median Compensation</t>
  </si>
  <si>
    <t>Market Max</t>
  </si>
  <si>
    <t>Market Competitive Range</t>
  </si>
  <si>
    <t>L</t>
  </si>
  <si>
    <t>AEP Texas: Target TCC NonExempt positions Versus Market Survey</t>
  </si>
  <si>
    <t>AEP Texas</t>
  </si>
  <si>
    <t>AEP Texas_NE1</t>
  </si>
  <si>
    <t>AEP Texas_NE2</t>
  </si>
  <si>
    <t>AEP Texas_NE3</t>
  </si>
  <si>
    <t>AEP Texas_NE4</t>
  </si>
  <si>
    <t>AEP Texas_NE5</t>
  </si>
  <si>
    <t>AEP Texas_NE6</t>
  </si>
  <si>
    <t>AEP Texas_NE7</t>
  </si>
  <si>
    <t>AEP Texas_NE8</t>
  </si>
  <si>
    <t>AEP Texas_NE9</t>
  </si>
  <si>
    <t>AEP Texas_NE10</t>
  </si>
  <si>
    <t>AEP Texas_NE11</t>
  </si>
  <si>
    <t>AEP Texas_NE12</t>
  </si>
  <si>
    <t>AEP Texas_NE13</t>
  </si>
  <si>
    <t>AEP Texas_NE14</t>
  </si>
  <si>
    <t>AEP Texas_NE15</t>
  </si>
  <si>
    <t>AEP Texas Count</t>
  </si>
  <si>
    <t>AEP Texas Incumbents</t>
  </si>
  <si>
    <t>AEP Texas_NE16</t>
  </si>
  <si>
    <t>AEP Texas_NE17</t>
  </si>
  <si>
    <t>AEP Texas_NE18</t>
  </si>
  <si>
    <t>AEP Texas_NE19</t>
  </si>
  <si>
    <t>AEP Texas_NE20</t>
  </si>
  <si>
    <t>AEP Texas_NE21</t>
  </si>
  <si>
    <t>SVC_NE12</t>
  </si>
  <si>
    <t>SVC_NE13</t>
  </si>
  <si>
    <t>SVC_NE14</t>
  </si>
  <si>
    <t>SVC_NE15</t>
  </si>
  <si>
    <t>SVC_NE16</t>
  </si>
  <si>
    <t>SVC_NE17</t>
  </si>
  <si>
    <t>SVC_NE18</t>
  </si>
  <si>
    <t>SVC_NE19</t>
  </si>
  <si>
    <t>SVC_NE20</t>
  </si>
  <si>
    <t>SVC_NE21</t>
  </si>
  <si>
    <t>SVC_NE22</t>
  </si>
  <si>
    <t>SVC_NE23</t>
  </si>
  <si>
    <t>SVC_NE24</t>
  </si>
  <si>
    <t>(1) Survey Data from  April 2023 Towers Watson Energy Services Middle Management, Professional &amp; Support Survey and Towers Watson General Industry Middle Management Professional &amp; Support Survey, aged toSeptember 30, 2023 @ 4% annual rate.</t>
  </si>
  <si>
    <t>AEP Target TCC  vs. Survey Actual 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</si>
</sst>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center" vertical="center" wrapText="1"/>
    </xf>
    <xf numFmtId="165" fontId="2" fillId="0" borderId="0" xfId="1" applyNumberFormat="1" applyFont="1"/>
    <xf numFmtId="165" fontId="8" fillId="0" borderId="0" xfId="0" applyNumberFormat="1" applyFont="1"/>
    <xf numFmtId="0" fontId="8" fillId="0" borderId="0" xfId="0" applyFont="1"/>
    <xf numFmtId="0" fontId="7" fillId="0" borderId="0" xfId="0" applyFont="1"/>
    <xf numFmtId="0" fontId="3" fillId="0" borderId="4" xfId="0" applyFont="1" applyBorder="1" applyAlignment="1">
      <alignment horizontal="center" vertical="center" wrapText="1"/>
    </xf>
    <xf numFmtId="165" fontId="2" fillId="0" borderId="0" xfId="0" applyNumberFormat="1" applyFont="1" applyFill="1"/>
    <xf numFmtId="0" fontId="2" fillId="0" borderId="0" xfId="0" applyFont="1" applyFill="1"/>
    <xf numFmtId="0" fontId="7" fillId="0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/>
    <xf numFmtId="9" fontId="5" fillId="0" borderId="0" xfId="1" applyNumberFormat="1" applyFont="1"/>
    <xf numFmtId="0" fontId="9" fillId="0" borderId="4" xfId="2" applyFont="1" applyBorder="1"/>
    <xf numFmtId="0" fontId="3" fillId="0" borderId="4" xfId="2" applyFont="1" applyBorder="1" applyAlignment="1">
      <alignment horizontal="center" wrapText="1"/>
    </xf>
    <xf numFmtId="0" fontId="5" fillId="0" borderId="0" xfId="2"/>
    <xf numFmtId="166" fontId="5" fillId="0" borderId="0" xfId="2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5" fillId="0" borderId="0" xfId="0" applyFont="1"/>
    <xf numFmtId="166" fontId="5" fillId="0" borderId="0" xfId="1" applyNumberFormat="1" applyFont="1"/>
    <xf numFmtId="166" fontId="3" fillId="0" borderId="0" xfId="0" applyNumberFormat="1" applyFont="1"/>
    <xf numFmtId="166" fontId="5" fillId="0" borderId="0" xfId="1" applyNumberFormat="1" applyFont="1" applyFill="1"/>
    <xf numFmtId="165" fontId="5" fillId="0" borderId="0" xfId="0" applyNumberFormat="1" applyFont="1"/>
    <xf numFmtId="9" fontId="10" fillId="0" borderId="0" xfId="1" applyNumberFormat="1" applyFont="1"/>
    <xf numFmtId="0" fontId="3" fillId="0" borderId="4" xfId="0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AEP Texas and AEPSC Salaried Nonexempt Positions</a:t>
            </a:r>
          </a:p>
          <a:p>
            <a:pPr>
              <a:defRPr b="1"/>
            </a:pPr>
            <a:r>
              <a:rPr lang="en-US" b="1"/>
              <a:t>vs.</a:t>
            </a:r>
            <a:r>
              <a:rPr lang="en-US" b="1" baseline="0"/>
              <a:t> Market-Competitive Compensation (High to Low)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'Graph Data'!$C$3</c:f>
              <c:strCache>
                <c:ptCount val="1"/>
                <c:pt idx="0">
                  <c:v>Market Low</c:v>
                </c:pt>
              </c:strCache>
            </c:strRef>
          </c:tx>
          <c:spPr>
            <a:pattFill prst="pct60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strRef>
              <c:f>'Graph Data'!$A$4:$A$35</c:f>
              <c:strCache>
                <c:ptCount val="32"/>
                <c:pt idx="0">
                  <c:v>AEP Texas_NE21</c:v>
                </c:pt>
                <c:pt idx="1">
                  <c:v>SVC_NE6</c:v>
                </c:pt>
                <c:pt idx="2">
                  <c:v>AEP Texas_NE11</c:v>
                </c:pt>
                <c:pt idx="3">
                  <c:v>SVC_NE5</c:v>
                </c:pt>
                <c:pt idx="4">
                  <c:v>AEP Texas_NE15</c:v>
                </c:pt>
                <c:pt idx="5">
                  <c:v>AEP Texas_NE19</c:v>
                </c:pt>
                <c:pt idx="6">
                  <c:v>AEP Texas_NE20</c:v>
                </c:pt>
                <c:pt idx="7">
                  <c:v>AEP Texas_NE17</c:v>
                </c:pt>
                <c:pt idx="8">
                  <c:v>AEP Texas_NE3</c:v>
                </c:pt>
                <c:pt idx="9">
                  <c:v>SVC_NE3</c:v>
                </c:pt>
                <c:pt idx="10">
                  <c:v>AEP Texas_NE8</c:v>
                </c:pt>
                <c:pt idx="11">
                  <c:v>AEP Texas_NE18</c:v>
                </c:pt>
                <c:pt idx="12">
                  <c:v>SVC_NE8</c:v>
                </c:pt>
                <c:pt idx="13">
                  <c:v>SVC_NE11</c:v>
                </c:pt>
                <c:pt idx="14">
                  <c:v>AEP Texas_NE2</c:v>
                </c:pt>
                <c:pt idx="15">
                  <c:v>AEP Texas_NE16</c:v>
                </c:pt>
                <c:pt idx="16">
                  <c:v>AEP Texas_NE4</c:v>
                </c:pt>
                <c:pt idx="17">
                  <c:v>AEP Texas_NE12</c:v>
                </c:pt>
                <c:pt idx="18">
                  <c:v>AEP Texas_NE10</c:v>
                </c:pt>
                <c:pt idx="19">
                  <c:v>AEP Texas_NE9</c:v>
                </c:pt>
                <c:pt idx="20">
                  <c:v>SVC_NE2</c:v>
                </c:pt>
                <c:pt idx="21">
                  <c:v>SVC_NE9</c:v>
                </c:pt>
                <c:pt idx="22">
                  <c:v>AEP Texas_NE6</c:v>
                </c:pt>
                <c:pt idx="23">
                  <c:v>SVC_NE1</c:v>
                </c:pt>
                <c:pt idx="24">
                  <c:v>SVC_NE4</c:v>
                </c:pt>
                <c:pt idx="25">
                  <c:v>SVC_NE7</c:v>
                </c:pt>
                <c:pt idx="26">
                  <c:v>AEP Texas_NE5</c:v>
                </c:pt>
                <c:pt idx="27">
                  <c:v>AEP Texas_NE1</c:v>
                </c:pt>
                <c:pt idx="28">
                  <c:v>AEP Texas_NE14</c:v>
                </c:pt>
                <c:pt idx="29">
                  <c:v>AEP Texas_NE7</c:v>
                </c:pt>
                <c:pt idx="30">
                  <c:v>SVC_NE10</c:v>
                </c:pt>
                <c:pt idx="31">
                  <c:v>AEP Texas_NE13</c:v>
                </c:pt>
              </c:strCache>
            </c:strRef>
          </c:cat>
          <c:val>
            <c:numRef>
              <c:f>'Graph Data'!$C$4:$C$35</c:f>
              <c:numCache>
                <c:formatCode>0.0%</c:formatCode>
                <c:ptCount val="3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B47-A293-69FAF5077973}"/>
            </c:ext>
          </c:extLst>
        </c:ser>
        <c:ser>
          <c:idx val="3"/>
          <c:order val="1"/>
          <c:tx>
            <c:strRef>
              <c:f>'Graph Data'!$E$3</c:f>
              <c:strCache>
                <c:ptCount val="1"/>
                <c:pt idx="0">
                  <c:v>Market Competitive Range</c:v>
                </c:pt>
              </c:strCache>
            </c:strRef>
          </c:tx>
          <c:spPr>
            <a:pattFill prst="pct20">
              <a:fgClr>
                <a:srgbClr val="00B050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strRef>
              <c:f>'Graph Data'!$A$4:$A$35</c:f>
              <c:strCache>
                <c:ptCount val="32"/>
                <c:pt idx="0">
                  <c:v>AEP Texas_NE21</c:v>
                </c:pt>
                <c:pt idx="1">
                  <c:v>SVC_NE6</c:v>
                </c:pt>
                <c:pt idx="2">
                  <c:v>AEP Texas_NE11</c:v>
                </c:pt>
                <c:pt idx="3">
                  <c:v>SVC_NE5</c:v>
                </c:pt>
                <c:pt idx="4">
                  <c:v>AEP Texas_NE15</c:v>
                </c:pt>
                <c:pt idx="5">
                  <c:v>AEP Texas_NE19</c:v>
                </c:pt>
                <c:pt idx="6">
                  <c:v>AEP Texas_NE20</c:v>
                </c:pt>
                <c:pt idx="7">
                  <c:v>AEP Texas_NE17</c:v>
                </c:pt>
                <c:pt idx="8">
                  <c:v>AEP Texas_NE3</c:v>
                </c:pt>
                <c:pt idx="9">
                  <c:v>SVC_NE3</c:v>
                </c:pt>
                <c:pt idx="10">
                  <c:v>AEP Texas_NE8</c:v>
                </c:pt>
                <c:pt idx="11">
                  <c:v>AEP Texas_NE18</c:v>
                </c:pt>
                <c:pt idx="12">
                  <c:v>SVC_NE8</c:v>
                </c:pt>
                <c:pt idx="13">
                  <c:v>SVC_NE11</c:v>
                </c:pt>
                <c:pt idx="14">
                  <c:v>AEP Texas_NE2</c:v>
                </c:pt>
                <c:pt idx="15">
                  <c:v>AEP Texas_NE16</c:v>
                </c:pt>
                <c:pt idx="16">
                  <c:v>AEP Texas_NE4</c:v>
                </c:pt>
                <c:pt idx="17">
                  <c:v>AEP Texas_NE12</c:v>
                </c:pt>
                <c:pt idx="18">
                  <c:v>AEP Texas_NE10</c:v>
                </c:pt>
                <c:pt idx="19">
                  <c:v>AEP Texas_NE9</c:v>
                </c:pt>
                <c:pt idx="20">
                  <c:v>SVC_NE2</c:v>
                </c:pt>
                <c:pt idx="21">
                  <c:v>SVC_NE9</c:v>
                </c:pt>
                <c:pt idx="22">
                  <c:v>AEP Texas_NE6</c:v>
                </c:pt>
                <c:pt idx="23">
                  <c:v>SVC_NE1</c:v>
                </c:pt>
                <c:pt idx="24">
                  <c:v>SVC_NE4</c:v>
                </c:pt>
                <c:pt idx="25">
                  <c:v>SVC_NE7</c:v>
                </c:pt>
                <c:pt idx="26">
                  <c:v>AEP Texas_NE5</c:v>
                </c:pt>
                <c:pt idx="27">
                  <c:v>AEP Texas_NE1</c:v>
                </c:pt>
                <c:pt idx="28">
                  <c:v>AEP Texas_NE14</c:v>
                </c:pt>
                <c:pt idx="29">
                  <c:v>AEP Texas_NE7</c:v>
                </c:pt>
                <c:pt idx="30">
                  <c:v>SVC_NE10</c:v>
                </c:pt>
                <c:pt idx="31">
                  <c:v>AEP Texas_NE13</c:v>
                </c:pt>
              </c:strCache>
            </c:strRef>
          </c:cat>
          <c:val>
            <c:numRef>
              <c:f>'Graph Data'!$E$4:$E$35</c:f>
              <c:numCache>
                <c:formatCode>0.0%</c:formatCode>
                <c:ptCount val="3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F-4B47-A293-69FAF5077973}"/>
            </c:ext>
          </c:extLst>
        </c:ser>
        <c:ser>
          <c:idx val="4"/>
          <c:order val="3"/>
          <c:tx>
            <c:strRef>
              <c:f>'Graph Data'!$F$3</c:f>
              <c:strCache>
                <c:ptCount val="1"/>
                <c:pt idx="0">
                  <c:v>Market Max</c:v>
                </c:pt>
              </c:strCache>
            </c:strRef>
          </c:tx>
          <c:spPr>
            <a:pattFill prst="pct5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cat>
            <c:strRef>
              <c:f>'Graph Data'!$A$4:$A$35</c:f>
              <c:strCache>
                <c:ptCount val="32"/>
                <c:pt idx="0">
                  <c:v>AEP Texas_NE21</c:v>
                </c:pt>
                <c:pt idx="1">
                  <c:v>SVC_NE6</c:v>
                </c:pt>
                <c:pt idx="2">
                  <c:v>AEP Texas_NE11</c:v>
                </c:pt>
                <c:pt idx="3">
                  <c:v>SVC_NE5</c:v>
                </c:pt>
                <c:pt idx="4">
                  <c:v>AEP Texas_NE15</c:v>
                </c:pt>
                <c:pt idx="5">
                  <c:v>AEP Texas_NE19</c:v>
                </c:pt>
                <c:pt idx="6">
                  <c:v>AEP Texas_NE20</c:v>
                </c:pt>
                <c:pt idx="7">
                  <c:v>AEP Texas_NE17</c:v>
                </c:pt>
                <c:pt idx="8">
                  <c:v>AEP Texas_NE3</c:v>
                </c:pt>
                <c:pt idx="9">
                  <c:v>SVC_NE3</c:v>
                </c:pt>
                <c:pt idx="10">
                  <c:v>AEP Texas_NE8</c:v>
                </c:pt>
                <c:pt idx="11">
                  <c:v>AEP Texas_NE18</c:v>
                </c:pt>
                <c:pt idx="12">
                  <c:v>SVC_NE8</c:v>
                </c:pt>
                <c:pt idx="13">
                  <c:v>SVC_NE11</c:v>
                </c:pt>
                <c:pt idx="14">
                  <c:v>AEP Texas_NE2</c:v>
                </c:pt>
                <c:pt idx="15">
                  <c:v>AEP Texas_NE16</c:v>
                </c:pt>
                <c:pt idx="16">
                  <c:v>AEP Texas_NE4</c:v>
                </c:pt>
                <c:pt idx="17">
                  <c:v>AEP Texas_NE12</c:v>
                </c:pt>
                <c:pt idx="18">
                  <c:v>AEP Texas_NE10</c:v>
                </c:pt>
                <c:pt idx="19">
                  <c:v>AEP Texas_NE9</c:v>
                </c:pt>
                <c:pt idx="20">
                  <c:v>SVC_NE2</c:v>
                </c:pt>
                <c:pt idx="21">
                  <c:v>SVC_NE9</c:v>
                </c:pt>
                <c:pt idx="22">
                  <c:v>AEP Texas_NE6</c:v>
                </c:pt>
                <c:pt idx="23">
                  <c:v>SVC_NE1</c:v>
                </c:pt>
                <c:pt idx="24">
                  <c:v>SVC_NE4</c:v>
                </c:pt>
                <c:pt idx="25">
                  <c:v>SVC_NE7</c:v>
                </c:pt>
                <c:pt idx="26">
                  <c:v>AEP Texas_NE5</c:v>
                </c:pt>
                <c:pt idx="27">
                  <c:v>AEP Texas_NE1</c:v>
                </c:pt>
                <c:pt idx="28">
                  <c:v>AEP Texas_NE14</c:v>
                </c:pt>
                <c:pt idx="29">
                  <c:v>AEP Texas_NE7</c:v>
                </c:pt>
                <c:pt idx="30">
                  <c:v>SVC_NE10</c:v>
                </c:pt>
                <c:pt idx="31">
                  <c:v>AEP Texas_NE13</c:v>
                </c:pt>
              </c:strCache>
            </c:strRef>
          </c:cat>
          <c:val>
            <c:numRef>
              <c:f>'Graph Data'!$F$4:$F$35</c:f>
              <c:numCache>
                <c:formatCode>0.0%</c:formatCode>
                <c:ptCount val="3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F-4B47-A293-69FAF507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25712"/>
        <c:axId val="474122432"/>
      </c:areaChart>
      <c:lineChart>
        <c:grouping val="standard"/>
        <c:varyColors val="0"/>
        <c:ser>
          <c:idx val="5"/>
          <c:order val="2"/>
          <c:tx>
            <c:strRef>
              <c:f>'Graph Data'!$D$3</c:f>
              <c:strCache>
                <c:ptCount val="1"/>
                <c:pt idx="0">
                  <c:v>Market Median Compensation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'Graph Data'!$A$4:$A$35</c:f>
              <c:strCache>
                <c:ptCount val="32"/>
                <c:pt idx="0">
                  <c:v>AEP Texas_NE21</c:v>
                </c:pt>
                <c:pt idx="1">
                  <c:v>SVC_NE6</c:v>
                </c:pt>
                <c:pt idx="2">
                  <c:v>AEP Texas_NE11</c:v>
                </c:pt>
                <c:pt idx="3">
                  <c:v>SVC_NE5</c:v>
                </c:pt>
                <c:pt idx="4">
                  <c:v>AEP Texas_NE15</c:v>
                </c:pt>
                <c:pt idx="5">
                  <c:v>AEP Texas_NE19</c:v>
                </c:pt>
                <c:pt idx="6">
                  <c:v>AEP Texas_NE20</c:v>
                </c:pt>
                <c:pt idx="7">
                  <c:v>AEP Texas_NE17</c:v>
                </c:pt>
                <c:pt idx="8">
                  <c:v>AEP Texas_NE3</c:v>
                </c:pt>
                <c:pt idx="9">
                  <c:v>SVC_NE3</c:v>
                </c:pt>
                <c:pt idx="10">
                  <c:v>AEP Texas_NE8</c:v>
                </c:pt>
                <c:pt idx="11">
                  <c:v>AEP Texas_NE18</c:v>
                </c:pt>
                <c:pt idx="12">
                  <c:v>SVC_NE8</c:v>
                </c:pt>
                <c:pt idx="13">
                  <c:v>SVC_NE11</c:v>
                </c:pt>
                <c:pt idx="14">
                  <c:v>AEP Texas_NE2</c:v>
                </c:pt>
                <c:pt idx="15">
                  <c:v>AEP Texas_NE16</c:v>
                </c:pt>
                <c:pt idx="16">
                  <c:v>AEP Texas_NE4</c:v>
                </c:pt>
                <c:pt idx="17">
                  <c:v>AEP Texas_NE12</c:v>
                </c:pt>
                <c:pt idx="18">
                  <c:v>AEP Texas_NE10</c:v>
                </c:pt>
                <c:pt idx="19">
                  <c:v>AEP Texas_NE9</c:v>
                </c:pt>
                <c:pt idx="20">
                  <c:v>SVC_NE2</c:v>
                </c:pt>
                <c:pt idx="21">
                  <c:v>SVC_NE9</c:v>
                </c:pt>
                <c:pt idx="22">
                  <c:v>AEP Texas_NE6</c:v>
                </c:pt>
                <c:pt idx="23">
                  <c:v>SVC_NE1</c:v>
                </c:pt>
                <c:pt idx="24">
                  <c:v>SVC_NE4</c:v>
                </c:pt>
                <c:pt idx="25">
                  <c:v>SVC_NE7</c:v>
                </c:pt>
                <c:pt idx="26">
                  <c:v>AEP Texas_NE5</c:v>
                </c:pt>
                <c:pt idx="27">
                  <c:v>AEP Texas_NE1</c:v>
                </c:pt>
                <c:pt idx="28">
                  <c:v>AEP Texas_NE14</c:v>
                </c:pt>
                <c:pt idx="29">
                  <c:v>AEP Texas_NE7</c:v>
                </c:pt>
                <c:pt idx="30">
                  <c:v>SVC_NE10</c:v>
                </c:pt>
                <c:pt idx="31">
                  <c:v>AEP Texas_NE13</c:v>
                </c:pt>
              </c:strCache>
            </c:strRef>
          </c:cat>
          <c:val>
            <c:numRef>
              <c:f>'Graph Data'!$D$4:$D$35</c:f>
              <c:numCache>
                <c:formatCode>0.0%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CF-4B47-A293-69FAF5077973}"/>
            </c:ext>
          </c:extLst>
        </c:ser>
        <c:ser>
          <c:idx val="0"/>
          <c:order val="4"/>
          <c:tx>
            <c:strRef>
              <c:f>'Graph Data'!$B$3</c:f>
              <c:strCache>
                <c:ptCount val="1"/>
                <c:pt idx="0">
                  <c:v>AEP Target TCC  vs. Survey Actual TCC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'Graph Data'!$A$4:$A$35</c:f>
              <c:strCache>
                <c:ptCount val="32"/>
                <c:pt idx="0">
                  <c:v>AEP Texas_NE21</c:v>
                </c:pt>
                <c:pt idx="1">
                  <c:v>SVC_NE6</c:v>
                </c:pt>
                <c:pt idx="2">
                  <c:v>AEP Texas_NE11</c:v>
                </c:pt>
                <c:pt idx="3">
                  <c:v>SVC_NE5</c:v>
                </c:pt>
                <c:pt idx="4">
                  <c:v>AEP Texas_NE15</c:v>
                </c:pt>
                <c:pt idx="5">
                  <c:v>AEP Texas_NE19</c:v>
                </c:pt>
                <c:pt idx="6">
                  <c:v>AEP Texas_NE20</c:v>
                </c:pt>
                <c:pt idx="7">
                  <c:v>AEP Texas_NE17</c:v>
                </c:pt>
                <c:pt idx="8">
                  <c:v>AEP Texas_NE3</c:v>
                </c:pt>
                <c:pt idx="9">
                  <c:v>SVC_NE3</c:v>
                </c:pt>
                <c:pt idx="10">
                  <c:v>AEP Texas_NE8</c:v>
                </c:pt>
                <c:pt idx="11">
                  <c:v>AEP Texas_NE18</c:v>
                </c:pt>
                <c:pt idx="12">
                  <c:v>SVC_NE8</c:v>
                </c:pt>
                <c:pt idx="13">
                  <c:v>SVC_NE11</c:v>
                </c:pt>
                <c:pt idx="14">
                  <c:v>AEP Texas_NE2</c:v>
                </c:pt>
                <c:pt idx="15">
                  <c:v>AEP Texas_NE16</c:v>
                </c:pt>
                <c:pt idx="16">
                  <c:v>AEP Texas_NE4</c:v>
                </c:pt>
                <c:pt idx="17">
                  <c:v>AEP Texas_NE12</c:v>
                </c:pt>
                <c:pt idx="18">
                  <c:v>AEP Texas_NE10</c:v>
                </c:pt>
                <c:pt idx="19">
                  <c:v>AEP Texas_NE9</c:v>
                </c:pt>
                <c:pt idx="20">
                  <c:v>SVC_NE2</c:v>
                </c:pt>
                <c:pt idx="21">
                  <c:v>SVC_NE9</c:v>
                </c:pt>
                <c:pt idx="22">
                  <c:v>AEP Texas_NE6</c:v>
                </c:pt>
                <c:pt idx="23">
                  <c:v>SVC_NE1</c:v>
                </c:pt>
                <c:pt idx="24">
                  <c:v>SVC_NE4</c:v>
                </c:pt>
                <c:pt idx="25">
                  <c:v>SVC_NE7</c:v>
                </c:pt>
                <c:pt idx="26">
                  <c:v>AEP Texas_NE5</c:v>
                </c:pt>
                <c:pt idx="27">
                  <c:v>AEP Texas_NE1</c:v>
                </c:pt>
                <c:pt idx="28">
                  <c:v>AEP Texas_NE14</c:v>
                </c:pt>
                <c:pt idx="29">
                  <c:v>AEP Texas_NE7</c:v>
                </c:pt>
                <c:pt idx="30">
                  <c:v>SVC_NE10</c:v>
                </c:pt>
                <c:pt idx="31">
                  <c:v>AEP Texas_NE13</c:v>
                </c:pt>
              </c:strCache>
            </c:strRef>
          </c:cat>
          <c:val>
            <c:numRef>
              <c:f>'Graph Data'!$B$4:$B$35</c:f>
              <c:numCache>
                <c:formatCode>0.0%</c:formatCode>
                <c:ptCount val="32"/>
                <c:pt idx="0">
                  <c:v>1.1536304633187484</c:v>
                </c:pt>
                <c:pt idx="1">
                  <c:v>1.1498860032778842</c:v>
                </c:pt>
                <c:pt idx="2">
                  <c:v>1.1419931580747109</c:v>
                </c:pt>
                <c:pt idx="3">
                  <c:v>1.1126909865596188</c:v>
                </c:pt>
                <c:pt idx="4">
                  <c:v>1.1040744477378481</c:v>
                </c:pt>
                <c:pt idx="5">
                  <c:v>1.1032847288345522</c:v>
                </c:pt>
                <c:pt idx="6">
                  <c:v>1.0511304067747536</c:v>
                </c:pt>
                <c:pt idx="7">
                  <c:v>1.0211955683094913</c:v>
                </c:pt>
                <c:pt idx="8">
                  <c:v>0.99749770786282332</c:v>
                </c:pt>
                <c:pt idx="9">
                  <c:v>0.99717951166707242</c:v>
                </c:pt>
                <c:pt idx="10">
                  <c:v>0.99245788544468772</c:v>
                </c:pt>
                <c:pt idx="11">
                  <c:v>0.97909992898382581</c:v>
                </c:pt>
                <c:pt idx="12">
                  <c:v>0.97458365201672315</c:v>
                </c:pt>
                <c:pt idx="13">
                  <c:v>0.97116573766573233</c:v>
                </c:pt>
                <c:pt idx="14">
                  <c:v>0.96536166833711723</c:v>
                </c:pt>
                <c:pt idx="15">
                  <c:v>0.96359647501933432</c:v>
                </c:pt>
                <c:pt idx="16">
                  <c:v>0.96295684964652051</c:v>
                </c:pt>
                <c:pt idx="17">
                  <c:v>0.95033505174065014</c:v>
                </c:pt>
                <c:pt idx="18">
                  <c:v>0.94942461230664466</c:v>
                </c:pt>
                <c:pt idx="19">
                  <c:v>0.94353628769237641</c:v>
                </c:pt>
                <c:pt idx="20">
                  <c:v>0.9420412162172066</c:v>
                </c:pt>
                <c:pt idx="21">
                  <c:v>0.93761106453495258</c:v>
                </c:pt>
                <c:pt idx="22">
                  <c:v>0.92391174783684593</c:v>
                </c:pt>
                <c:pt idx="23">
                  <c:v>0.90037022054976745</c:v>
                </c:pt>
                <c:pt idx="24">
                  <c:v>0.89955862141488763</c:v>
                </c:pt>
                <c:pt idx="25">
                  <c:v>0.89841362665894919</c:v>
                </c:pt>
                <c:pt idx="26">
                  <c:v>0.89263724630921715</c:v>
                </c:pt>
                <c:pt idx="27">
                  <c:v>0.87767377281178738</c:v>
                </c:pt>
                <c:pt idx="28">
                  <c:v>0.84854656514283022</c:v>
                </c:pt>
                <c:pt idx="29">
                  <c:v>0.79426285170961797</c:v>
                </c:pt>
                <c:pt idx="30">
                  <c:v>0.77157881196382117</c:v>
                </c:pt>
                <c:pt idx="31">
                  <c:v>0.74580504569090822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F-4B47-A293-69FAF507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25712"/>
        <c:axId val="474122432"/>
        <c:extLst>
          <c:ext xmlns:c15="http://schemas.microsoft.com/office/drawing/2012/chart" uri="{02D57815-91ED-43cb-92C2-25804820EDAC}">
            <c15:filteredLineSeries>
              <c15:ser>
                <c:idx val="1"/>
                <c:order val="5"/>
                <c:tx>
                  <c:strRef>
                    <c:extLst>
                      <c:ext uri="{02D57815-91ED-43cb-92C2-25804820EDAC}">
                        <c15:formulaRef>
                          <c15:sqref>'Graph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'Graph Data'!$A$4:$A$35</c15:sqref>
                        </c15:formulaRef>
                      </c:ext>
                    </c:extLst>
                    <c:strCache>
                      <c:ptCount val="32"/>
                      <c:pt idx="0">
                        <c:v>AEP Texas_NE21</c:v>
                      </c:pt>
                      <c:pt idx="1">
                        <c:v>SVC_NE6</c:v>
                      </c:pt>
                      <c:pt idx="2">
                        <c:v>AEP Texas_NE11</c:v>
                      </c:pt>
                      <c:pt idx="3">
                        <c:v>SVC_NE5</c:v>
                      </c:pt>
                      <c:pt idx="4">
                        <c:v>AEP Texas_NE15</c:v>
                      </c:pt>
                      <c:pt idx="5">
                        <c:v>AEP Texas_NE19</c:v>
                      </c:pt>
                      <c:pt idx="6">
                        <c:v>AEP Texas_NE20</c:v>
                      </c:pt>
                      <c:pt idx="7">
                        <c:v>AEP Texas_NE17</c:v>
                      </c:pt>
                      <c:pt idx="8">
                        <c:v>AEP Texas_NE3</c:v>
                      </c:pt>
                      <c:pt idx="9">
                        <c:v>SVC_NE3</c:v>
                      </c:pt>
                      <c:pt idx="10">
                        <c:v>AEP Texas_NE8</c:v>
                      </c:pt>
                      <c:pt idx="11">
                        <c:v>AEP Texas_NE18</c:v>
                      </c:pt>
                      <c:pt idx="12">
                        <c:v>SVC_NE8</c:v>
                      </c:pt>
                      <c:pt idx="13">
                        <c:v>SVC_NE11</c:v>
                      </c:pt>
                      <c:pt idx="14">
                        <c:v>AEP Texas_NE2</c:v>
                      </c:pt>
                      <c:pt idx="15">
                        <c:v>AEP Texas_NE16</c:v>
                      </c:pt>
                      <c:pt idx="16">
                        <c:v>AEP Texas_NE4</c:v>
                      </c:pt>
                      <c:pt idx="17">
                        <c:v>AEP Texas_NE12</c:v>
                      </c:pt>
                      <c:pt idx="18">
                        <c:v>AEP Texas_NE10</c:v>
                      </c:pt>
                      <c:pt idx="19">
                        <c:v>AEP Texas_NE9</c:v>
                      </c:pt>
                      <c:pt idx="20">
                        <c:v>SVC_NE2</c:v>
                      </c:pt>
                      <c:pt idx="21">
                        <c:v>SVC_NE9</c:v>
                      </c:pt>
                      <c:pt idx="22">
                        <c:v>AEP Texas_NE6</c:v>
                      </c:pt>
                      <c:pt idx="23">
                        <c:v>SVC_NE1</c:v>
                      </c:pt>
                      <c:pt idx="24">
                        <c:v>SVC_NE4</c:v>
                      </c:pt>
                      <c:pt idx="25">
                        <c:v>SVC_NE7</c:v>
                      </c:pt>
                      <c:pt idx="26">
                        <c:v>AEP Texas_NE5</c:v>
                      </c:pt>
                      <c:pt idx="27">
                        <c:v>AEP Texas_NE1</c:v>
                      </c:pt>
                      <c:pt idx="28">
                        <c:v>AEP Texas_NE14</c:v>
                      </c:pt>
                      <c:pt idx="29">
                        <c:v>AEP Texas_NE7</c:v>
                      </c:pt>
                      <c:pt idx="30">
                        <c:v>SVC_NE10</c:v>
                      </c:pt>
                      <c:pt idx="31">
                        <c:v>AEP Texas_NE13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'Graph Data'!#REF!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DCF-4B47-A293-69FAF5077973}"/>
                  </c:ext>
                </c:extLst>
              </c15:ser>
            </c15:filteredLineSeries>
          </c:ext>
        </c:extLst>
      </c:lineChart>
      <c:catAx>
        <c:axId val="47412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AEP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22432"/>
        <c:crosses val="autoZero"/>
        <c:auto val="1"/>
        <c:lblAlgn val="ctr"/>
        <c:lblOffset val="100"/>
        <c:tickLblSkip val="1"/>
        <c:noMultiLvlLbl val="0"/>
      </c:catAx>
      <c:valAx>
        <c:axId val="474122432"/>
        <c:scaling>
          <c:orientation val="minMax"/>
          <c:max val="1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AEP Compensation as a Percent of Market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cross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25712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08" workbookViewId="0" zoomToFit="1"/>
  </sheetViews>
  <pageMargins left="0.7" right="0.7" top="0.75" bottom="0.75" header="0.3" footer="0.3"/>
  <pageSetup orientation="landscape" copies="2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CompExecBen/Comp/Rate%20Cases/OH/2020%20OH%20Distr%20Base%20Case/2020%20OH%20D%20Case%20Testimony/Attachments/Copy%20of%20Attachment%20ARC-3%20-%20Target%20TCC%20vs%20Market%20for%20Technical%20Craft%20%20Clerical%20Positions%20(002).xlsx?E4C3EBBD" TargetMode="External"/><Relationship Id="rId1" Type="http://schemas.openxmlformats.org/officeDocument/2006/relationships/externalLinkPath" Target="file:///\\E4C3EBBD\Copy%20of%20Attachment%20ARC-3%20-%20Target%20TCC%20vs%20Market%20for%20Technical%20Craft%20%20Clerical%20Position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 data_12.31.2019"/>
      <sheetName val="Chart1"/>
      <sheetName val="Graph Data"/>
    </sheetNames>
    <sheetDataSet>
      <sheetData sheetId="0">
        <row r="4">
          <cell r="A4" t="str">
            <v>AEP Job</v>
          </cell>
        </row>
      </sheetData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64"/>
  <sheetViews>
    <sheetView tabSelected="1" zoomScaleNormal="100" workbookViewId="0">
      <pane ySplit="4" topLeftCell="A5" activePane="bottomLeft" state="frozen"/>
      <selection activeCell="B4" sqref="B4"/>
      <selection pane="bottomLeft" activeCell="B4" sqref="B4"/>
    </sheetView>
  </sheetViews>
  <sheetFormatPr defaultColWidth="9.140625" defaultRowHeight="12.75" x14ac:dyDescent="0.2"/>
  <cols>
    <col min="1" max="1" width="26.7109375" style="1" customWidth="1"/>
    <col min="2" max="2" width="10.42578125" style="1" customWidth="1"/>
    <col min="3" max="3" width="11.140625" style="3" bestFit="1" customWidth="1"/>
    <col min="4" max="4" width="10.140625" style="3" bestFit="1" customWidth="1"/>
    <col min="5" max="5" width="11.140625" style="3" bestFit="1" customWidth="1"/>
    <col min="6" max="6" width="6.28515625" style="1" customWidth="1"/>
    <col min="7" max="7" width="11.140625" style="3" bestFit="1" customWidth="1"/>
    <col min="8" max="8" width="10.140625" style="3" bestFit="1" customWidth="1"/>
    <col min="9" max="9" width="11.140625" style="3" bestFit="1" customWidth="1"/>
    <col min="10" max="10" width="11.140625" style="29" bestFit="1" customWidth="1"/>
    <col min="11" max="16384" width="9.140625" style="1"/>
  </cols>
  <sheetData>
    <row r="1" spans="1:10" x14ac:dyDescent="0.2">
      <c r="A1" s="21" t="s">
        <v>38</v>
      </c>
    </row>
    <row r="3" spans="1:10" s="5" customFormat="1" ht="26.25" customHeight="1" x14ac:dyDescent="0.2">
      <c r="B3" s="6"/>
      <c r="C3" s="36" t="s">
        <v>3</v>
      </c>
      <c r="D3" s="37"/>
      <c r="E3" s="38"/>
      <c r="G3" s="36" t="s">
        <v>4</v>
      </c>
      <c r="H3" s="37"/>
      <c r="I3" s="38"/>
      <c r="J3" s="35" t="s">
        <v>5</v>
      </c>
    </row>
    <row r="4" spans="1:10" s="7" customFormat="1" ht="51" customHeight="1" x14ac:dyDescent="0.25">
      <c r="A4" s="15" t="s">
        <v>17</v>
      </c>
      <c r="B4" s="4" t="s">
        <v>6</v>
      </c>
      <c r="C4" s="9" t="s">
        <v>7</v>
      </c>
      <c r="D4" s="9" t="s">
        <v>8</v>
      </c>
      <c r="E4" s="9" t="s">
        <v>0</v>
      </c>
      <c r="G4" s="9" t="s">
        <v>1</v>
      </c>
      <c r="H4" s="9" t="s">
        <v>9</v>
      </c>
      <c r="I4" s="9" t="s">
        <v>0</v>
      </c>
      <c r="J4" s="4" t="s">
        <v>10</v>
      </c>
    </row>
    <row r="5" spans="1:10" s="7" customFormat="1" x14ac:dyDescent="0.2">
      <c r="A5" s="18" t="s">
        <v>39</v>
      </c>
      <c r="B5" s="8"/>
      <c r="C5" s="10"/>
      <c r="D5" s="10"/>
      <c r="E5" s="10"/>
      <c r="G5" s="10"/>
      <c r="H5" s="10"/>
      <c r="I5" s="10"/>
      <c r="J5" s="8"/>
    </row>
    <row r="6" spans="1:10" x14ac:dyDescent="0.2">
      <c r="A6" s="1" t="s">
        <v>40</v>
      </c>
      <c r="B6" s="1">
        <v>3</v>
      </c>
      <c r="C6" s="3">
        <v>55650.360000000008</v>
      </c>
      <c r="D6" s="11">
        <f t="shared" ref="D6:D11" si="0">E6-C6</f>
        <v>3339.0216</v>
      </c>
      <c r="E6" s="3">
        <v>58989.381600000008</v>
      </c>
      <c r="G6" s="3">
        <v>65549.486913750006</v>
      </c>
      <c r="H6" s="3">
        <f t="shared" ref="H6:H11" si="1">I6-G6</f>
        <v>1661.5696625639976</v>
      </c>
      <c r="I6" s="3">
        <v>67211.056576314004</v>
      </c>
      <c r="J6" s="30">
        <f t="shared" ref="J6" si="2">(E6-I6)/I6</f>
        <v>-0.12232622718821258</v>
      </c>
    </row>
    <row r="7" spans="1:10" x14ac:dyDescent="0.2">
      <c r="A7" s="1" t="s">
        <v>41</v>
      </c>
      <c r="B7" s="1">
        <v>6</v>
      </c>
      <c r="C7" s="3">
        <v>49790.781666666669</v>
      </c>
      <c r="D7" s="11">
        <f t="shared" si="0"/>
        <v>2489.5390833333367</v>
      </c>
      <c r="E7" s="3">
        <v>52280.320750000006</v>
      </c>
      <c r="G7" s="3">
        <v>52641.77562</v>
      </c>
      <c r="H7" s="3">
        <f t="shared" si="1"/>
        <v>1514.4255890819986</v>
      </c>
      <c r="I7" s="3">
        <v>54156.201209081999</v>
      </c>
      <c r="J7" s="30">
        <f t="shared" ref="J7:J11" si="3">(E7-I7)/I7</f>
        <v>-3.4638331662882722E-2</v>
      </c>
    </row>
    <row r="8" spans="1:10" x14ac:dyDescent="0.2">
      <c r="A8" s="1" t="s">
        <v>42</v>
      </c>
      <c r="B8" s="1">
        <v>2</v>
      </c>
      <c r="C8" s="3">
        <v>71765.790000000008</v>
      </c>
      <c r="D8" s="11">
        <f t="shared" si="0"/>
        <v>5741.2632000000012</v>
      </c>
      <c r="E8" s="3">
        <v>77507.053200000009</v>
      </c>
      <c r="G8" s="3">
        <v>74230.342516638004</v>
      </c>
      <c r="H8" s="3">
        <f t="shared" si="1"/>
        <v>3471.1424983619945</v>
      </c>
      <c r="I8" s="3">
        <v>77701.485014999998</v>
      </c>
      <c r="J8" s="30">
        <f t="shared" si="3"/>
        <v>-2.5022921371767172E-3</v>
      </c>
    </row>
    <row r="9" spans="1:10" x14ac:dyDescent="0.2">
      <c r="A9" s="1" t="s">
        <v>43</v>
      </c>
      <c r="B9" s="1">
        <v>6</v>
      </c>
      <c r="C9" s="3">
        <v>44596.821666666663</v>
      </c>
      <c r="D9" s="11">
        <f t="shared" si="0"/>
        <v>2229.8410833333328</v>
      </c>
      <c r="E9" s="3">
        <v>46826.662749999996</v>
      </c>
      <c r="G9" s="3">
        <v>45328.792647978</v>
      </c>
      <c r="H9" s="3">
        <f t="shared" si="1"/>
        <v>3299.204304521998</v>
      </c>
      <c r="I9" s="3">
        <v>48627.996952499998</v>
      </c>
      <c r="J9" s="30">
        <f t="shared" si="3"/>
        <v>-3.7043150353479534E-2</v>
      </c>
    </row>
    <row r="10" spans="1:10" x14ac:dyDescent="0.2">
      <c r="A10" s="1" t="s">
        <v>44</v>
      </c>
      <c r="B10" s="1">
        <v>17</v>
      </c>
      <c r="C10" s="3">
        <v>50574.672352941176</v>
      </c>
      <c r="D10" s="11">
        <f t="shared" si="0"/>
        <v>2528.7336176470635</v>
      </c>
      <c r="E10" s="3">
        <v>53103.405970588239</v>
      </c>
      <c r="G10" s="3">
        <v>56451.234516012002</v>
      </c>
      <c r="H10" s="3">
        <f t="shared" si="1"/>
        <v>3039.2317289880011</v>
      </c>
      <c r="I10" s="3">
        <v>59490.466245000003</v>
      </c>
      <c r="J10" s="30">
        <f t="shared" si="3"/>
        <v>-0.10736275369078281</v>
      </c>
    </row>
    <row r="11" spans="1:10" x14ac:dyDescent="0.2">
      <c r="A11" s="1" t="s">
        <v>45</v>
      </c>
      <c r="B11" s="1">
        <v>32</v>
      </c>
      <c r="C11" s="3">
        <v>61893.394999999997</v>
      </c>
      <c r="D11" s="11">
        <f t="shared" si="0"/>
        <v>3713.6036999999997</v>
      </c>
      <c r="E11" s="3">
        <v>65606.998699999996</v>
      </c>
      <c r="G11" s="3">
        <v>67247.898480000003</v>
      </c>
      <c r="H11" s="3">
        <f t="shared" si="1"/>
        <v>3762.129105</v>
      </c>
      <c r="I11" s="3">
        <v>71010.027585000003</v>
      </c>
      <c r="J11" s="30">
        <f t="shared" si="3"/>
        <v>-7.6088252163154069E-2</v>
      </c>
    </row>
    <row r="12" spans="1:10" x14ac:dyDescent="0.2">
      <c r="A12" s="1" t="s">
        <v>46</v>
      </c>
      <c r="B12" s="1">
        <v>4</v>
      </c>
      <c r="C12" s="3">
        <v>66967.333499999993</v>
      </c>
      <c r="D12" s="11">
        <f t="shared" ref="D12:D26" si="4">E12-C12</f>
        <v>5357.3866800000105</v>
      </c>
      <c r="E12" s="3">
        <v>72324.720180000004</v>
      </c>
      <c r="G12" s="3">
        <v>86330.351016000001</v>
      </c>
      <c r="H12" s="3">
        <f t="shared" ref="H12:H26" si="5">I12-G12</f>
        <v>4728.5723924460035</v>
      </c>
      <c r="I12" s="3">
        <v>91058.923408446004</v>
      </c>
      <c r="J12" s="30">
        <f t="shared" ref="J12:J26" si="6">(E12-I12)/I12</f>
        <v>-0.20573714829038209</v>
      </c>
    </row>
    <row r="13" spans="1:10" x14ac:dyDescent="0.2">
      <c r="A13" s="1" t="s">
        <v>47</v>
      </c>
      <c r="B13" s="1">
        <v>2</v>
      </c>
      <c r="C13" s="3">
        <v>59500</v>
      </c>
      <c r="D13" s="11">
        <f t="shared" si="4"/>
        <v>3570</v>
      </c>
      <c r="E13" s="3">
        <v>63070</v>
      </c>
      <c r="G13" s="3">
        <v>63916.986585437997</v>
      </c>
      <c r="H13" s="3">
        <f t="shared" si="5"/>
        <v>-367.69051456199668</v>
      </c>
      <c r="I13" s="3">
        <v>63549.296070876</v>
      </c>
      <c r="J13" s="30">
        <f t="shared" si="6"/>
        <v>-7.5421145553122293E-3</v>
      </c>
    </row>
    <row r="14" spans="1:10" x14ac:dyDescent="0.2">
      <c r="A14" s="1" t="s">
        <v>48</v>
      </c>
      <c r="B14" s="1">
        <v>17</v>
      </c>
      <c r="C14" s="3">
        <v>68746.202999999994</v>
      </c>
      <c r="D14" s="11">
        <f t="shared" si="4"/>
        <v>5499.6962400000048</v>
      </c>
      <c r="E14" s="3">
        <v>74245.899239999999</v>
      </c>
      <c r="G14" s="3">
        <v>78688.97064</v>
      </c>
      <c r="H14" s="3">
        <f t="shared" si="5"/>
        <v>0</v>
      </c>
      <c r="I14" s="3">
        <v>78688.97064</v>
      </c>
      <c r="J14" s="30">
        <f t="shared" si="6"/>
        <v>-5.6463712307623606E-2</v>
      </c>
    </row>
    <row r="15" spans="1:10" x14ac:dyDescent="0.2">
      <c r="A15" s="1" t="s">
        <v>49</v>
      </c>
      <c r="B15" s="1">
        <v>3</v>
      </c>
      <c r="C15" s="3">
        <v>81115.379333333331</v>
      </c>
      <c r="D15" s="11">
        <f t="shared" si="4"/>
        <v>7300.3841400000092</v>
      </c>
      <c r="E15" s="3">
        <v>88415.76347333334</v>
      </c>
      <c r="G15" s="3">
        <v>88530.188670000003</v>
      </c>
      <c r="H15" s="3">
        <f t="shared" si="5"/>
        <v>4595.4395549999899</v>
      </c>
      <c r="I15" s="3">
        <v>93125.628224999993</v>
      </c>
      <c r="J15" s="30">
        <f t="shared" si="6"/>
        <v>-5.0575387693355379E-2</v>
      </c>
    </row>
    <row r="16" spans="1:10" x14ac:dyDescent="0.2">
      <c r="A16" s="1" t="s">
        <v>50</v>
      </c>
      <c r="B16" s="1">
        <v>16</v>
      </c>
      <c r="C16" s="3">
        <v>97327.612500000003</v>
      </c>
      <c r="D16" s="11">
        <f t="shared" si="4"/>
        <v>9732.7612500000105</v>
      </c>
      <c r="E16" s="3">
        <v>107060.37375000001</v>
      </c>
      <c r="G16" s="3">
        <v>92191.657949999993</v>
      </c>
      <c r="H16" s="3">
        <f t="shared" si="5"/>
        <v>1557.0418500000087</v>
      </c>
      <c r="I16" s="3">
        <v>93748.699800000002</v>
      </c>
      <c r="J16" s="30">
        <f t="shared" si="6"/>
        <v>0.14199315807471083</v>
      </c>
    </row>
    <row r="17" spans="1:10" x14ac:dyDescent="0.2">
      <c r="A17" s="1" t="s">
        <v>51</v>
      </c>
      <c r="B17" s="1">
        <v>8</v>
      </c>
      <c r="C17" s="3">
        <v>51458.634874999996</v>
      </c>
      <c r="D17" s="11">
        <f t="shared" si="4"/>
        <v>2572.9317437499994</v>
      </c>
      <c r="E17" s="3">
        <v>54031.566618749996</v>
      </c>
      <c r="G17" s="3">
        <v>55759.883572386003</v>
      </c>
      <c r="H17" s="3">
        <f t="shared" si="5"/>
        <v>1095.3976463639992</v>
      </c>
      <c r="I17" s="3">
        <v>56855.281218750002</v>
      </c>
      <c r="J17" s="30">
        <f t="shared" si="6"/>
        <v>-4.9664948259349896E-2</v>
      </c>
    </row>
    <row r="18" spans="1:10" x14ac:dyDescent="0.2">
      <c r="A18" s="1" t="s">
        <v>52</v>
      </c>
      <c r="B18" s="1">
        <v>5</v>
      </c>
      <c r="C18" s="3">
        <v>56555.221999999994</v>
      </c>
      <c r="D18" s="11">
        <f t="shared" si="4"/>
        <v>3393.3133200000011</v>
      </c>
      <c r="E18" s="3">
        <v>59948.535319999995</v>
      </c>
      <c r="G18" s="3">
        <v>73680.534169325998</v>
      </c>
      <c r="H18" s="3">
        <f t="shared" si="5"/>
        <v>6700.438936674007</v>
      </c>
      <c r="I18" s="3">
        <v>80380.973106000005</v>
      </c>
      <c r="J18" s="30">
        <f t="shared" si="6"/>
        <v>-0.25419495430909184</v>
      </c>
    </row>
    <row r="19" spans="1:10" x14ac:dyDescent="0.2">
      <c r="A19" s="1" t="s">
        <v>53</v>
      </c>
      <c r="B19" s="1">
        <v>12</v>
      </c>
      <c r="C19" s="3">
        <v>57802.55000000001</v>
      </c>
      <c r="D19" s="11">
        <f t="shared" ref="D19:D24" si="7">E19-C19</f>
        <v>3468.1530000000057</v>
      </c>
      <c r="E19" s="3">
        <v>61270.703000000016</v>
      </c>
      <c r="G19" s="3">
        <v>67986.923955425998</v>
      </c>
      <c r="H19" s="3">
        <f t="shared" ref="H19:H24" si="8">I19-G19</f>
        <v>4219.7238785520021</v>
      </c>
      <c r="I19" s="3">
        <v>72206.647833978001</v>
      </c>
      <c r="J19" s="30">
        <f t="shared" ref="J19:J24" si="9">(E19-I19)/I19</f>
        <v>-0.15145343485716975</v>
      </c>
    </row>
    <row r="20" spans="1:10" x14ac:dyDescent="0.2">
      <c r="A20" s="1" t="s">
        <v>54</v>
      </c>
      <c r="B20" s="1">
        <v>8</v>
      </c>
      <c r="C20" s="3">
        <v>81560.607500000013</v>
      </c>
      <c r="D20" s="11">
        <f t="shared" si="7"/>
        <v>7340.4546750000009</v>
      </c>
      <c r="E20" s="3">
        <v>88901.062175000014</v>
      </c>
      <c r="G20" s="3">
        <v>80804.483392499998</v>
      </c>
      <c r="H20" s="3">
        <f t="shared" si="8"/>
        <v>-283.58884852200572</v>
      </c>
      <c r="I20" s="3">
        <v>80520.894543977993</v>
      </c>
      <c r="J20" s="30">
        <f t="shared" si="9"/>
        <v>0.10407444773784816</v>
      </c>
    </row>
    <row r="21" spans="1:10" x14ac:dyDescent="0.2">
      <c r="A21" s="1" t="s">
        <v>57</v>
      </c>
      <c r="B21" s="1">
        <v>2</v>
      </c>
      <c r="C21" s="3">
        <v>74979.425000000003</v>
      </c>
      <c r="D21" s="11">
        <f t="shared" si="7"/>
        <v>5998.3540000000066</v>
      </c>
      <c r="E21" s="3">
        <v>80977.77900000001</v>
      </c>
      <c r="G21" s="3">
        <v>78331.1823</v>
      </c>
      <c r="H21" s="3">
        <f t="shared" si="8"/>
        <v>5705.8405610219925</v>
      </c>
      <c r="I21" s="3">
        <v>84037.022861021993</v>
      </c>
      <c r="J21" s="30">
        <f t="shared" si="9"/>
        <v>-3.6403524980665639E-2</v>
      </c>
    </row>
    <row r="22" spans="1:10" x14ac:dyDescent="0.2">
      <c r="A22" s="1" t="s">
        <v>58</v>
      </c>
      <c r="B22" s="1">
        <v>16</v>
      </c>
      <c r="C22" s="3">
        <v>96097.248749999999</v>
      </c>
      <c r="D22" s="11">
        <f t="shared" si="7"/>
        <v>9609.7248750000144</v>
      </c>
      <c r="E22" s="3">
        <v>105706.97362500001</v>
      </c>
      <c r="G22" s="3">
        <v>100405.296005868</v>
      </c>
      <c r="H22" s="3">
        <f t="shared" si="8"/>
        <v>3107.6616541319963</v>
      </c>
      <c r="I22" s="3">
        <v>103512.95766</v>
      </c>
      <c r="J22" s="30">
        <f t="shared" si="9"/>
        <v>2.1195568309491323E-2</v>
      </c>
    </row>
    <row r="23" spans="1:10" x14ac:dyDescent="0.2">
      <c r="A23" s="1" t="s">
        <v>59</v>
      </c>
      <c r="B23" s="1">
        <v>4</v>
      </c>
      <c r="C23" s="3">
        <v>113427.285</v>
      </c>
      <c r="D23" s="11">
        <f t="shared" si="7"/>
        <v>11342.728500000012</v>
      </c>
      <c r="E23" s="3">
        <v>124770.01350000002</v>
      </c>
      <c r="G23" s="3">
        <v>119096.41300893</v>
      </c>
      <c r="H23" s="3">
        <f t="shared" si="8"/>
        <v>8336.9671869960002</v>
      </c>
      <c r="I23" s="3">
        <v>127433.380195926</v>
      </c>
      <c r="J23" s="30">
        <f t="shared" si="9"/>
        <v>-2.0900071016174245E-2</v>
      </c>
    </row>
    <row r="24" spans="1:10" x14ac:dyDescent="0.2">
      <c r="A24" s="1" t="s">
        <v>60</v>
      </c>
      <c r="B24" s="1">
        <v>14</v>
      </c>
      <c r="C24" s="3">
        <v>85061.251357142857</v>
      </c>
      <c r="D24" s="11">
        <f t="shared" si="7"/>
        <v>7655.5126221428654</v>
      </c>
      <c r="E24" s="3">
        <v>92716.763979285723</v>
      </c>
      <c r="G24" s="3">
        <v>78331.1823</v>
      </c>
      <c r="H24" s="3">
        <f t="shared" si="8"/>
        <v>5705.8405610219925</v>
      </c>
      <c r="I24" s="3">
        <v>84037.022861021993</v>
      </c>
      <c r="J24" s="30">
        <f t="shared" si="9"/>
        <v>0.10328472883455231</v>
      </c>
    </row>
    <row r="25" spans="1:10" x14ac:dyDescent="0.2">
      <c r="A25" s="1" t="s">
        <v>61</v>
      </c>
      <c r="B25" s="1">
        <v>7</v>
      </c>
      <c r="C25" s="3">
        <v>67888.767142857148</v>
      </c>
      <c r="D25" s="11">
        <f t="shared" si="4"/>
        <v>5431.10137142858</v>
      </c>
      <c r="E25" s="3">
        <v>73319.868514285728</v>
      </c>
      <c r="G25" s="3">
        <v>65692.130804999993</v>
      </c>
      <c r="H25" s="3">
        <f t="shared" si="5"/>
        <v>4061.2204839780024</v>
      </c>
      <c r="I25" s="3">
        <v>69753.351288977996</v>
      </c>
      <c r="J25" s="30">
        <f t="shared" si="6"/>
        <v>5.113040677475366E-2</v>
      </c>
    </row>
    <row r="26" spans="1:10" x14ac:dyDescent="0.2">
      <c r="A26" s="1" t="s">
        <v>62</v>
      </c>
      <c r="B26" s="1">
        <v>17</v>
      </c>
      <c r="C26" s="3">
        <v>62437.325882352947</v>
      </c>
      <c r="D26" s="11">
        <f t="shared" si="4"/>
        <v>3746.2395529411733</v>
      </c>
      <c r="E26" s="3">
        <v>66183.56543529412</v>
      </c>
      <c r="G26" s="3">
        <v>54998.744534999998</v>
      </c>
      <c r="H26" s="3">
        <f t="shared" si="5"/>
        <v>2371.0697510220052</v>
      </c>
      <c r="I26" s="3">
        <v>57369.814286022003</v>
      </c>
      <c r="J26" s="30">
        <f t="shared" si="6"/>
        <v>0.15363046331874849</v>
      </c>
    </row>
    <row r="27" spans="1:10" x14ac:dyDescent="0.2">
      <c r="D27" s="11"/>
      <c r="J27" s="30"/>
    </row>
    <row r="28" spans="1:10" x14ac:dyDescent="0.2">
      <c r="A28" s="17" t="s">
        <v>55</v>
      </c>
      <c r="B28" s="17">
        <f>COUNT(B6:B27)</f>
        <v>21</v>
      </c>
      <c r="D28" s="11"/>
      <c r="G28" s="16"/>
      <c r="H28" s="16"/>
      <c r="I28" s="16"/>
      <c r="J28" s="30"/>
    </row>
    <row r="29" spans="1:10" x14ac:dyDescent="0.2">
      <c r="A29" s="17" t="s">
        <v>56</v>
      </c>
      <c r="B29" s="17">
        <f>SUM(B6:B27)</f>
        <v>201</v>
      </c>
      <c r="D29" s="11"/>
      <c r="J29" s="30"/>
    </row>
    <row r="30" spans="1:10" x14ac:dyDescent="0.2">
      <c r="D30" s="11"/>
      <c r="I30" s="12"/>
      <c r="J30" s="31"/>
    </row>
    <row r="31" spans="1:10" x14ac:dyDescent="0.2">
      <c r="A31" s="18" t="s">
        <v>11</v>
      </c>
      <c r="D31" s="11"/>
      <c r="J31" s="30"/>
    </row>
    <row r="32" spans="1:10" x14ac:dyDescent="0.2">
      <c r="A32" s="1" t="s">
        <v>18</v>
      </c>
      <c r="B32" s="1">
        <v>6</v>
      </c>
      <c r="C32" s="3">
        <v>64777.873333333329</v>
      </c>
      <c r="D32" s="11">
        <f t="shared" ref="D32:D55" si="10">E32-C32</f>
        <v>5182.2298666666684</v>
      </c>
      <c r="E32" s="3">
        <v>69960.103199999998</v>
      </c>
      <c r="F32" s="2"/>
      <c r="G32" s="3">
        <v>74230.342516638004</v>
      </c>
      <c r="H32" s="3">
        <f t="shared" ref="H32:H55" si="11">I32-G32</f>
        <v>3471.1424983619945</v>
      </c>
      <c r="I32" s="3">
        <v>77701.485014999998</v>
      </c>
      <c r="J32" s="30">
        <f t="shared" ref="J32:J55" si="12">(E32-I32)/I32</f>
        <v>-9.9629779450232561E-2</v>
      </c>
    </row>
    <row r="33" spans="1:10" x14ac:dyDescent="0.2">
      <c r="A33" s="1" t="s">
        <v>19</v>
      </c>
      <c r="B33" s="1">
        <v>16</v>
      </c>
      <c r="C33" s="3">
        <v>47948.692499999997</v>
      </c>
      <c r="D33" s="11">
        <f t="shared" si="10"/>
        <v>2397.4346250000017</v>
      </c>
      <c r="E33" s="3">
        <v>50346.127124999999</v>
      </c>
      <c r="F33" s="2"/>
      <c r="G33" s="3">
        <v>52496.01</v>
      </c>
      <c r="H33" s="3">
        <f t="shared" si="11"/>
        <v>947.64645397799904</v>
      </c>
      <c r="I33" s="3">
        <v>53443.656453978001</v>
      </c>
      <c r="J33" s="30">
        <f t="shared" si="12"/>
        <v>-5.7958783782793399E-2</v>
      </c>
    </row>
    <row r="34" spans="1:10" x14ac:dyDescent="0.2">
      <c r="A34" s="1" t="s">
        <v>20</v>
      </c>
      <c r="B34" s="1">
        <v>57</v>
      </c>
      <c r="C34" s="3">
        <v>60975.061578947367</v>
      </c>
      <c r="D34" s="11">
        <f t="shared" si="10"/>
        <v>3658.5036947368426</v>
      </c>
      <c r="E34" s="3">
        <v>64633.565273684209</v>
      </c>
      <c r="F34" s="2"/>
      <c r="G34" s="3">
        <v>64062.460980000003</v>
      </c>
      <c r="H34" s="3">
        <f t="shared" si="11"/>
        <v>753.91813475999516</v>
      </c>
      <c r="I34" s="3">
        <v>64816.379114759999</v>
      </c>
      <c r="J34" s="30">
        <f t="shared" si="12"/>
        <v>-2.8204883329275461E-3</v>
      </c>
    </row>
    <row r="35" spans="1:10" x14ac:dyDescent="0.2">
      <c r="A35" s="1" t="s">
        <v>21</v>
      </c>
      <c r="B35" s="1">
        <v>4</v>
      </c>
      <c r="C35" s="3">
        <v>40212.017499999994</v>
      </c>
      <c r="D35" s="11">
        <f t="shared" si="10"/>
        <v>2010.6008749999964</v>
      </c>
      <c r="E35" s="3">
        <v>42222.618374999991</v>
      </c>
      <c r="F35" s="2"/>
      <c r="G35" s="3">
        <v>46846.544547347999</v>
      </c>
      <c r="H35" s="3">
        <f t="shared" si="11"/>
        <v>90.494762652000645</v>
      </c>
      <c r="I35" s="3">
        <v>46937.03931</v>
      </c>
      <c r="J35" s="30">
        <f t="shared" si="12"/>
        <v>-0.10044137858511232</v>
      </c>
    </row>
    <row r="36" spans="1:10" x14ac:dyDescent="0.2">
      <c r="A36" s="1" t="s">
        <v>22</v>
      </c>
      <c r="B36" s="1">
        <v>3</v>
      </c>
      <c r="C36" s="3">
        <v>59309.976666666662</v>
      </c>
      <c r="D36" s="11">
        <f t="shared" si="10"/>
        <v>3558.5985999999975</v>
      </c>
      <c r="E36" s="3">
        <v>62868.575266666659</v>
      </c>
      <c r="F36" s="2"/>
      <c r="G36" s="3">
        <v>56456.846696250002</v>
      </c>
      <c r="H36" s="3">
        <f t="shared" si="11"/>
        <v>44.532416249996459</v>
      </c>
      <c r="I36" s="3">
        <v>56501.379112499999</v>
      </c>
      <c r="J36" s="30">
        <f t="shared" si="12"/>
        <v>0.11269098655961875</v>
      </c>
    </row>
    <row r="37" spans="1:10" x14ac:dyDescent="0.2">
      <c r="A37" s="1" t="s">
        <v>23</v>
      </c>
      <c r="B37" s="1">
        <v>3</v>
      </c>
      <c r="C37" s="3">
        <v>70990.606666666674</v>
      </c>
      <c r="D37" s="11">
        <f t="shared" si="10"/>
        <v>5679.2485333333316</v>
      </c>
      <c r="E37" s="3">
        <v>76669.855200000005</v>
      </c>
      <c r="F37" s="2"/>
      <c r="G37" s="3">
        <v>66363.111359999995</v>
      </c>
      <c r="H37" s="3">
        <f t="shared" si="11"/>
        <v>312.93738000000303</v>
      </c>
      <c r="I37" s="3">
        <v>66676.048739999998</v>
      </c>
      <c r="J37" s="30">
        <f t="shared" si="12"/>
        <v>0.14988600327788421</v>
      </c>
    </row>
    <row r="38" spans="1:10" x14ac:dyDescent="0.2">
      <c r="A38" s="1" t="s">
        <v>24</v>
      </c>
      <c r="B38" s="1">
        <v>3</v>
      </c>
      <c r="C38" s="3">
        <v>60342.5</v>
      </c>
      <c r="D38" s="11">
        <f t="shared" si="10"/>
        <v>3620.5500000000029</v>
      </c>
      <c r="E38" s="3">
        <v>63963.05</v>
      </c>
      <c r="F38" s="2"/>
      <c r="G38" s="3">
        <v>69569.908416161998</v>
      </c>
      <c r="H38" s="3">
        <f t="shared" si="11"/>
        <v>1625.6390488379984</v>
      </c>
      <c r="I38" s="3">
        <v>71195.547464999996</v>
      </c>
      <c r="J38" s="30">
        <f t="shared" si="12"/>
        <v>-0.10158637334105081</v>
      </c>
    </row>
    <row r="39" spans="1:10" x14ac:dyDescent="0.2">
      <c r="A39" s="1" t="s">
        <v>25</v>
      </c>
      <c r="B39" s="1">
        <v>3</v>
      </c>
      <c r="C39" s="3">
        <v>71415.81</v>
      </c>
      <c r="D39" s="11">
        <f t="shared" si="10"/>
        <v>5713.2648000000045</v>
      </c>
      <c r="E39" s="3">
        <v>77129.074800000002</v>
      </c>
      <c r="F39" s="2"/>
      <c r="G39" s="3">
        <v>74351.169269999999</v>
      </c>
      <c r="H39" s="3">
        <f t="shared" si="11"/>
        <v>4789.3689900000027</v>
      </c>
      <c r="I39" s="3">
        <v>79140.538260000001</v>
      </c>
      <c r="J39" s="30">
        <f t="shared" ref="J39:J54" si="13">(E39-I39)/I39</f>
        <v>-2.5416347983276896E-2</v>
      </c>
    </row>
    <row r="40" spans="1:10" x14ac:dyDescent="0.2">
      <c r="A40" s="1" t="s">
        <v>26</v>
      </c>
      <c r="B40" s="1">
        <v>218</v>
      </c>
      <c r="C40" s="3">
        <v>49047.819761467894</v>
      </c>
      <c r="D40" s="11">
        <f t="shared" si="10"/>
        <v>2452.3909880733918</v>
      </c>
      <c r="E40" s="3">
        <v>51500.210749541286</v>
      </c>
      <c r="F40" s="2"/>
      <c r="G40" s="3">
        <v>53514.33066</v>
      </c>
      <c r="H40" s="3">
        <f t="shared" si="11"/>
        <v>1412.7203289780009</v>
      </c>
      <c r="I40" s="3">
        <v>54927.050988978001</v>
      </c>
      <c r="J40" s="30">
        <f t="shared" si="13"/>
        <v>-6.2388935465047375E-2</v>
      </c>
    </row>
    <row r="41" spans="1:10" x14ac:dyDescent="0.2">
      <c r="A41" s="1" t="s">
        <v>27</v>
      </c>
      <c r="B41" s="1">
        <v>10</v>
      </c>
      <c r="C41" s="3">
        <v>53729.9</v>
      </c>
      <c r="D41" s="11">
        <f t="shared" si="10"/>
        <v>3223.7940000000017</v>
      </c>
      <c r="E41" s="3">
        <v>56953.694000000003</v>
      </c>
      <c r="F41" s="2"/>
      <c r="G41" s="3">
        <v>69180.019020881999</v>
      </c>
      <c r="H41" s="3">
        <f t="shared" si="11"/>
        <v>4634.4677391180012</v>
      </c>
      <c r="I41" s="3">
        <v>73814.48676</v>
      </c>
      <c r="J41" s="30">
        <f t="shared" si="13"/>
        <v>-0.22842118803617889</v>
      </c>
    </row>
    <row r="42" spans="1:10" x14ac:dyDescent="0.2">
      <c r="A42" s="1" t="s">
        <v>28</v>
      </c>
      <c r="B42" s="1">
        <v>4</v>
      </c>
      <c r="C42" s="3">
        <v>52586.572500000002</v>
      </c>
      <c r="D42" s="11">
        <f t="shared" si="10"/>
        <v>2629.3286250000019</v>
      </c>
      <c r="E42" s="3">
        <v>55215.901125000004</v>
      </c>
      <c r="F42" s="2"/>
      <c r="G42" s="3">
        <v>55759.883572386003</v>
      </c>
      <c r="H42" s="3">
        <f t="shared" si="11"/>
        <v>1095.3976463639992</v>
      </c>
      <c r="I42" s="3">
        <v>56855.281218750002</v>
      </c>
      <c r="J42" s="30">
        <f t="shared" si="13"/>
        <v>-2.8834262334267651E-2</v>
      </c>
    </row>
    <row r="43" spans="1:10" x14ac:dyDescent="0.2">
      <c r="A43" s="1" t="s">
        <v>63</v>
      </c>
      <c r="B43" s="1">
        <v>6</v>
      </c>
      <c r="C43" s="3">
        <v>57011.096666666672</v>
      </c>
      <c r="D43" s="11">
        <f t="shared" si="10"/>
        <v>3420.6658000000025</v>
      </c>
      <c r="E43" s="3">
        <v>60431.762466666674</v>
      </c>
      <c r="F43" s="2"/>
      <c r="G43" s="3">
        <v>60391.138046022003</v>
      </c>
      <c r="H43" s="3">
        <f t="shared" si="11"/>
        <v>3322.368907955999</v>
      </c>
      <c r="I43" s="3">
        <v>63713.506953978002</v>
      </c>
      <c r="J43" s="30">
        <f t="shared" si="13"/>
        <v>-5.1507830038014082E-2</v>
      </c>
    </row>
    <row r="44" spans="1:10" x14ac:dyDescent="0.2">
      <c r="A44" s="1" t="s">
        <v>64</v>
      </c>
      <c r="B44" s="1">
        <v>7</v>
      </c>
      <c r="C44" s="3">
        <v>60303.571428571428</v>
      </c>
      <c r="D44" s="11">
        <f t="shared" si="10"/>
        <v>3618.2142857142826</v>
      </c>
      <c r="E44" s="3">
        <v>63921.78571428571</v>
      </c>
      <c r="F44" s="2"/>
      <c r="G44" s="3">
        <v>59663.329286022003</v>
      </c>
      <c r="H44" s="3">
        <f t="shared" si="11"/>
        <v>405.81872339399706</v>
      </c>
      <c r="I44" s="3">
        <v>60069.148009416</v>
      </c>
      <c r="J44" s="30">
        <f t="shared" si="13"/>
        <v>6.4136712980610272E-2</v>
      </c>
    </row>
    <row r="45" spans="1:10" x14ac:dyDescent="0.2">
      <c r="A45" s="1" t="s">
        <v>65</v>
      </c>
      <c r="B45" s="1">
        <v>3</v>
      </c>
      <c r="C45" s="3">
        <v>49163.603333333333</v>
      </c>
      <c r="D45" s="11">
        <f t="shared" si="10"/>
        <v>2458.1801666666652</v>
      </c>
      <c r="E45" s="3">
        <v>51621.783499999998</v>
      </c>
      <c r="F45" s="2"/>
      <c r="G45" s="3">
        <v>54459.853421022002</v>
      </c>
      <c r="H45" s="3">
        <f t="shared" si="11"/>
        <v>666.05377897799917</v>
      </c>
      <c r="I45" s="3">
        <v>55125.907200000001</v>
      </c>
      <c r="J45" s="30">
        <f t="shared" si="13"/>
        <v>-6.3565823729427956E-2</v>
      </c>
    </row>
    <row r="46" spans="1:10" x14ac:dyDescent="0.2">
      <c r="A46" s="1" t="s">
        <v>66</v>
      </c>
      <c r="B46" s="1">
        <v>3</v>
      </c>
      <c r="C46" s="3">
        <v>54777.119999999995</v>
      </c>
      <c r="D46" s="11">
        <f t="shared" si="10"/>
        <v>3286.6272000000026</v>
      </c>
      <c r="E46" s="3">
        <v>58063.747199999998</v>
      </c>
      <c r="F46" s="2"/>
      <c r="G46" s="3">
        <v>63182.770559999997</v>
      </c>
      <c r="H46" s="3">
        <f t="shared" si="11"/>
        <v>2962.2020399999965</v>
      </c>
      <c r="I46" s="3">
        <v>66144.972599999994</v>
      </c>
      <c r="J46" s="30">
        <f t="shared" si="13"/>
        <v>-0.1221744462556478</v>
      </c>
    </row>
    <row r="47" spans="1:10" x14ac:dyDescent="0.2">
      <c r="A47" s="1" t="s">
        <v>67</v>
      </c>
      <c r="B47" s="1">
        <v>4</v>
      </c>
      <c r="C47" s="3">
        <v>78443.66</v>
      </c>
      <c r="D47" s="11">
        <f t="shared" si="10"/>
        <v>7059.9293999999936</v>
      </c>
      <c r="E47" s="3">
        <v>85503.589399999997</v>
      </c>
      <c r="F47" s="2"/>
      <c r="G47" s="3">
        <v>80804.483392499998</v>
      </c>
      <c r="H47" s="3">
        <f t="shared" si="11"/>
        <v>-0.48339249999844469</v>
      </c>
      <c r="I47" s="3">
        <v>80804</v>
      </c>
      <c r="J47" s="30">
        <f t="shared" si="13"/>
        <v>5.8160355922974076E-2</v>
      </c>
    </row>
    <row r="48" spans="1:10" x14ac:dyDescent="0.2">
      <c r="A48" s="1" t="s">
        <v>68</v>
      </c>
      <c r="B48" s="1">
        <v>64</v>
      </c>
      <c r="C48" s="3">
        <v>97623.478656249994</v>
      </c>
      <c r="D48" s="11">
        <f t="shared" si="10"/>
        <v>9762.3478656249936</v>
      </c>
      <c r="E48" s="3">
        <v>107385.82652187499</v>
      </c>
      <c r="F48" s="2"/>
      <c r="G48" s="3">
        <v>100405.296005868</v>
      </c>
      <c r="H48" s="3">
        <f t="shared" si="11"/>
        <v>3107.6616541319963</v>
      </c>
      <c r="I48" s="3">
        <v>103512.95766</v>
      </c>
      <c r="J48" s="30">
        <f t="shared" si="13"/>
        <v>3.7414338740043178E-2</v>
      </c>
    </row>
    <row r="49" spans="1:16" x14ac:dyDescent="0.2">
      <c r="A49" s="1" t="s">
        <v>69</v>
      </c>
      <c r="B49" s="1">
        <v>46</v>
      </c>
      <c r="C49" s="3">
        <v>71491.020673913052</v>
      </c>
      <c r="D49" s="11">
        <f t="shared" si="10"/>
        <v>5719.2816539130436</v>
      </c>
      <c r="E49" s="3">
        <v>77210.302327826095</v>
      </c>
      <c r="F49" s="2"/>
      <c r="G49" s="3">
        <v>78331.1823</v>
      </c>
      <c r="H49" s="3">
        <f t="shared" si="11"/>
        <v>5705.8405610219925</v>
      </c>
      <c r="I49" s="3">
        <v>84037.022861021993</v>
      </c>
      <c r="J49" s="30">
        <f t="shared" si="13"/>
        <v>-8.1234678487905637E-2</v>
      </c>
    </row>
    <row r="50" spans="1:16" x14ac:dyDescent="0.2">
      <c r="A50" s="1" t="s">
        <v>70</v>
      </c>
      <c r="B50" s="1">
        <v>22</v>
      </c>
      <c r="C50" s="3">
        <v>60334.209727272733</v>
      </c>
      <c r="D50" s="11">
        <f t="shared" si="10"/>
        <v>3620.0525836363668</v>
      </c>
      <c r="E50" s="3">
        <v>63954.2623109091</v>
      </c>
      <c r="F50" s="2"/>
      <c r="G50" s="3">
        <v>65692.130804999993</v>
      </c>
      <c r="H50" s="3">
        <f t="shared" si="11"/>
        <v>4061.2204839780024</v>
      </c>
      <c r="I50" s="3">
        <v>69753.351288977996</v>
      </c>
      <c r="J50" s="30">
        <f t="shared" si="13"/>
        <v>-8.3137066118072422E-2</v>
      </c>
    </row>
    <row r="51" spans="1:16" x14ac:dyDescent="0.2">
      <c r="A51" s="1" t="s">
        <v>71</v>
      </c>
      <c r="B51" s="1">
        <v>5</v>
      </c>
      <c r="C51" s="3">
        <v>95853.66</v>
      </c>
      <c r="D51" s="11">
        <f t="shared" si="10"/>
        <v>9585.3659999999945</v>
      </c>
      <c r="E51" s="3">
        <v>105439.026</v>
      </c>
      <c r="F51" s="2"/>
      <c r="G51" s="3">
        <v>100405.296005868</v>
      </c>
      <c r="H51" s="3">
        <f t="shared" si="11"/>
        <v>3107.6616541319963</v>
      </c>
      <c r="I51" s="3">
        <v>103512.95766</v>
      </c>
      <c r="J51" s="30">
        <f t="shared" si="13"/>
        <v>1.8607026439398891E-2</v>
      </c>
    </row>
    <row r="52" spans="1:16" x14ac:dyDescent="0.2">
      <c r="A52" s="1" t="s">
        <v>72</v>
      </c>
      <c r="B52" s="1">
        <v>11</v>
      </c>
      <c r="C52" s="3">
        <v>112256.89636363638</v>
      </c>
      <c r="D52" s="11">
        <f t="shared" si="10"/>
        <v>11225.689636363633</v>
      </c>
      <c r="E52" s="3">
        <v>123482.58600000001</v>
      </c>
      <c r="F52" s="2"/>
      <c r="G52" s="3">
        <v>119096.41300893</v>
      </c>
      <c r="H52" s="3">
        <f t="shared" si="11"/>
        <v>8336.9671869960002</v>
      </c>
      <c r="I52" s="3">
        <v>127433.380195926</v>
      </c>
      <c r="J52" s="30">
        <f t="shared" si="13"/>
        <v>-3.1002820374471218E-2</v>
      </c>
    </row>
    <row r="53" spans="1:16" x14ac:dyDescent="0.2">
      <c r="A53" s="1" t="s">
        <v>73</v>
      </c>
      <c r="B53" s="1">
        <v>10</v>
      </c>
      <c r="C53" s="3">
        <v>80700.14959999999</v>
      </c>
      <c r="D53" s="11">
        <f t="shared" si="10"/>
        <v>7263.0134640000033</v>
      </c>
      <c r="E53" s="3">
        <v>87963.163063999993</v>
      </c>
      <c r="F53" s="2"/>
      <c r="G53" s="3">
        <v>78331.1823</v>
      </c>
      <c r="H53" s="3">
        <f t="shared" si="11"/>
        <v>5705.8405610219925</v>
      </c>
      <c r="I53" s="3">
        <v>84037.022861021993</v>
      </c>
      <c r="J53" s="30">
        <f t="shared" si="13"/>
        <v>4.671917292299773E-2</v>
      </c>
    </row>
    <row r="54" spans="1:16" x14ac:dyDescent="0.2">
      <c r="A54" s="1" t="s">
        <v>74</v>
      </c>
      <c r="B54" s="1">
        <v>4</v>
      </c>
      <c r="C54" s="3">
        <v>68559.242500000008</v>
      </c>
      <c r="D54" s="11">
        <f t="shared" si="10"/>
        <v>5484.7394000000058</v>
      </c>
      <c r="E54" s="3">
        <v>74043.981900000013</v>
      </c>
      <c r="F54" s="2"/>
      <c r="G54" s="3">
        <v>65692.130804999993</v>
      </c>
      <c r="H54" s="3">
        <f t="shared" si="11"/>
        <v>4061.2204839780024</v>
      </c>
      <c r="I54" s="3">
        <v>69753.351288977996</v>
      </c>
      <c r="J54" s="30">
        <f t="shared" si="13"/>
        <v>6.1511461911651508E-2</v>
      </c>
    </row>
    <row r="55" spans="1:16" x14ac:dyDescent="0.2">
      <c r="A55" s="1" t="s">
        <v>75</v>
      </c>
      <c r="B55" s="1">
        <v>4</v>
      </c>
      <c r="C55" s="3">
        <v>61111.772499999999</v>
      </c>
      <c r="D55" s="11">
        <f t="shared" si="10"/>
        <v>3666.7063500000004</v>
      </c>
      <c r="E55" s="3">
        <v>64778.47885</v>
      </c>
      <c r="F55" s="2"/>
      <c r="G55" s="3">
        <v>74558.095289999997</v>
      </c>
      <c r="H55" s="3">
        <f t="shared" si="11"/>
        <v>-9.5289999997476116E-2</v>
      </c>
      <c r="I55" s="3">
        <v>74558</v>
      </c>
      <c r="J55" s="32">
        <f t="shared" si="12"/>
        <v>-0.13116662397060008</v>
      </c>
    </row>
    <row r="56" spans="1:16" x14ac:dyDescent="0.2">
      <c r="A56" s="1" t="s">
        <v>13</v>
      </c>
      <c r="B56" s="1">
        <f>COUNT(B32:B55)</f>
        <v>24</v>
      </c>
      <c r="F56" s="13"/>
      <c r="G56" s="12"/>
      <c r="H56" s="12"/>
    </row>
    <row r="57" spans="1:16" x14ac:dyDescent="0.2">
      <c r="A57" s="1" t="s">
        <v>14</v>
      </c>
      <c r="B57" s="1">
        <f>SUM(B32:B55)</f>
        <v>516</v>
      </c>
      <c r="I57" s="12" t="s">
        <v>12</v>
      </c>
      <c r="J57" s="31">
        <f>AVERAGE(J6:J55)</f>
        <v>-3.0216628843212363E-2</v>
      </c>
    </row>
    <row r="58" spans="1:16" s="13" customFormat="1" ht="14.25" x14ac:dyDescent="0.2">
      <c r="A58" s="13" t="s">
        <v>15</v>
      </c>
      <c r="B58" s="13">
        <f>B56+B28</f>
        <v>45</v>
      </c>
      <c r="C58" s="12"/>
      <c r="D58" s="12"/>
      <c r="E58" s="12"/>
      <c r="F58" s="3" t="s">
        <v>30</v>
      </c>
      <c r="G58" s="3"/>
      <c r="H58" s="3"/>
      <c r="I58" s="3"/>
      <c r="J58" s="22">
        <f>COUNTIF(J6:J55,"&gt;.1")/$B$58</f>
        <v>0.13333333333333333</v>
      </c>
    </row>
    <row r="59" spans="1:16" ht="14.25" x14ac:dyDescent="0.2">
      <c r="A59" s="13" t="s">
        <v>16</v>
      </c>
      <c r="B59" s="13">
        <f>B57+B29</f>
        <v>717</v>
      </c>
      <c r="F59" s="3" t="s">
        <v>29</v>
      </c>
      <c r="J59" s="34">
        <f>COUNTIF(J6:J55,"&lt;-.1")/$B$58</f>
        <v>0.22222222222222221</v>
      </c>
    </row>
    <row r="61" spans="1:16" x14ac:dyDescent="0.2">
      <c r="A61" s="14" t="s">
        <v>2</v>
      </c>
      <c r="B61" s="14"/>
      <c r="C61" s="1"/>
      <c r="D61" s="1"/>
      <c r="E61" s="1"/>
      <c r="G61" s="1"/>
      <c r="H61" s="1"/>
      <c r="J61" s="33"/>
      <c r="L61" s="3"/>
      <c r="M61" s="3"/>
      <c r="N61" s="3"/>
    </row>
    <row r="62" spans="1:16" ht="33.75" customHeight="1" x14ac:dyDescent="0.2">
      <c r="A62" s="39" t="s">
        <v>76</v>
      </c>
      <c r="B62" s="39"/>
      <c r="C62" s="39"/>
      <c r="D62" s="39"/>
      <c r="E62" s="39"/>
      <c r="F62" s="39"/>
      <c r="G62" s="39"/>
      <c r="H62" s="39"/>
      <c r="I62" s="39"/>
      <c r="J62" s="39"/>
      <c r="K62" s="19"/>
      <c r="L62" s="19"/>
      <c r="M62" s="19"/>
      <c r="N62" s="19"/>
      <c r="O62" s="19"/>
      <c r="P62" s="19"/>
    </row>
    <row r="63" spans="1:16" x14ac:dyDescent="0.2">
      <c r="A63" s="20" t="s">
        <v>32</v>
      </c>
      <c r="C63" s="1"/>
      <c r="D63" s="1"/>
      <c r="E63" s="1"/>
      <c r="G63" s="1"/>
      <c r="H63" s="1"/>
      <c r="J63" s="33"/>
      <c r="L63" s="3"/>
      <c r="M63" s="3"/>
      <c r="N63" s="3"/>
    </row>
    <row r="64" spans="1:16" x14ac:dyDescent="0.2">
      <c r="A64" s="20" t="s">
        <v>31</v>
      </c>
      <c r="C64" s="1"/>
      <c r="D64" s="1"/>
      <c r="E64" s="1"/>
      <c r="G64" s="1"/>
      <c r="H64" s="1"/>
      <c r="J64" s="33"/>
      <c r="L64" s="3"/>
      <c r="M64" s="3"/>
      <c r="N64" s="3"/>
    </row>
  </sheetData>
  <mergeCells count="3">
    <mergeCell ref="C3:E3"/>
    <mergeCell ref="G3:I3"/>
    <mergeCell ref="A62:J62"/>
  </mergeCells>
  <conditionalFormatting sqref="J6:J29 J31:J55">
    <cfRule type="cellIs" dxfId="1" priority="11" operator="greaterThan">
      <formula>0.1</formula>
    </cfRule>
    <cfRule type="cellIs" dxfId="0" priority="12" operator="lessThan">
      <formula>-0.1</formula>
    </cfRule>
  </conditionalFormatting>
  <pageMargins left="0.7" right="0.7" top="0.75" bottom="0.75" header="0.3" footer="0.3"/>
  <pageSetup fitToHeight="0" orientation="portrait" r:id="rId1"/>
  <headerFooter>
    <oddHeader>&amp;RDocket No. 56165
W/P &amp;F
&amp;A
Page &amp;P of &amp;N</oddHeader>
    <evenFooter>&amp;C&amp;"Calibri,Regular"&amp;11&amp;B&amp;K000000AEP CONFIDENTIAL</evenFooter>
    <firstFooter>&amp;C&amp;"Calibri,Regular"&amp;11&amp;B&amp;K000000AEP 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F35"/>
  <sheetViews>
    <sheetView tabSelected="1" workbookViewId="0">
      <selection activeCell="B4" sqref="B4"/>
    </sheetView>
  </sheetViews>
  <sheetFormatPr defaultColWidth="9.140625" defaultRowHeight="12.75" x14ac:dyDescent="0.2"/>
  <cols>
    <col min="1" max="1" width="19.42578125" style="25" customWidth="1"/>
    <col min="2" max="3" width="9.140625" style="25"/>
    <col min="4" max="4" width="13.5703125" style="25" bestFit="1" customWidth="1"/>
    <col min="5" max="5" width="11" style="25" bestFit="1" customWidth="1"/>
    <col min="6" max="16384" width="9.140625" style="25"/>
  </cols>
  <sheetData>
    <row r="1" spans="1:6" x14ac:dyDescent="0.2">
      <c r="B1" s="25" t="s">
        <v>37</v>
      </c>
    </row>
    <row r="3" spans="1:6" ht="76.5" x14ac:dyDescent="0.2">
      <c r="A3" s="23" t="str">
        <f>'[1]Mkt data_12.31.2019'!A4</f>
        <v>AEP Job</v>
      </c>
      <c r="B3" s="24" t="s">
        <v>77</v>
      </c>
      <c r="C3" s="24" t="s">
        <v>33</v>
      </c>
      <c r="D3" s="24" t="s">
        <v>34</v>
      </c>
      <c r="E3" s="28" t="s">
        <v>36</v>
      </c>
      <c r="F3" s="24" t="s">
        <v>35</v>
      </c>
    </row>
    <row r="4" spans="1:6" x14ac:dyDescent="0.2">
      <c r="A4" s="1" t="s">
        <v>62</v>
      </c>
      <c r="B4" s="27">
        <f>VLOOKUP($A4,'non exempt'!$A:$J,10,FALSE)+1</f>
        <v>1.1536304633187484</v>
      </c>
      <c r="C4" s="26">
        <v>0.9</v>
      </c>
      <c r="D4" s="26">
        <v>1</v>
      </c>
      <c r="E4" s="26">
        <v>0.2</v>
      </c>
      <c r="F4" s="26">
        <v>0.4</v>
      </c>
    </row>
    <row r="5" spans="1:6" x14ac:dyDescent="0.2">
      <c r="A5" s="1" t="s">
        <v>23</v>
      </c>
      <c r="B5" s="27">
        <f>VLOOKUP($A5,'non exempt'!$A:$J,10,FALSE)+1</f>
        <v>1.1498860032778842</v>
      </c>
      <c r="C5" s="26">
        <v>0.9</v>
      </c>
      <c r="D5" s="26">
        <v>1</v>
      </c>
      <c r="E5" s="26">
        <v>0.2</v>
      </c>
      <c r="F5" s="26">
        <v>0.4</v>
      </c>
    </row>
    <row r="6" spans="1:6" x14ac:dyDescent="0.2">
      <c r="A6" s="1" t="s">
        <v>50</v>
      </c>
      <c r="B6" s="27">
        <f>VLOOKUP($A6,'non exempt'!$A:$J,10,FALSE)+1</f>
        <v>1.1419931580747109</v>
      </c>
      <c r="C6" s="26">
        <v>0.9</v>
      </c>
      <c r="D6" s="26">
        <v>1</v>
      </c>
      <c r="E6" s="26">
        <v>0.2</v>
      </c>
      <c r="F6" s="26">
        <v>0.4</v>
      </c>
    </row>
    <row r="7" spans="1:6" x14ac:dyDescent="0.2">
      <c r="A7" s="1" t="s">
        <v>22</v>
      </c>
      <c r="B7" s="27">
        <f>VLOOKUP($A7,'non exempt'!$A:$J,10,FALSE)+1</f>
        <v>1.1126909865596188</v>
      </c>
      <c r="C7" s="26">
        <v>0.9</v>
      </c>
      <c r="D7" s="26">
        <v>1</v>
      </c>
      <c r="E7" s="26">
        <v>0.2</v>
      </c>
      <c r="F7" s="26">
        <v>0.4</v>
      </c>
    </row>
    <row r="8" spans="1:6" x14ac:dyDescent="0.2">
      <c r="A8" s="1" t="s">
        <v>54</v>
      </c>
      <c r="B8" s="27">
        <f>VLOOKUP($A8,'non exempt'!$A:$J,10,FALSE)+1</f>
        <v>1.1040744477378481</v>
      </c>
      <c r="C8" s="26">
        <v>0.9</v>
      </c>
      <c r="D8" s="26">
        <v>1</v>
      </c>
      <c r="E8" s="26">
        <v>0.2</v>
      </c>
      <c r="F8" s="26">
        <v>0.4</v>
      </c>
    </row>
    <row r="9" spans="1:6" x14ac:dyDescent="0.2">
      <c r="A9" s="1" t="s">
        <v>60</v>
      </c>
      <c r="B9" s="27">
        <f>VLOOKUP($A9,'non exempt'!$A:$J,10,FALSE)+1</f>
        <v>1.1032847288345522</v>
      </c>
      <c r="C9" s="26">
        <v>0.9</v>
      </c>
      <c r="D9" s="26">
        <v>1</v>
      </c>
      <c r="E9" s="26">
        <v>0.2</v>
      </c>
      <c r="F9" s="26">
        <v>0.4</v>
      </c>
    </row>
    <row r="10" spans="1:6" x14ac:dyDescent="0.2">
      <c r="A10" s="1" t="s">
        <v>61</v>
      </c>
      <c r="B10" s="27">
        <f>VLOOKUP($A10,'non exempt'!$A:$J,10,FALSE)+1</f>
        <v>1.0511304067747536</v>
      </c>
      <c r="C10" s="26">
        <v>0.9</v>
      </c>
      <c r="D10" s="26">
        <v>1</v>
      </c>
      <c r="E10" s="26">
        <v>0.2</v>
      </c>
      <c r="F10" s="26">
        <v>0.4</v>
      </c>
    </row>
    <row r="11" spans="1:6" x14ac:dyDescent="0.2">
      <c r="A11" s="1" t="s">
        <v>58</v>
      </c>
      <c r="B11" s="27">
        <f>VLOOKUP($A11,'non exempt'!$A:$J,10,FALSE)+1</f>
        <v>1.0211955683094913</v>
      </c>
      <c r="C11" s="26">
        <v>0.9</v>
      </c>
      <c r="D11" s="26">
        <v>1</v>
      </c>
      <c r="E11" s="26">
        <v>0.2</v>
      </c>
      <c r="F11" s="26">
        <v>0.4</v>
      </c>
    </row>
    <row r="12" spans="1:6" x14ac:dyDescent="0.2">
      <c r="A12" s="1" t="s">
        <v>42</v>
      </c>
      <c r="B12" s="27">
        <f>VLOOKUP($A12,'non exempt'!$A:$J,10,FALSE)+1</f>
        <v>0.99749770786282332</v>
      </c>
      <c r="C12" s="26">
        <v>0.9</v>
      </c>
      <c r="D12" s="26">
        <v>1</v>
      </c>
      <c r="E12" s="26">
        <v>0.2</v>
      </c>
      <c r="F12" s="26">
        <v>0.4</v>
      </c>
    </row>
    <row r="13" spans="1:6" x14ac:dyDescent="0.2">
      <c r="A13" s="1" t="s">
        <v>20</v>
      </c>
      <c r="B13" s="27">
        <f>VLOOKUP($A13,'non exempt'!$A:$J,10,FALSE)+1</f>
        <v>0.99717951166707242</v>
      </c>
      <c r="C13" s="26">
        <v>0.9</v>
      </c>
      <c r="D13" s="26">
        <v>1</v>
      </c>
      <c r="E13" s="26">
        <v>0.2</v>
      </c>
      <c r="F13" s="26">
        <v>0.4</v>
      </c>
    </row>
    <row r="14" spans="1:6" x14ac:dyDescent="0.2">
      <c r="A14" s="1" t="s">
        <v>47</v>
      </c>
      <c r="B14" s="27">
        <f>VLOOKUP($A14,'non exempt'!$A:$J,10,FALSE)+1</f>
        <v>0.99245788544468772</v>
      </c>
      <c r="C14" s="26">
        <v>0.9</v>
      </c>
      <c r="D14" s="26">
        <v>1</v>
      </c>
      <c r="E14" s="26">
        <v>0.2</v>
      </c>
      <c r="F14" s="26">
        <v>0.4</v>
      </c>
    </row>
    <row r="15" spans="1:6" x14ac:dyDescent="0.2">
      <c r="A15" s="1" t="s">
        <v>59</v>
      </c>
      <c r="B15" s="27">
        <f>VLOOKUP($A15,'non exempt'!$A:$J,10,FALSE)+1</f>
        <v>0.97909992898382581</v>
      </c>
      <c r="C15" s="26">
        <v>0.9</v>
      </c>
      <c r="D15" s="26">
        <v>1</v>
      </c>
      <c r="E15" s="26">
        <v>0.2</v>
      </c>
      <c r="F15" s="26">
        <v>0.4</v>
      </c>
    </row>
    <row r="16" spans="1:6" x14ac:dyDescent="0.2">
      <c r="A16" s="1" t="s">
        <v>25</v>
      </c>
      <c r="B16" s="27">
        <f>VLOOKUP($A16,'non exempt'!$A:$J,10,FALSE)+1</f>
        <v>0.97458365201672315</v>
      </c>
      <c r="C16" s="26">
        <v>0.9</v>
      </c>
      <c r="D16" s="26">
        <v>1</v>
      </c>
      <c r="E16" s="26">
        <v>0.2</v>
      </c>
      <c r="F16" s="26">
        <v>0.4</v>
      </c>
    </row>
    <row r="17" spans="1:6" x14ac:dyDescent="0.2">
      <c r="A17" s="1" t="s">
        <v>28</v>
      </c>
      <c r="B17" s="27">
        <f>VLOOKUP($A17,'non exempt'!$A:$J,10,FALSE)+1</f>
        <v>0.97116573766573233</v>
      </c>
      <c r="C17" s="26">
        <v>0.9</v>
      </c>
      <c r="D17" s="26">
        <v>1</v>
      </c>
      <c r="E17" s="26">
        <v>0.2</v>
      </c>
      <c r="F17" s="26">
        <v>0.4</v>
      </c>
    </row>
    <row r="18" spans="1:6" x14ac:dyDescent="0.2">
      <c r="A18" s="1" t="s">
        <v>41</v>
      </c>
      <c r="B18" s="27">
        <f>VLOOKUP($A18,'non exempt'!$A:$J,10,FALSE)+1</f>
        <v>0.96536166833711723</v>
      </c>
      <c r="C18" s="26">
        <v>0.9</v>
      </c>
      <c r="D18" s="26">
        <v>1</v>
      </c>
      <c r="E18" s="26">
        <v>0.2</v>
      </c>
      <c r="F18" s="26">
        <v>0.4</v>
      </c>
    </row>
    <row r="19" spans="1:6" x14ac:dyDescent="0.2">
      <c r="A19" s="1" t="s">
        <v>57</v>
      </c>
      <c r="B19" s="27">
        <f>VLOOKUP($A19,'non exempt'!$A:$J,10,FALSE)+1</f>
        <v>0.96359647501933432</v>
      </c>
      <c r="C19" s="26">
        <v>0.9</v>
      </c>
      <c r="D19" s="26">
        <v>1</v>
      </c>
      <c r="E19" s="26">
        <v>0.2</v>
      </c>
      <c r="F19" s="26">
        <v>0.4</v>
      </c>
    </row>
    <row r="20" spans="1:6" x14ac:dyDescent="0.2">
      <c r="A20" s="1" t="s">
        <v>43</v>
      </c>
      <c r="B20" s="27">
        <f>VLOOKUP($A20,'non exempt'!$A:$J,10,FALSE)+1</f>
        <v>0.96295684964652051</v>
      </c>
      <c r="C20" s="26">
        <v>0.9</v>
      </c>
      <c r="D20" s="26">
        <v>1</v>
      </c>
      <c r="E20" s="26">
        <v>0.2</v>
      </c>
      <c r="F20" s="26">
        <v>0.4</v>
      </c>
    </row>
    <row r="21" spans="1:6" x14ac:dyDescent="0.2">
      <c r="A21" s="1" t="s">
        <v>51</v>
      </c>
      <c r="B21" s="27">
        <f>VLOOKUP($A21,'non exempt'!$A:$J,10,FALSE)+1</f>
        <v>0.95033505174065014</v>
      </c>
      <c r="C21" s="26">
        <v>0.9</v>
      </c>
      <c r="D21" s="26">
        <v>1</v>
      </c>
      <c r="E21" s="26">
        <v>0.2</v>
      </c>
      <c r="F21" s="26">
        <v>0.4</v>
      </c>
    </row>
    <row r="22" spans="1:6" x14ac:dyDescent="0.2">
      <c r="A22" s="1" t="s">
        <v>49</v>
      </c>
      <c r="B22" s="27">
        <f>VLOOKUP($A22,'non exempt'!$A:$J,10,FALSE)+1</f>
        <v>0.94942461230664466</v>
      </c>
      <c r="C22" s="26">
        <v>0.9</v>
      </c>
      <c r="D22" s="26">
        <v>1</v>
      </c>
      <c r="E22" s="26">
        <v>0.2</v>
      </c>
      <c r="F22" s="26">
        <v>0.4</v>
      </c>
    </row>
    <row r="23" spans="1:6" x14ac:dyDescent="0.2">
      <c r="A23" s="1" t="s">
        <v>48</v>
      </c>
      <c r="B23" s="27">
        <f>VLOOKUP($A23,'non exempt'!$A:$J,10,FALSE)+1</f>
        <v>0.94353628769237641</v>
      </c>
      <c r="C23" s="26">
        <v>0.9</v>
      </c>
      <c r="D23" s="26">
        <v>1</v>
      </c>
      <c r="E23" s="26">
        <v>0.2</v>
      </c>
      <c r="F23" s="26">
        <v>0.4</v>
      </c>
    </row>
    <row r="24" spans="1:6" x14ac:dyDescent="0.2">
      <c r="A24" s="1" t="s">
        <v>19</v>
      </c>
      <c r="B24" s="27">
        <f>VLOOKUP($A24,'non exempt'!$A:$J,10,FALSE)+1</f>
        <v>0.9420412162172066</v>
      </c>
      <c r="C24" s="26">
        <v>0.9</v>
      </c>
      <c r="D24" s="26">
        <v>1</v>
      </c>
      <c r="E24" s="26">
        <v>0.2</v>
      </c>
      <c r="F24" s="26">
        <v>0.4</v>
      </c>
    </row>
    <row r="25" spans="1:6" x14ac:dyDescent="0.2">
      <c r="A25" s="1" t="s">
        <v>26</v>
      </c>
      <c r="B25" s="27">
        <f>VLOOKUP($A25,'non exempt'!$A:$J,10,FALSE)+1</f>
        <v>0.93761106453495258</v>
      </c>
      <c r="C25" s="26">
        <v>0.9</v>
      </c>
      <c r="D25" s="26">
        <v>1</v>
      </c>
      <c r="E25" s="26">
        <v>0.2</v>
      </c>
      <c r="F25" s="26">
        <v>0.4</v>
      </c>
    </row>
    <row r="26" spans="1:6" x14ac:dyDescent="0.2">
      <c r="A26" s="1" t="s">
        <v>45</v>
      </c>
      <c r="B26" s="27">
        <f>VLOOKUP($A26,'non exempt'!$A:$J,10,FALSE)+1</f>
        <v>0.92391174783684593</v>
      </c>
      <c r="C26" s="26">
        <v>0.9</v>
      </c>
      <c r="D26" s="26">
        <v>1</v>
      </c>
      <c r="E26" s="26">
        <v>0.2</v>
      </c>
      <c r="F26" s="26">
        <v>0.4</v>
      </c>
    </row>
    <row r="27" spans="1:6" x14ac:dyDescent="0.2">
      <c r="A27" s="1" t="s">
        <v>18</v>
      </c>
      <c r="B27" s="27">
        <f>VLOOKUP($A27,'non exempt'!$A:$J,10,FALSE)+1</f>
        <v>0.90037022054976745</v>
      </c>
      <c r="C27" s="26">
        <v>0.9</v>
      </c>
      <c r="D27" s="26">
        <v>1</v>
      </c>
      <c r="E27" s="26">
        <v>0.2</v>
      </c>
      <c r="F27" s="26">
        <v>0.4</v>
      </c>
    </row>
    <row r="28" spans="1:6" x14ac:dyDescent="0.2">
      <c r="A28" s="1" t="s">
        <v>21</v>
      </c>
      <c r="B28" s="27">
        <f>VLOOKUP($A28,'non exempt'!$A:$J,10,FALSE)+1</f>
        <v>0.89955862141488763</v>
      </c>
      <c r="C28" s="26">
        <v>0.9</v>
      </c>
      <c r="D28" s="26">
        <v>1</v>
      </c>
      <c r="E28" s="26">
        <v>0.2</v>
      </c>
      <c r="F28" s="26">
        <v>0.4</v>
      </c>
    </row>
    <row r="29" spans="1:6" x14ac:dyDescent="0.2">
      <c r="A29" s="1" t="s">
        <v>24</v>
      </c>
      <c r="B29" s="27">
        <f>VLOOKUP($A29,'non exempt'!$A:$J,10,FALSE)+1</f>
        <v>0.89841362665894919</v>
      </c>
      <c r="C29" s="26">
        <v>0.9</v>
      </c>
      <c r="D29" s="26">
        <v>1</v>
      </c>
      <c r="E29" s="26">
        <v>0.2</v>
      </c>
      <c r="F29" s="26">
        <v>0.4</v>
      </c>
    </row>
    <row r="30" spans="1:6" x14ac:dyDescent="0.2">
      <c r="A30" s="1" t="s">
        <v>44</v>
      </c>
      <c r="B30" s="27">
        <f>VLOOKUP($A30,'non exempt'!$A:$J,10,FALSE)+1</f>
        <v>0.89263724630921715</v>
      </c>
      <c r="C30" s="26">
        <v>0.9</v>
      </c>
      <c r="D30" s="26">
        <v>1</v>
      </c>
      <c r="E30" s="26">
        <v>0.2</v>
      </c>
      <c r="F30" s="26">
        <v>0.4</v>
      </c>
    </row>
    <row r="31" spans="1:6" x14ac:dyDescent="0.2">
      <c r="A31" s="1" t="s">
        <v>40</v>
      </c>
      <c r="B31" s="27">
        <f>VLOOKUP($A31,'non exempt'!$A:$J,10,FALSE)+1</f>
        <v>0.87767377281178738</v>
      </c>
      <c r="C31" s="26">
        <v>0.9</v>
      </c>
      <c r="D31" s="26">
        <v>1</v>
      </c>
      <c r="E31" s="26">
        <v>0.2</v>
      </c>
      <c r="F31" s="26">
        <v>0.4</v>
      </c>
    </row>
    <row r="32" spans="1:6" x14ac:dyDescent="0.2">
      <c r="A32" s="1" t="s">
        <v>53</v>
      </c>
      <c r="B32" s="27">
        <f>VLOOKUP($A32,'non exempt'!$A:$J,10,FALSE)+1</f>
        <v>0.84854656514283022</v>
      </c>
      <c r="C32" s="26">
        <v>0.9</v>
      </c>
      <c r="D32" s="26">
        <v>1</v>
      </c>
      <c r="E32" s="26">
        <v>0.2</v>
      </c>
      <c r="F32" s="26">
        <v>0.4</v>
      </c>
    </row>
    <row r="33" spans="1:6" x14ac:dyDescent="0.2">
      <c r="A33" s="1" t="s">
        <v>46</v>
      </c>
      <c r="B33" s="27">
        <f>VLOOKUP($A33,'non exempt'!$A:$J,10,FALSE)+1</f>
        <v>0.79426285170961797</v>
      </c>
      <c r="C33" s="26">
        <v>0.9</v>
      </c>
      <c r="D33" s="26">
        <v>1</v>
      </c>
      <c r="E33" s="26">
        <v>0.2</v>
      </c>
      <c r="F33" s="26">
        <v>0.4</v>
      </c>
    </row>
    <row r="34" spans="1:6" x14ac:dyDescent="0.2">
      <c r="A34" s="1" t="s">
        <v>27</v>
      </c>
      <c r="B34" s="27">
        <f>VLOOKUP($A34,'non exempt'!$A:$J,10,FALSE)+1</f>
        <v>0.77157881196382117</v>
      </c>
      <c r="C34" s="26">
        <v>0.9</v>
      </c>
      <c r="D34" s="26">
        <v>1</v>
      </c>
      <c r="E34" s="26">
        <v>0.2</v>
      </c>
      <c r="F34" s="26">
        <v>0.4</v>
      </c>
    </row>
    <row r="35" spans="1:6" x14ac:dyDescent="0.2">
      <c r="A35" s="1" t="s">
        <v>52</v>
      </c>
      <c r="B35" s="27">
        <f>VLOOKUP($A35,'non exempt'!$A:$J,10,FALSE)+1</f>
        <v>0.74580504569090822</v>
      </c>
      <c r="C35" s="26">
        <v>0.9</v>
      </c>
      <c r="D35" s="26">
        <v>1</v>
      </c>
      <c r="E35" s="26">
        <v>0.2</v>
      </c>
      <c r="F35" s="26">
        <v>0.4</v>
      </c>
    </row>
  </sheetData>
  <autoFilter ref="A3:B35" xr:uid="{00000000-0009-0000-0000-000002000000}">
    <sortState xmlns:xlrd2="http://schemas.microsoft.com/office/spreadsheetml/2017/richdata2" ref="A4:B35">
      <sortCondition descending="1" ref="B3:B35"/>
    </sortState>
  </autoFilter>
  <sortState xmlns:xlrd2="http://schemas.microsoft.com/office/spreadsheetml/2017/richdata2" ref="A4:F35">
    <sortCondition descending="1" ref="B4:B35"/>
  </sortState>
  <pageMargins left="0.7" right="0.7" top="0.75" bottom="0.75" header="0.3" footer="0.3"/>
  <pageSetup orientation="portrait" horizontalDpi="1200" verticalDpi="1200" r:id="rId1"/>
  <headerFooter>
    <oddHeader>&amp;RDocket No. 56165
W/P &amp;F
&amp;A
Page &amp;P of &amp;N</oddHead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JjNWY4ZWIxMi01YjI3LTQzOWQtYWFhNi0zNDAyYWY2MjZmYTM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zMjkxNjc5PC9Vc2VyTmFtZT48RGF0ZVRpbWU+MTAvNC8yMDIyIDM6MDA6MzcgUE08L0RhdGVUaW1lPjxMYWJlbFN0cmluZz5BRVAgUHVibGljPC9MYWJlbFN0cmluZz48L2l0ZW0+PC9sYWJlbEhpc3Rvcnk+</Value>
</WrappedLabelHistory>
</file>

<file path=customXml/item4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DF22A118-0676-42B0-8E98-27409D2EE9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EDAF4-4D2E-4487-B3F4-F7A21A032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846EE7-0A07-4908-A8F6-1A5913529263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D8DAA63D-228B-40D3-8845-7FC3E9ED88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non exempt</vt:lpstr>
      <vt:lpstr>Graph Data</vt:lpstr>
      <vt:lpstr>Chart1</vt:lpstr>
      <vt:lpstr>'non exempt'!Print_Area</vt:lpstr>
      <vt:lpstr>'non exempt'!Print_Titles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s291679</dc:creator>
  <cp:keywords/>
  <cp:lastModifiedBy>Stephanie L White</cp:lastModifiedBy>
  <cp:lastPrinted>2019-04-22T18:51:54Z</cp:lastPrinted>
  <dcterms:created xsi:type="dcterms:W3CDTF">2018-12-19T20:55:02Z</dcterms:created>
  <dcterms:modified xsi:type="dcterms:W3CDTF">2024-02-27T21:37:42Z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423a0d39-f54b-4cd6-85bc-8b49f4c242b9</vt:lpwstr>
  </property>
  <property fmtid="{D5CDD505-2E9C-101B-9397-08002B2CF9AE}" pid="3" name="bjSaver">
    <vt:lpwstr>ymOzOy9TozdO3fPkFt/NYaxMcqEF9d4G</vt:lpwstr>
  </property>
  <property fmtid="{D5CDD505-2E9C-101B-9397-08002B2CF9AE}" pid="4" name="bjDocumentSecurityLabel">
    <vt:lpwstr>AEP Public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8" name="MSIP_Label_5c34e43d-0b77-4b2c-b224-1b46981ccfdb_SiteId">
    <vt:lpwstr>15f3c881-6b03-4ff6-8559-77bf5177818f</vt:lpwstr>
  </property>
  <property fmtid="{D5CDD505-2E9C-101B-9397-08002B2CF9AE}" pid="9" name="MSIP_Label_5c34e43d-0b77-4b2c-b224-1b46981ccfdb_Name">
    <vt:lpwstr>AEP Public</vt:lpwstr>
  </property>
  <property fmtid="{D5CDD505-2E9C-101B-9397-08002B2CF9AE}" pid="10" name="MSIP_Label_5c34e43d-0b77-4b2c-b224-1b46981ccfdb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{D5846EE7-0A07-4908-A8F6-1A5913529263}</vt:lpwstr>
  </property>
</Properties>
</file>