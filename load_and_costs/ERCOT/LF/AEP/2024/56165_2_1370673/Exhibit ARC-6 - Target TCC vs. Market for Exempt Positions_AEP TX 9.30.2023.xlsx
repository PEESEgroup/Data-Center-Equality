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Testimony Drafts/20. Andy Carlin/Exhibits/"/>
    </mc:Choice>
  </mc:AlternateContent>
  <xr:revisionPtr revIDLastSave="1" documentId="13_ncr:1_{2D744360-7A45-484B-BB2B-ADAD5590DBCA}" xr6:coauthVersionLast="47" xr6:coauthVersionMax="47" xr10:uidLastSave="{9BB770BB-DFD8-4072-A3E0-700E5A65CCB9}"/>
  <bookViews>
    <workbookView xWindow="28680" yWindow="-525" windowWidth="29040" windowHeight="15720" xr2:uid="{00000000-000D-0000-FFFF-FFFF00000000}"/>
  </bookViews>
  <sheets>
    <sheet name="Exempt Non-managerial" sheetId="9" r:id="rId1"/>
    <sheet name="Exempt Chart1" sheetId="5" r:id="rId2"/>
    <sheet name="Exempt Graph Data All" sheetId="6" r:id="rId3"/>
  </sheets>
  <definedNames>
    <definedName name="_xlnm._FilterDatabase" localSheetId="2" hidden="1">'Exempt Graph Data All'!$A$3:$B$117</definedName>
    <definedName name="_xlnm.Print_Titles" localSheetId="0">'Exempt Non-managerial'!$3:$4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7" i="9" l="1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298" i="9"/>
  <c r="D298" i="9"/>
  <c r="H297" i="9"/>
  <c r="D297" i="9"/>
  <c r="H296" i="9"/>
  <c r="D296" i="9"/>
  <c r="H295" i="9"/>
  <c r="D295" i="9"/>
  <c r="H294" i="9"/>
  <c r="D294" i="9"/>
  <c r="H293" i="9"/>
  <c r="D293" i="9"/>
  <c r="H292" i="9"/>
  <c r="D292" i="9"/>
  <c r="H291" i="9"/>
  <c r="D291" i="9"/>
  <c r="H290" i="9"/>
  <c r="D290" i="9"/>
  <c r="H289" i="9"/>
  <c r="D289" i="9"/>
  <c r="H288" i="9"/>
  <c r="D288" i="9"/>
  <c r="H287" i="9"/>
  <c r="D287" i="9"/>
  <c r="H286" i="9"/>
  <c r="D286" i="9"/>
  <c r="H285" i="9"/>
  <c r="D285" i="9"/>
  <c r="H284" i="9"/>
  <c r="D284" i="9"/>
  <c r="H283" i="9"/>
  <c r="D283" i="9"/>
  <c r="H282" i="9"/>
  <c r="D282" i="9"/>
  <c r="H281" i="9"/>
  <c r="D281" i="9"/>
  <c r="H280" i="9"/>
  <c r="D280" i="9"/>
  <c r="H279" i="9"/>
  <c r="D279" i="9"/>
  <c r="H278" i="9"/>
  <c r="D278" i="9"/>
  <c r="H277" i="9"/>
  <c r="D277" i="9"/>
  <c r="H276" i="9"/>
  <c r="D276" i="9"/>
  <c r="H275" i="9"/>
  <c r="D275" i="9"/>
  <c r="H274" i="9"/>
  <c r="D274" i="9"/>
  <c r="H273" i="9"/>
  <c r="D273" i="9"/>
  <c r="H272" i="9"/>
  <c r="D272" i="9"/>
  <c r="H271" i="9"/>
  <c r="D271" i="9"/>
  <c r="H270" i="9"/>
  <c r="D270" i="9"/>
  <c r="H269" i="9"/>
  <c r="D269" i="9"/>
  <c r="H268" i="9"/>
  <c r="D268" i="9"/>
  <c r="H267" i="9"/>
  <c r="D267" i="9"/>
  <c r="H266" i="9"/>
  <c r="D266" i="9"/>
  <c r="H265" i="9"/>
  <c r="D265" i="9"/>
  <c r="H264" i="9"/>
  <c r="D264" i="9"/>
  <c r="H263" i="9"/>
  <c r="D263" i="9"/>
  <c r="H262" i="9"/>
  <c r="D262" i="9"/>
  <c r="H261" i="9"/>
  <c r="D261" i="9"/>
  <c r="H260" i="9"/>
  <c r="D260" i="9"/>
  <c r="H259" i="9"/>
  <c r="D259" i="9"/>
  <c r="H258" i="9"/>
  <c r="D258" i="9"/>
  <c r="H257" i="9"/>
  <c r="D257" i="9"/>
  <c r="H256" i="9"/>
  <c r="D256" i="9"/>
  <c r="H255" i="9"/>
  <c r="D255" i="9"/>
  <c r="H254" i="9"/>
  <c r="D254" i="9"/>
  <c r="H253" i="9"/>
  <c r="D253" i="9"/>
  <c r="H252" i="9"/>
  <c r="D252" i="9"/>
  <c r="H251" i="9"/>
  <c r="D251" i="9"/>
  <c r="H250" i="9"/>
  <c r="D250" i="9"/>
  <c r="H249" i="9"/>
  <c r="D249" i="9"/>
  <c r="H248" i="9"/>
  <c r="D248" i="9"/>
  <c r="H247" i="9"/>
  <c r="D247" i="9"/>
  <c r="H246" i="9"/>
  <c r="D246" i="9"/>
  <c r="H245" i="9"/>
  <c r="D245" i="9"/>
  <c r="H244" i="9"/>
  <c r="D244" i="9"/>
  <c r="H243" i="9"/>
  <c r="D243" i="9"/>
  <c r="H242" i="9"/>
  <c r="D242" i="9"/>
  <c r="H241" i="9"/>
  <c r="D241" i="9"/>
  <c r="H240" i="9"/>
  <c r="D240" i="9"/>
  <c r="H239" i="9"/>
  <c r="D239" i="9"/>
  <c r="H238" i="9"/>
  <c r="D238" i="9"/>
  <c r="H237" i="9"/>
  <c r="D237" i="9"/>
  <c r="H236" i="9"/>
  <c r="D236" i="9"/>
  <c r="H235" i="9"/>
  <c r="D235" i="9"/>
  <c r="H234" i="9"/>
  <c r="D234" i="9"/>
  <c r="H233" i="9"/>
  <c r="D233" i="9"/>
  <c r="H232" i="9"/>
  <c r="D232" i="9"/>
  <c r="H231" i="9"/>
  <c r="D231" i="9"/>
  <c r="H230" i="9"/>
  <c r="D230" i="9"/>
  <c r="H229" i="9"/>
  <c r="D229" i="9"/>
  <c r="H228" i="9"/>
  <c r="D228" i="9"/>
  <c r="H227" i="9"/>
  <c r="D227" i="9"/>
  <c r="H226" i="9"/>
  <c r="D226" i="9"/>
  <c r="H225" i="9"/>
  <c r="D225" i="9"/>
  <c r="H224" i="9"/>
  <c r="D224" i="9"/>
  <c r="H223" i="9"/>
  <c r="D223" i="9"/>
  <c r="H222" i="9"/>
  <c r="D222" i="9"/>
  <c r="H221" i="9"/>
  <c r="D221" i="9"/>
  <c r="H220" i="9"/>
  <c r="D220" i="9"/>
  <c r="H219" i="9"/>
  <c r="D219" i="9"/>
  <c r="H218" i="9"/>
  <c r="D218" i="9"/>
  <c r="H217" i="9"/>
  <c r="D217" i="9"/>
  <c r="H216" i="9"/>
  <c r="D216" i="9"/>
  <c r="H215" i="9"/>
  <c r="D215" i="9"/>
  <c r="H214" i="9"/>
  <c r="D214" i="9"/>
  <c r="H213" i="9"/>
  <c r="D213" i="9"/>
  <c r="H212" i="9"/>
  <c r="D212" i="9"/>
  <c r="H211" i="9"/>
  <c r="D211" i="9"/>
  <c r="H210" i="9"/>
  <c r="D210" i="9"/>
  <c r="H209" i="9"/>
  <c r="D209" i="9"/>
  <c r="H208" i="9"/>
  <c r="D208" i="9"/>
  <c r="H207" i="9"/>
  <c r="D207" i="9"/>
  <c r="H206" i="9"/>
  <c r="D206" i="9"/>
  <c r="H205" i="9"/>
  <c r="D205" i="9"/>
  <c r="H204" i="9"/>
  <c r="D204" i="9"/>
  <c r="H203" i="9"/>
  <c r="D203" i="9"/>
  <c r="H202" i="9"/>
  <c r="D202" i="9"/>
  <c r="H201" i="9"/>
  <c r="D201" i="9"/>
  <c r="H200" i="9"/>
  <c r="D200" i="9"/>
  <c r="H199" i="9"/>
  <c r="D199" i="9"/>
  <c r="H198" i="9"/>
  <c r="D198" i="9"/>
  <c r="H197" i="9"/>
  <c r="D197" i="9"/>
  <c r="H196" i="9"/>
  <c r="D196" i="9"/>
  <c r="H195" i="9"/>
  <c r="D195" i="9"/>
  <c r="H194" i="9"/>
  <c r="D194" i="9"/>
  <c r="H193" i="9"/>
  <c r="D193" i="9"/>
  <c r="H192" i="9"/>
  <c r="D192" i="9"/>
  <c r="H191" i="9"/>
  <c r="D191" i="9"/>
  <c r="H190" i="9"/>
  <c r="D190" i="9"/>
  <c r="H189" i="9"/>
  <c r="D189" i="9"/>
  <c r="H188" i="9"/>
  <c r="D188" i="9"/>
  <c r="H187" i="9"/>
  <c r="D187" i="9"/>
  <c r="H186" i="9"/>
  <c r="D186" i="9"/>
  <c r="H185" i="9"/>
  <c r="D185" i="9"/>
  <c r="H184" i="9"/>
  <c r="D184" i="9"/>
  <c r="H183" i="9"/>
  <c r="D183" i="9"/>
  <c r="H182" i="9"/>
  <c r="D182" i="9"/>
  <c r="H181" i="9"/>
  <c r="D181" i="9"/>
  <c r="H180" i="9"/>
  <c r="D180" i="9"/>
  <c r="H179" i="9"/>
  <c r="D179" i="9"/>
  <c r="H178" i="9"/>
  <c r="D178" i="9"/>
  <c r="H177" i="9"/>
  <c r="D177" i="9"/>
  <c r="H176" i="9"/>
  <c r="D176" i="9"/>
  <c r="H175" i="9"/>
  <c r="D175" i="9"/>
  <c r="H174" i="9"/>
  <c r="D174" i="9"/>
  <c r="H173" i="9"/>
  <c r="D173" i="9"/>
  <c r="H172" i="9"/>
  <c r="D172" i="9"/>
  <c r="H171" i="9"/>
  <c r="D171" i="9"/>
  <c r="H170" i="9"/>
  <c r="D170" i="9"/>
  <c r="H169" i="9"/>
  <c r="D169" i="9"/>
  <c r="H168" i="9"/>
  <c r="D168" i="9"/>
  <c r="H167" i="9"/>
  <c r="D167" i="9"/>
  <c r="H166" i="9"/>
  <c r="D166" i="9"/>
  <c r="H165" i="9"/>
  <c r="D165" i="9"/>
  <c r="H164" i="9"/>
  <c r="D164" i="9"/>
  <c r="H163" i="9"/>
  <c r="D163" i="9"/>
  <c r="H162" i="9"/>
  <c r="D162" i="9"/>
  <c r="H161" i="9"/>
  <c r="D161" i="9"/>
  <c r="H160" i="9"/>
  <c r="D160" i="9"/>
  <c r="H159" i="9"/>
  <c r="D159" i="9"/>
  <c r="H158" i="9"/>
  <c r="D158" i="9"/>
  <c r="H157" i="9"/>
  <c r="D157" i="9"/>
  <c r="H156" i="9"/>
  <c r="D156" i="9"/>
  <c r="H155" i="9"/>
  <c r="D155" i="9"/>
  <c r="H154" i="9"/>
  <c r="D154" i="9"/>
  <c r="H153" i="9"/>
  <c r="D153" i="9"/>
  <c r="H152" i="9"/>
  <c r="D152" i="9"/>
  <c r="H151" i="9"/>
  <c r="D151" i="9"/>
  <c r="H150" i="9"/>
  <c r="D150" i="9"/>
  <c r="H149" i="9"/>
  <c r="D149" i="9"/>
  <c r="H148" i="9"/>
  <c r="D148" i="9"/>
  <c r="H147" i="9"/>
  <c r="D147" i="9"/>
  <c r="H146" i="9"/>
  <c r="D146" i="9"/>
  <c r="H145" i="9"/>
  <c r="D145" i="9"/>
  <c r="H144" i="9"/>
  <c r="D144" i="9"/>
  <c r="H143" i="9"/>
  <c r="D143" i="9"/>
  <c r="H142" i="9"/>
  <c r="D142" i="9"/>
  <c r="H141" i="9"/>
  <c r="D141" i="9"/>
  <c r="H140" i="9"/>
  <c r="D140" i="9"/>
  <c r="H139" i="9"/>
  <c r="D139" i="9"/>
  <c r="H138" i="9"/>
  <c r="D138" i="9"/>
  <c r="H137" i="9"/>
  <c r="D137" i="9"/>
  <c r="H136" i="9"/>
  <c r="D136" i="9"/>
  <c r="H135" i="9"/>
  <c r="D135" i="9"/>
  <c r="H134" i="9"/>
  <c r="D134" i="9"/>
  <c r="H133" i="9"/>
  <c r="D133" i="9"/>
  <c r="H132" i="9"/>
  <c r="D132" i="9"/>
  <c r="H131" i="9"/>
  <c r="D131" i="9"/>
  <c r="H130" i="9"/>
  <c r="D130" i="9"/>
  <c r="H129" i="9"/>
  <c r="D129" i="9"/>
  <c r="H128" i="9"/>
  <c r="D128" i="9"/>
  <c r="H127" i="9"/>
  <c r="D127" i="9"/>
  <c r="H126" i="9"/>
  <c r="D126" i="9"/>
  <c r="H125" i="9"/>
  <c r="D125" i="9"/>
  <c r="H124" i="9"/>
  <c r="D124" i="9"/>
  <c r="H123" i="9"/>
  <c r="D123" i="9"/>
  <c r="H122" i="9"/>
  <c r="D122" i="9"/>
  <c r="H121" i="9"/>
  <c r="D121" i="9"/>
  <c r="H120" i="9"/>
  <c r="D120" i="9"/>
  <c r="H119" i="9"/>
  <c r="D119" i="9"/>
  <c r="H118" i="9"/>
  <c r="D118" i="9"/>
  <c r="H117" i="9"/>
  <c r="D117" i="9"/>
  <c r="H116" i="9"/>
  <c r="D116" i="9"/>
  <c r="H115" i="9"/>
  <c r="D115" i="9"/>
  <c r="H114" i="9"/>
  <c r="D114" i="9"/>
  <c r="H113" i="9"/>
  <c r="D113" i="9"/>
  <c r="H112" i="9"/>
  <c r="D112" i="9"/>
  <c r="H111" i="9"/>
  <c r="D111" i="9"/>
  <c r="H110" i="9"/>
  <c r="D110" i="9"/>
  <c r="H109" i="9"/>
  <c r="D109" i="9"/>
  <c r="H108" i="9"/>
  <c r="D108" i="9"/>
  <c r="H107" i="9"/>
  <c r="D107" i="9"/>
  <c r="H106" i="9"/>
  <c r="D106" i="9"/>
  <c r="H105" i="9"/>
  <c r="D105" i="9"/>
  <c r="H104" i="9"/>
  <c r="D104" i="9"/>
  <c r="H103" i="9"/>
  <c r="D103" i="9"/>
  <c r="H102" i="9"/>
  <c r="D102" i="9"/>
  <c r="H101" i="9"/>
  <c r="D101" i="9"/>
  <c r="H100" i="9"/>
  <c r="D100" i="9"/>
  <c r="H99" i="9"/>
  <c r="D99" i="9"/>
  <c r="H98" i="9"/>
  <c r="D98" i="9"/>
  <c r="H97" i="9"/>
  <c r="D97" i="9"/>
  <c r="H96" i="9"/>
  <c r="D96" i="9"/>
  <c r="H95" i="9"/>
  <c r="D95" i="9"/>
  <c r="H94" i="9"/>
  <c r="D94" i="9"/>
  <c r="H93" i="9"/>
  <c r="D93" i="9"/>
  <c r="H92" i="9"/>
  <c r="D92" i="9"/>
  <c r="H91" i="9"/>
  <c r="D91" i="9"/>
  <c r="H90" i="9"/>
  <c r="D90" i="9"/>
  <c r="H89" i="9"/>
  <c r="D89" i="9"/>
  <c r="H88" i="9"/>
  <c r="D88" i="9"/>
  <c r="H87" i="9"/>
  <c r="D87" i="9"/>
  <c r="H86" i="9"/>
  <c r="D86" i="9"/>
  <c r="H85" i="9"/>
  <c r="D85" i="9"/>
  <c r="H84" i="9"/>
  <c r="D84" i="9"/>
  <c r="H83" i="9"/>
  <c r="D83" i="9"/>
  <c r="H82" i="9"/>
  <c r="D82" i="9"/>
  <c r="H81" i="9"/>
  <c r="D81" i="9"/>
  <c r="H80" i="9"/>
  <c r="D80" i="9"/>
  <c r="H79" i="9"/>
  <c r="D79" i="9"/>
  <c r="H78" i="9"/>
  <c r="D78" i="9"/>
  <c r="H77" i="9"/>
  <c r="D77" i="9"/>
  <c r="H76" i="9"/>
  <c r="D76" i="9"/>
  <c r="H75" i="9"/>
  <c r="D75" i="9"/>
  <c r="H74" i="9"/>
  <c r="D74" i="9"/>
  <c r="H73" i="9"/>
  <c r="D73" i="9"/>
  <c r="H72" i="9"/>
  <c r="D72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67" i="9" l="1"/>
  <c r="D67" i="9"/>
  <c r="J66" i="9"/>
  <c r="D66" i="9"/>
  <c r="J65" i="9"/>
  <c r="D65" i="9"/>
  <c r="J64" i="9"/>
  <c r="D64" i="9"/>
  <c r="J63" i="9"/>
  <c r="D63" i="9"/>
  <c r="J62" i="9"/>
  <c r="D62" i="9"/>
  <c r="J61" i="9"/>
  <c r="D61" i="9"/>
  <c r="J60" i="9"/>
  <c r="D60" i="9"/>
  <c r="J59" i="9"/>
  <c r="D59" i="9"/>
  <c r="J58" i="9"/>
  <c r="D58" i="9"/>
  <c r="J57" i="9"/>
  <c r="D57" i="9"/>
  <c r="J56" i="9"/>
  <c r="D56" i="9"/>
  <c r="J55" i="9" l="1"/>
  <c r="D55" i="9"/>
  <c r="J54" i="9"/>
  <c r="D54" i="9"/>
  <c r="J53" i="9"/>
  <c r="D53" i="9"/>
  <c r="J52" i="9"/>
  <c r="D52" i="9"/>
  <c r="J51" i="9"/>
  <c r="D51" i="9"/>
  <c r="J50" i="9"/>
  <c r="D50" i="9"/>
  <c r="J49" i="9"/>
  <c r="D49" i="9"/>
  <c r="J48" i="9"/>
  <c r="D48" i="9"/>
  <c r="J47" i="9"/>
  <c r="D47" i="9"/>
  <c r="J46" i="9"/>
  <c r="D46" i="9"/>
  <c r="J45" i="9"/>
  <c r="D45" i="9"/>
  <c r="J44" i="9"/>
  <c r="D44" i="9"/>
  <c r="J43" i="9"/>
  <c r="D43" i="9"/>
  <c r="J42" i="9"/>
  <c r="D42" i="9"/>
  <c r="J41" i="9"/>
  <c r="D41" i="9"/>
  <c r="J40" i="9"/>
  <c r="D40" i="9"/>
  <c r="J39" i="9"/>
  <c r="D39" i="9"/>
  <c r="J38" i="9"/>
  <c r="D38" i="9"/>
  <c r="J37" i="9"/>
  <c r="D37" i="9"/>
  <c r="J36" i="9"/>
  <c r="D36" i="9"/>
  <c r="J35" i="9"/>
  <c r="D35" i="9"/>
  <c r="J34" i="9"/>
  <c r="D34" i="9"/>
  <c r="J33" i="9"/>
  <c r="D33" i="9"/>
  <c r="J32" i="9"/>
  <c r="D32" i="9"/>
  <c r="J31" i="9"/>
  <c r="D31" i="9"/>
  <c r="J30" i="9"/>
  <c r="D30" i="9"/>
  <c r="J29" i="9"/>
  <c r="D29" i="9"/>
  <c r="J28" i="9"/>
  <c r="D28" i="9"/>
  <c r="J27" i="9"/>
  <c r="D27" i="9"/>
  <c r="J26" i="9"/>
  <c r="D26" i="9"/>
  <c r="J25" i="9"/>
  <c r="D25" i="9"/>
  <c r="J24" i="9"/>
  <c r="D24" i="9"/>
  <c r="J23" i="9"/>
  <c r="D23" i="9"/>
  <c r="J22" i="9"/>
  <c r="D22" i="9"/>
  <c r="J21" i="9"/>
  <c r="D21" i="9"/>
  <c r="J20" i="9"/>
  <c r="D20" i="9"/>
  <c r="J19" i="9"/>
  <c r="D19" i="9"/>
  <c r="J18" i="9"/>
  <c r="D18" i="9"/>
  <c r="J17" i="9"/>
  <c r="D17" i="9"/>
  <c r="J16" i="9"/>
  <c r="D16" i="9"/>
  <c r="J15" i="9"/>
  <c r="D15" i="9"/>
  <c r="J14" i="9"/>
  <c r="B189" i="6" s="1"/>
  <c r="D14" i="9"/>
  <c r="J282" i="9"/>
  <c r="J281" i="9"/>
  <c r="J280" i="9"/>
  <c r="J279" i="9"/>
  <c r="J278" i="9"/>
  <c r="J277" i="9"/>
  <c r="B30" i="6" s="1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B236" i="6" s="1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B74" i="6" s="1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B217" i="6" s="1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B234" i="6" l="1"/>
  <c r="B127" i="6"/>
  <c r="B200" i="6"/>
  <c r="B54" i="6"/>
  <c r="B81" i="6"/>
  <c r="B196" i="6"/>
  <c r="B21" i="6"/>
  <c r="B142" i="6"/>
  <c r="B35" i="6"/>
  <c r="B99" i="6"/>
  <c r="B277" i="6"/>
  <c r="B100" i="6"/>
  <c r="B225" i="6"/>
  <c r="B300" i="9"/>
  <c r="B299" i="9"/>
  <c r="J13" i="9"/>
  <c r="D13" i="9"/>
  <c r="B59" i="6"/>
  <c r="B174" i="6"/>
  <c r="B171" i="6"/>
  <c r="B221" i="6"/>
  <c r="B24" i="6"/>
  <c r="B167" i="6"/>
  <c r="B78" i="6"/>
  <c r="J210" i="9"/>
  <c r="J209" i="9"/>
  <c r="J208" i="9"/>
  <c r="J207" i="9"/>
  <c r="J206" i="9"/>
  <c r="J205" i="9"/>
  <c r="J204" i="9"/>
  <c r="J203" i="9"/>
  <c r="J202" i="9"/>
  <c r="J201" i="9"/>
  <c r="B36" i="6" s="1"/>
  <c r="J200" i="9"/>
  <c r="J199" i="9"/>
  <c r="J198" i="9"/>
  <c r="J197" i="9"/>
  <c r="J196" i="9"/>
  <c r="J195" i="9"/>
  <c r="J194" i="9"/>
  <c r="J193" i="9"/>
  <c r="B227" i="6" s="1"/>
  <c r="J192" i="9"/>
  <c r="J191" i="9"/>
  <c r="J190" i="9"/>
  <c r="J189" i="9"/>
  <c r="J188" i="9"/>
  <c r="J187" i="9"/>
  <c r="J186" i="9"/>
  <c r="J185" i="9"/>
  <c r="J184" i="9"/>
  <c r="J183" i="9"/>
  <c r="J182" i="9"/>
  <c r="J181" i="9"/>
  <c r="B26" i="6" s="1"/>
  <c r="J180" i="9"/>
  <c r="J179" i="9"/>
  <c r="J178" i="9"/>
  <c r="J177" i="9"/>
  <c r="J176" i="9"/>
  <c r="J175" i="9"/>
  <c r="J174" i="9"/>
  <c r="J173" i="9"/>
  <c r="J172" i="9"/>
  <c r="B122" i="6" s="1"/>
  <c r="J171" i="9"/>
  <c r="J170" i="9"/>
  <c r="J169" i="9"/>
  <c r="J168" i="9"/>
  <c r="B232" i="6" s="1"/>
  <c r="J167" i="9"/>
  <c r="J166" i="9"/>
  <c r="J165" i="9"/>
  <c r="B216" i="6" s="1"/>
  <c r="J164" i="9"/>
  <c r="J163" i="9"/>
  <c r="J162" i="9"/>
  <c r="J161" i="9"/>
  <c r="B20" i="6" s="1"/>
  <c r="J160" i="9"/>
  <c r="J159" i="9"/>
  <c r="B212" i="6" s="1"/>
  <c r="J158" i="9"/>
  <c r="J157" i="9"/>
  <c r="J156" i="9"/>
  <c r="B92" i="6" s="1"/>
  <c r="J155" i="9"/>
  <c r="J154" i="9"/>
  <c r="J153" i="9"/>
  <c r="J152" i="9"/>
  <c r="B282" i="6" s="1"/>
  <c r="J151" i="9"/>
  <c r="J150" i="9"/>
  <c r="J149" i="9"/>
  <c r="J148" i="9"/>
  <c r="J147" i="9"/>
  <c r="B180" i="6" s="1"/>
  <c r="J146" i="9"/>
  <c r="J145" i="9"/>
  <c r="J144" i="9"/>
  <c r="J143" i="9"/>
  <c r="J142" i="9"/>
  <c r="J141" i="9"/>
  <c r="J140" i="9"/>
  <c r="J139" i="9"/>
  <c r="B25" i="6" s="1"/>
  <c r="J138" i="9"/>
  <c r="J137" i="9"/>
  <c r="J136" i="9"/>
  <c r="B148" i="6" s="1"/>
  <c r="J135" i="9"/>
  <c r="J134" i="9"/>
  <c r="J133" i="9"/>
  <c r="J132" i="9"/>
  <c r="B173" i="6" s="1"/>
  <c r="J131" i="9"/>
  <c r="B248" i="6" s="1"/>
  <c r="J130" i="9"/>
  <c r="J129" i="9"/>
  <c r="B168" i="6" s="1"/>
  <c r="J128" i="9"/>
  <c r="J127" i="9"/>
  <c r="J126" i="9"/>
  <c r="J125" i="9"/>
  <c r="J124" i="9"/>
  <c r="J123" i="9"/>
  <c r="J122" i="9"/>
  <c r="B243" i="6" s="1"/>
  <c r="J121" i="9"/>
  <c r="B67" i="6" s="1"/>
  <c r="J120" i="9"/>
  <c r="J119" i="9"/>
  <c r="J118" i="9"/>
  <c r="J117" i="9"/>
  <c r="J116" i="9"/>
  <c r="B66" i="6" s="1"/>
  <c r="J115" i="9"/>
  <c r="J114" i="9"/>
  <c r="J113" i="9"/>
  <c r="B279" i="6" s="1"/>
  <c r="J112" i="9"/>
  <c r="J111" i="9"/>
  <c r="B53" i="6" s="1"/>
  <c r="J110" i="9"/>
  <c r="B41" i="6" s="1"/>
  <c r="J109" i="9"/>
  <c r="J108" i="9"/>
  <c r="B247" i="6" s="1"/>
  <c r="J107" i="9"/>
  <c r="B288" i="6" s="1"/>
  <c r="J106" i="9"/>
  <c r="B281" i="6" s="1"/>
  <c r="J105" i="9"/>
  <c r="B285" i="6" s="1"/>
  <c r="J104" i="9"/>
  <c r="B272" i="6" s="1"/>
  <c r="J103" i="9"/>
  <c r="B252" i="6" s="1"/>
  <c r="J102" i="9"/>
  <c r="B101" i="6" s="1"/>
  <c r="J101" i="9"/>
  <c r="B91" i="6" s="1"/>
  <c r="J100" i="9"/>
  <c r="J99" i="9"/>
  <c r="B58" i="6" s="1"/>
  <c r="J98" i="9"/>
  <c r="B233" i="6" s="1"/>
  <c r="J97" i="9"/>
  <c r="B106" i="6" s="1"/>
  <c r="J96" i="9"/>
  <c r="B268" i="6" s="1"/>
  <c r="J95" i="9"/>
  <c r="B80" i="6" s="1"/>
  <c r="J94" i="9"/>
  <c r="J93" i="9"/>
  <c r="B51" i="6" s="1"/>
  <c r="J92" i="9"/>
  <c r="B108" i="6" s="1"/>
  <c r="J91" i="9"/>
  <c r="J90" i="9"/>
  <c r="J89" i="9"/>
  <c r="B37" i="6" s="1"/>
  <c r="J88" i="9"/>
  <c r="J87" i="9"/>
  <c r="B104" i="6" s="1"/>
  <c r="J86" i="9"/>
  <c r="B9" i="6" s="1"/>
  <c r="J85" i="9"/>
  <c r="B11" i="6" s="1"/>
  <c r="J84" i="9"/>
  <c r="B215" i="6" s="1"/>
  <c r="J83" i="9"/>
  <c r="J82" i="9"/>
  <c r="J81" i="9"/>
  <c r="J80" i="9"/>
  <c r="J79" i="9"/>
  <c r="B164" i="6" s="1"/>
  <c r="J78" i="9"/>
  <c r="B238" i="6" s="1"/>
  <c r="J77" i="9"/>
  <c r="J76" i="9"/>
  <c r="J75" i="9"/>
  <c r="B110" i="6" s="1"/>
  <c r="J74" i="9"/>
  <c r="B208" i="6" s="1"/>
  <c r="J73" i="9"/>
  <c r="J72" i="9"/>
  <c r="D12" i="9"/>
  <c r="D11" i="9"/>
  <c r="D10" i="9"/>
  <c r="D9" i="9"/>
  <c r="D8" i="9"/>
  <c r="D7" i="9"/>
  <c r="B163" i="6" l="1"/>
  <c r="B86" i="6"/>
  <c r="B64" i="6"/>
  <c r="B141" i="6"/>
  <c r="B19" i="6"/>
  <c r="B152" i="6"/>
  <c r="B69" i="6"/>
  <c r="B273" i="6"/>
  <c r="B71" i="6"/>
  <c r="B8" i="6"/>
  <c r="B60" i="6"/>
  <c r="B205" i="6"/>
  <c r="B186" i="6"/>
  <c r="B274" i="6"/>
  <c r="B115" i="6"/>
  <c r="B219" i="6"/>
  <c r="B177" i="6"/>
  <c r="B97" i="6"/>
  <c r="B75" i="6"/>
  <c r="B84" i="6"/>
  <c r="B263" i="6"/>
  <c r="B117" i="6"/>
  <c r="B253" i="6"/>
  <c r="B56" i="6"/>
  <c r="B17" i="6"/>
  <c r="B63" i="6"/>
  <c r="B193" i="6"/>
  <c r="B98" i="6"/>
  <c r="B280" i="6"/>
  <c r="B16" i="6"/>
  <c r="B113" i="6"/>
  <c r="B62" i="6"/>
  <c r="B207" i="6"/>
  <c r="B123" i="6"/>
  <c r="B131" i="6"/>
  <c r="B178" i="6"/>
  <c r="B129" i="6"/>
  <c r="B89" i="6"/>
  <c r="B111" i="6"/>
  <c r="B120" i="6"/>
  <c r="B124" i="6"/>
  <c r="B76" i="6"/>
  <c r="B160" i="6"/>
  <c r="B260" i="6"/>
  <c r="B102" i="6"/>
  <c r="B258" i="6"/>
  <c r="B149" i="6"/>
  <c r="B270" i="6"/>
  <c r="B68" i="6"/>
  <c r="B157" i="6"/>
  <c r="B147" i="6"/>
  <c r="B254" i="6"/>
  <c r="B245" i="6"/>
  <c r="B61" i="6"/>
  <c r="B250" i="6"/>
  <c r="B114" i="6"/>
  <c r="B259" i="6"/>
  <c r="B214" i="6"/>
  <c r="B79" i="6"/>
  <c r="B179" i="6"/>
  <c r="B239" i="6"/>
  <c r="B159" i="6"/>
  <c r="B109" i="6"/>
  <c r="B158" i="6"/>
  <c r="B140" i="6"/>
  <c r="B161" i="6"/>
  <c r="B284" i="6"/>
  <c r="B198" i="6"/>
  <c r="B96" i="6"/>
  <c r="B29" i="6"/>
  <c r="B132" i="6"/>
  <c r="B47" i="6"/>
  <c r="B125" i="6"/>
  <c r="B213" i="6"/>
  <c r="B291" i="6"/>
  <c r="B27" i="6"/>
  <c r="B188" i="6"/>
  <c r="B242" i="6"/>
  <c r="B220" i="6"/>
  <c r="B190" i="6"/>
  <c r="B192" i="6"/>
  <c r="B156" i="6"/>
  <c r="B43" i="6"/>
  <c r="B183" i="6"/>
  <c r="B65" i="6"/>
  <c r="B94" i="6"/>
  <c r="B235" i="6"/>
  <c r="B150" i="6"/>
  <c r="B28" i="6"/>
  <c r="B48" i="6"/>
  <c r="B202" i="6"/>
  <c r="B184" i="6"/>
  <c r="B93" i="6"/>
  <c r="B290" i="6"/>
  <c r="B209" i="6"/>
  <c r="B73" i="6"/>
  <c r="B49" i="6"/>
  <c r="B22" i="6"/>
  <c r="B50" i="6"/>
  <c r="B88" i="6"/>
  <c r="B15" i="6"/>
  <c r="B287" i="6"/>
  <c r="B18" i="6"/>
  <c r="B42" i="6"/>
  <c r="B10" i="6"/>
  <c r="B194" i="6"/>
  <c r="B45" i="6"/>
  <c r="B85" i="6"/>
  <c r="B33" i="6"/>
  <c r="B170" i="6"/>
  <c r="B40" i="6"/>
  <c r="B191" i="6"/>
  <c r="B244" i="6"/>
  <c r="B153" i="6"/>
  <c r="B6" i="6"/>
  <c r="B112" i="6"/>
  <c r="B218" i="6"/>
  <c r="B136" i="6"/>
  <c r="B133" i="6"/>
  <c r="B289" i="6"/>
  <c r="B223" i="6"/>
  <c r="B139" i="6"/>
  <c r="B257" i="6"/>
  <c r="B181" i="6"/>
  <c r="B44" i="6"/>
  <c r="B226" i="6"/>
  <c r="B261" i="6"/>
  <c r="B34" i="6"/>
  <c r="B241" i="6"/>
  <c r="B23" i="6"/>
  <c r="B222" i="6"/>
  <c r="B230" i="6"/>
  <c r="B107" i="6"/>
  <c r="B256" i="6"/>
  <c r="B246" i="6"/>
  <c r="B87" i="6"/>
  <c r="B130" i="6"/>
  <c r="B119" i="6"/>
  <c r="B278" i="6"/>
  <c r="B262" i="6"/>
  <c r="B143" i="6"/>
  <c r="B228" i="6"/>
  <c r="B175" i="6"/>
  <c r="B32" i="6"/>
  <c r="B90" i="6"/>
  <c r="B224" i="6"/>
  <c r="B172" i="6"/>
  <c r="B121" i="6"/>
  <c r="B271" i="6"/>
  <c r="B265" i="6"/>
  <c r="B4" i="6"/>
  <c r="B118" i="6"/>
  <c r="B14" i="6"/>
  <c r="B146" i="6"/>
  <c r="B31" i="6"/>
  <c r="B286" i="6"/>
  <c r="B155" i="6"/>
  <c r="B203" i="6"/>
  <c r="B201" i="6"/>
  <c r="B57" i="6"/>
  <c r="B5" i="6"/>
  <c r="B267" i="6"/>
  <c r="B13" i="6"/>
  <c r="B135" i="6"/>
  <c r="B162" i="6"/>
  <c r="B264" i="6"/>
  <c r="B134" i="6"/>
  <c r="B255" i="6"/>
  <c r="B199" i="6"/>
  <c r="B283" i="6"/>
  <c r="B105" i="6"/>
  <c r="B137" i="6"/>
  <c r="B144" i="6"/>
  <c r="B55" i="6"/>
  <c r="B166" i="6"/>
  <c r="B292" i="6"/>
  <c r="B145" i="6"/>
  <c r="B240" i="6"/>
  <c r="B72" i="6"/>
  <c r="B266" i="6"/>
  <c r="B12" i="6"/>
  <c r="B211" i="6"/>
  <c r="B249" i="6"/>
  <c r="B103" i="6"/>
  <c r="J299" i="9"/>
  <c r="B68" i="9"/>
  <c r="B69" i="9" s="1"/>
  <c r="B38" i="6"/>
  <c r="B126" i="6"/>
  <c r="B275" i="6"/>
  <c r="J12" i="9"/>
  <c r="B138" i="6" s="1"/>
  <c r="J11" i="9"/>
  <c r="B176" i="6" s="1"/>
  <c r="J10" i="9"/>
  <c r="B77" i="6" s="1"/>
  <c r="J9" i="9"/>
  <c r="B154" i="6" s="1"/>
  <c r="J8" i="9"/>
  <c r="B165" i="6" s="1"/>
  <c r="J7" i="9"/>
  <c r="B95" i="6" s="1"/>
  <c r="J6" i="9"/>
  <c r="B46" i="6" s="1"/>
  <c r="H6" i="9"/>
  <c r="D6" i="9"/>
  <c r="B7" i="6" l="1"/>
  <c r="B169" i="6"/>
  <c r="B237" i="6"/>
  <c r="B195" i="6"/>
  <c r="B185" i="6"/>
  <c r="B70" i="6"/>
  <c r="B231" i="6"/>
  <c r="B116" i="6"/>
  <c r="B229" i="6"/>
  <c r="B251" i="6"/>
  <c r="B39" i="6"/>
  <c r="B182" i="6"/>
  <c r="B197" i="6"/>
  <c r="B151" i="6"/>
  <c r="B128" i="6"/>
  <c r="B269" i="6"/>
  <c r="B206" i="6"/>
  <c r="J302" i="9"/>
  <c r="B210" i="6"/>
  <c r="B83" i="6"/>
  <c r="B204" i="6"/>
  <c r="B82" i="6"/>
  <c r="B276" i="6"/>
  <c r="B187" i="6"/>
  <c r="B52" i="6"/>
  <c r="J69" i="9"/>
  <c r="B304" i="9"/>
  <c r="B303" i="9"/>
  <c r="J304" i="9" l="1"/>
  <c r="J303" i="9"/>
</calcChain>
</file>

<file path=xl/sharedStrings.xml><?xml version="1.0" encoding="utf-8"?>
<sst xmlns="http://schemas.openxmlformats.org/spreadsheetml/2006/main" count="615" uniqueCount="325">
  <si>
    <t>Target TCC</t>
  </si>
  <si>
    <t>Base</t>
  </si>
  <si>
    <t>Notes:</t>
  </si>
  <si>
    <t>AEP Incumbent Data</t>
  </si>
  <si>
    <r>
      <t>Survey Results</t>
    </r>
    <r>
      <rPr>
        <b/>
        <vertAlign val="superscript"/>
        <sz val="10"/>
        <rFont val="Arial"/>
        <family val="2"/>
      </rPr>
      <t>1</t>
    </r>
  </si>
  <si>
    <t xml:space="preserve">% Difference </t>
  </si>
  <si>
    <t>Employee Count</t>
  </si>
  <si>
    <t>Avg Base</t>
  </si>
  <si>
    <r>
      <t xml:space="preserve">Target Incentive </t>
    </r>
    <r>
      <rPr>
        <b/>
        <vertAlign val="superscript"/>
        <sz val="10"/>
        <rFont val="Arial"/>
        <family val="2"/>
      </rPr>
      <t>(2)</t>
    </r>
  </si>
  <si>
    <t>Target Incentive</t>
  </si>
  <si>
    <t>Target TCC vs Survey Target TCC</t>
  </si>
  <si>
    <t>AEP SERVICE CORP</t>
  </si>
  <si>
    <t>AVERAGE</t>
  </si>
  <si>
    <t>AEPSC Job Count</t>
  </si>
  <si>
    <t>AEPSC Incumbent Count</t>
  </si>
  <si>
    <t>TOTAL JOB COUNT</t>
  </si>
  <si>
    <t>TOTAL INCUMBENT Count</t>
  </si>
  <si>
    <t>Rate case job identifier</t>
  </si>
  <si>
    <t>Market Low</t>
  </si>
  <si>
    <t>Market Median Compensation</t>
  </si>
  <si>
    <t>Market Max</t>
  </si>
  <si>
    <t>Market Competitive Range</t>
  </si>
  <si>
    <t>SVC_E128</t>
  </si>
  <si>
    <t>SVC_E110</t>
  </si>
  <si>
    <t>SVC_E31</t>
  </si>
  <si>
    <t>SVC_E32</t>
  </si>
  <si>
    <t>SVC_E91</t>
  </si>
  <si>
    <t>SVC_E51</t>
  </si>
  <si>
    <t>SVC_E104</t>
  </si>
  <si>
    <t>SVC_E54</t>
  </si>
  <si>
    <t>SVC_E48</t>
  </si>
  <si>
    <t>SVC_E115</t>
  </si>
  <si>
    <t>SVC_E49</t>
  </si>
  <si>
    <t>SVC_E50</t>
  </si>
  <si>
    <t>SVC_E47</t>
  </si>
  <si>
    <t>SVC_E108</t>
  </si>
  <si>
    <t>SVC_E114</t>
  </si>
  <si>
    <t>SVC_E132</t>
  </si>
  <si>
    <t>SVC_E99</t>
  </si>
  <si>
    <t>SVC_E161</t>
  </si>
  <si>
    <t>SVC_E95</t>
  </si>
  <si>
    <t>SVC_E100</t>
  </si>
  <si>
    <t>SVC_E118</t>
  </si>
  <si>
    <t>SVC_E96</t>
  </si>
  <si>
    <t>SVC_E62</t>
  </si>
  <si>
    <t>SVC_E92</t>
  </si>
  <si>
    <t>SVC_E103</t>
  </si>
  <si>
    <t>SVC_E112</t>
  </si>
  <si>
    <t>SVC_E197</t>
  </si>
  <si>
    <t>SVC_E15</t>
  </si>
  <si>
    <t>SVC_E94</t>
  </si>
  <si>
    <t>SVC_E97</t>
  </si>
  <si>
    <t>SVC_E159</t>
  </si>
  <si>
    <t>SVC_E187</t>
  </si>
  <si>
    <t>SVC_E106</t>
  </si>
  <si>
    <t>SVC_E107</t>
  </si>
  <si>
    <t>SVC_E179</t>
  </si>
  <si>
    <t>SVC_E59</t>
  </si>
  <si>
    <t>SVC_E77</t>
  </si>
  <si>
    <t>SVC_E119</t>
  </si>
  <si>
    <t>SVC_E121</t>
  </si>
  <si>
    <t>SVC_E150</t>
  </si>
  <si>
    <t>SVC_E174</t>
  </si>
  <si>
    <t>SVC_E52</t>
  </si>
  <si>
    <t>SVC_E76</t>
  </si>
  <si>
    <t>SVC_E111</t>
  </si>
  <si>
    <t>SVC_E154</t>
  </si>
  <si>
    <t>SVC_E155</t>
  </si>
  <si>
    <t>SVC_E7</t>
  </si>
  <si>
    <t>SVC_E22</t>
  </si>
  <si>
    <t>SVC_E72</t>
  </si>
  <si>
    <t>SVC_E98</t>
  </si>
  <si>
    <t>SVC_E133</t>
  </si>
  <si>
    <t>SVC_E138</t>
  </si>
  <si>
    <t>SVC_E160</t>
  </si>
  <si>
    <t>SVC_E166</t>
  </si>
  <si>
    <t>SVC_E181</t>
  </si>
  <si>
    <t>SVC_E1</t>
  </si>
  <si>
    <t>SVC_E12</t>
  </si>
  <si>
    <t>SVC_E13</t>
  </si>
  <si>
    <t>SVC_E36</t>
  </si>
  <si>
    <t>SVC_E45</t>
  </si>
  <si>
    <t>SVC_E65</t>
  </si>
  <si>
    <t>SVC_E66</t>
  </si>
  <si>
    <t>SVC_E78</t>
  </si>
  <si>
    <t>SVC_E84</t>
  </si>
  <si>
    <t>SVC_E123</t>
  </si>
  <si>
    <t>SVC_E145</t>
  </si>
  <si>
    <t>SVC_E156</t>
  </si>
  <si>
    <t>SVC_E158</t>
  </si>
  <si>
    <t>SVC_E186</t>
  </si>
  <si>
    <t>SVC_E191</t>
  </si>
  <si>
    <t>SVC_E196</t>
  </si>
  <si>
    <t>SVC_E3</t>
  </si>
  <si>
    <t>SVC_E6</t>
  </si>
  <si>
    <t>SVC_E18</t>
  </si>
  <si>
    <t>SVC_E67</t>
  </si>
  <si>
    <t>SVC_E81</t>
  </si>
  <si>
    <t>SVC_E83</t>
  </si>
  <si>
    <t>SVC_E93</t>
  </si>
  <si>
    <t>SVC_E157</t>
  </si>
  <si>
    <t>SVC_E171</t>
  </si>
  <si>
    <t>SVC_E172</t>
  </si>
  <si>
    <t>SVC_E35</t>
  </si>
  <si>
    <t>SVC_E55</t>
  </si>
  <si>
    <t>SVC_E56</t>
  </si>
  <si>
    <t>SVC_E57</t>
  </si>
  <si>
    <t>SVC_E68</t>
  </si>
  <si>
    <t>SVC_E70</t>
  </si>
  <si>
    <t>SVC_E74</t>
  </si>
  <si>
    <t>SVC_E75</t>
  </si>
  <si>
    <t>SVC_E102</t>
  </si>
  <si>
    <t>SVC_E142</t>
  </si>
  <si>
    <t>SVC_E162</t>
  </si>
  <si>
    <t>SVC_E164</t>
  </si>
  <si>
    <t>SVC_E167</t>
  </si>
  <si>
    <t>SVC_E168</t>
  </si>
  <si>
    <t>SVC_E176</t>
  </si>
  <si>
    <t>SVC_E183</t>
  </si>
  <si>
    <t>SVC_E184</t>
  </si>
  <si>
    <t>SVC_E5</t>
  </si>
  <si>
    <t>SVC_E16</t>
  </si>
  <si>
    <t>SVC_E17</t>
  </si>
  <si>
    <t>SVC_E21</t>
  </si>
  <si>
    <t>SVC_E25</t>
  </si>
  <si>
    <t>SVC_E28</t>
  </si>
  <si>
    <t>SVC_E29</t>
  </si>
  <si>
    <t>SVC_E33</t>
  </si>
  <si>
    <t>SVC_E39</t>
  </si>
  <si>
    <t>SVC_E63</t>
  </si>
  <si>
    <t>SVC_E79</t>
  </si>
  <si>
    <t>SVC_E113</t>
  </si>
  <si>
    <t>SVC_E116</t>
  </si>
  <si>
    <t>SVC_E124</t>
  </si>
  <si>
    <t>SVC_E127</t>
  </si>
  <si>
    <t>SVC_E152</t>
  </si>
  <si>
    <t>SVC_E188</t>
  </si>
  <si>
    <t>SVC_E195</t>
  </si>
  <si>
    <t>SVC_E200</t>
  </si>
  <si>
    <t>SVC_E9</t>
  </si>
  <si>
    <t>SVC_E20</t>
  </si>
  <si>
    <t>SVC_E23</t>
  </si>
  <si>
    <t>SVC_E24</t>
  </si>
  <si>
    <t>SVC_E41</t>
  </si>
  <si>
    <t>SVC_E42</t>
  </si>
  <si>
    <t>SVC_E43</t>
  </si>
  <si>
    <t>SVC_E46</t>
  </si>
  <si>
    <t>SVC_E58</t>
  </si>
  <si>
    <t>SVC_E64</t>
  </si>
  <si>
    <t>SVC_E69</t>
  </si>
  <si>
    <t>SVC_E73</t>
  </si>
  <si>
    <t>SVC_E80</t>
  </si>
  <si>
    <t>SVC_E85</t>
  </si>
  <si>
    <t>SVC_E87</t>
  </si>
  <si>
    <t>SVC_E117</t>
  </si>
  <si>
    <t>SVC_E122</t>
  </si>
  <si>
    <t>SVC_E129</t>
  </si>
  <si>
    <t>SVC_E134</t>
  </si>
  <si>
    <t>SVC_E143</t>
  </si>
  <si>
    <t>SVC_E144</t>
  </si>
  <si>
    <t>SVC_E146</t>
  </si>
  <si>
    <t>SVC_E151</t>
  </si>
  <si>
    <t>SVC_E175</t>
  </si>
  <si>
    <t>SVC_E177</t>
  </si>
  <si>
    <t>SVC_E178</t>
  </si>
  <si>
    <t>SVC_E193</t>
  </si>
  <si>
    <t>SVC_E194</t>
  </si>
  <si>
    <t>SVC_E2</t>
  </si>
  <si>
    <t>SVC_E4</t>
  </si>
  <si>
    <t>SVC_E8</t>
  </si>
  <si>
    <t>SVC_E10</t>
  </si>
  <si>
    <t>SVC_E11</t>
  </si>
  <si>
    <t>SVC_E14</t>
  </si>
  <si>
    <t>SVC_E19</t>
  </si>
  <si>
    <t>SVC_E26</t>
  </si>
  <si>
    <t>SVC_E27</t>
  </si>
  <si>
    <t>SVC_E30</t>
  </si>
  <si>
    <t>SVC_E34</t>
  </si>
  <si>
    <t>SVC_E37</t>
  </si>
  <si>
    <t>SVC_E38</t>
  </si>
  <si>
    <t>SVC_E40</t>
  </si>
  <si>
    <t>SVC_E44</t>
  </si>
  <si>
    <t>SVC_E53</t>
  </si>
  <si>
    <t>SVC_E60</t>
  </si>
  <si>
    <t>SVC_E61</t>
  </si>
  <si>
    <t>SVC_E71</t>
  </si>
  <si>
    <t>SVC_E82</t>
  </si>
  <si>
    <t>SVC_E86</t>
  </si>
  <si>
    <t>SVC_E88</t>
  </si>
  <si>
    <t>SVC_E89</t>
  </si>
  <si>
    <t>SVC_E90</t>
  </si>
  <si>
    <t>SVC_E101</t>
  </si>
  <si>
    <t>SVC_E105</t>
  </si>
  <si>
    <t>SVC_E109</t>
  </si>
  <si>
    <t>SVC_E120</t>
  </si>
  <si>
    <t>SVC_E125</t>
  </si>
  <si>
    <t>SVC_E126</t>
  </si>
  <si>
    <t>SVC_E130</t>
  </si>
  <si>
    <t>SVC_E135</t>
  </si>
  <si>
    <t>SVC_E136</t>
  </si>
  <si>
    <t>SVC_E137</t>
  </si>
  <si>
    <t>SVC_E139</t>
  </si>
  <si>
    <t>SVC_E140</t>
  </si>
  <si>
    <t>SVC_E141</t>
  </si>
  <si>
    <t>SVC_E147</t>
  </si>
  <si>
    <t>SVC_E148</t>
  </si>
  <si>
    <t>SVC_E149</t>
  </si>
  <si>
    <t>SVC_E153</t>
  </si>
  <si>
    <t>SVC_E163</t>
  </si>
  <si>
    <t>SVC_E165</t>
  </si>
  <si>
    <t>SVC_E169</t>
  </si>
  <si>
    <t>SVC_E170</t>
  </si>
  <si>
    <t>SVC_E173</t>
  </si>
  <si>
    <t>SVC_E180</t>
  </si>
  <si>
    <t>SVC_E182</t>
  </si>
  <si>
    <t>SVC_E185</t>
  </si>
  <si>
    <t>SVC_E189</t>
  </si>
  <si>
    <t>SVC_E190</t>
  </si>
  <si>
    <t>SVC_E192</t>
  </si>
  <si>
    <t>SVC_E198</t>
  </si>
  <si>
    <t>SVC_E199</t>
  </si>
  <si>
    <t>SVC_E201</t>
  </si>
  <si>
    <t>SVC_E202</t>
  </si>
  <si>
    <r>
      <t>% of Jobs Above Market Competitive Range</t>
    </r>
    <r>
      <rPr>
        <vertAlign val="superscript"/>
        <sz val="10"/>
        <color theme="1"/>
        <rFont val="Arial"/>
        <family val="2"/>
      </rPr>
      <t>4</t>
    </r>
  </si>
  <si>
    <r>
      <t>% of Jobs Below Market Competitive Range</t>
    </r>
    <r>
      <rPr>
        <vertAlign val="superscript"/>
        <sz val="10"/>
        <color theme="1"/>
        <rFont val="Arial"/>
        <family val="2"/>
      </rPr>
      <t>4</t>
    </r>
  </si>
  <si>
    <t>(2) Reflects annual target incentive payout for job</t>
  </si>
  <si>
    <t>(4) A market competitive range of +/- 15 percent has been used for all exempt positions</t>
  </si>
  <si>
    <t>AEP Job</t>
  </si>
  <si>
    <t>SVC_E203</t>
  </si>
  <si>
    <t>SVC_E204</t>
  </si>
  <si>
    <t>SVC_E205</t>
  </si>
  <si>
    <t>SVC_E206</t>
  </si>
  <si>
    <t>SVC_E207</t>
  </si>
  <si>
    <t>SVC_E208</t>
  </si>
  <si>
    <t>SVC_E209</t>
  </si>
  <si>
    <t>SVC_E210</t>
  </si>
  <si>
    <t>SVC_E211</t>
  </si>
  <si>
    <t>SVC_E212</t>
  </si>
  <si>
    <t>SVC_E213</t>
  </si>
  <si>
    <t>SVC_E214</t>
  </si>
  <si>
    <t>AEPSC AVERAGE</t>
  </si>
  <si>
    <t>AEP Texas: Target TCC Exempt positions Versus Market Survey</t>
  </si>
  <si>
    <t>AEP Texas</t>
  </si>
  <si>
    <t>AEP Texas Count</t>
  </si>
  <si>
    <t>AEP Texas Incumbents</t>
  </si>
  <si>
    <t>AEP Texas AVERAGE</t>
  </si>
  <si>
    <t>(1) All survey data aged to September 30, 2023 @ 4% annual rate</t>
  </si>
  <si>
    <t>(3) Survey Data from  April 2023 Towers Watson Energy Services Middle Management, Professional &amp; Support Survey and Towers Watson General Industry Middle Management, Professional &amp; Support Survey</t>
  </si>
  <si>
    <t>AEP Texas_EX1</t>
  </si>
  <si>
    <t>AEP Texas_EX2</t>
  </si>
  <si>
    <t>AEP Texas_EX3</t>
  </si>
  <si>
    <t>AEP Texas_EX4</t>
  </si>
  <si>
    <t>AEP Texas_EX5</t>
  </si>
  <si>
    <t>AEP Texas_EX6</t>
  </si>
  <si>
    <t>AEP Texas_EX7</t>
  </si>
  <si>
    <t>AEP Texas_EX8</t>
  </si>
  <si>
    <t>AEP Texas_EX9</t>
  </si>
  <si>
    <t>AEP Texas_EX10</t>
  </si>
  <si>
    <t>AEP Texas_EX11</t>
  </si>
  <si>
    <t>AEP Texas_EX12</t>
  </si>
  <si>
    <t>AEP Texas_EX13</t>
  </si>
  <si>
    <t>AEP Texas_EX14</t>
  </si>
  <si>
    <t>AEP Texas_EX15</t>
  </si>
  <si>
    <t>AEP Texas_EX16</t>
  </si>
  <si>
    <t>AEP Texas_EX17</t>
  </si>
  <si>
    <t>AEP Texas_EX18</t>
  </si>
  <si>
    <t>AEP Texas_EX19</t>
  </si>
  <si>
    <t>AEP Texas_EX20</t>
  </si>
  <si>
    <t>AEP Texas_EX21</t>
  </si>
  <si>
    <t>AEP Texas_EX22</t>
  </si>
  <si>
    <t>AEP Texas_EX23</t>
  </si>
  <si>
    <t>AEP Texas_EX24</t>
  </si>
  <si>
    <t>AEP Texas_EX25</t>
  </si>
  <si>
    <t>AEP Texas_EX26</t>
  </si>
  <si>
    <t>AEP Texas_EX27</t>
  </si>
  <si>
    <t>AEP Texas_EX28</t>
  </si>
  <si>
    <t>AEP Texas_EX29</t>
  </si>
  <si>
    <t>AEP Texas_EX30</t>
  </si>
  <si>
    <t>AEP Texas_EX31</t>
  </si>
  <si>
    <t>AEP Texas_EX32</t>
  </si>
  <si>
    <t>AEP Texas_EX33</t>
  </si>
  <si>
    <t>AEP Texas_EX34</t>
  </si>
  <si>
    <t>AEP Texas_EX35</t>
  </si>
  <si>
    <t>AEP Texas_EX36</t>
  </si>
  <si>
    <t>AEP Texas_EX37</t>
  </si>
  <si>
    <t>AEP Texas_EX38</t>
  </si>
  <si>
    <t>AEP Texas_EX39</t>
  </si>
  <si>
    <t>AEP Texas_EX40</t>
  </si>
  <si>
    <t>AEP Texas_EX41</t>
  </si>
  <si>
    <t>AEP Texas_EX42</t>
  </si>
  <si>
    <t>AEP Texas_EX43</t>
  </si>
  <si>
    <t>AEP Texas_EX44</t>
  </si>
  <si>
    <t>AEP Texas_EX45</t>
  </si>
  <si>
    <t>AEP Texas_EX46</t>
  </si>
  <si>
    <t>AEP Texas_EX47</t>
  </si>
  <si>
    <t>AEP Texas_EX48</t>
  </si>
  <si>
    <t>AEP Texas_EX49</t>
  </si>
  <si>
    <t>AEP Texas_EX50</t>
  </si>
  <si>
    <t>AEP Texas_EX51</t>
  </si>
  <si>
    <t>AEP Texas_EX52</t>
  </si>
  <si>
    <t>AEP Texas_EX53</t>
  </si>
  <si>
    <t>AEP Texas_EX54</t>
  </si>
  <si>
    <t>AEP Texas_EX55</t>
  </si>
  <si>
    <t>AEP Texas_EX56</t>
  </si>
  <si>
    <t>AEP Texas_EX57</t>
  </si>
  <si>
    <t>AEP Texas_EX58</t>
  </si>
  <si>
    <t>AEP Texas_EX59</t>
  </si>
  <si>
    <t>AEP Texas_EX60</t>
  </si>
  <si>
    <t>AEP Texas_EX61</t>
  </si>
  <si>
    <t>AEP Texas_EX62</t>
  </si>
  <si>
    <r>
      <t xml:space="preserve">SVC_E131 </t>
    </r>
    <r>
      <rPr>
        <vertAlign val="superscript"/>
        <sz val="10"/>
        <color theme="1"/>
        <rFont val="Arial"/>
        <family val="2"/>
      </rPr>
      <t>(5)</t>
    </r>
  </si>
  <si>
    <t>SVC_E215</t>
  </si>
  <si>
    <t>SVC_E216</t>
  </si>
  <si>
    <t>SVC_E217</t>
  </si>
  <si>
    <t>SVC_E218</t>
  </si>
  <si>
    <t>SVC_E219</t>
  </si>
  <si>
    <t>SVC_E220</t>
  </si>
  <si>
    <t>SVC_E221</t>
  </si>
  <si>
    <t>SVC_E222</t>
  </si>
  <si>
    <t>SVC_E223</t>
  </si>
  <si>
    <t>SVC_E224</t>
  </si>
  <si>
    <t>SVC_E225</t>
  </si>
  <si>
    <t>SVC_E226</t>
  </si>
  <si>
    <t>SVC_E227</t>
  </si>
  <si>
    <t>AEP Target TCC vs. Survey Target 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</si>
</sst>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0.0%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164" fontId="2" fillId="0" borderId="0" xfId="0" applyNumberFormat="1" applyFont="1" applyFill="1"/>
    <xf numFmtId="0" fontId="2" fillId="0" borderId="0" xfId="0" applyFont="1" applyFill="1"/>
    <xf numFmtId="0" fontId="7" fillId="0" borderId="0" xfId="0" applyFont="1" applyFill="1" applyAlignment="1">
      <alignment horizontal="center"/>
    </xf>
    <xf numFmtId="0" fontId="9" fillId="0" borderId="4" xfId="2" applyFont="1" applyBorder="1"/>
    <xf numFmtId="0" fontId="3" fillId="0" borderId="4" xfId="2" applyFont="1" applyBorder="1" applyAlignment="1">
      <alignment horizontal="center" wrapText="1"/>
    </xf>
    <xf numFmtId="0" fontId="5" fillId="0" borderId="0" xfId="2"/>
    <xf numFmtId="165" fontId="5" fillId="0" borderId="0" xfId="2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 wrapText="1"/>
    </xf>
    <xf numFmtId="164" fontId="2" fillId="0" borderId="0" xfId="1" applyNumberFormat="1" applyFont="1" applyFill="1"/>
    <xf numFmtId="10" fontId="2" fillId="0" borderId="0" xfId="1" applyNumberFormat="1" applyFont="1" applyFill="1"/>
    <xf numFmtId="0" fontId="3" fillId="0" borderId="0" xfId="0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right"/>
    </xf>
    <xf numFmtId="164" fontId="8" fillId="0" borderId="0" xfId="0" applyNumberFormat="1" applyFont="1" applyFill="1"/>
    <xf numFmtId="10" fontId="5" fillId="0" borderId="0" xfId="1" applyNumberFormat="1" applyFont="1" applyFill="1"/>
    <xf numFmtId="165" fontId="3" fillId="0" borderId="0" xfId="0" applyNumberFormat="1" applyFont="1" applyFill="1"/>
    <xf numFmtId="165" fontId="5" fillId="0" borderId="0" xfId="0" applyNumberFormat="1" applyFont="1" applyFill="1"/>
    <xf numFmtId="0" fontId="3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wrapText="1"/>
    </xf>
    <xf numFmtId="0" fontId="3" fillId="0" borderId="4" xfId="0" applyFont="1" applyFill="1" applyBorder="1" applyAlignment="1">
      <alignment horizontal="center" vertical="center" wrapText="1"/>
    </xf>
    <xf numFmtId="164" fontId="3" fillId="0" borderId="4" xfId="0" applyNumberFormat="1" applyFont="1" applyFill="1" applyBorder="1" applyAlignment="1">
      <alignment horizontal="center" vertical="center" wrapText="1"/>
    </xf>
    <xf numFmtId="166" fontId="2" fillId="0" borderId="0" xfId="3" applyNumberFormat="1" applyFont="1" applyFill="1"/>
    <xf numFmtId="0" fontId="8" fillId="0" borderId="0" xfId="0" applyFont="1" applyFill="1"/>
    <xf numFmtId="166" fontId="8" fillId="0" borderId="0" xfId="3" applyNumberFormat="1" applyFont="1" applyFill="1"/>
    <xf numFmtId="9" fontId="5" fillId="0" borderId="0" xfId="1" applyNumberFormat="1" applyFont="1" applyFill="1"/>
    <xf numFmtId="0" fontId="7" fillId="0" borderId="0" xfId="0" applyFont="1" applyFill="1"/>
    <xf numFmtId="0" fontId="5" fillId="0" borderId="0" xfId="0" applyFont="1" applyFill="1" applyAlignment="1">
      <alignment wrapText="1"/>
    </xf>
    <xf numFmtId="0" fontId="2" fillId="0" borderId="0" xfId="0" applyFont="1"/>
    <xf numFmtId="164" fontId="2" fillId="0" borderId="0" xfId="0" applyNumberFormat="1" applyFont="1"/>
    <xf numFmtId="0" fontId="3" fillId="0" borderId="4" xfId="0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164" fontId="3" fillId="0" borderId="3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left" wrapText="1"/>
    </xf>
  </cellXfs>
  <cellStyles count="4">
    <cellStyle name="Comma" xfId="3" builtinId="3"/>
    <cellStyle name="Normal" xfId="0" builtinId="0"/>
    <cellStyle name="Normal 2" xfId="2" xr:uid="{00000000-0005-0000-0000-000002000000}"/>
    <cellStyle name="Percent" xfId="1" builtinId="5"/>
  </cellStyles>
  <dxfs count="8"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AEP Texas and AEPSC Exempt Positions</a:t>
            </a:r>
          </a:p>
          <a:p>
            <a:pPr>
              <a:defRPr b="1"/>
            </a:pPr>
            <a:r>
              <a:rPr lang="en-US" b="1"/>
              <a:t>vs.</a:t>
            </a:r>
            <a:r>
              <a:rPr lang="en-US" b="1" baseline="0"/>
              <a:t> Market-Competitive Compensation (High to Low)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'Exempt Graph Data All'!$C$3</c:f>
              <c:strCache>
                <c:ptCount val="1"/>
                <c:pt idx="0">
                  <c:v>Market Low</c:v>
                </c:pt>
              </c:strCache>
            </c:strRef>
          </c:tx>
          <c:spPr>
            <a:pattFill prst="pct60">
              <a:fgClr>
                <a:srgbClr val="FF0000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strRef>
              <c:f>'Exempt Graph Data All'!$A$4:$A$292</c:f>
              <c:strCache>
                <c:ptCount val="289"/>
                <c:pt idx="0">
                  <c:v>SVC_E111</c:v>
                </c:pt>
                <c:pt idx="1">
                  <c:v>SVC_E138</c:v>
                </c:pt>
                <c:pt idx="2">
                  <c:v>SVC_E62</c:v>
                </c:pt>
                <c:pt idx="3">
                  <c:v>AEP Texas_EX6</c:v>
                </c:pt>
                <c:pt idx="4">
                  <c:v>SVC_E109</c:v>
                </c:pt>
                <c:pt idx="5">
                  <c:v>SVC_E15</c:v>
                </c:pt>
                <c:pt idx="6">
                  <c:v>AEP Texas_EX30</c:v>
                </c:pt>
                <c:pt idx="7">
                  <c:v>SVC_E14</c:v>
                </c:pt>
                <c:pt idx="8">
                  <c:v>SVC_E146</c:v>
                </c:pt>
                <c:pt idx="9">
                  <c:v>SVC_E124</c:v>
                </c:pt>
                <c:pt idx="10">
                  <c:v>SVC_E55</c:v>
                </c:pt>
                <c:pt idx="11">
                  <c:v>SVC_E154</c:v>
                </c:pt>
                <c:pt idx="12">
                  <c:v>SVC_E121</c:v>
                </c:pt>
                <c:pt idx="13">
                  <c:v>SVC_E93</c:v>
                </c:pt>
                <c:pt idx="14">
                  <c:v>SVC_E151</c:v>
                </c:pt>
                <c:pt idx="15">
                  <c:v>SVC_E17</c:v>
                </c:pt>
                <c:pt idx="16">
                  <c:v>SVC_E130</c:v>
                </c:pt>
                <c:pt idx="17">
                  <c:v>SVC_E143</c:v>
                </c:pt>
                <c:pt idx="18">
                  <c:v>SVC_E84</c:v>
                </c:pt>
                <c:pt idx="19">
                  <c:v>SVC_E117</c:v>
                </c:pt>
                <c:pt idx="20">
                  <c:v>SVC_E187</c:v>
                </c:pt>
                <c:pt idx="21">
                  <c:v>SVC_E68</c:v>
                </c:pt>
                <c:pt idx="22">
                  <c:v>SVC_E110</c:v>
                </c:pt>
                <c:pt idx="23">
                  <c:v>AEP Texas_EX52</c:v>
                </c:pt>
                <c:pt idx="24">
                  <c:v>SVC_E189</c:v>
                </c:pt>
                <c:pt idx="25">
                  <c:v>SVC_E11</c:v>
                </c:pt>
                <c:pt idx="26">
                  <c:v>SVC_E191</c:v>
                </c:pt>
                <c:pt idx="27">
                  <c:v>AEP Texas_EX50</c:v>
                </c:pt>
                <c:pt idx="28">
                  <c:v>SVC_E162</c:v>
                </c:pt>
                <c:pt idx="29">
                  <c:v>SVC_E112</c:v>
                </c:pt>
                <c:pt idx="30">
                  <c:v>SVC_E173</c:v>
                </c:pt>
                <c:pt idx="31">
                  <c:v>AEP Texas_EX51</c:v>
                </c:pt>
                <c:pt idx="32">
                  <c:v>AEP Texas_EX45</c:v>
                </c:pt>
                <c:pt idx="33">
                  <c:v>SVC_E18</c:v>
                </c:pt>
                <c:pt idx="34">
                  <c:v>SVC_E82</c:v>
                </c:pt>
                <c:pt idx="35">
                  <c:v>SVC_E172</c:v>
                </c:pt>
                <c:pt idx="36">
                  <c:v>SVC_E226</c:v>
                </c:pt>
                <c:pt idx="37">
                  <c:v>SVC_E39</c:v>
                </c:pt>
                <c:pt idx="38">
                  <c:v>SVC_E142</c:v>
                </c:pt>
                <c:pt idx="39">
                  <c:v>SVC_E176</c:v>
                </c:pt>
                <c:pt idx="40">
                  <c:v>SVC_E44</c:v>
                </c:pt>
                <c:pt idx="41">
                  <c:v>SVC_E139</c:v>
                </c:pt>
                <c:pt idx="42">
                  <c:v>SVC_E50</c:v>
                </c:pt>
                <c:pt idx="43">
                  <c:v>SVC_E127</c:v>
                </c:pt>
                <c:pt idx="44">
                  <c:v>SVC_E3</c:v>
                </c:pt>
                <c:pt idx="45">
                  <c:v>SVC_E7</c:v>
                </c:pt>
                <c:pt idx="46">
                  <c:v>SVC_E79</c:v>
                </c:pt>
                <c:pt idx="47">
                  <c:v>SVC_E22</c:v>
                </c:pt>
                <c:pt idx="48">
                  <c:v>SVC_E153</c:v>
                </c:pt>
                <c:pt idx="49">
                  <c:v>SVC_E40</c:v>
                </c:pt>
                <c:pt idx="50">
                  <c:v>SVC_E188</c:v>
                </c:pt>
                <c:pt idx="51">
                  <c:v>SVC_E126</c:v>
                </c:pt>
                <c:pt idx="52">
                  <c:v>SVC_E212</c:v>
                </c:pt>
                <c:pt idx="53">
                  <c:v>AEP Texas_EX49</c:v>
                </c:pt>
                <c:pt idx="54">
                  <c:v>SVC_E28</c:v>
                </c:pt>
                <c:pt idx="55">
                  <c:v>SVC_E161</c:v>
                </c:pt>
                <c:pt idx="56">
                  <c:v>SVC_E71</c:v>
                </c:pt>
                <c:pt idx="57">
                  <c:v>SVC_E175</c:v>
                </c:pt>
                <c:pt idx="58">
                  <c:v>SVC_E2</c:v>
                </c:pt>
                <c:pt idx="59">
                  <c:v>SVC_E6</c:v>
                </c:pt>
                <c:pt idx="60">
                  <c:v>SVC_E64</c:v>
                </c:pt>
                <c:pt idx="61">
                  <c:v>SVC_E186</c:v>
                </c:pt>
                <c:pt idx="62">
                  <c:v>SVC_E144</c:v>
                </c:pt>
                <c:pt idx="63">
                  <c:v>SVC_E170</c:v>
                </c:pt>
                <c:pt idx="64">
                  <c:v>AEP Texas_EX60</c:v>
                </c:pt>
                <c:pt idx="65">
                  <c:v>SVC_E41</c:v>
                </c:pt>
                <c:pt idx="66">
                  <c:v>SVC_E8</c:v>
                </c:pt>
                <c:pt idx="67">
                  <c:v>SVC_E20</c:v>
                </c:pt>
                <c:pt idx="68">
                  <c:v>AEP Texas_EX16</c:v>
                </c:pt>
                <c:pt idx="69">
                  <c:v>SVC_E114</c:v>
                </c:pt>
                <c:pt idx="70">
                  <c:v>SVC_E160</c:v>
                </c:pt>
                <c:pt idx="71">
                  <c:v>SVC_E87</c:v>
                </c:pt>
                <c:pt idx="72">
                  <c:v>SVC_E92</c:v>
                </c:pt>
                <c:pt idx="73">
                  <c:v>SVC_E132</c:v>
                </c:pt>
                <c:pt idx="74">
                  <c:v>AEP Texas_EX57</c:v>
                </c:pt>
                <c:pt idx="75">
                  <c:v>SVC_E128</c:v>
                </c:pt>
                <c:pt idx="76">
                  <c:v>SVC_E24</c:v>
                </c:pt>
                <c:pt idx="77">
                  <c:v>AEP Texas_EX43</c:v>
                </c:pt>
                <c:pt idx="78">
                  <c:v>AEP Texas_EX62</c:v>
                </c:pt>
                <c:pt idx="79">
                  <c:v>AEP Texas_EX47</c:v>
                </c:pt>
                <c:pt idx="80">
                  <c:v>SVC_E19</c:v>
                </c:pt>
                <c:pt idx="81">
                  <c:v>SVC_E195</c:v>
                </c:pt>
                <c:pt idx="82">
                  <c:v>SVC_E116</c:v>
                </c:pt>
                <c:pt idx="83">
                  <c:v>SVC_E158</c:v>
                </c:pt>
                <c:pt idx="84">
                  <c:v>SVC_E222</c:v>
                </c:pt>
                <c:pt idx="85">
                  <c:v>AEP Texas_EX53</c:v>
                </c:pt>
                <c:pt idx="86">
                  <c:v>SVC_E59</c:v>
                </c:pt>
                <c:pt idx="87">
                  <c:v>SVC_E30</c:v>
                </c:pt>
                <c:pt idx="88">
                  <c:v>SVC_E85</c:v>
                </c:pt>
                <c:pt idx="89">
                  <c:v>AEP Texas_EX8</c:v>
                </c:pt>
                <c:pt idx="90">
                  <c:v>SVC_E122</c:v>
                </c:pt>
                <c:pt idx="91">
                  <c:v>SVC_E210</c:v>
                </c:pt>
                <c:pt idx="92">
                  <c:v>SVC_E56</c:v>
                </c:pt>
                <c:pt idx="93">
                  <c:v>SVC_E29</c:v>
                </c:pt>
                <c:pt idx="94">
                  <c:v>SVC_E104</c:v>
                </c:pt>
                <c:pt idx="95">
                  <c:v>AEP Texas_EX48</c:v>
                </c:pt>
                <c:pt idx="96">
                  <c:v>SVC_E163</c:v>
                </c:pt>
                <c:pt idx="97">
                  <c:v>SVC_E31</c:v>
                </c:pt>
                <c:pt idx="98">
                  <c:v>SVC_E224</c:v>
                </c:pt>
                <c:pt idx="99">
                  <c:v>SVC_E140</c:v>
                </c:pt>
                <c:pt idx="100">
                  <c:v>SVC_E16</c:v>
                </c:pt>
                <c:pt idx="101">
                  <c:v>SVC_E67</c:v>
                </c:pt>
                <c:pt idx="102">
                  <c:v>SVC_E26</c:v>
                </c:pt>
                <c:pt idx="103">
                  <c:v>AEP Texas_EX28</c:v>
                </c:pt>
                <c:pt idx="104">
                  <c:v>SVC_E21</c:v>
                </c:pt>
                <c:pt idx="105">
                  <c:v>SVC_E152</c:v>
                </c:pt>
                <c:pt idx="106">
                  <c:v>SVC_E205</c:v>
                </c:pt>
                <c:pt idx="107">
                  <c:v>AEP Texas_EX32</c:v>
                </c:pt>
                <c:pt idx="108">
                  <c:v>SVC_E63</c:v>
                </c:pt>
                <c:pt idx="109">
                  <c:v>SVC_E129</c:v>
                </c:pt>
                <c:pt idx="110">
                  <c:v>AEP Texas_EX35</c:v>
                </c:pt>
                <c:pt idx="111">
                  <c:v>SVC_E81</c:v>
                </c:pt>
                <c:pt idx="112">
                  <c:v>SVC_E53</c:v>
                </c:pt>
                <c:pt idx="113">
                  <c:v>SVC_E23</c:v>
                </c:pt>
                <c:pt idx="114">
                  <c:v>SVC_E1</c:v>
                </c:pt>
                <c:pt idx="115">
                  <c:v>AEP Texas_EX31</c:v>
                </c:pt>
                <c:pt idx="116">
                  <c:v>SVC_E179</c:v>
                </c:pt>
                <c:pt idx="117">
                  <c:v>SVC_E108</c:v>
                </c:pt>
                <c:pt idx="118">
                  <c:v>SVC_E101</c:v>
                </c:pt>
                <c:pt idx="119">
                  <c:v>SVC_E76</c:v>
                </c:pt>
                <c:pt idx="120">
                  <c:v>SVC_E73</c:v>
                </c:pt>
                <c:pt idx="121">
                  <c:v>SVC_E216</c:v>
                </c:pt>
                <c:pt idx="122">
                  <c:v>SVC_E107</c:v>
                </c:pt>
                <c:pt idx="123">
                  <c:v>SVC_E141</c:v>
                </c:pt>
                <c:pt idx="124">
                  <c:v>SVC_E10</c:v>
                </c:pt>
                <c:pt idx="125">
                  <c:v>SVC_E4</c:v>
                </c:pt>
                <c:pt idx="126">
                  <c:v>SVC_E120</c:v>
                </c:pt>
                <c:pt idx="127">
                  <c:v>SVC_E78</c:v>
                </c:pt>
                <c:pt idx="128">
                  <c:v>AEP Texas_EX34</c:v>
                </c:pt>
                <c:pt idx="129">
                  <c:v>SVC_E156</c:v>
                </c:pt>
                <c:pt idx="130">
                  <c:v>SVC_E98</c:v>
                </c:pt>
                <c:pt idx="131">
                  <c:v>SVC_E123</c:v>
                </c:pt>
                <c:pt idx="132">
                  <c:v>SVC_E209</c:v>
                </c:pt>
                <c:pt idx="133">
                  <c:v>AEP Texas_EX42</c:v>
                </c:pt>
                <c:pt idx="134">
                  <c:v>AEP Texas_EX7</c:v>
                </c:pt>
                <c:pt idx="135">
                  <c:v>SVC_E5</c:v>
                </c:pt>
                <c:pt idx="136">
                  <c:v>AEP Texas_EX46</c:v>
                </c:pt>
                <c:pt idx="137">
                  <c:v>AEP Texas_EX18</c:v>
                </c:pt>
                <c:pt idx="138">
                  <c:v>SVC_E182</c:v>
                </c:pt>
                <c:pt idx="139">
                  <c:v>SVC_E125</c:v>
                </c:pt>
                <c:pt idx="140">
                  <c:v>SVC_E221</c:v>
                </c:pt>
                <c:pt idx="141">
                  <c:v>SVC_E149</c:v>
                </c:pt>
                <c:pt idx="142">
                  <c:v>SVC_E72</c:v>
                </c:pt>
                <c:pt idx="143">
                  <c:v>SVC_E174</c:v>
                </c:pt>
                <c:pt idx="144">
                  <c:v>SVC_E215</c:v>
                </c:pt>
                <c:pt idx="145">
                  <c:v>SVC_E105</c:v>
                </c:pt>
                <c:pt idx="146">
                  <c:v>SVC_E77</c:v>
                </c:pt>
                <c:pt idx="147">
                  <c:v>AEP Texas_EX58</c:v>
                </c:pt>
                <c:pt idx="148">
                  <c:v>SVC_E217</c:v>
                </c:pt>
                <c:pt idx="149">
                  <c:v>SVC_E159</c:v>
                </c:pt>
                <c:pt idx="150">
                  <c:v>AEP Texas_EX4</c:v>
                </c:pt>
                <c:pt idx="151">
                  <c:v>SVC_E183</c:v>
                </c:pt>
                <c:pt idx="152">
                  <c:v>SVC_E90</c:v>
                </c:pt>
                <c:pt idx="153">
                  <c:v>SVC_E9</c:v>
                </c:pt>
                <c:pt idx="154">
                  <c:v>SVC_E75</c:v>
                </c:pt>
                <c:pt idx="155">
                  <c:v>SVC_E147</c:v>
                </c:pt>
                <c:pt idx="156">
                  <c:v>SVC_E52</c:v>
                </c:pt>
                <c:pt idx="157">
                  <c:v>SVC_E89</c:v>
                </c:pt>
                <c:pt idx="158">
                  <c:v>SVC_E135</c:v>
                </c:pt>
                <c:pt idx="159">
                  <c:v>SVC_E115</c:v>
                </c:pt>
                <c:pt idx="160">
                  <c:v>SVC_E47</c:v>
                </c:pt>
                <c:pt idx="161">
                  <c:v>SVC_E168</c:v>
                </c:pt>
                <c:pt idx="162">
                  <c:v>SVC_E91</c:v>
                </c:pt>
                <c:pt idx="163">
                  <c:v>SVC_E220</c:v>
                </c:pt>
                <c:pt idx="164">
                  <c:v>SVC_E177</c:v>
                </c:pt>
                <c:pt idx="165">
                  <c:v>AEP Texas_EX2</c:v>
                </c:pt>
                <c:pt idx="166">
                  <c:v>SVC_E65</c:v>
                </c:pt>
                <c:pt idx="167">
                  <c:v>SVC_E190</c:v>
                </c:pt>
                <c:pt idx="168">
                  <c:v>AEP Texas_EX20</c:v>
                </c:pt>
                <c:pt idx="169">
                  <c:v>SVC_E61</c:v>
                </c:pt>
                <c:pt idx="170">
                  <c:v>SVC_E200</c:v>
                </c:pt>
                <c:pt idx="171">
                  <c:v>SVC_E103</c:v>
                </c:pt>
                <c:pt idx="172">
                  <c:v>SVC_E88</c:v>
                </c:pt>
                <c:pt idx="173">
                  <c:v>SVC_E218</c:v>
                </c:pt>
                <c:pt idx="174">
                  <c:v>SVC_E60</c:v>
                </c:pt>
                <c:pt idx="175">
                  <c:v>AEP Texas_EX23</c:v>
                </c:pt>
                <c:pt idx="176">
                  <c:v>SVC_E74</c:v>
                </c:pt>
                <c:pt idx="177">
                  <c:v>SVC_E136</c:v>
                </c:pt>
                <c:pt idx="178">
                  <c:v>SVC_E211</c:v>
                </c:pt>
                <c:pt idx="179">
                  <c:v>SVC_E198</c:v>
                </c:pt>
                <c:pt idx="180">
                  <c:v>SVC_E184</c:v>
                </c:pt>
                <c:pt idx="181">
                  <c:v>SVC_E118</c:v>
                </c:pt>
                <c:pt idx="182">
                  <c:v>SVC_E202</c:v>
                </c:pt>
                <c:pt idx="183">
                  <c:v>AEP Texas_EX9</c:v>
                </c:pt>
                <c:pt idx="184">
                  <c:v>SVC_E102</c:v>
                </c:pt>
                <c:pt idx="185">
                  <c:v>AEP Texas_EX56</c:v>
                </c:pt>
                <c:pt idx="186">
                  <c:v>SVC_E80</c:v>
                </c:pt>
                <c:pt idx="187">
                  <c:v>SVC_E199</c:v>
                </c:pt>
                <c:pt idx="188">
                  <c:v>SVC_E96</c:v>
                </c:pt>
                <c:pt idx="189">
                  <c:v>SVC_E99</c:v>
                </c:pt>
                <c:pt idx="190">
                  <c:v>SVC_E208</c:v>
                </c:pt>
                <c:pt idx="191">
                  <c:v>AEP Texas_EX3</c:v>
                </c:pt>
                <c:pt idx="192">
                  <c:v>SVC_E164</c:v>
                </c:pt>
                <c:pt idx="193">
                  <c:v>AEP Texas_EX26</c:v>
                </c:pt>
                <c:pt idx="194">
                  <c:v>SVC_E192</c:v>
                </c:pt>
                <c:pt idx="195">
                  <c:v>SVC_E137</c:v>
                </c:pt>
                <c:pt idx="196">
                  <c:v>SVC_E185</c:v>
                </c:pt>
                <c:pt idx="197">
                  <c:v>SVC_E106</c:v>
                </c:pt>
                <c:pt idx="198">
                  <c:v>SVC_E180</c:v>
                </c:pt>
                <c:pt idx="199">
                  <c:v>AEP Texas_EX12</c:v>
                </c:pt>
                <c:pt idx="200">
                  <c:v>SVC_E133</c:v>
                </c:pt>
                <c:pt idx="201">
                  <c:v>SVC_E119</c:v>
                </c:pt>
                <c:pt idx="202">
                  <c:v>SVC_E206</c:v>
                </c:pt>
                <c:pt idx="203">
                  <c:v>SVC_E86</c:v>
                </c:pt>
                <c:pt idx="204">
                  <c:v>SVC_E207</c:v>
                </c:pt>
                <c:pt idx="205">
                  <c:v>SVC_E171</c:v>
                </c:pt>
                <c:pt idx="206">
                  <c:v>SVC_E219</c:v>
                </c:pt>
                <c:pt idx="207">
                  <c:v>SVC_E54</c:v>
                </c:pt>
                <c:pt idx="208">
                  <c:v>SVC_E167</c:v>
                </c:pt>
                <c:pt idx="209">
                  <c:v>AEP Texas_EX11</c:v>
                </c:pt>
                <c:pt idx="210">
                  <c:v>SVC_E196</c:v>
                </c:pt>
                <c:pt idx="211">
                  <c:v>SVC_E13</c:v>
                </c:pt>
                <c:pt idx="212">
                  <c:v>SVC_E94</c:v>
                </c:pt>
                <c:pt idx="213">
                  <c:v>SVC_E169</c:v>
                </c:pt>
                <c:pt idx="214">
                  <c:v>SVC_E197</c:v>
                </c:pt>
                <c:pt idx="215">
                  <c:v>SVC_E12</c:v>
                </c:pt>
                <c:pt idx="216">
                  <c:v>AEP Texas_EX41</c:v>
                </c:pt>
                <c:pt idx="217">
                  <c:v>AEP Texas_EX61</c:v>
                </c:pt>
                <c:pt idx="218">
                  <c:v>AEP Texas_EX44</c:v>
                </c:pt>
                <c:pt idx="219">
                  <c:v>SVC_E155</c:v>
                </c:pt>
                <c:pt idx="220">
                  <c:v>AEP Texas_EX19</c:v>
                </c:pt>
                <c:pt idx="221">
                  <c:v>AEP Texas_EX29</c:v>
                </c:pt>
                <c:pt idx="222">
                  <c:v>SVC_E95</c:v>
                </c:pt>
                <c:pt idx="223">
                  <c:v>AEP Texas_EX17</c:v>
                </c:pt>
                <c:pt idx="224">
                  <c:v>SVC_E48</c:v>
                </c:pt>
                <c:pt idx="225">
                  <c:v>SVC_E131 (5)</c:v>
                </c:pt>
                <c:pt idx="226">
                  <c:v>SVC_E225</c:v>
                </c:pt>
                <c:pt idx="227">
                  <c:v>AEP Texas_EX5</c:v>
                </c:pt>
                <c:pt idx="228">
                  <c:v>SVC_E97</c:v>
                </c:pt>
                <c:pt idx="229">
                  <c:v>SVC_E27</c:v>
                </c:pt>
                <c:pt idx="230">
                  <c:v>SVC_E165</c:v>
                </c:pt>
                <c:pt idx="231">
                  <c:v>SVC_E150</c:v>
                </c:pt>
                <c:pt idx="232">
                  <c:v>SVC_E178</c:v>
                </c:pt>
                <c:pt idx="233">
                  <c:v>AEP Texas_EX1</c:v>
                </c:pt>
                <c:pt idx="234">
                  <c:v>SVC_E194</c:v>
                </c:pt>
                <c:pt idx="235">
                  <c:v>SVC_E70</c:v>
                </c:pt>
                <c:pt idx="236">
                  <c:v>SVC_E166</c:v>
                </c:pt>
                <c:pt idx="237">
                  <c:v>AEP Texas_EX25</c:v>
                </c:pt>
                <c:pt idx="238">
                  <c:v>AEP Texas_EX22</c:v>
                </c:pt>
                <c:pt idx="239">
                  <c:v>AEP Texas_EX39</c:v>
                </c:pt>
                <c:pt idx="240">
                  <c:v>AEP Texas_EX14</c:v>
                </c:pt>
                <c:pt idx="241">
                  <c:v>SVC_E203</c:v>
                </c:pt>
                <c:pt idx="242">
                  <c:v>SVC_E213</c:v>
                </c:pt>
                <c:pt idx="243">
                  <c:v>SVC_E37</c:v>
                </c:pt>
                <c:pt idx="244">
                  <c:v>SVC_E214</c:v>
                </c:pt>
                <c:pt idx="245">
                  <c:v>SVC_E204</c:v>
                </c:pt>
                <c:pt idx="246">
                  <c:v>SVC_E201</c:v>
                </c:pt>
                <c:pt idx="247">
                  <c:v>SVC_E193</c:v>
                </c:pt>
                <c:pt idx="248">
                  <c:v>SVC_E32</c:v>
                </c:pt>
                <c:pt idx="249">
                  <c:v>SVC_E66</c:v>
                </c:pt>
                <c:pt idx="250">
                  <c:v>SVC_E145</c:v>
                </c:pt>
                <c:pt idx="251">
                  <c:v>SVC_E83</c:v>
                </c:pt>
                <c:pt idx="252">
                  <c:v>AEP Texas_EX33</c:v>
                </c:pt>
                <c:pt idx="253">
                  <c:v>AEP Texas_EX55</c:v>
                </c:pt>
                <c:pt idx="254">
                  <c:v>AEP Texas_EX40</c:v>
                </c:pt>
                <c:pt idx="255">
                  <c:v>AEP Texas_EX54</c:v>
                </c:pt>
                <c:pt idx="256">
                  <c:v>AEP Texas_EX21</c:v>
                </c:pt>
                <c:pt idx="257">
                  <c:v>AEP Texas_EX24</c:v>
                </c:pt>
                <c:pt idx="258">
                  <c:v>SVC_E51</c:v>
                </c:pt>
                <c:pt idx="259">
                  <c:v>SVC_E148</c:v>
                </c:pt>
                <c:pt idx="260">
                  <c:v>SVC_E134</c:v>
                </c:pt>
                <c:pt idx="261">
                  <c:v>SVC_E100</c:v>
                </c:pt>
                <c:pt idx="262">
                  <c:v>SVC_E49</c:v>
                </c:pt>
                <c:pt idx="263">
                  <c:v>SVC_E58</c:v>
                </c:pt>
                <c:pt idx="264">
                  <c:v>SVC_E25</c:v>
                </c:pt>
                <c:pt idx="265">
                  <c:v>SVC_E113</c:v>
                </c:pt>
                <c:pt idx="266">
                  <c:v>SVC_E69</c:v>
                </c:pt>
                <c:pt idx="267">
                  <c:v>AEP Texas_EX10</c:v>
                </c:pt>
                <c:pt idx="268">
                  <c:v>SVC_E33</c:v>
                </c:pt>
                <c:pt idx="269">
                  <c:v>AEP Texas_EX13</c:v>
                </c:pt>
                <c:pt idx="270">
                  <c:v>SVC_E38</c:v>
                </c:pt>
                <c:pt idx="271">
                  <c:v>SVC_E57</c:v>
                </c:pt>
                <c:pt idx="272">
                  <c:v>AEP Texas_EX59</c:v>
                </c:pt>
                <c:pt idx="273">
                  <c:v>AEP Texas_EX37</c:v>
                </c:pt>
                <c:pt idx="274">
                  <c:v>AEP Texas_EX36</c:v>
                </c:pt>
                <c:pt idx="275">
                  <c:v>SVC_E42</c:v>
                </c:pt>
                <c:pt idx="276">
                  <c:v>SVC_E223</c:v>
                </c:pt>
                <c:pt idx="277">
                  <c:v>SVC_E35</c:v>
                </c:pt>
                <c:pt idx="278">
                  <c:v>SVC_E157</c:v>
                </c:pt>
                <c:pt idx="279">
                  <c:v>SVC_E46</c:v>
                </c:pt>
                <c:pt idx="280">
                  <c:v>SVC_E45</c:v>
                </c:pt>
                <c:pt idx="281">
                  <c:v>SVC_E34</c:v>
                </c:pt>
                <c:pt idx="282">
                  <c:v>AEP Texas_EX27</c:v>
                </c:pt>
                <c:pt idx="283">
                  <c:v>AEP Texas_EX38</c:v>
                </c:pt>
                <c:pt idx="284">
                  <c:v>SVC_E36</c:v>
                </c:pt>
                <c:pt idx="285">
                  <c:v>SVC_E227</c:v>
                </c:pt>
                <c:pt idx="286">
                  <c:v>SVC_E43</c:v>
                </c:pt>
                <c:pt idx="287">
                  <c:v>SVC_E181</c:v>
                </c:pt>
                <c:pt idx="288">
                  <c:v>AEP Texas_EX15</c:v>
                </c:pt>
              </c:strCache>
            </c:strRef>
          </c:cat>
          <c:val>
            <c:numRef>
              <c:f>'Exempt Graph Data All'!$C$4:$C$292</c:f>
              <c:numCache>
                <c:formatCode>0.0%</c:formatCode>
                <c:ptCount val="289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0.85</c:v>
                </c:pt>
                <c:pt idx="23">
                  <c:v>0.85</c:v>
                </c:pt>
                <c:pt idx="24">
                  <c:v>0.85</c:v>
                </c:pt>
                <c:pt idx="25">
                  <c:v>0.85</c:v>
                </c:pt>
                <c:pt idx="26">
                  <c:v>0.85</c:v>
                </c:pt>
                <c:pt idx="27">
                  <c:v>0.85</c:v>
                </c:pt>
                <c:pt idx="28">
                  <c:v>0.85</c:v>
                </c:pt>
                <c:pt idx="29">
                  <c:v>0.85</c:v>
                </c:pt>
                <c:pt idx="30">
                  <c:v>0.85</c:v>
                </c:pt>
                <c:pt idx="31">
                  <c:v>0.85</c:v>
                </c:pt>
                <c:pt idx="32">
                  <c:v>0.85</c:v>
                </c:pt>
                <c:pt idx="33">
                  <c:v>0.85</c:v>
                </c:pt>
                <c:pt idx="34">
                  <c:v>0.85</c:v>
                </c:pt>
                <c:pt idx="35">
                  <c:v>0.85</c:v>
                </c:pt>
                <c:pt idx="36">
                  <c:v>0.85</c:v>
                </c:pt>
                <c:pt idx="37">
                  <c:v>0.85</c:v>
                </c:pt>
                <c:pt idx="38">
                  <c:v>0.85</c:v>
                </c:pt>
                <c:pt idx="39">
                  <c:v>0.85</c:v>
                </c:pt>
                <c:pt idx="40">
                  <c:v>0.85</c:v>
                </c:pt>
                <c:pt idx="41">
                  <c:v>0.85</c:v>
                </c:pt>
                <c:pt idx="42">
                  <c:v>0.85</c:v>
                </c:pt>
                <c:pt idx="43">
                  <c:v>0.85</c:v>
                </c:pt>
                <c:pt idx="44">
                  <c:v>0.85</c:v>
                </c:pt>
                <c:pt idx="45">
                  <c:v>0.85</c:v>
                </c:pt>
                <c:pt idx="46">
                  <c:v>0.85</c:v>
                </c:pt>
                <c:pt idx="47">
                  <c:v>0.85</c:v>
                </c:pt>
                <c:pt idx="48">
                  <c:v>0.85</c:v>
                </c:pt>
                <c:pt idx="49">
                  <c:v>0.85</c:v>
                </c:pt>
                <c:pt idx="50">
                  <c:v>0.85</c:v>
                </c:pt>
                <c:pt idx="51">
                  <c:v>0.85</c:v>
                </c:pt>
                <c:pt idx="52">
                  <c:v>0.85</c:v>
                </c:pt>
                <c:pt idx="53">
                  <c:v>0.85</c:v>
                </c:pt>
                <c:pt idx="54">
                  <c:v>0.85</c:v>
                </c:pt>
                <c:pt idx="55">
                  <c:v>0.85</c:v>
                </c:pt>
                <c:pt idx="56">
                  <c:v>0.85</c:v>
                </c:pt>
                <c:pt idx="57">
                  <c:v>0.85</c:v>
                </c:pt>
                <c:pt idx="58">
                  <c:v>0.85</c:v>
                </c:pt>
                <c:pt idx="59">
                  <c:v>0.85</c:v>
                </c:pt>
                <c:pt idx="60">
                  <c:v>0.85</c:v>
                </c:pt>
                <c:pt idx="61">
                  <c:v>0.85</c:v>
                </c:pt>
                <c:pt idx="62">
                  <c:v>0.85</c:v>
                </c:pt>
                <c:pt idx="63">
                  <c:v>0.85</c:v>
                </c:pt>
                <c:pt idx="64">
                  <c:v>0.85</c:v>
                </c:pt>
                <c:pt idx="65">
                  <c:v>0.85</c:v>
                </c:pt>
                <c:pt idx="66">
                  <c:v>0.85</c:v>
                </c:pt>
                <c:pt idx="67">
                  <c:v>0.85</c:v>
                </c:pt>
                <c:pt idx="68">
                  <c:v>0.85</c:v>
                </c:pt>
                <c:pt idx="69">
                  <c:v>0.85</c:v>
                </c:pt>
                <c:pt idx="70">
                  <c:v>0.85</c:v>
                </c:pt>
                <c:pt idx="71">
                  <c:v>0.85</c:v>
                </c:pt>
                <c:pt idx="72">
                  <c:v>0.85</c:v>
                </c:pt>
                <c:pt idx="73">
                  <c:v>0.85</c:v>
                </c:pt>
                <c:pt idx="74">
                  <c:v>0.85</c:v>
                </c:pt>
                <c:pt idx="75">
                  <c:v>0.85</c:v>
                </c:pt>
                <c:pt idx="76">
                  <c:v>0.85</c:v>
                </c:pt>
                <c:pt idx="77">
                  <c:v>0.85</c:v>
                </c:pt>
                <c:pt idx="78">
                  <c:v>0.85</c:v>
                </c:pt>
                <c:pt idx="79">
                  <c:v>0.85</c:v>
                </c:pt>
                <c:pt idx="80">
                  <c:v>0.85</c:v>
                </c:pt>
                <c:pt idx="81">
                  <c:v>0.85</c:v>
                </c:pt>
                <c:pt idx="82">
                  <c:v>0.85</c:v>
                </c:pt>
                <c:pt idx="83">
                  <c:v>0.85</c:v>
                </c:pt>
                <c:pt idx="84">
                  <c:v>0.85</c:v>
                </c:pt>
                <c:pt idx="85">
                  <c:v>0.85</c:v>
                </c:pt>
                <c:pt idx="86">
                  <c:v>0.85</c:v>
                </c:pt>
                <c:pt idx="87">
                  <c:v>0.85</c:v>
                </c:pt>
                <c:pt idx="88">
                  <c:v>0.85</c:v>
                </c:pt>
                <c:pt idx="89">
                  <c:v>0.85</c:v>
                </c:pt>
                <c:pt idx="90">
                  <c:v>0.85</c:v>
                </c:pt>
                <c:pt idx="91">
                  <c:v>0.85</c:v>
                </c:pt>
                <c:pt idx="92">
                  <c:v>0.85</c:v>
                </c:pt>
                <c:pt idx="93">
                  <c:v>0.85</c:v>
                </c:pt>
                <c:pt idx="94">
                  <c:v>0.85</c:v>
                </c:pt>
                <c:pt idx="95">
                  <c:v>0.85</c:v>
                </c:pt>
                <c:pt idx="96">
                  <c:v>0.85</c:v>
                </c:pt>
                <c:pt idx="97">
                  <c:v>0.85</c:v>
                </c:pt>
                <c:pt idx="98">
                  <c:v>0.85</c:v>
                </c:pt>
                <c:pt idx="99">
                  <c:v>0.85</c:v>
                </c:pt>
                <c:pt idx="100">
                  <c:v>0.85</c:v>
                </c:pt>
                <c:pt idx="101">
                  <c:v>0.85</c:v>
                </c:pt>
                <c:pt idx="102">
                  <c:v>0.85</c:v>
                </c:pt>
                <c:pt idx="103">
                  <c:v>0.85</c:v>
                </c:pt>
                <c:pt idx="104">
                  <c:v>0.85</c:v>
                </c:pt>
                <c:pt idx="105">
                  <c:v>0.85</c:v>
                </c:pt>
                <c:pt idx="106">
                  <c:v>0.85</c:v>
                </c:pt>
                <c:pt idx="107">
                  <c:v>0.85</c:v>
                </c:pt>
                <c:pt idx="108">
                  <c:v>0.85</c:v>
                </c:pt>
                <c:pt idx="109">
                  <c:v>0.85</c:v>
                </c:pt>
                <c:pt idx="110">
                  <c:v>0.85</c:v>
                </c:pt>
                <c:pt idx="111">
                  <c:v>0.85</c:v>
                </c:pt>
                <c:pt idx="112">
                  <c:v>0.85</c:v>
                </c:pt>
                <c:pt idx="113">
                  <c:v>0.85</c:v>
                </c:pt>
                <c:pt idx="114">
                  <c:v>0.85</c:v>
                </c:pt>
                <c:pt idx="115">
                  <c:v>0.85</c:v>
                </c:pt>
                <c:pt idx="116">
                  <c:v>0.85</c:v>
                </c:pt>
                <c:pt idx="117">
                  <c:v>0.85</c:v>
                </c:pt>
                <c:pt idx="118">
                  <c:v>0.85</c:v>
                </c:pt>
                <c:pt idx="119">
                  <c:v>0.85</c:v>
                </c:pt>
                <c:pt idx="120">
                  <c:v>0.85</c:v>
                </c:pt>
                <c:pt idx="121">
                  <c:v>0.85</c:v>
                </c:pt>
                <c:pt idx="122">
                  <c:v>0.85</c:v>
                </c:pt>
                <c:pt idx="123">
                  <c:v>0.85</c:v>
                </c:pt>
                <c:pt idx="124">
                  <c:v>0.85</c:v>
                </c:pt>
                <c:pt idx="125">
                  <c:v>0.85</c:v>
                </c:pt>
                <c:pt idx="126">
                  <c:v>0.85</c:v>
                </c:pt>
                <c:pt idx="127">
                  <c:v>0.85</c:v>
                </c:pt>
                <c:pt idx="128">
                  <c:v>0.85</c:v>
                </c:pt>
                <c:pt idx="129">
                  <c:v>0.85</c:v>
                </c:pt>
                <c:pt idx="130">
                  <c:v>0.85</c:v>
                </c:pt>
                <c:pt idx="131">
                  <c:v>0.85</c:v>
                </c:pt>
                <c:pt idx="132">
                  <c:v>0.85</c:v>
                </c:pt>
                <c:pt idx="133">
                  <c:v>0.85</c:v>
                </c:pt>
                <c:pt idx="134">
                  <c:v>0.85</c:v>
                </c:pt>
                <c:pt idx="135">
                  <c:v>0.85</c:v>
                </c:pt>
                <c:pt idx="136">
                  <c:v>0.85</c:v>
                </c:pt>
                <c:pt idx="137">
                  <c:v>0.85</c:v>
                </c:pt>
                <c:pt idx="138">
                  <c:v>0.85</c:v>
                </c:pt>
                <c:pt idx="139">
                  <c:v>0.85</c:v>
                </c:pt>
                <c:pt idx="140">
                  <c:v>0.85</c:v>
                </c:pt>
                <c:pt idx="141">
                  <c:v>0.85</c:v>
                </c:pt>
                <c:pt idx="142">
                  <c:v>0.85</c:v>
                </c:pt>
                <c:pt idx="143">
                  <c:v>0.85</c:v>
                </c:pt>
                <c:pt idx="144">
                  <c:v>0.85</c:v>
                </c:pt>
                <c:pt idx="145">
                  <c:v>0.85</c:v>
                </c:pt>
                <c:pt idx="146">
                  <c:v>0.85</c:v>
                </c:pt>
                <c:pt idx="147">
                  <c:v>0.85</c:v>
                </c:pt>
                <c:pt idx="148">
                  <c:v>0.85</c:v>
                </c:pt>
                <c:pt idx="149">
                  <c:v>0.85</c:v>
                </c:pt>
                <c:pt idx="150">
                  <c:v>0.85</c:v>
                </c:pt>
                <c:pt idx="151">
                  <c:v>0.85</c:v>
                </c:pt>
                <c:pt idx="152">
                  <c:v>0.85</c:v>
                </c:pt>
                <c:pt idx="153">
                  <c:v>0.85</c:v>
                </c:pt>
                <c:pt idx="154">
                  <c:v>0.85</c:v>
                </c:pt>
                <c:pt idx="155">
                  <c:v>0.85</c:v>
                </c:pt>
                <c:pt idx="156">
                  <c:v>0.85</c:v>
                </c:pt>
                <c:pt idx="157">
                  <c:v>0.85</c:v>
                </c:pt>
                <c:pt idx="158">
                  <c:v>0.85</c:v>
                </c:pt>
                <c:pt idx="159">
                  <c:v>0.85</c:v>
                </c:pt>
                <c:pt idx="160">
                  <c:v>0.85</c:v>
                </c:pt>
                <c:pt idx="161">
                  <c:v>0.85</c:v>
                </c:pt>
                <c:pt idx="162">
                  <c:v>0.85</c:v>
                </c:pt>
                <c:pt idx="163">
                  <c:v>0.85</c:v>
                </c:pt>
                <c:pt idx="164">
                  <c:v>0.85</c:v>
                </c:pt>
                <c:pt idx="165">
                  <c:v>0.85</c:v>
                </c:pt>
                <c:pt idx="166">
                  <c:v>0.85</c:v>
                </c:pt>
                <c:pt idx="167">
                  <c:v>0.85</c:v>
                </c:pt>
                <c:pt idx="168">
                  <c:v>0.85</c:v>
                </c:pt>
                <c:pt idx="169">
                  <c:v>0.85</c:v>
                </c:pt>
                <c:pt idx="170">
                  <c:v>0.85</c:v>
                </c:pt>
                <c:pt idx="171">
                  <c:v>0.85</c:v>
                </c:pt>
                <c:pt idx="172">
                  <c:v>0.85</c:v>
                </c:pt>
                <c:pt idx="173">
                  <c:v>0.85</c:v>
                </c:pt>
                <c:pt idx="174">
                  <c:v>0.85</c:v>
                </c:pt>
                <c:pt idx="175">
                  <c:v>0.85</c:v>
                </c:pt>
                <c:pt idx="176">
                  <c:v>0.85</c:v>
                </c:pt>
                <c:pt idx="177">
                  <c:v>0.85</c:v>
                </c:pt>
                <c:pt idx="178">
                  <c:v>0.85</c:v>
                </c:pt>
                <c:pt idx="179">
                  <c:v>0.85</c:v>
                </c:pt>
                <c:pt idx="180">
                  <c:v>0.85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0.85</c:v>
                </c:pt>
                <c:pt idx="186">
                  <c:v>0.85</c:v>
                </c:pt>
                <c:pt idx="187">
                  <c:v>0.85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</c:v>
                </c:pt>
                <c:pt idx="198">
                  <c:v>0.85</c:v>
                </c:pt>
                <c:pt idx="199">
                  <c:v>0.85</c:v>
                </c:pt>
                <c:pt idx="200">
                  <c:v>0.85</c:v>
                </c:pt>
                <c:pt idx="201">
                  <c:v>0.85</c:v>
                </c:pt>
                <c:pt idx="202">
                  <c:v>0.85</c:v>
                </c:pt>
                <c:pt idx="203">
                  <c:v>0.85</c:v>
                </c:pt>
                <c:pt idx="204">
                  <c:v>0.85</c:v>
                </c:pt>
                <c:pt idx="205">
                  <c:v>0.85</c:v>
                </c:pt>
                <c:pt idx="206">
                  <c:v>0.85</c:v>
                </c:pt>
                <c:pt idx="207">
                  <c:v>0.85</c:v>
                </c:pt>
                <c:pt idx="208">
                  <c:v>0.85</c:v>
                </c:pt>
                <c:pt idx="209">
                  <c:v>0.85</c:v>
                </c:pt>
                <c:pt idx="210">
                  <c:v>0.85</c:v>
                </c:pt>
                <c:pt idx="211">
                  <c:v>0.85</c:v>
                </c:pt>
                <c:pt idx="212">
                  <c:v>0.85</c:v>
                </c:pt>
                <c:pt idx="213">
                  <c:v>0.85</c:v>
                </c:pt>
                <c:pt idx="214">
                  <c:v>0.85</c:v>
                </c:pt>
                <c:pt idx="215">
                  <c:v>0.85</c:v>
                </c:pt>
                <c:pt idx="216">
                  <c:v>0.85</c:v>
                </c:pt>
                <c:pt idx="217">
                  <c:v>0.85</c:v>
                </c:pt>
                <c:pt idx="218">
                  <c:v>0.85</c:v>
                </c:pt>
                <c:pt idx="219">
                  <c:v>0.85</c:v>
                </c:pt>
                <c:pt idx="220">
                  <c:v>0.85</c:v>
                </c:pt>
                <c:pt idx="221">
                  <c:v>0.85</c:v>
                </c:pt>
                <c:pt idx="222">
                  <c:v>0.85</c:v>
                </c:pt>
                <c:pt idx="223">
                  <c:v>0.85</c:v>
                </c:pt>
                <c:pt idx="224">
                  <c:v>0.85</c:v>
                </c:pt>
                <c:pt idx="225">
                  <c:v>0.85</c:v>
                </c:pt>
                <c:pt idx="226">
                  <c:v>0.85</c:v>
                </c:pt>
                <c:pt idx="227">
                  <c:v>0.85</c:v>
                </c:pt>
                <c:pt idx="228">
                  <c:v>0.85</c:v>
                </c:pt>
                <c:pt idx="229">
                  <c:v>0.85</c:v>
                </c:pt>
                <c:pt idx="230">
                  <c:v>0.85</c:v>
                </c:pt>
                <c:pt idx="231">
                  <c:v>0.85</c:v>
                </c:pt>
                <c:pt idx="232">
                  <c:v>0.85</c:v>
                </c:pt>
                <c:pt idx="233">
                  <c:v>0.85</c:v>
                </c:pt>
                <c:pt idx="234">
                  <c:v>0.85</c:v>
                </c:pt>
                <c:pt idx="235">
                  <c:v>0.85</c:v>
                </c:pt>
                <c:pt idx="236">
                  <c:v>0.85</c:v>
                </c:pt>
                <c:pt idx="237">
                  <c:v>0.85</c:v>
                </c:pt>
                <c:pt idx="238">
                  <c:v>0.85</c:v>
                </c:pt>
                <c:pt idx="239">
                  <c:v>0.85</c:v>
                </c:pt>
                <c:pt idx="240">
                  <c:v>0.85</c:v>
                </c:pt>
                <c:pt idx="241">
                  <c:v>0.85</c:v>
                </c:pt>
                <c:pt idx="242">
                  <c:v>0.85</c:v>
                </c:pt>
                <c:pt idx="243">
                  <c:v>0.85</c:v>
                </c:pt>
                <c:pt idx="244">
                  <c:v>0.85</c:v>
                </c:pt>
                <c:pt idx="245">
                  <c:v>0.85</c:v>
                </c:pt>
                <c:pt idx="246">
                  <c:v>0.85</c:v>
                </c:pt>
                <c:pt idx="247">
                  <c:v>0.85</c:v>
                </c:pt>
                <c:pt idx="248">
                  <c:v>0.85</c:v>
                </c:pt>
                <c:pt idx="249">
                  <c:v>0.85</c:v>
                </c:pt>
                <c:pt idx="250">
                  <c:v>0.85</c:v>
                </c:pt>
                <c:pt idx="251">
                  <c:v>0.85</c:v>
                </c:pt>
                <c:pt idx="252">
                  <c:v>0.85</c:v>
                </c:pt>
                <c:pt idx="253">
                  <c:v>0.85</c:v>
                </c:pt>
                <c:pt idx="254">
                  <c:v>0.85</c:v>
                </c:pt>
                <c:pt idx="255">
                  <c:v>0.85</c:v>
                </c:pt>
                <c:pt idx="256">
                  <c:v>0.85</c:v>
                </c:pt>
                <c:pt idx="257">
                  <c:v>0.85</c:v>
                </c:pt>
                <c:pt idx="258">
                  <c:v>0.85</c:v>
                </c:pt>
                <c:pt idx="259">
                  <c:v>0.85</c:v>
                </c:pt>
                <c:pt idx="260">
                  <c:v>0.85</c:v>
                </c:pt>
                <c:pt idx="261">
                  <c:v>0.85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</c:v>
                </c:pt>
                <c:pt idx="267">
                  <c:v>0.85</c:v>
                </c:pt>
                <c:pt idx="268">
                  <c:v>0.85</c:v>
                </c:pt>
                <c:pt idx="269">
                  <c:v>0.85</c:v>
                </c:pt>
                <c:pt idx="270">
                  <c:v>0.85</c:v>
                </c:pt>
                <c:pt idx="271">
                  <c:v>0.85</c:v>
                </c:pt>
                <c:pt idx="272">
                  <c:v>0.85</c:v>
                </c:pt>
                <c:pt idx="273">
                  <c:v>0.85</c:v>
                </c:pt>
                <c:pt idx="274">
                  <c:v>0.85</c:v>
                </c:pt>
                <c:pt idx="275">
                  <c:v>0.85</c:v>
                </c:pt>
                <c:pt idx="276">
                  <c:v>0.85</c:v>
                </c:pt>
                <c:pt idx="277">
                  <c:v>0.85</c:v>
                </c:pt>
                <c:pt idx="278">
                  <c:v>0.85</c:v>
                </c:pt>
                <c:pt idx="279">
                  <c:v>0.85</c:v>
                </c:pt>
                <c:pt idx="280">
                  <c:v>0.85</c:v>
                </c:pt>
                <c:pt idx="281">
                  <c:v>0.85</c:v>
                </c:pt>
                <c:pt idx="282">
                  <c:v>0.85</c:v>
                </c:pt>
                <c:pt idx="283">
                  <c:v>0.85</c:v>
                </c:pt>
                <c:pt idx="284">
                  <c:v>0.85</c:v>
                </c:pt>
                <c:pt idx="285">
                  <c:v>0.85</c:v>
                </c:pt>
                <c:pt idx="286">
                  <c:v>0.85</c:v>
                </c:pt>
                <c:pt idx="287">
                  <c:v>0.85</c:v>
                </c:pt>
                <c:pt idx="288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F-4B47-A293-69FAF5077973}"/>
            </c:ext>
          </c:extLst>
        </c:ser>
        <c:ser>
          <c:idx val="3"/>
          <c:order val="1"/>
          <c:tx>
            <c:strRef>
              <c:f>'Exempt Graph Data All'!$E$3</c:f>
              <c:strCache>
                <c:ptCount val="1"/>
                <c:pt idx="0">
                  <c:v>Market Competitive Range</c:v>
                </c:pt>
              </c:strCache>
            </c:strRef>
          </c:tx>
          <c:spPr>
            <a:pattFill prst="pct20">
              <a:fgClr>
                <a:srgbClr val="00B050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strRef>
              <c:f>'Exempt Graph Data All'!$A$4:$A$292</c:f>
              <c:strCache>
                <c:ptCount val="289"/>
                <c:pt idx="0">
                  <c:v>SVC_E111</c:v>
                </c:pt>
                <c:pt idx="1">
                  <c:v>SVC_E138</c:v>
                </c:pt>
                <c:pt idx="2">
                  <c:v>SVC_E62</c:v>
                </c:pt>
                <c:pt idx="3">
                  <c:v>AEP Texas_EX6</c:v>
                </c:pt>
                <c:pt idx="4">
                  <c:v>SVC_E109</c:v>
                </c:pt>
                <c:pt idx="5">
                  <c:v>SVC_E15</c:v>
                </c:pt>
                <c:pt idx="6">
                  <c:v>AEP Texas_EX30</c:v>
                </c:pt>
                <c:pt idx="7">
                  <c:v>SVC_E14</c:v>
                </c:pt>
                <c:pt idx="8">
                  <c:v>SVC_E146</c:v>
                </c:pt>
                <c:pt idx="9">
                  <c:v>SVC_E124</c:v>
                </c:pt>
                <c:pt idx="10">
                  <c:v>SVC_E55</c:v>
                </c:pt>
                <c:pt idx="11">
                  <c:v>SVC_E154</c:v>
                </c:pt>
                <c:pt idx="12">
                  <c:v>SVC_E121</c:v>
                </c:pt>
                <c:pt idx="13">
                  <c:v>SVC_E93</c:v>
                </c:pt>
                <c:pt idx="14">
                  <c:v>SVC_E151</c:v>
                </c:pt>
                <c:pt idx="15">
                  <c:v>SVC_E17</c:v>
                </c:pt>
                <c:pt idx="16">
                  <c:v>SVC_E130</c:v>
                </c:pt>
                <c:pt idx="17">
                  <c:v>SVC_E143</c:v>
                </c:pt>
                <c:pt idx="18">
                  <c:v>SVC_E84</c:v>
                </c:pt>
                <c:pt idx="19">
                  <c:v>SVC_E117</c:v>
                </c:pt>
                <c:pt idx="20">
                  <c:v>SVC_E187</c:v>
                </c:pt>
                <c:pt idx="21">
                  <c:v>SVC_E68</c:v>
                </c:pt>
                <c:pt idx="22">
                  <c:v>SVC_E110</c:v>
                </c:pt>
                <c:pt idx="23">
                  <c:v>AEP Texas_EX52</c:v>
                </c:pt>
                <c:pt idx="24">
                  <c:v>SVC_E189</c:v>
                </c:pt>
                <c:pt idx="25">
                  <c:v>SVC_E11</c:v>
                </c:pt>
                <c:pt idx="26">
                  <c:v>SVC_E191</c:v>
                </c:pt>
                <c:pt idx="27">
                  <c:v>AEP Texas_EX50</c:v>
                </c:pt>
                <c:pt idx="28">
                  <c:v>SVC_E162</c:v>
                </c:pt>
                <c:pt idx="29">
                  <c:v>SVC_E112</c:v>
                </c:pt>
                <c:pt idx="30">
                  <c:v>SVC_E173</c:v>
                </c:pt>
                <c:pt idx="31">
                  <c:v>AEP Texas_EX51</c:v>
                </c:pt>
                <c:pt idx="32">
                  <c:v>AEP Texas_EX45</c:v>
                </c:pt>
                <c:pt idx="33">
                  <c:v>SVC_E18</c:v>
                </c:pt>
                <c:pt idx="34">
                  <c:v>SVC_E82</c:v>
                </c:pt>
                <c:pt idx="35">
                  <c:v>SVC_E172</c:v>
                </c:pt>
                <c:pt idx="36">
                  <c:v>SVC_E226</c:v>
                </c:pt>
                <c:pt idx="37">
                  <c:v>SVC_E39</c:v>
                </c:pt>
                <c:pt idx="38">
                  <c:v>SVC_E142</c:v>
                </c:pt>
                <c:pt idx="39">
                  <c:v>SVC_E176</c:v>
                </c:pt>
                <c:pt idx="40">
                  <c:v>SVC_E44</c:v>
                </c:pt>
                <c:pt idx="41">
                  <c:v>SVC_E139</c:v>
                </c:pt>
                <c:pt idx="42">
                  <c:v>SVC_E50</c:v>
                </c:pt>
                <c:pt idx="43">
                  <c:v>SVC_E127</c:v>
                </c:pt>
                <c:pt idx="44">
                  <c:v>SVC_E3</c:v>
                </c:pt>
                <c:pt idx="45">
                  <c:v>SVC_E7</c:v>
                </c:pt>
                <c:pt idx="46">
                  <c:v>SVC_E79</c:v>
                </c:pt>
                <c:pt idx="47">
                  <c:v>SVC_E22</c:v>
                </c:pt>
                <c:pt idx="48">
                  <c:v>SVC_E153</c:v>
                </c:pt>
                <c:pt idx="49">
                  <c:v>SVC_E40</c:v>
                </c:pt>
                <c:pt idx="50">
                  <c:v>SVC_E188</c:v>
                </c:pt>
                <c:pt idx="51">
                  <c:v>SVC_E126</c:v>
                </c:pt>
                <c:pt idx="52">
                  <c:v>SVC_E212</c:v>
                </c:pt>
                <c:pt idx="53">
                  <c:v>AEP Texas_EX49</c:v>
                </c:pt>
                <c:pt idx="54">
                  <c:v>SVC_E28</c:v>
                </c:pt>
                <c:pt idx="55">
                  <c:v>SVC_E161</c:v>
                </c:pt>
                <c:pt idx="56">
                  <c:v>SVC_E71</c:v>
                </c:pt>
                <c:pt idx="57">
                  <c:v>SVC_E175</c:v>
                </c:pt>
                <c:pt idx="58">
                  <c:v>SVC_E2</c:v>
                </c:pt>
                <c:pt idx="59">
                  <c:v>SVC_E6</c:v>
                </c:pt>
                <c:pt idx="60">
                  <c:v>SVC_E64</c:v>
                </c:pt>
                <c:pt idx="61">
                  <c:v>SVC_E186</c:v>
                </c:pt>
                <c:pt idx="62">
                  <c:v>SVC_E144</c:v>
                </c:pt>
                <c:pt idx="63">
                  <c:v>SVC_E170</c:v>
                </c:pt>
                <c:pt idx="64">
                  <c:v>AEP Texas_EX60</c:v>
                </c:pt>
                <c:pt idx="65">
                  <c:v>SVC_E41</c:v>
                </c:pt>
                <c:pt idx="66">
                  <c:v>SVC_E8</c:v>
                </c:pt>
                <c:pt idx="67">
                  <c:v>SVC_E20</c:v>
                </c:pt>
                <c:pt idx="68">
                  <c:v>AEP Texas_EX16</c:v>
                </c:pt>
                <c:pt idx="69">
                  <c:v>SVC_E114</c:v>
                </c:pt>
                <c:pt idx="70">
                  <c:v>SVC_E160</c:v>
                </c:pt>
                <c:pt idx="71">
                  <c:v>SVC_E87</c:v>
                </c:pt>
                <c:pt idx="72">
                  <c:v>SVC_E92</c:v>
                </c:pt>
                <c:pt idx="73">
                  <c:v>SVC_E132</c:v>
                </c:pt>
                <c:pt idx="74">
                  <c:v>AEP Texas_EX57</c:v>
                </c:pt>
                <c:pt idx="75">
                  <c:v>SVC_E128</c:v>
                </c:pt>
                <c:pt idx="76">
                  <c:v>SVC_E24</c:v>
                </c:pt>
                <c:pt idx="77">
                  <c:v>AEP Texas_EX43</c:v>
                </c:pt>
                <c:pt idx="78">
                  <c:v>AEP Texas_EX62</c:v>
                </c:pt>
                <c:pt idx="79">
                  <c:v>AEP Texas_EX47</c:v>
                </c:pt>
                <c:pt idx="80">
                  <c:v>SVC_E19</c:v>
                </c:pt>
                <c:pt idx="81">
                  <c:v>SVC_E195</c:v>
                </c:pt>
                <c:pt idx="82">
                  <c:v>SVC_E116</c:v>
                </c:pt>
                <c:pt idx="83">
                  <c:v>SVC_E158</c:v>
                </c:pt>
                <c:pt idx="84">
                  <c:v>SVC_E222</c:v>
                </c:pt>
                <c:pt idx="85">
                  <c:v>AEP Texas_EX53</c:v>
                </c:pt>
                <c:pt idx="86">
                  <c:v>SVC_E59</c:v>
                </c:pt>
                <c:pt idx="87">
                  <c:v>SVC_E30</c:v>
                </c:pt>
                <c:pt idx="88">
                  <c:v>SVC_E85</c:v>
                </c:pt>
                <c:pt idx="89">
                  <c:v>AEP Texas_EX8</c:v>
                </c:pt>
                <c:pt idx="90">
                  <c:v>SVC_E122</c:v>
                </c:pt>
                <c:pt idx="91">
                  <c:v>SVC_E210</c:v>
                </c:pt>
                <c:pt idx="92">
                  <c:v>SVC_E56</c:v>
                </c:pt>
                <c:pt idx="93">
                  <c:v>SVC_E29</c:v>
                </c:pt>
                <c:pt idx="94">
                  <c:v>SVC_E104</c:v>
                </c:pt>
                <c:pt idx="95">
                  <c:v>AEP Texas_EX48</c:v>
                </c:pt>
                <c:pt idx="96">
                  <c:v>SVC_E163</c:v>
                </c:pt>
                <c:pt idx="97">
                  <c:v>SVC_E31</c:v>
                </c:pt>
                <c:pt idx="98">
                  <c:v>SVC_E224</c:v>
                </c:pt>
                <c:pt idx="99">
                  <c:v>SVC_E140</c:v>
                </c:pt>
                <c:pt idx="100">
                  <c:v>SVC_E16</c:v>
                </c:pt>
                <c:pt idx="101">
                  <c:v>SVC_E67</c:v>
                </c:pt>
                <c:pt idx="102">
                  <c:v>SVC_E26</c:v>
                </c:pt>
                <c:pt idx="103">
                  <c:v>AEP Texas_EX28</c:v>
                </c:pt>
                <c:pt idx="104">
                  <c:v>SVC_E21</c:v>
                </c:pt>
                <c:pt idx="105">
                  <c:v>SVC_E152</c:v>
                </c:pt>
                <c:pt idx="106">
                  <c:v>SVC_E205</c:v>
                </c:pt>
                <c:pt idx="107">
                  <c:v>AEP Texas_EX32</c:v>
                </c:pt>
                <c:pt idx="108">
                  <c:v>SVC_E63</c:v>
                </c:pt>
                <c:pt idx="109">
                  <c:v>SVC_E129</c:v>
                </c:pt>
                <c:pt idx="110">
                  <c:v>AEP Texas_EX35</c:v>
                </c:pt>
                <c:pt idx="111">
                  <c:v>SVC_E81</c:v>
                </c:pt>
                <c:pt idx="112">
                  <c:v>SVC_E53</c:v>
                </c:pt>
                <c:pt idx="113">
                  <c:v>SVC_E23</c:v>
                </c:pt>
                <c:pt idx="114">
                  <c:v>SVC_E1</c:v>
                </c:pt>
                <c:pt idx="115">
                  <c:v>AEP Texas_EX31</c:v>
                </c:pt>
                <c:pt idx="116">
                  <c:v>SVC_E179</c:v>
                </c:pt>
                <c:pt idx="117">
                  <c:v>SVC_E108</c:v>
                </c:pt>
                <c:pt idx="118">
                  <c:v>SVC_E101</c:v>
                </c:pt>
                <c:pt idx="119">
                  <c:v>SVC_E76</c:v>
                </c:pt>
                <c:pt idx="120">
                  <c:v>SVC_E73</c:v>
                </c:pt>
                <c:pt idx="121">
                  <c:v>SVC_E216</c:v>
                </c:pt>
                <c:pt idx="122">
                  <c:v>SVC_E107</c:v>
                </c:pt>
                <c:pt idx="123">
                  <c:v>SVC_E141</c:v>
                </c:pt>
                <c:pt idx="124">
                  <c:v>SVC_E10</c:v>
                </c:pt>
                <c:pt idx="125">
                  <c:v>SVC_E4</c:v>
                </c:pt>
                <c:pt idx="126">
                  <c:v>SVC_E120</c:v>
                </c:pt>
                <c:pt idx="127">
                  <c:v>SVC_E78</c:v>
                </c:pt>
                <c:pt idx="128">
                  <c:v>AEP Texas_EX34</c:v>
                </c:pt>
                <c:pt idx="129">
                  <c:v>SVC_E156</c:v>
                </c:pt>
                <c:pt idx="130">
                  <c:v>SVC_E98</c:v>
                </c:pt>
                <c:pt idx="131">
                  <c:v>SVC_E123</c:v>
                </c:pt>
                <c:pt idx="132">
                  <c:v>SVC_E209</c:v>
                </c:pt>
                <c:pt idx="133">
                  <c:v>AEP Texas_EX42</c:v>
                </c:pt>
                <c:pt idx="134">
                  <c:v>AEP Texas_EX7</c:v>
                </c:pt>
                <c:pt idx="135">
                  <c:v>SVC_E5</c:v>
                </c:pt>
                <c:pt idx="136">
                  <c:v>AEP Texas_EX46</c:v>
                </c:pt>
                <c:pt idx="137">
                  <c:v>AEP Texas_EX18</c:v>
                </c:pt>
                <c:pt idx="138">
                  <c:v>SVC_E182</c:v>
                </c:pt>
                <c:pt idx="139">
                  <c:v>SVC_E125</c:v>
                </c:pt>
                <c:pt idx="140">
                  <c:v>SVC_E221</c:v>
                </c:pt>
                <c:pt idx="141">
                  <c:v>SVC_E149</c:v>
                </c:pt>
                <c:pt idx="142">
                  <c:v>SVC_E72</c:v>
                </c:pt>
                <c:pt idx="143">
                  <c:v>SVC_E174</c:v>
                </c:pt>
                <c:pt idx="144">
                  <c:v>SVC_E215</c:v>
                </c:pt>
                <c:pt idx="145">
                  <c:v>SVC_E105</c:v>
                </c:pt>
                <c:pt idx="146">
                  <c:v>SVC_E77</c:v>
                </c:pt>
                <c:pt idx="147">
                  <c:v>AEP Texas_EX58</c:v>
                </c:pt>
                <c:pt idx="148">
                  <c:v>SVC_E217</c:v>
                </c:pt>
                <c:pt idx="149">
                  <c:v>SVC_E159</c:v>
                </c:pt>
                <c:pt idx="150">
                  <c:v>AEP Texas_EX4</c:v>
                </c:pt>
                <c:pt idx="151">
                  <c:v>SVC_E183</c:v>
                </c:pt>
                <c:pt idx="152">
                  <c:v>SVC_E90</c:v>
                </c:pt>
                <c:pt idx="153">
                  <c:v>SVC_E9</c:v>
                </c:pt>
                <c:pt idx="154">
                  <c:v>SVC_E75</c:v>
                </c:pt>
                <c:pt idx="155">
                  <c:v>SVC_E147</c:v>
                </c:pt>
                <c:pt idx="156">
                  <c:v>SVC_E52</c:v>
                </c:pt>
                <c:pt idx="157">
                  <c:v>SVC_E89</c:v>
                </c:pt>
                <c:pt idx="158">
                  <c:v>SVC_E135</c:v>
                </c:pt>
                <c:pt idx="159">
                  <c:v>SVC_E115</c:v>
                </c:pt>
                <c:pt idx="160">
                  <c:v>SVC_E47</c:v>
                </c:pt>
                <c:pt idx="161">
                  <c:v>SVC_E168</c:v>
                </c:pt>
                <c:pt idx="162">
                  <c:v>SVC_E91</c:v>
                </c:pt>
                <c:pt idx="163">
                  <c:v>SVC_E220</c:v>
                </c:pt>
                <c:pt idx="164">
                  <c:v>SVC_E177</c:v>
                </c:pt>
                <c:pt idx="165">
                  <c:v>AEP Texas_EX2</c:v>
                </c:pt>
                <c:pt idx="166">
                  <c:v>SVC_E65</c:v>
                </c:pt>
                <c:pt idx="167">
                  <c:v>SVC_E190</c:v>
                </c:pt>
                <c:pt idx="168">
                  <c:v>AEP Texas_EX20</c:v>
                </c:pt>
                <c:pt idx="169">
                  <c:v>SVC_E61</c:v>
                </c:pt>
                <c:pt idx="170">
                  <c:v>SVC_E200</c:v>
                </c:pt>
                <c:pt idx="171">
                  <c:v>SVC_E103</c:v>
                </c:pt>
                <c:pt idx="172">
                  <c:v>SVC_E88</c:v>
                </c:pt>
                <c:pt idx="173">
                  <c:v>SVC_E218</c:v>
                </c:pt>
                <c:pt idx="174">
                  <c:v>SVC_E60</c:v>
                </c:pt>
                <c:pt idx="175">
                  <c:v>AEP Texas_EX23</c:v>
                </c:pt>
                <c:pt idx="176">
                  <c:v>SVC_E74</c:v>
                </c:pt>
                <c:pt idx="177">
                  <c:v>SVC_E136</c:v>
                </c:pt>
                <c:pt idx="178">
                  <c:v>SVC_E211</c:v>
                </c:pt>
                <c:pt idx="179">
                  <c:v>SVC_E198</c:v>
                </c:pt>
                <c:pt idx="180">
                  <c:v>SVC_E184</c:v>
                </c:pt>
                <c:pt idx="181">
                  <c:v>SVC_E118</c:v>
                </c:pt>
                <c:pt idx="182">
                  <c:v>SVC_E202</c:v>
                </c:pt>
                <c:pt idx="183">
                  <c:v>AEP Texas_EX9</c:v>
                </c:pt>
                <c:pt idx="184">
                  <c:v>SVC_E102</c:v>
                </c:pt>
                <c:pt idx="185">
                  <c:v>AEP Texas_EX56</c:v>
                </c:pt>
                <c:pt idx="186">
                  <c:v>SVC_E80</c:v>
                </c:pt>
                <c:pt idx="187">
                  <c:v>SVC_E199</c:v>
                </c:pt>
                <c:pt idx="188">
                  <c:v>SVC_E96</c:v>
                </c:pt>
                <c:pt idx="189">
                  <c:v>SVC_E99</c:v>
                </c:pt>
                <c:pt idx="190">
                  <c:v>SVC_E208</c:v>
                </c:pt>
                <c:pt idx="191">
                  <c:v>AEP Texas_EX3</c:v>
                </c:pt>
                <c:pt idx="192">
                  <c:v>SVC_E164</c:v>
                </c:pt>
                <c:pt idx="193">
                  <c:v>AEP Texas_EX26</c:v>
                </c:pt>
                <c:pt idx="194">
                  <c:v>SVC_E192</c:v>
                </c:pt>
                <c:pt idx="195">
                  <c:v>SVC_E137</c:v>
                </c:pt>
                <c:pt idx="196">
                  <c:v>SVC_E185</c:v>
                </c:pt>
                <c:pt idx="197">
                  <c:v>SVC_E106</c:v>
                </c:pt>
                <c:pt idx="198">
                  <c:v>SVC_E180</c:v>
                </c:pt>
                <c:pt idx="199">
                  <c:v>AEP Texas_EX12</c:v>
                </c:pt>
                <c:pt idx="200">
                  <c:v>SVC_E133</c:v>
                </c:pt>
                <c:pt idx="201">
                  <c:v>SVC_E119</c:v>
                </c:pt>
                <c:pt idx="202">
                  <c:v>SVC_E206</c:v>
                </c:pt>
                <c:pt idx="203">
                  <c:v>SVC_E86</c:v>
                </c:pt>
                <c:pt idx="204">
                  <c:v>SVC_E207</c:v>
                </c:pt>
                <c:pt idx="205">
                  <c:v>SVC_E171</c:v>
                </c:pt>
                <c:pt idx="206">
                  <c:v>SVC_E219</c:v>
                </c:pt>
                <c:pt idx="207">
                  <c:v>SVC_E54</c:v>
                </c:pt>
                <c:pt idx="208">
                  <c:v>SVC_E167</c:v>
                </c:pt>
                <c:pt idx="209">
                  <c:v>AEP Texas_EX11</c:v>
                </c:pt>
                <c:pt idx="210">
                  <c:v>SVC_E196</c:v>
                </c:pt>
                <c:pt idx="211">
                  <c:v>SVC_E13</c:v>
                </c:pt>
                <c:pt idx="212">
                  <c:v>SVC_E94</c:v>
                </c:pt>
                <c:pt idx="213">
                  <c:v>SVC_E169</c:v>
                </c:pt>
                <c:pt idx="214">
                  <c:v>SVC_E197</c:v>
                </c:pt>
                <c:pt idx="215">
                  <c:v>SVC_E12</c:v>
                </c:pt>
                <c:pt idx="216">
                  <c:v>AEP Texas_EX41</c:v>
                </c:pt>
                <c:pt idx="217">
                  <c:v>AEP Texas_EX61</c:v>
                </c:pt>
                <c:pt idx="218">
                  <c:v>AEP Texas_EX44</c:v>
                </c:pt>
                <c:pt idx="219">
                  <c:v>SVC_E155</c:v>
                </c:pt>
                <c:pt idx="220">
                  <c:v>AEP Texas_EX19</c:v>
                </c:pt>
                <c:pt idx="221">
                  <c:v>AEP Texas_EX29</c:v>
                </c:pt>
                <c:pt idx="222">
                  <c:v>SVC_E95</c:v>
                </c:pt>
                <c:pt idx="223">
                  <c:v>AEP Texas_EX17</c:v>
                </c:pt>
                <c:pt idx="224">
                  <c:v>SVC_E48</c:v>
                </c:pt>
                <c:pt idx="225">
                  <c:v>SVC_E131 (5)</c:v>
                </c:pt>
                <c:pt idx="226">
                  <c:v>SVC_E225</c:v>
                </c:pt>
                <c:pt idx="227">
                  <c:v>AEP Texas_EX5</c:v>
                </c:pt>
                <c:pt idx="228">
                  <c:v>SVC_E97</c:v>
                </c:pt>
                <c:pt idx="229">
                  <c:v>SVC_E27</c:v>
                </c:pt>
                <c:pt idx="230">
                  <c:v>SVC_E165</c:v>
                </c:pt>
                <c:pt idx="231">
                  <c:v>SVC_E150</c:v>
                </c:pt>
                <c:pt idx="232">
                  <c:v>SVC_E178</c:v>
                </c:pt>
                <c:pt idx="233">
                  <c:v>AEP Texas_EX1</c:v>
                </c:pt>
                <c:pt idx="234">
                  <c:v>SVC_E194</c:v>
                </c:pt>
                <c:pt idx="235">
                  <c:v>SVC_E70</c:v>
                </c:pt>
                <c:pt idx="236">
                  <c:v>SVC_E166</c:v>
                </c:pt>
                <c:pt idx="237">
                  <c:v>AEP Texas_EX25</c:v>
                </c:pt>
                <c:pt idx="238">
                  <c:v>AEP Texas_EX22</c:v>
                </c:pt>
                <c:pt idx="239">
                  <c:v>AEP Texas_EX39</c:v>
                </c:pt>
                <c:pt idx="240">
                  <c:v>AEP Texas_EX14</c:v>
                </c:pt>
                <c:pt idx="241">
                  <c:v>SVC_E203</c:v>
                </c:pt>
                <c:pt idx="242">
                  <c:v>SVC_E213</c:v>
                </c:pt>
                <c:pt idx="243">
                  <c:v>SVC_E37</c:v>
                </c:pt>
                <c:pt idx="244">
                  <c:v>SVC_E214</c:v>
                </c:pt>
                <c:pt idx="245">
                  <c:v>SVC_E204</c:v>
                </c:pt>
                <c:pt idx="246">
                  <c:v>SVC_E201</c:v>
                </c:pt>
                <c:pt idx="247">
                  <c:v>SVC_E193</c:v>
                </c:pt>
                <c:pt idx="248">
                  <c:v>SVC_E32</c:v>
                </c:pt>
                <c:pt idx="249">
                  <c:v>SVC_E66</c:v>
                </c:pt>
                <c:pt idx="250">
                  <c:v>SVC_E145</c:v>
                </c:pt>
                <c:pt idx="251">
                  <c:v>SVC_E83</c:v>
                </c:pt>
                <c:pt idx="252">
                  <c:v>AEP Texas_EX33</c:v>
                </c:pt>
                <c:pt idx="253">
                  <c:v>AEP Texas_EX55</c:v>
                </c:pt>
                <c:pt idx="254">
                  <c:v>AEP Texas_EX40</c:v>
                </c:pt>
                <c:pt idx="255">
                  <c:v>AEP Texas_EX54</c:v>
                </c:pt>
                <c:pt idx="256">
                  <c:v>AEP Texas_EX21</c:v>
                </c:pt>
                <c:pt idx="257">
                  <c:v>AEP Texas_EX24</c:v>
                </c:pt>
                <c:pt idx="258">
                  <c:v>SVC_E51</c:v>
                </c:pt>
                <c:pt idx="259">
                  <c:v>SVC_E148</c:v>
                </c:pt>
                <c:pt idx="260">
                  <c:v>SVC_E134</c:v>
                </c:pt>
                <c:pt idx="261">
                  <c:v>SVC_E100</c:v>
                </c:pt>
                <c:pt idx="262">
                  <c:v>SVC_E49</c:v>
                </c:pt>
                <c:pt idx="263">
                  <c:v>SVC_E58</c:v>
                </c:pt>
                <c:pt idx="264">
                  <c:v>SVC_E25</c:v>
                </c:pt>
                <c:pt idx="265">
                  <c:v>SVC_E113</c:v>
                </c:pt>
                <c:pt idx="266">
                  <c:v>SVC_E69</c:v>
                </c:pt>
                <c:pt idx="267">
                  <c:v>AEP Texas_EX10</c:v>
                </c:pt>
                <c:pt idx="268">
                  <c:v>SVC_E33</c:v>
                </c:pt>
                <c:pt idx="269">
                  <c:v>AEP Texas_EX13</c:v>
                </c:pt>
                <c:pt idx="270">
                  <c:v>SVC_E38</c:v>
                </c:pt>
                <c:pt idx="271">
                  <c:v>SVC_E57</c:v>
                </c:pt>
                <c:pt idx="272">
                  <c:v>AEP Texas_EX59</c:v>
                </c:pt>
                <c:pt idx="273">
                  <c:v>AEP Texas_EX37</c:v>
                </c:pt>
                <c:pt idx="274">
                  <c:v>AEP Texas_EX36</c:v>
                </c:pt>
                <c:pt idx="275">
                  <c:v>SVC_E42</c:v>
                </c:pt>
                <c:pt idx="276">
                  <c:v>SVC_E223</c:v>
                </c:pt>
                <c:pt idx="277">
                  <c:v>SVC_E35</c:v>
                </c:pt>
                <c:pt idx="278">
                  <c:v>SVC_E157</c:v>
                </c:pt>
                <c:pt idx="279">
                  <c:v>SVC_E46</c:v>
                </c:pt>
                <c:pt idx="280">
                  <c:v>SVC_E45</c:v>
                </c:pt>
                <c:pt idx="281">
                  <c:v>SVC_E34</c:v>
                </c:pt>
                <c:pt idx="282">
                  <c:v>AEP Texas_EX27</c:v>
                </c:pt>
                <c:pt idx="283">
                  <c:v>AEP Texas_EX38</c:v>
                </c:pt>
                <c:pt idx="284">
                  <c:v>SVC_E36</c:v>
                </c:pt>
                <c:pt idx="285">
                  <c:v>SVC_E227</c:v>
                </c:pt>
                <c:pt idx="286">
                  <c:v>SVC_E43</c:v>
                </c:pt>
                <c:pt idx="287">
                  <c:v>SVC_E181</c:v>
                </c:pt>
                <c:pt idx="288">
                  <c:v>AEP Texas_EX15</c:v>
                </c:pt>
              </c:strCache>
            </c:strRef>
          </c:cat>
          <c:val>
            <c:numRef>
              <c:f>'Exempt Graph Data All'!$E$4:$E$292</c:f>
              <c:numCache>
                <c:formatCode>0.0%</c:formatCode>
                <c:ptCount val="289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CF-4B47-A293-69FAF5077973}"/>
            </c:ext>
          </c:extLst>
        </c:ser>
        <c:ser>
          <c:idx val="4"/>
          <c:order val="3"/>
          <c:tx>
            <c:strRef>
              <c:f>'Exempt Graph Data All'!$F$3</c:f>
              <c:strCache>
                <c:ptCount val="1"/>
                <c:pt idx="0">
                  <c:v>Market Max</c:v>
                </c:pt>
              </c:strCache>
            </c:strRef>
          </c:tx>
          <c:spPr>
            <a:pattFill prst="pct5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  <a:scene3d>
              <a:camera prst="orthographicFront"/>
              <a:lightRig rig="threePt" dir="t"/>
            </a:scene3d>
            <a:sp3d/>
          </c:spPr>
          <c:cat>
            <c:strRef>
              <c:f>'Exempt Graph Data All'!$A$4:$A$292</c:f>
              <c:strCache>
                <c:ptCount val="289"/>
                <c:pt idx="0">
                  <c:v>SVC_E111</c:v>
                </c:pt>
                <c:pt idx="1">
                  <c:v>SVC_E138</c:v>
                </c:pt>
                <c:pt idx="2">
                  <c:v>SVC_E62</c:v>
                </c:pt>
                <c:pt idx="3">
                  <c:v>AEP Texas_EX6</c:v>
                </c:pt>
                <c:pt idx="4">
                  <c:v>SVC_E109</c:v>
                </c:pt>
                <c:pt idx="5">
                  <c:v>SVC_E15</c:v>
                </c:pt>
                <c:pt idx="6">
                  <c:v>AEP Texas_EX30</c:v>
                </c:pt>
                <c:pt idx="7">
                  <c:v>SVC_E14</c:v>
                </c:pt>
                <c:pt idx="8">
                  <c:v>SVC_E146</c:v>
                </c:pt>
                <c:pt idx="9">
                  <c:v>SVC_E124</c:v>
                </c:pt>
                <c:pt idx="10">
                  <c:v>SVC_E55</c:v>
                </c:pt>
                <c:pt idx="11">
                  <c:v>SVC_E154</c:v>
                </c:pt>
                <c:pt idx="12">
                  <c:v>SVC_E121</c:v>
                </c:pt>
                <c:pt idx="13">
                  <c:v>SVC_E93</c:v>
                </c:pt>
                <c:pt idx="14">
                  <c:v>SVC_E151</c:v>
                </c:pt>
                <c:pt idx="15">
                  <c:v>SVC_E17</c:v>
                </c:pt>
                <c:pt idx="16">
                  <c:v>SVC_E130</c:v>
                </c:pt>
                <c:pt idx="17">
                  <c:v>SVC_E143</c:v>
                </c:pt>
                <c:pt idx="18">
                  <c:v>SVC_E84</c:v>
                </c:pt>
                <c:pt idx="19">
                  <c:v>SVC_E117</c:v>
                </c:pt>
                <c:pt idx="20">
                  <c:v>SVC_E187</c:v>
                </c:pt>
                <c:pt idx="21">
                  <c:v>SVC_E68</c:v>
                </c:pt>
                <c:pt idx="22">
                  <c:v>SVC_E110</c:v>
                </c:pt>
                <c:pt idx="23">
                  <c:v>AEP Texas_EX52</c:v>
                </c:pt>
                <c:pt idx="24">
                  <c:v>SVC_E189</c:v>
                </c:pt>
                <c:pt idx="25">
                  <c:v>SVC_E11</c:v>
                </c:pt>
                <c:pt idx="26">
                  <c:v>SVC_E191</c:v>
                </c:pt>
                <c:pt idx="27">
                  <c:v>AEP Texas_EX50</c:v>
                </c:pt>
                <c:pt idx="28">
                  <c:v>SVC_E162</c:v>
                </c:pt>
                <c:pt idx="29">
                  <c:v>SVC_E112</c:v>
                </c:pt>
                <c:pt idx="30">
                  <c:v>SVC_E173</c:v>
                </c:pt>
                <c:pt idx="31">
                  <c:v>AEP Texas_EX51</c:v>
                </c:pt>
                <c:pt idx="32">
                  <c:v>AEP Texas_EX45</c:v>
                </c:pt>
                <c:pt idx="33">
                  <c:v>SVC_E18</c:v>
                </c:pt>
                <c:pt idx="34">
                  <c:v>SVC_E82</c:v>
                </c:pt>
                <c:pt idx="35">
                  <c:v>SVC_E172</c:v>
                </c:pt>
                <c:pt idx="36">
                  <c:v>SVC_E226</c:v>
                </c:pt>
                <c:pt idx="37">
                  <c:v>SVC_E39</c:v>
                </c:pt>
                <c:pt idx="38">
                  <c:v>SVC_E142</c:v>
                </c:pt>
                <c:pt idx="39">
                  <c:v>SVC_E176</c:v>
                </c:pt>
                <c:pt idx="40">
                  <c:v>SVC_E44</c:v>
                </c:pt>
                <c:pt idx="41">
                  <c:v>SVC_E139</c:v>
                </c:pt>
                <c:pt idx="42">
                  <c:v>SVC_E50</c:v>
                </c:pt>
                <c:pt idx="43">
                  <c:v>SVC_E127</c:v>
                </c:pt>
                <c:pt idx="44">
                  <c:v>SVC_E3</c:v>
                </c:pt>
                <c:pt idx="45">
                  <c:v>SVC_E7</c:v>
                </c:pt>
                <c:pt idx="46">
                  <c:v>SVC_E79</c:v>
                </c:pt>
                <c:pt idx="47">
                  <c:v>SVC_E22</c:v>
                </c:pt>
                <c:pt idx="48">
                  <c:v>SVC_E153</c:v>
                </c:pt>
                <c:pt idx="49">
                  <c:v>SVC_E40</c:v>
                </c:pt>
                <c:pt idx="50">
                  <c:v>SVC_E188</c:v>
                </c:pt>
                <c:pt idx="51">
                  <c:v>SVC_E126</c:v>
                </c:pt>
                <c:pt idx="52">
                  <c:v>SVC_E212</c:v>
                </c:pt>
                <c:pt idx="53">
                  <c:v>AEP Texas_EX49</c:v>
                </c:pt>
                <c:pt idx="54">
                  <c:v>SVC_E28</c:v>
                </c:pt>
                <c:pt idx="55">
                  <c:v>SVC_E161</c:v>
                </c:pt>
                <c:pt idx="56">
                  <c:v>SVC_E71</c:v>
                </c:pt>
                <c:pt idx="57">
                  <c:v>SVC_E175</c:v>
                </c:pt>
                <c:pt idx="58">
                  <c:v>SVC_E2</c:v>
                </c:pt>
                <c:pt idx="59">
                  <c:v>SVC_E6</c:v>
                </c:pt>
                <c:pt idx="60">
                  <c:v>SVC_E64</c:v>
                </c:pt>
                <c:pt idx="61">
                  <c:v>SVC_E186</c:v>
                </c:pt>
                <c:pt idx="62">
                  <c:v>SVC_E144</c:v>
                </c:pt>
                <c:pt idx="63">
                  <c:v>SVC_E170</c:v>
                </c:pt>
                <c:pt idx="64">
                  <c:v>AEP Texas_EX60</c:v>
                </c:pt>
                <c:pt idx="65">
                  <c:v>SVC_E41</c:v>
                </c:pt>
                <c:pt idx="66">
                  <c:v>SVC_E8</c:v>
                </c:pt>
                <c:pt idx="67">
                  <c:v>SVC_E20</c:v>
                </c:pt>
                <c:pt idx="68">
                  <c:v>AEP Texas_EX16</c:v>
                </c:pt>
                <c:pt idx="69">
                  <c:v>SVC_E114</c:v>
                </c:pt>
                <c:pt idx="70">
                  <c:v>SVC_E160</c:v>
                </c:pt>
                <c:pt idx="71">
                  <c:v>SVC_E87</c:v>
                </c:pt>
                <c:pt idx="72">
                  <c:v>SVC_E92</c:v>
                </c:pt>
                <c:pt idx="73">
                  <c:v>SVC_E132</c:v>
                </c:pt>
                <c:pt idx="74">
                  <c:v>AEP Texas_EX57</c:v>
                </c:pt>
                <c:pt idx="75">
                  <c:v>SVC_E128</c:v>
                </c:pt>
                <c:pt idx="76">
                  <c:v>SVC_E24</c:v>
                </c:pt>
                <c:pt idx="77">
                  <c:v>AEP Texas_EX43</c:v>
                </c:pt>
                <c:pt idx="78">
                  <c:v>AEP Texas_EX62</c:v>
                </c:pt>
                <c:pt idx="79">
                  <c:v>AEP Texas_EX47</c:v>
                </c:pt>
                <c:pt idx="80">
                  <c:v>SVC_E19</c:v>
                </c:pt>
                <c:pt idx="81">
                  <c:v>SVC_E195</c:v>
                </c:pt>
                <c:pt idx="82">
                  <c:v>SVC_E116</c:v>
                </c:pt>
                <c:pt idx="83">
                  <c:v>SVC_E158</c:v>
                </c:pt>
                <c:pt idx="84">
                  <c:v>SVC_E222</c:v>
                </c:pt>
                <c:pt idx="85">
                  <c:v>AEP Texas_EX53</c:v>
                </c:pt>
                <c:pt idx="86">
                  <c:v>SVC_E59</c:v>
                </c:pt>
                <c:pt idx="87">
                  <c:v>SVC_E30</c:v>
                </c:pt>
                <c:pt idx="88">
                  <c:v>SVC_E85</c:v>
                </c:pt>
                <c:pt idx="89">
                  <c:v>AEP Texas_EX8</c:v>
                </c:pt>
                <c:pt idx="90">
                  <c:v>SVC_E122</c:v>
                </c:pt>
                <c:pt idx="91">
                  <c:v>SVC_E210</c:v>
                </c:pt>
                <c:pt idx="92">
                  <c:v>SVC_E56</c:v>
                </c:pt>
                <c:pt idx="93">
                  <c:v>SVC_E29</c:v>
                </c:pt>
                <c:pt idx="94">
                  <c:v>SVC_E104</c:v>
                </c:pt>
                <c:pt idx="95">
                  <c:v>AEP Texas_EX48</c:v>
                </c:pt>
                <c:pt idx="96">
                  <c:v>SVC_E163</c:v>
                </c:pt>
                <c:pt idx="97">
                  <c:v>SVC_E31</c:v>
                </c:pt>
                <c:pt idx="98">
                  <c:v>SVC_E224</c:v>
                </c:pt>
                <c:pt idx="99">
                  <c:v>SVC_E140</c:v>
                </c:pt>
                <c:pt idx="100">
                  <c:v>SVC_E16</c:v>
                </c:pt>
                <c:pt idx="101">
                  <c:v>SVC_E67</c:v>
                </c:pt>
                <c:pt idx="102">
                  <c:v>SVC_E26</c:v>
                </c:pt>
                <c:pt idx="103">
                  <c:v>AEP Texas_EX28</c:v>
                </c:pt>
                <c:pt idx="104">
                  <c:v>SVC_E21</c:v>
                </c:pt>
                <c:pt idx="105">
                  <c:v>SVC_E152</c:v>
                </c:pt>
                <c:pt idx="106">
                  <c:v>SVC_E205</c:v>
                </c:pt>
                <c:pt idx="107">
                  <c:v>AEP Texas_EX32</c:v>
                </c:pt>
                <c:pt idx="108">
                  <c:v>SVC_E63</c:v>
                </c:pt>
                <c:pt idx="109">
                  <c:v>SVC_E129</c:v>
                </c:pt>
                <c:pt idx="110">
                  <c:v>AEP Texas_EX35</c:v>
                </c:pt>
                <c:pt idx="111">
                  <c:v>SVC_E81</c:v>
                </c:pt>
                <c:pt idx="112">
                  <c:v>SVC_E53</c:v>
                </c:pt>
                <c:pt idx="113">
                  <c:v>SVC_E23</c:v>
                </c:pt>
                <c:pt idx="114">
                  <c:v>SVC_E1</c:v>
                </c:pt>
                <c:pt idx="115">
                  <c:v>AEP Texas_EX31</c:v>
                </c:pt>
                <c:pt idx="116">
                  <c:v>SVC_E179</c:v>
                </c:pt>
                <c:pt idx="117">
                  <c:v>SVC_E108</c:v>
                </c:pt>
                <c:pt idx="118">
                  <c:v>SVC_E101</c:v>
                </c:pt>
                <c:pt idx="119">
                  <c:v>SVC_E76</c:v>
                </c:pt>
                <c:pt idx="120">
                  <c:v>SVC_E73</c:v>
                </c:pt>
                <c:pt idx="121">
                  <c:v>SVC_E216</c:v>
                </c:pt>
                <c:pt idx="122">
                  <c:v>SVC_E107</c:v>
                </c:pt>
                <c:pt idx="123">
                  <c:v>SVC_E141</c:v>
                </c:pt>
                <c:pt idx="124">
                  <c:v>SVC_E10</c:v>
                </c:pt>
                <c:pt idx="125">
                  <c:v>SVC_E4</c:v>
                </c:pt>
                <c:pt idx="126">
                  <c:v>SVC_E120</c:v>
                </c:pt>
                <c:pt idx="127">
                  <c:v>SVC_E78</c:v>
                </c:pt>
                <c:pt idx="128">
                  <c:v>AEP Texas_EX34</c:v>
                </c:pt>
                <c:pt idx="129">
                  <c:v>SVC_E156</c:v>
                </c:pt>
                <c:pt idx="130">
                  <c:v>SVC_E98</c:v>
                </c:pt>
                <c:pt idx="131">
                  <c:v>SVC_E123</c:v>
                </c:pt>
                <c:pt idx="132">
                  <c:v>SVC_E209</c:v>
                </c:pt>
                <c:pt idx="133">
                  <c:v>AEP Texas_EX42</c:v>
                </c:pt>
                <c:pt idx="134">
                  <c:v>AEP Texas_EX7</c:v>
                </c:pt>
                <c:pt idx="135">
                  <c:v>SVC_E5</c:v>
                </c:pt>
                <c:pt idx="136">
                  <c:v>AEP Texas_EX46</c:v>
                </c:pt>
                <c:pt idx="137">
                  <c:v>AEP Texas_EX18</c:v>
                </c:pt>
                <c:pt idx="138">
                  <c:v>SVC_E182</c:v>
                </c:pt>
                <c:pt idx="139">
                  <c:v>SVC_E125</c:v>
                </c:pt>
                <c:pt idx="140">
                  <c:v>SVC_E221</c:v>
                </c:pt>
                <c:pt idx="141">
                  <c:v>SVC_E149</c:v>
                </c:pt>
                <c:pt idx="142">
                  <c:v>SVC_E72</c:v>
                </c:pt>
                <c:pt idx="143">
                  <c:v>SVC_E174</c:v>
                </c:pt>
                <c:pt idx="144">
                  <c:v>SVC_E215</c:v>
                </c:pt>
                <c:pt idx="145">
                  <c:v>SVC_E105</c:v>
                </c:pt>
                <c:pt idx="146">
                  <c:v>SVC_E77</c:v>
                </c:pt>
                <c:pt idx="147">
                  <c:v>AEP Texas_EX58</c:v>
                </c:pt>
                <c:pt idx="148">
                  <c:v>SVC_E217</c:v>
                </c:pt>
                <c:pt idx="149">
                  <c:v>SVC_E159</c:v>
                </c:pt>
                <c:pt idx="150">
                  <c:v>AEP Texas_EX4</c:v>
                </c:pt>
                <c:pt idx="151">
                  <c:v>SVC_E183</c:v>
                </c:pt>
                <c:pt idx="152">
                  <c:v>SVC_E90</c:v>
                </c:pt>
                <c:pt idx="153">
                  <c:v>SVC_E9</c:v>
                </c:pt>
                <c:pt idx="154">
                  <c:v>SVC_E75</c:v>
                </c:pt>
                <c:pt idx="155">
                  <c:v>SVC_E147</c:v>
                </c:pt>
                <c:pt idx="156">
                  <c:v>SVC_E52</c:v>
                </c:pt>
                <c:pt idx="157">
                  <c:v>SVC_E89</c:v>
                </c:pt>
                <c:pt idx="158">
                  <c:v>SVC_E135</c:v>
                </c:pt>
                <c:pt idx="159">
                  <c:v>SVC_E115</c:v>
                </c:pt>
                <c:pt idx="160">
                  <c:v>SVC_E47</c:v>
                </c:pt>
                <c:pt idx="161">
                  <c:v>SVC_E168</c:v>
                </c:pt>
                <c:pt idx="162">
                  <c:v>SVC_E91</c:v>
                </c:pt>
                <c:pt idx="163">
                  <c:v>SVC_E220</c:v>
                </c:pt>
                <c:pt idx="164">
                  <c:v>SVC_E177</c:v>
                </c:pt>
                <c:pt idx="165">
                  <c:v>AEP Texas_EX2</c:v>
                </c:pt>
                <c:pt idx="166">
                  <c:v>SVC_E65</c:v>
                </c:pt>
                <c:pt idx="167">
                  <c:v>SVC_E190</c:v>
                </c:pt>
                <c:pt idx="168">
                  <c:v>AEP Texas_EX20</c:v>
                </c:pt>
                <c:pt idx="169">
                  <c:v>SVC_E61</c:v>
                </c:pt>
                <c:pt idx="170">
                  <c:v>SVC_E200</c:v>
                </c:pt>
                <c:pt idx="171">
                  <c:v>SVC_E103</c:v>
                </c:pt>
                <c:pt idx="172">
                  <c:v>SVC_E88</c:v>
                </c:pt>
                <c:pt idx="173">
                  <c:v>SVC_E218</c:v>
                </c:pt>
                <c:pt idx="174">
                  <c:v>SVC_E60</c:v>
                </c:pt>
                <c:pt idx="175">
                  <c:v>AEP Texas_EX23</c:v>
                </c:pt>
                <c:pt idx="176">
                  <c:v>SVC_E74</c:v>
                </c:pt>
                <c:pt idx="177">
                  <c:v>SVC_E136</c:v>
                </c:pt>
                <c:pt idx="178">
                  <c:v>SVC_E211</c:v>
                </c:pt>
                <c:pt idx="179">
                  <c:v>SVC_E198</c:v>
                </c:pt>
                <c:pt idx="180">
                  <c:v>SVC_E184</c:v>
                </c:pt>
                <c:pt idx="181">
                  <c:v>SVC_E118</c:v>
                </c:pt>
                <c:pt idx="182">
                  <c:v>SVC_E202</c:v>
                </c:pt>
                <c:pt idx="183">
                  <c:v>AEP Texas_EX9</c:v>
                </c:pt>
                <c:pt idx="184">
                  <c:v>SVC_E102</c:v>
                </c:pt>
                <c:pt idx="185">
                  <c:v>AEP Texas_EX56</c:v>
                </c:pt>
                <c:pt idx="186">
                  <c:v>SVC_E80</c:v>
                </c:pt>
                <c:pt idx="187">
                  <c:v>SVC_E199</c:v>
                </c:pt>
                <c:pt idx="188">
                  <c:v>SVC_E96</c:v>
                </c:pt>
                <c:pt idx="189">
                  <c:v>SVC_E99</c:v>
                </c:pt>
                <c:pt idx="190">
                  <c:v>SVC_E208</c:v>
                </c:pt>
                <c:pt idx="191">
                  <c:v>AEP Texas_EX3</c:v>
                </c:pt>
                <c:pt idx="192">
                  <c:v>SVC_E164</c:v>
                </c:pt>
                <c:pt idx="193">
                  <c:v>AEP Texas_EX26</c:v>
                </c:pt>
                <c:pt idx="194">
                  <c:v>SVC_E192</c:v>
                </c:pt>
                <c:pt idx="195">
                  <c:v>SVC_E137</c:v>
                </c:pt>
                <c:pt idx="196">
                  <c:v>SVC_E185</c:v>
                </c:pt>
                <c:pt idx="197">
                  <c:v>SVC_E106</c:v>
                </c:pt>
                <c:pt idx="198">
                  <c:v>SVC_E180</c:v>
                </c:pt>
                <c:pt idx="199">
                  <c:v>AEP Texas_EX12</c:v>
                </c:pt>
                <c:pt idx="200">
                  <c:v>SVC_E133</c:v>
                </c:pt>
                <c:pt idx="201">
                  <c:v>SVC_E119</c:v>
                </c:pt>
                <c:pt idx="202">
                  <c:v>SVC_E206</c:v>
                </c:pt>
                <c:pt idx="203">
                  <c:v>SVC_E86</c:v>
                </c:pt>
                <c:pt idx="204">
                  <c:v>SVC_E207</c:v>
                </c:pt>
                <c:pt idx="205">
                  <c:v>SVC_E171</c:v>
                </c:pt>
                <c:pt idx="206">
                  <c:v>SVC_E219</c:v>
                </c:pt>
                <c:pt idx="207">
                  <c:v>SVC_E54</c:v>
                </c:pt>
                <c:pt idx="208">
                  <c:v>SVC_E167</c:v>
                </c:pt>
                <c:pt idx="209">
                  <c:v>AEP Texas_EX11</c:v>
                </c:pt>
                <c:pt idx="210">
                  <c:v>SVC_E196</c:v>
                </c:pt>
                <c:pt idx="211">
                  <c:v>SVC_E13</c:v>
                </c:pt>
                <c:pt idx="212">
                  <c:v>SVC_E94</c:v>
                </c:pt>
                <c:pt idx="213">
                  <c:v>SVC_E169</c:v>
                </c:pt>
                <c:pt idx="214">
                  <c:v>SVC_E197</c:v>
                </c:pt>
                <c:pt idx="215">
                  <c:v>SVC_E12</c:v>
                </c:pt>
                <c:pt idx="216">
                  <c:v>AEP Texas_EX41</c:v>
                </c:pt>
                <c:pt idx="217">
                  <c:v>AEP Texas_EX61</c:v>
                </c:pt>
                <c:pt idx="218">
                  <c:v>AEP Texas_EX44</c:v>
                </c:pt>
                <c:pt idx="219">
                  <c:v>SVC_E155</c:v>
                </c:pt>
                <c:pt idx="220">
                  <c:v>AEP Texas_EX19</c:v>
                </c:pt>
                <c:pt idx="221">
                  <c:v>AEP Texas_EX29</c:v>
                </c:pt>
                <c:pt idx="222">
                  <c:v>SVC_E95</c:v>
                </c:pt>
                <c:pt idx="223">
                  <c:v>AEP Texas_EX17</c:v>
                </c:pt>
                <c:pt idx="224">
                  <c:v>SVC_E48</c:v>
                </c:pt>
                <c:pt idx="225">
                  <c:v>SVC_E131 (5)</c:v>
                </c:pt>
                <c:pt idx="226">
                  <c:v>SVC_E225</c:v>
                </c:pt>
                <c:pt idx="227">
                  <c:v>AEP Texas_EX5</c:v>
                </c:pt>
                <c:pt idx="228">
                  <c:v>SVC_E97</c:v>
                </c:pt>
                <c:pt idx="229">
                  <c:v>SVC_E27</c:v>
                </c:pt>
                <c:pt idx="230">
                  <c:v>SVC_E165</c:v>
                </c:pt>
                <c:pt idx="231">
                  <c:v>SVC_E150</c:v>
                </c:pt>
                <c:pt idx="232">
                  <c:v>SVC_E178</c:v>
                </c:pt>
                <c:pt idx="233">
                  <c:v>AEP Texas_EX1</c:v>
                </c:pt>
                <c:pt idx="234">
                  <c:v>SVC_E194</c:v>
                </c:pt>
                <c:pt idx="235">
                  <c:v>SVC_E70</c:v>
                </c:pt>
                <c:pt idx="236">
                  <c:v>SVC_E166</c:v>
                </c:pt>
                <c:pt idx="237">
                  <c:v>AEP Texas_EX25</c:v>
                </c:pt>
                <c:pt idx="238">
                  <c:v>AEP Texas_EX22</c:v>
                </c:pt>
                <c:pt idx="239">
                  <c:v>AEP Texas_EX39</c:v>
                </c:pt>
                <c:pt idx="240">
                  <c:v>AEP Texas_EX14</c:v>
                </c:pt>
                <c:pt idx="241">
                  <c:v>SVC_E203</c:v>
                </c:pt>
                <c:pt idx="242">
                  <c:v>SVC_E213</c:v>
                </c:pt>
                <c:pt idx="243">
                  <c:v>SVC_E37</c:v>
                </c:pt>
                <c:pt idx="244">
                  <c:v>SVC_E214</c:v>
                </c:pt>
                <c:pt idx="245">
                  <c:v>SVC_E204</c:v>
                </c:pt>
                <c:pt idx="246">
                  <c:v>SVC_E201</c:v>
                </c:pt>
                <c:pt idx="247">
                  <c:v>SVC_E193</c:v>
                </c:pt>
                <c:pt idx="248">
                  <c:v>SVC_E32</c:v>
                </c:pt>
                <c:pt idx="249">
                  <c:v>SVC_E66</c:v>
                </c:pt>
                <c:pt idx="250">
                  <c:v>SVC_E145</c:v>
                </c:pt>
                <c:pt idx="251">
                  <c:v>SVC_E83</c:v>
                </c:pt>
                <c:pt idx="252">
                  <c:v>AEP Texas_EX33</c:v>
                </c:pt>
                <c:pt idx="253">
                  <c:v>AEP Texas_EX55</c:v>
                </c:pt>
                <c:pt idx="254">
                  <c:v>AEP Texas_EX40</c:v>
                </c:pt>
                <c:pt idx="255">
                  <c:v>AEP Texas_EX54</c:v>
                </c:pt>
                <c:pt idx="256">
                  <c:v>AEP Texas_EX21</c:v>
                </c:pt>
                <c:pt idx="257">
                  <c:v>AEP Texas_EX24</c:v>
                </c:pt>
                <c:pt idx="258">
                  <c:v>SVC_E51</c:v>
                </c:pt>
                <c:pt idx="259">
                  <c:v>SVC_E148</c:v>
                </c:pt>
                <c:pt idx="260">
                  <c:v>SVC_E134</c:v>
                </c:pt>
                <c:pt idx="261">
                  <c:v>SVC_E100</c:v>
                </c:pt>
                <c:pt idx="262">
                  <c:v>SVC_E49</c:v>
                </c:pt>
                <c:pt idx="263">
                  <c:v>SVC_E58</c:v>
                </c:pt>
                <c:pt idx="264">
                  <c:v>SVC_E25</c:v>
                </c:pt>
                <c:pt idx="265">
                  <c:v>SVC_E113</c:v>
                </c:pt>
                <c:pt idx="266">
                  <c:v>SVC_E69</c:v>
                </c:pt>
                <c:pt idx="267">
                  <c:v>AEP Texas_EX10</c:v>
                </c:pt>
                <c:pt idx="268">
                  <c:v>SVC_E33</c:v>
                </c:pt>
                <c:pt idx="269">
                  <c:v>AEP Texas_EX13</c:v>
                </c:pt>
                <c:pt idx="270">
                  <c:v>SVC_E38</c:v>
                </c:pt>
                <c:pt idx="271">
                  <c:v>SVC_E57</c:v>
                </c:pt>
                <c:pt idx="272">
                  <c:v>AEP Texas_EX59</c:v>
                </c:pt>
                <c:pt idx="273">
                  <c:v>AEP Texas_EX37</c:v>
                </c:pt>
                <c:pt idx="274">
                  <c:v>AEP Texas_EX36</c:v>
                </c:pt>
                <c:pt idx="275">
                  <c:v>SVC_E42</c:v>
                </c:pt>
                <c:pt idx="276">
                  <c:v>SVC_E223</c:v>
                </c:pt>
                <c:pt idx="277">
                  <c:v>SVC_E35</c:v>
                </c:pt>
                <c:pt idx="278">
                  <c:v>SVC_E157</c:v>
                </c:pt>
                <c:pt idx="279">
                  <c:v>SVC_E46</c:v>
                </c:pt>
                <c:pt idx="280">
                  <c:v>SVC_E45</c:v>
                </c:pt>
                <c:pt idx="281">
                  <c:v>SVC_E34</c:v>
                </c:pt>
                <c:pt idx="282">
                  <c:v>AEP Texas_EX27</c:v>
                </c:pt>
                <c:pt idx="283">
                  <c:v>AEP Texas_EX38</c:v>
                </c:pt>
                <c:pt idx="284">
                  <c:v>SVC_E36</c:v>
                </c:pt>
                <c:pt idx="285">
                  <c:v>SVC_E227</c:v>
                </c:pt>
                <c:pt idx="286">
                  <c:v>SVC_E43</c:v>
                </c:pt>
                <c:pt idx="287">
                  <c:v>SVC_E181</c:v>
                </c:pt>
                <c:pt idx="288">
                  <c:v>AEP Texas_EX15</c:v>
                </c:pt>
              </c:strCache>
            </c:strRef>
          </c:cat>
          <c:val>
            <c:numRef>
              <c:f>'Exempt Graph Data All'!$F$4:$F$292</c:f>
              <c:numCache>
                <c:formatCode>0.0%</c:formatCode>
                <c:ptCount val="289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0.35</c:v>
                </c:pt>
                <c:pt idx="190">
                  <c:v>0.35</c:v>
                </c:pt>
                <c:pt idx="191">
                  <c:v>0.35</c:v>
                </c:pt>
                <c:pt idx="192">
                  <c:v>0.35</c:v>
                </c:pt>
                <c:pt idx="193">
                  <c:v>0.35</c:v>
                </c:pt>
                <c:pt idx="194">
                  <c:v>0.35</c:v>
                </c:pt>
                <c:pt idx="195">
                  <c:v>0.35</c:v>
                </c:pt>
                <c:pt idx="196">
                  <c:v>0.35</c:v>
                </c:pt>
                <c:pt idx="197">
                  <c:v>0.35</c:v>
                </c:pt>
                <c:pt idx="198">
                  <c:v>0.35</c:v>
                </c:pt>
                <c:pt idx="199">
                  <c:v>0.35</c:v>
                </c:pt>
                <c:pt idx="200">
                  <c:v>0.35</c:v>
                </c:pt>
                <c:pt idx="201">
                  <c:v>0.35</c:v>
                </c:pt>
                <c:pt idx="202">
                  <c:v>0.35</c:v>
                </c:pt>
                <c:pt idx="203">
                  <c:v>0.35</c:v>
                </c:pt>
                <c:pt idx="204">
                  <c:v>0.35</c:v>
                </c:pt>
                <c:pt idx="205">
                  <c:v>0.35</c:v>
                </c:pt>
                <c:pt idx="206">
                  <c:v>0.35</c:v>
                </c:pt>
                <c:pt idx="207">
                  <c:v>0.35</c:v>
                </c:pt>
                <c:pt idx="208">
                  <c:v>0.35</c:v>
                </c:pt>
                <c:pt idx="209">
                  <c:v>0.35</c:v>
                </c:pt>
                <c:pt idx="210">
                  <c:v>0.35</c:v>
                </c:pt>
                <c:pt idx="211">
                  <c:v>0.35</c:v>
                </c:pt>
                <c:pt idx="212">
                  <c:v>0.35</c:v>
                </c:pt>
                <c:pt idx="213">
                  <c:v>0.35</c:v>
                </c:pt>
                <c:pt idx="214">
                  <c:v>0.35</c:v>
                </c:pt>
                <c:pt idx="215">
                  <c:v>0.35</c:v>
                </c:pt>
                <c:pt idx="216">
                  <c:v>0.35</c:v>
                </c:pt>
                <c:pt idx="217">
                  <c:v>0.35</c:v>
                </c:pt>
                <c:pt idx="218">
                  <c:v>0.35</c:v>
                </c:pt>
                <c:pt idx="219">
                  <c:v>0.35</c:v>
                </c:pt>
                <c:pt idx="220">
                  <c:v>0.35</c:v>
                </c:pt>
                <c:pt idx="221">
                  <c:v>0.35</c:v>
                </c:pt>
                <c:pt idx="222">
                  <c:v>0.35</c:v>
                </c:pt>
                <c:pt idx="223">
                  <c:v>0.35</c:v>
                </c:pt>
                <c:pt idx="224">
                  <c:v>0.35</c:v>
                </c:pt>
                <c:pt idx="225">
                  <c:v>0.35</c:v>
                </c:pt>
                <c:pt idx="226">
                  <c:v>0.35</c:v>
                </c:pt>
                <c:pt idx="227">
                  <c:v>0.35</c:v>
                </c:pt>
                <c:pt idx="228">
                  <c:v>0.35</c:v>
                </c:pt>
                <c:pt idx="229">
                  <c:v>0.35</c:v>
                </c:pt>
                <c:pt idx="230">
                  <c:v>0.35</c:v>
                </c:pt>
                <c:pt idx="231">
                  <c:v>0.35</c:v>
                </c:pt>
                <c:pt idx="232">
                  <c:v>0.35</c:v>
                </c:pt>
                <c:pt idx="233">
                  <c:v>0.35</c:v>
                </c:pt>
                <c:pt idx="234">
                  <c:v>0.35</c:v>
                </c:pt>
                <c:pt idx="235">
                  <c:v>0.35</c:v>
                </c:pt>
                <c:pt idx="236">
                  <c:v>0.35</c:v>
                </c:pt>
                <c:pt idx="237">
                  <c:v>0.35</c:v>
                </c:pt>
                <c:pt idx="238">
                  <c:v>0.35</c:v>
                </c:pt>
                <c:pt idx="239">
                  <c:v>0.35</c:v>
                </c:pt>
                <c:pt idx="240">
                  <c:v>0.35</c:v>
                </c:pt>
                <c:pt idx="241">
                  <c:v>0.35</c:v>
                </c:pt>
                <c:pt idx="242">
                  <c:v>0.35</c:v>
                </c:pt>
                <c:pt idx="243">
                  <c:v>0.35</c:v>
                </c:pt>
                <c:pt idx="244">
                  <c:v>0.35</c:v>
                </c:pt>
                <c:pt idx="245">
                  <c:v>0.35</c:v>
                </c:pt>
                <c:pt idx="246">
                  <c:v>0.35</c:v>
                </c:pt>
                <c:pt idx="247">
                  <c:v>0.35</c:v>
                </c:pt>
                <c:pt idx="248">
                  <c:v>0.35</c:v>
                </c:pt>
                <c:pt idx="249">
                  <c:v>0.35</c:v>
                </c:pt>
                <c:pt idx="250">
                  <c:v>0.35</c:v>
                </c:pt>
                <c:pt idx="251">
                  <c:v>0.35</c:v>
                </c:pt>
                <c:pt idx="252">
                  <c:v>0.35</c:v>
                </c:pt>
                <c:pt idx="253">
                  <c:v>0.35</c:v>
                </c:pt>
                <c:pt idx="254">
                  <c:v>0.35</c:v>
                </c:pt>
                <c:pt idx="255">
                  <c:v>0.35</c:v>
                </c:pt>
                <c:pt idx="256">
                  <c:v>0.35</c:v>
                </c:pt>
                <c:pt idx="257">
                  <c:v>0.35</c:v>
                </c:pt>
                <c:pt idx="258">
                  <c:v>0.35</c:v>
                </c:pt>
                <c:pt idx="259">
                  <c:v>0.35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0.35</c:v>
                </c:pt>
                <c:pt idx="264">
                  <c:v>0.35</c:v>
                </c:pt>
                <c:pt idx="265">
                  <c:v>0.35</c:v>
                </c:pt>
                <c:pt idx="266">
                  <c:v>0.35</c:v>
                </c:pt>
                <c:pt idx="267">
                  <c:v>0.35</c:v>
                </c:pt>
                <c:pt idx="268">
                  <c:v>0.35</c:v>
                </c:pt>
                <c:pt idx="269">
                  <c:v>0.35</c:v>
                </c:pt>
                <c:pt idx="270">
                  <c:v>0.35</c:v>
                </c:pt>
                <c:pt idx="271">
                  <c:v>0.35</c:v>
                </c:pt>
                <c:pt idx="272">
                  <c:v>0.35</c:v>
                </c:pt>
                <c:pt idx="273">
                  <c:v>0.35</c:v>
                </c:pt>
                <c:pt idx="274">
                  <c:v>0.35</c:v>
                </c:pt>
                <c:pt idx="275">
                  <c:v>0.35</c:v>
                </c:pt>
                <c:pt idx="276">
                  <c:v>0.35</c:v>
                </c:pt>
                <c:pt idx="277">
                  <c:v>0.35</c:v>
                </c:pt>
                <c:pt idx="278">
                  <c:v>0.35</c:v>
                </c:pt>
                <c:pt idx="279">
                  <c:v>0.35</c:v>
                </c:pt>
                <c:pt idx="280">
                  <c:v>0.35</c:v>
                </c:pt>
                <c:pt idx="281">
                  <c:v>0.35</c:v>
                </c:pt>
                <c:pt idx="282">
                  <c:v>0.35</c:v>
                </c:pt>
                <c:pt idx="283">
                  <c:v>0.35</c:v>
                </c:pt>
                <c:pt idx="284">
                  <c:v>0.35</c:v>
                </c:pt>
                <c:pt idx="285">
                  <c:v>0.35</c:v>
                </c:pt>
                <c:pt idx="286">
                  <c:v>0.35</c:v>
                </c:pt>
                <c:pt idx="287">
                  <c:v>0.35</c:v>
                </c:pt>
                <c:pt idx="288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CF-4B47-A293-69FAF507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25712"/>
        <c:axId val="474122432"/>
      </c:areaChart>
      <c:lineChart>
        <c:grouping val="standard"/>
        <c:varyColors val="0"/>
        <c:ser>
          <c:idx val="5"/>
          <c:order val="2"/>
          <c:tx>
            <c:strRef>
              <c:f>'Exempt Graph Data All'!$D$3</c:f>
              <c:strCache>
                <c:ptCount val="1"/>
                <c:pt idx="0">
                  <c:v>Market Median Compensation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'Exempt Graph Data All'!$A$4:$A$292</c:f>
              <c:strCache>
                <c:ptCount val="289"/>
                <c:pt idx="0">
                  <c:v>SVC_E111</c:v>
                </c:pt>
                <c:pt idx="1">
                  <c:v>SVC_E138</c:v>
                </c:pt>
                <c:pt idx="2">
                  <c:v>SVC_E62</c:v>
                </c:pt>
                <c:pt idx="3">
                  <c:v>AEP Texas_EX6</c:v>
                </c:pt>
                <c:pt idx="4">
                  <c:v>SVC_E109</c:v>
                </c:pt>
                <c:pt idx="5">
                  <c:v>SVC_E15</c:v>
                </c:pt>
                <c:pt idx="6">
                  <c:v>AEP Texas_EX30</c:v>
                </c:pt>
                <c:pt idx="7">
                  <c:v>SVC_E14</c:v>
                </c:pt>
                <c:pt idx="8">
                  <c:v>SVC_E146</c:v>
                </c:pt>
                <c:pt idx="9">
                  <c:v>SVC_E124</c:v>
                </c:pt>
                <c:pt idx="10">
                  <c:v>SVC_E55</c:v>
                </c:pt>
                <c:pt idx="11">
                  <c:v>SVC_E154</c:v>
                </c:pt>
                <c:pt idx="12">
                  <c:v>SVC_E121</c:v>
                </c:pt>
                <c:pt idx="13">
                  <c:v>SVC_E93</c:v>
                </c:pt>
                <c:pt idx="14">
                  <c:v>SVC_E151</c:v>
                </c:pt>
                <c:pt idx="15">
                  <c:v>SVC_E17</c:v>
                </c:pt>
                <c:pt idx="16">
                  <c:v>SVC_E130</c:v>
                </c:pt>
                <c:pt idx="17">
                  <c:v>SVC_E143</c:v>
                </c:pt>
                <c:pt idx="18">
                  <c:v>SVC_E84</c:v>
                </c:pt>
                <c:pt idx="19">
                  <c:v>SVC_E117</c:v>
                </c:pt>
                <c:pt idx="20">
                  <c:v>SVC_E187</c:v>
                </c:pt>
                <c:pt idx="21">
                  <c:v>SVC_E68</c:v>
                </c:pt>
                <c:pt idx="22">
                  <c:v>SVC_E110</c:v>
                </c:pt>
                <c:pt idx="23">
                  <c:v>AEP Texas_EX52</c:v>
                </c:pt>
                <c:pt idx="24">
                  <c:v>SVC_E189</c:v>
                </c:pt>
                <c:pt idx="25">
                  <c:v>SVC_E11</c:v>
                </c:pt>
                <c:pt idx="26">
                  <c:v>SVC_E191</c:v>
                </c:pt>
                <c:pt idx="27">
                  <c:v>AEP Texas_EX50</c:v>
                </c:pt>
                <c:pt idx="28">
                  <c:v>SVC_E162</c:v>
                </c:pt>
                <c:pt idx="29">
                  <c:v>SVC_E112</c:v>
                </c:pt>
                <c:pt idx="30">
                  <c:v>SVC_E173</c:v>
                </c:pt>
                <c:pt idx="31">
                  <c:v>AEP Texas_EX51</c:v>
                </c:pt>
                <c:pt idx="32">
                  <c:v>AEP Texas_EX45</c:v>
                </c:pt>
                <c:pt idx="33">
                  <c:v>SVC_E18</c:v>
                </c:pt>
                <c:pt idx="34">
                  <c:v>SVC_E82</c:v>
                </c:pt>
                <c:pt idx="35">
                  <c:v>SVC_E172</c:v>
                </c:pt>
                <c:pt idx="36">
                  <c:v>SVC_E226</c:v>
                </c:pt>
                <c:pt idx="37">
                  <c:v>SVC_E39</c:v>
                </c:pt>
                <c:pt idx="38">
                  <c:v>SVC_E142</c:v>
                </c:pt>
                <c:pt idx="39">
                  <c:v>SVC_E176</c:v>
                </c:pt>
                <c:pt idx="40">
                  <c:v>SVC_E44</c:v>
                </c:pt>
                <c:pt idx="41">
                  <c:v>SVC_E139</c:v>
                </c:pt>
                <c:pt idx="42">
                  <c:v>SVC_E50</c:v>
                </c:pt>
                <c:pt idx="43">
                  <c:v>SVC_E127</c:v>
                </c:pt>
                <c:pt idx="44">
                  <c:v>SVC_E3</c:v>
                </c:pt>
                <c:pt idx="45">
                  <c:v>SVC_E7</c:v>
                </c:pt>
                <c:pt idx="46">
                  <c:v>SVC_E79</c:v>
                </c:pt>
                <c:pt idx="47">
                  <c:v>SVC_E22</c:v>
                </c:pt>
                <c:pt idx="48">
                  <c:v>SVC_E153</c:v>
                </c:pt>
                <c:pt idx="49">
                  <c:v>SVC_E40</c:v>
                </c:pt>
                <c:pt idx="50">
                  <c:v>SVC_E188</c:v>
                </c:pt>
                <c:pt idx="51">
                  <c:v>SVC_E126</c:v>
                </c:pt>
                <c:pt idx="52">
                  <c:v>SVC_E212</c:v>
                </c:pt>
                <c:pt idx="53">
                  <c:v>AEP Texas_EX49</c:v>
                </c:pt>
                <c:pt idx="54">
                  <c:v>SVC_E28</c:v>
                </c:pt>
                <c:pt idx="55">
                  <c:v>SVC_E161</c:v>
                </c:pt>
                <c:pt idx="56">
                  <c:v>SVC_E71</c:v>
                </c:pt>
                <c:pt idx="57">
                  <c:v>SVC_E175</c:v>
                </c:pt>
                <c:pt idx="58">
                  <c:v>SVC_E2</c:v>
                </c:pt>
                <c:pt idx="59">
                  <c:v>SVC_E6</c:v>
                </c:pt>
                <c:pt idx="60">
                  <c:v>SVC_E64</c:v>
                </c:pt>
                <c:pt idx="61">
                  <c:v>SVC_E186</c:v>
                </c:pt>
                <c:pt idx="62">
                  <c:v>SVC_E144</c:v>
                </c:pt>
                <c:pt idx="63">
                  <c:v>SVC_E170</c:v>
                </c:pt>
                <c:pt idx="64">
                  <c:v>AEP Texas_EX60</c:v>
                </c:pt>
                <c:pt idx="65">
                  <c:v>SVC_E41</c:v>
                </c:pt>
                <c:pt idx="66">
                  <c:v>SVC_E8</c:v>
                </c:pt>
                <c:pt idx="67">
                  <c:v>SVC_E20</c:v>
                </c:pt>
                <c:pt idx="68">
                  <c:v>AEP Texas_EX16</c:v>
                </c:pt>
                <c:pt idx="69">
                  <c:v>SVC_E114</c:v>
                </c:pt>
                <c:pt idx="70">
                  <c:v>SVC_E160</c:v>
                </c:pt>
                <c:pt idx="71">
                  <c:v>SVC_E87</c:v>
                </c:pt>
                <c:pt idx="72">
                  <c:v>SVC_E92</c:v>
                </c:pt>
                <c:pt idx="73">
                  <c:v>SVC_E132</c:v>
                </c:pt>
                <c:pt idx="74">
                  <c:v>AEP Texas_EX57</c:v>
                </c:pt>
                <c:pt idx="75">
                  <c:v>SVC_E128</c:v>
                </c:pt>
                <c:pt idx="76">
                  <c:v>SVC_E24</c:v>
                </c:pt>
                <c:pt idx="77">
                  <c:v>AEP Texas_EX43</c:v>
                </c:pt>
                <c:pt idx="78">
                  <c:v>AEP Texas_EX62</c:v>
                </c:pt>
                <c:pt idx="79">
                  <c:v>AEP Texas_EX47</c:v>
                </c:pt>
                <c:pt idx="80">
                  <c:v>SVC_E19</c:v>
                </c:pt>
                <c:pt idx="81">
                  <c:v>SVC_E195</c:v>
                </c:pt>
                <c:pt idx="82">
                  <c:v>SVC_E116</c:v>
                </c:pt>
                <c:pt idx="83">
                  <c:v>SVC_E158</c:v>
                </c:pt>
                <c:pt idx="84">
                  <c:v>SVC_E222</c:v>
                </c:pt>
                <c:pt idx="85">
                  <c:v>AEP Texas_EX53</c:v>
                </c:pt>
                <c:pt idx="86">
                  <c:v>SVC_E59</c:v>
                </c:pt>
                <c:pt idx="87">
                  <c:v>SVC_E30</c:v>
                </c:pt>
                <c:pt idx="88">
                  <c:v>SVC_E85</c:v>
                </c:pt>
                <c:pt idx="89">
                  <c:v>AEP Texas_EX8</c:v>
                </c:pt>
                <c:pt idx="90">
                  <c:v>SVC_E122</c:v>
                </c:pt>
                <c:pt idx="91">
                  <c:v>SVC_E210</c:v>
                </c:pt>
                <c:pt idx="92">
                  <c:v>SVC_E56</c:v>
                </c:pt>
                <c:pt idx="93">
                  <c:v>SVC_E29</c:v>
                </c:pt>
                <c:pt idx="94">
                  <c:v>SVC_E104</c:v>
                </c:pt>
                <c:pt idx="95">
                  <c:v>AEP Texas_EX48</c:v>
                </c:pt>
                <c:pt idx="96">
                  <c:v>SVC_E163</c:v>
                </c:pt>
                <c:pt idx="97">
                  <c:v>SVC_E31</c:v>
                </c:pt>
                <c:pt idx="98">
                  <c:v>SVC_E224</c:v>
                </c:pt>
                <c:pt idx="99">
                  <c:v>SVC_E140</c:v>
                </c:pt>
                <c:pt idx="100">
                  <c:v>SVC_E16</c:v>
                </c:pt>
                <c:pt idx="101">
                  <c:v>SVC_E67</c:v>
                </c:pt>
                <c:pt idx="102">
                  <c:v>SVC_E26</c:v>
                </c:pt>
                <c:pt idx="103">
                  <c:v>AEP Texas_EX28</c:v>
                </c:pt>
                <c:pt idx="104">
                  <c:v>SVC_E21</c:v>
                </c:pt>
                <c:pt idx="105">
                  <c:v>SVC_E152</c:v>
                </c:pt>
                <c:pt idx="106">
                  <c:v>SVC_E205</c:v>
                </c:pt>
                <c:pt idx="107">
                  <c:v>AEP Texas_EX32</c:v>
                </c:pt>
                <c:pt idx="108">
                  <c:v>SVC_E63</c:v>
                </c:pt>
                <c:pt idx="109">
                  <c:v>SVC_E129</c:v>
                </c:pt>
                <c:pt idx="110">
                  <c:v>AEP Texas_EX35</c:v>
                </c:pt>
                <c:pt idx="111">
                  <c:v>SVC_E81</c:v>
                </c:pt>
                <c:pt idx="112">
                  <c:v>SVC_E53</c:v>
                </c:pt>
                <c:pt idx="113">
                  <c:v>SVC_E23</c:v>
                </c:pt>
                <c:pt idx="114">
                  <c:v>SVC_E1</c:v>
                </c:pt>
                <c:pt idx="115">
                  <c:v>AEP Texas_EX31</c:v>
                </c:pt>
                <c:pt idx="116">
                  <c:v>SVC_E179</c:v>
                </c:pt>
                <c:pt idx="117">
                  <c:v>SVC_E108</c:v>
                </c:pt>
                <c:pt idx="118">
                  <c:v>SVC_E101</c:v>
                </c:pt>
                <c:pt idx="119">
                  <c:v>SVC_E76</c:v>
                </c:pt>
                <c:pt idx="120">
                  <c:v>SVC_E73</c:v>
                </c:pt>
                <c:pt idx="121">
                  <c:v>SVC_E216</c:v>
                </c:pt>
                <c:pt idx="122">
                  <c:v>SVC_E107</c:v>
                </c:pt>
                <c:pt idx="123">
                  <c:v>SVC_E141</c:v>
                </c:pt>
                <c:pt idx="124">
                  <c:v>SVC_E10</c:v>
                </c:pt>
                <c:pt idx="125">
                  <c:v>SVC_E4</c:v>
                </c:pt>
                <c:pt idx="126">
                  <c:v>SVC_E120</c:v>
                </c:pt>
                <c:pt idx="127">
                  <c:v>SVC_E78</c:v>
                </c:pt>
                <c:pt idx="128">
                  <c:v>AEP Texas_EX34</c:v>
                </c:pt>
                <c:pt idx="129">
                  <c:v>SVC_E156</c:v>
                </c:pt>
                <c:pt idx="130">
                  <c:v>SVC_E98</c:v>
                </c:pt>
                <c:pt idx="131">
                  <c:v>SVC_E123</c:v>
                </c:pt>
                <c:pt idx="132">
                  <c:v>SVC_E209</c:v>
                </c:pt>
                <c:pt idx="133">
                  <c:v>AEP Texas_EX42</c:v>
                </c:pt>
                <c:pt idx="134">
                  <c:v>AEP Texas_EX7</c:v>
                </c:pt>
                <c:pt idx="135">
                  <c:v>SVC_E5</c:v>
                </c:pt>
                <c:pt idx="136">
                  <c:v>AEP Texas_EX46</c:v>
                </c:pt>
                <c:pt idx="137">
                  <c:v>AEP Texas_EX18</c:v>
                </c:pt>
                <c:pt idx="138">
                  <c:v>SVC_E182</c:v>
                </c:pt>
                <c:pt idx="139">
                  <c:v>SVC_E125</c:v>
                </c:pt>
                <c:pt idx="140">
                  <c:v>SVC_E221</c:v>
                </c:pt>
                <c:pt idx="141">
                  <c:v>SVC_E149</c:v>
                </c:pt>
                <c:pt idx="142">
                  <c:v>SVC_E72</c:v>
                </c:pt>
                <c:pt idx="143">
                  <c:v>SVC_E174</c:v>
                </c:pt>
                <c:pt idx="144">
                  <c:v>SVC_E215</c:v>
                </c:pt>
                <c:pt idx="145">
                  <c:v>SVC_E105</c:v>
                </c:pt>
                <c:pt idx="146">
                  <c:v>SVC_E77</c:v>
                </c:pt>
                <c:pt idx="147">
                  <c:v>AEP Texas_EX58</c:v>
                </c:pt>
                <c:pt idx="148">
                  <c:v>SVC_E217</c:v>
                </c:pt>
                <c:pt idx="149">
                  <c:v>SVC_E159</c:v>
                </c:pt>
                <c:pt idx="150">
                  <c:v>AEP Texas_EX4</c:v>
                </c:pt>
                <c:pt idx="151">
                  <c:v>SVC_E183</c:v>
                </c:pt>
                <c:pt idx="152">
                  <c:v>SVC_E90</c:v>
                </c:pt>
                <c:pt idx="153">
                  <c:v>SVC_E9</c:v>
                </c:pt>
                <c:pt idx="154">
                  <c:v>SVC_E75</c:v>
                </c:pt>
                <c:pt idx="155">
                  <c:v>SVC_E147</c:v>
                </c:pt>
                <c:pt idx="156">
                  <c:v>SVC_E52</c:v>
                </c:pt>
                <c:pt idx="157">
                  <c:v>SVC_E89</c:v>
                </c:pt>
                <c:pt idx="158">
                  <c:v>SVC_E135</c:v>
                </c:pt>
                <c:pt idx="159">
                  <c:v>SVC_E115</c:v>
                </c:pt>
                <c:pt idx="160">
                  <c:v>SVC_E47</c:v>
                </c:pt>
                <c:pt idx="161">
                  <c:v>SVC_E168</c:v>
                </c:pt>
                <c:pt idx="162">
                  <c:v>SVC_E91</c:v>
                </c:pt>
                <c:pt idx="163">
                  <c:v>SVC_E220</c:v>
                </c:pt>
                <c:pt idx="164">
                  <c:v>SVC_E177</c:v>
                </c:pt>
                <c:pt idx="165">
                  <c:v>AEP Texas_EX2</c:v>
                </c:pt>
                <c:pt idx="166">
                  <c:v>SVC_E65</c:v>
                </c:pt>
                <c:pt idx="167">
                  <c:v>SVC_E190</c:v>
                </c:pt>
                <c:pt idx="168">
                  <c:v>AEP Texas_EX20</c:v>
                </c:pt>
                <c:pt idx="169">
                  <c:v>SVC_E61</c:v>
                </c:pt>
                <c:pt idx="170">
                  <c:v>SVC_E200</c:v>
                </c:pt>
                <c:pt idx="171">
                  <c:v>SVC_E103</c:v>
                </c:pt>
                <c:pt idx="172">
                  <c:v>SVC_E88</c:v>
                </c:pt>
                <c:pt idx="173">
                  <c:v>SVC_E218</c:v>
                </c:pt>
                <c:pt idx="174">
                  <c:v>SVC_E60</c:v>
                </c:pt>
                <c:pt idx="175">
                  <c:v>AEP Texas_EX23</c:v>
                </c:pt>
                <c:pt idx="176">
                  <c:v>SVC_E74</c:v>
                </c:pt>
                <c:pt idx="177">
                  <c:v>SVC_E136</c:v>
                </c:pt>
                <c:pt idx="178">
                  <c:v>SVC_E211</c:v>
                </c:pt>
                <c:pt idx="179">
                  <c:v>SVC_E198</c:v>
                </c:pt>
                <c:pt idx="180">
                  <c:v>SVC_E184</c:v>
                </c:pt>
                <c:pt idx="181">
                  <c:v>SVC_E118</c:v>
                </c:pt>
                <c:pt idx="182">
                  <c:v>SVC_E202</c:v>
                </c:pt>
                <c:pt idx="183">
                  <c:v>AEP Texas_EX9</c:v>
                </c:pt>
                <c:pt idx="184">
                  <c:v>SVC_E102</c:v>
                </c:pt>
                <c:pt idx="185">
                  <c:v>AEP Texas_EX56</c:v>
                </c:pt>
                <c:pt idx="186">
                  <c:v>SVC_E80</c:v>
                </c:pt>
                <c:pt idx="187">
                  <c:v>SVC_E199</c:v>
                </c:pt>
                <c:pt idx="188">
                  <c:v>SVC_E96</c:v>
                </c:pt>
                <c:pt idx="189">
                  <c:v>SVC_E99</c:v>
                </c:pt>
                <c:pt idx="190">
                  <c:v>SVC_E208</c:v>
                </c:pt>
                <c:pt idx="191">
                  <c:v>AEP Texas_EX3</c:v>
                </c:pt>
                <c:pt idx="192">
                  <c:v>SVC_E164</c:v>
                </c:pt>
                <c:pt idx="193">
                  <c:v>AEP Texas_EX26</c:v>
                </c:pt>
                <c:pt idx="194">
                  <c:v>SVC_E192</c:v>
                </c:pt>
                <c:pt idx="195">
                  <c:v>SVC_E137</c:v>
                </c:pt>
                <c:pt idx="196">
                  <c:v>SVC_E185</c:v>
                </c:pt>
                <c:pt idx="197">
                  <c:v>SVC_E106</c:v>
                </c:pt>
                <c:pt idx="198">
                  <c:v>SVC_E180</c:v>
                </c:pt>
                <c:pt idx="199">
                  <c:v>AEP Texas_EX12</c:v>
                </c:pt>
                <c:pt idx="200">
                  <c:v>SVC_E133</c:v>
                </c:pt>
                <c:pt idx="201">
                  <c:v>SVC_E119</c:v>
                </c:pt>
                <c:pt idx="202">
                  <c:v>SVC_E206</c:v>
                </c:pt>
                <c:pt idx="203">
                  <c:v>SVC_E86</c:v>
                </c:pt>
                <c:pt idx="204">
                  <c:v>SVC_E207</c:v>
                </c:pt>
                <c:pt idx="205">
                  <c:v>SVC_E171</c:v>
                </c:pt>
                <c:pt idx="206">
                  <c:v>SVC_E219</c:v>
                </c:pt>
                <c:pt idx="207">
                  <c:v>SVC_E54</c:v>
                </c:pt>
                <c:pt idx="208">
                  <c:v>SVC_E167</c:v>
                </c:pt>
                <c:pt idx="209">
                  <c:v>AEP Texas_EX11</c:v>
                </c:pt>
                <c:pt idx="210">
                  <c:v>SVC_E196</c:v>
                </c:pt>
                <c:pt idx="211">
                  <c:v>SVC_E13</c:v>
                </c:pt>
                <c:pt idx="212">
                  <c:v>SVC_E94</c:v>
                </c:pt>
                <c:pt idx="213">
                  <c:v>SVC_E169</c:v>
                </c:pt>
                <c:pt idx="214">
                  <c:v>SVC_E197</c:v>
                </c:pt>
                <c:pt idx="215">
                  <c:v>SVC_E12</c:v>
                </c:pt>
                <c:pt idx="216">
                  <c:v>AEP Texas_EX41</c:v>
                </c:pt>
                <c:pt idx="217">
                  <c:v>AEP Texas_EX61</c:v>
                </c:pt>
                <c:pt idx="218">
                  <c:v>AEP Texas_EX44</c:v>
                </c:pt>
                <c:pt idx="219">
                  <c:v>SVC_E155</c:v>
                </c:pt>
                <c:pt idx="220">
                  <c:v>AEP Texas_EX19</c:v>
                </c:pt>
                <c:pt idx="221">
                  <c:v>AEP Texas_EX29</c:v>
                </c:pt>
                <c:pt idx="222">
                  <c:v>SVC_E95</c:v>
                </c:pt>
                <c:pt idx="223">
                  <c:v>AEP Texas_EX17</c:v>
                </c:pt>
                <c:pt idx="224">
                  <c:v>SVC_E48</c:v>
                </c:pt>
                <c:pt idx="225">
                  <c:v>SVC_E131 (5)</c:v>
                </c:pt>
                <c:pt idx="226">
                  <c:v>SVC_E225</c:v>
                </c:pt>
                <c:pt idx="227">
                  <c:v>AEP Texas_EX5</c:v>
                </c:pt>
                <c:pt idx="228">
                  <c:v>SVC_E97</c:v>
                </c:pt>
                <c:pt idx="229">
                  <c:v>SVC_E27</c:v>
                </c:pt>
                <c:pt idx="230">
                  <c:v>SVC_E165</c:v>
                </c:pt>
                <c:pt idx="231">
                  <c:v>SVC_E150</c:v>
                </c:pt>
                <c:pt idx="232">
                  <c:v>SVC_E178</c:v>
                </c:pt>
                <c:pt idx="233">
                  <c:v>AEP Texas_EX1</c:v>
                </c:pt>
                <c:pt idx="234">
                  <c:v>SVC_E194</c:v>
                </c:pt>
                <c:pt idx="235">
                  <c:v>SVC_E70</c:v>
                </c:pt>
                <c:pt idx="236">
                  <c:v>SVC_E166</c:v>
                </c:pt>
                <c:pt idx="237">
                  <c:v>AEP Texas_EX25</c:v>
                </c:pt>
                <c:pt idx="238">
                  <c:v>AEP Texas_EX22</c:v>
                </c:pt>
                <c:pt idx="239">
                  <c:v>AEP Texas_EX39</c:v>
                </c:pt>
                <c:pt idx="240">
                  <c:v>AEP Texas_EX14</c:v>
                </c:pt>
                <c:pt idx="241">
                  <c:v>SVC_E203</c:v>
                </c:pt>
                <c:pt idx="242">
                  <c:v>SVC_E213</c:v>
                </c:pt>
                <c:pt idx="243">
                  <c:v>SVC_E37</c:v>
                </c:pt>
                <c:pt idx="244">
                  <c:v>SVC_E214</c:v>
                </c:pt>
                <c:pt idx="245">
                  <c:v>SVC_E204</c:v>
                </c:pt>
                <c:pt idx="246">
                  <c:v>SVC_E201</c:v>
                </c:pt>
                <c:pt idx="247">
                  <c:v>SVC_E193</c:v>
                </c:pt>
                <c:pt idx="248">
                  <c:v>SVC_E32</c:v>
                </c:pt>
                <c:pt idx="249">
                  <c:v>SVC_E66</c:v>
                </c:pt>
                <c:pt idx="250">
                  <c:v>SVC_E145</c:v>
                </c:pt>
                <c:pt idx="251">
                  <c:v>SVC_E83</c:v>
                </c:pt>
                <c:pt idx="252">
                  <c:v>AEP Texas_EX33</c:v>
                </c:pt>
                <c:pt idx="253">
                  <c:v>AEP Texas_EX55</c:v>
                </c:pt>
                <c:pt idx="254">
                  <c:v>AEP Texas_EX40</c:v>
                </c:pt>
                <c:pt idx="255">
                  <c:v>AEP Texas_EX54</c:v>
                </c:pt>
                <c:pt idx="256">
                  <c:v>AEP Texas_EX21</c:v>
                </c:pt>
                <c:pt idx="257">
                  <c:v>AEP Texas_EX24</c:v>
                </c:pt>
                <c:pt idx="258">
                  <c:v>SVC_E51</c:v>
                </c:pt>
                <c:pt idx="259">
                  <c:v>SVC_E148</c:v>
                </c:pt>
                <c:pt idx="260">
                  <c:v>SVC_E134</c:v>
                </c:pt>
                <c:pt idx="261">
                  <c:v>SVC_E100</c:v>
                </c:pt>
                <c:pt idx="262">
                  <c:v>SVC_E49</c:v>
                </c:pt>
                <c:pt idx="263">
                  <c:v>SVC_E58</c:v>
                </c:pt>
                <c:pt idx="264">
                  <c:v>SVC_E25</c:v>
                </c:pt>
                <c:pt idx="265">
                  <c:v>SVC_E113</c:v>
                </c:pt>
                <c:pt idx="266">
                  <c:v>SVC_E69</c:v>
                </c:pt>
                <c:pt idx="267">
                  <c:v>AEP Texas_EX10</c:v>
                </c:pt>
                <c:pt idx="268">
                  <c:v>SVC_E33</c:v>
                </c:pt>
                <c:pt idx="269">
                  <c:v>AEP Texas_EX13</c:v>
                </c:pt>
                <c:pt idx="270">
                  <c:v>SVC_E38</c:v>
                </c:pt>
                <c:pt idx="271">
                  <c:v>SVC_E57</c:v>
                </c:pt>
                <c:pt idx="272">
                  <c:v>AEP Texas_EX59</c:v>
                </c:pt>
                <c:pt idx="273">
                  <c:v>AEP Texas_EX37</c:v>
                </c:pt>
                <c:pt idx="274">
                  <c:v>AEP Texas_EX36</c:v>
                </c:pt>
                <c:pt idx="275">
                  <c:v>SVC_E42</c:v>
                </c:pt>
                <c:pt idx="276">
                  <c:v>SVC_E223</c:v>
                </c:pt>
                <c:pt idx="277">
                  <c:v>SVC_E35</c:v>
                </c:pt>
                <c:pt idx="278">
                  <c:v>SVC_E157</c:v>
                </c:pt>
                <c:pt idx="279">
                  <c:v>SVC_E46</c:v>
                </c:pt>
                <c:pt idx="280">
                  <c:v>SVC_E45</c:v>
                </c:pt>
                <c:pt idx="281">
                  <c:v>SVC_E34</c:v>
                </c:pt>
                <c:pt idx="282">
                  <c:v>AEP Texas_EX27</c:v>
                </c:pt>
                <c:pt idx="283">
                  <c:v>AEP Texas_EX38</c:v>
                </c:pt>
                <c:pt idx="284">
                  <c:v>SVC_E36</c:v>
                </c:pt>
                <c:pt idx="285">
                  <c:v>SVC_E227</c:v>
                </c:pt>
                <c:pt idx="286">
                  <c:v>SVC_E43</c:v>
                </c:pt>
                <c:pt idx="287">
                  <c:v>SVC_E181</c:v>
                </c:pt>
                <c:pt idx="288">
                  <c:v>AEP Texas_EX15</c:v>
                </c:pt>
              </c:strCache>
            </c:strRef>
          </c:cat>
          <c:val>
            <c:numRef>
              <c:f>'Exempt Graph Data All'!$D$4:$D$292</c:f>
              <c:numCache>
                <c:formatCode>0.0%</c:formatCode>
                <c:ptCount val="28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CF-4B47-A293-69FAF5077973}"/>
            </c:ext>
          </c:extLst>
        </c:ser>
        <c:ser>
          <c:idx val="0"/>
          <c:order val="4"/>
          <c:tx>
            <c:strRef>
              <c:f>'Exempt Graph Data All'!$B$3</c:f>
              <c:strCache>
                <c:ptCount val="1"/>
                <c:pt idx="0">
                  <c:v>AEP Target TCC vs. Survey Target TCC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'Exempt Graph Data All'!$A$4:$A$292</c:f>
              <c:strCache>
                <c:ptCount val="289"/>
                <c:pt idx="0">
                  <c:v>SVC_E111</c:v>
                </c:pt>
                <c:pt idx="1">
                  <c:v>SVC_E138</c:v>
                </c:pt>
                <c:pt idx="2">
                  <c:v>SVC_E62</c:v>
                </c:pt>
                <c:pt idx="3">
                  <c:v>AEP Texas_EX6</c:v>
                </c:pt>
                <c:pt idx="4">
                  <c:v>SVC_E109</c:v>
                </c:pt>
                <c:pt idx="5">
                  <c:v>SVC_E15</c:v>
                </c:pt>
                <c:pt idx="6">
                  <c:v>AEP Texas_EX30</c:v>
                </c:pt>
                <c:pt idx="7">
                  <c:v>SVC_E14</c:v>
                </c:pt>
                <c:pt idx="8">
                  <c:v>SVC_E146</c:v>
                </c:pt>
                <c:pt idx="9">
                  <c:v>SVC_E124</c:v>
                </c:pt>
                <c:pt idx="10">
                  <c:v>SVC_E55</c:v>
                </c:pt>
                <c:pt idx="11">
                  <c:v>SVC_E154</c:v>
                </c:pt>
                <c:pt idx="12">
                  <c:v>SVC_E121</c:v>
                </c:pt>
                <c:pt idx="13">
                  <c:v>SVC_E93</c:v>
                </c:pt>
                <c:pt idx="14">
                  <c:v>SVC_E151</c:v>
                </c:pt>
                <c:pt idx="15">
                  <c:v>SVC_E17</c:v>
                </c:pt>
                <c:pt idx="16">
                  <c:v>SVC_E130</c:v>
                </c:pt>
                <c:pt idx="17">
                  <c:v>SVC_E143</c:v>
                </c:pt>
                <c:pt idx="18">
                  <c:v>SVC_E84</c:v>
                </c:pt>
                <c:pt idx="19">
                  <c:v>SVC_E117</c:v>
                </c:pt>
                <c:pt idx="20">
                  <c:v>SVC_E187</c:v>
                </c:pt>
                <c:pt idx="21">
                  <c:v>SVC_E68</c:v>
                </c:pt>
                <c:pt idx="22">
                  <c:v>SVC_E110</c:v>
                </c:pt>
                <c:pt idx="23">
                  <c:v>AEP Texas_EX52</c:v>
                </c:pt>
                <c:pt idx="24">
                  <c:v>SVC_E189</c:v>
                </c:pt>
                <c:pt idx="25">
                  <c:v>SVC_E11</c:v>
                </c:pt>
                <c:pt idx="26">
                  <c:v>SVC_E191</c:v>
                </c:pt>
                <c:pt idx="27">
                  <c:v>AEP Texas_EX50</c:v>
                </c:pt>
                <c:pt idx="28">
                  <c:v>SVC_E162</c:v>
                </c:pt>
                <c:pt idx="29">
                  <c:v>SVC_E112</c:v>
                </c:pt>
                <c:pt idx="30">
                  <c:v>SVC_E173</c:v>
                </c:pt>
                <c:pt idx="31">
                  <c:v>AEP Texas_EX51</c:v>
                </c:pt>
                <c:pt idx="32">
                  <c:v>AEP Texas_EX45</c:v>
                </c:pt>
                <c:pt idx="33">
                  <c:v>SVC_E18</c:v>
                </c:pt>
                <c:pt idx="34">
                  <c:v>SVC_E82</c:v>
                </c:pt>
                <c:pt idx="35">
                  <c:v>SVC_E172</c:v>
                </c:pt>
                <c:pt idx="36">
                  <c:v>SVC_E226</c:v>
                </c:pt>
                <c:pt idx="37">
                  <c:v>SVC_E39</c:v>
                </c:pt>
                <c:pt idx="38">
                  <c:v>SVC_E142</c:v>
                </c:pt>
                <c:pt idx="39">
                  <c:v>SVC_E176</c:v>
                </c:pt>
                <c:pt idx="40">
                  <c:v>SVC_E44</c:v>
                </c:pt>
                <c:pt idx="41">
                  <c:v>SVC_E139</c:v>
                </c:pt>
                <c:pt idx="42">
                  <c:v>SVC_E50</c:v>
                </c:pt>
                <c:pt idx="43">
                  <c:v>SVC_E127</c:v>
                </c:pt>
                <c:pt idx="44">
                  <c:v>SVC_E3</c:v>
                </c:pt>
                <c:pt idx="45">
                  <c:v>SVC_E7</c:v>
                </c:pt>
                <c:pt idx="46">
                  <c:v>SVC_E79</c:v>
                </c:pt>
                <c:pt idx="47">
                  <c:v>SVC_E22</c:v>
                </c:pt>
                <c:pt idx="48">
                  <c:v>SVC_E153</c:v>
                </c:pt>
                <c:pt idx="49">
                  <c:v>SVC_E40</c:v>
                </c:pt>
                <c:pt idx="50">
                  <c:v>SVC_E188</c:v>
                </c:pt>
                <c:pt idx="51">
                  <c:v>SVC_E126</c:v>
                </c:pt>
                <c:pt idx="52">
                  <c:v>SVC_E212</c:v>
                </c:pt>
                <c:pt idx="53">
                  <c:v>AEP Texas_EX49</c:v>
                </c:pt>
                <c:pt idx="54">
                  <c:v>SVC_E28</c:v>
                </c:pt>
                <c:pt idx="55">
                  <c:v>SVC_E161</c:v>
                </c:pt>
                <c:pt idx="56">
                  <c:v>SVC_E71</c:v>
                </c:pt>
                <c:pt idx="57">
                  <c:v>SVC_E175</c:v>
                </c:pt>
                <c:pt idx="58">
                  <c:v>SVC_E2</c:v>
                </c:pt>
                <c:pt idx="59">
                  <c:v>SVC_E6</c:v>
                </c:pt>
                <c:pt idx="60">
                  <c:v>SVC_E64</c:v>
                </c:pt>
                <c:pt idx="61">
                  <c:v>SVC_E186</c:v>
                </c:pt>
                <c:pt idx="62">
                  <c:v>SVC_E144</c:v>
                </c:pt>
                <c:pt idx="63">
                  <c:v>SVC_E170</c:v>
                </c:pt>
                <c:pt idx="64">
                  <c:v>AEP Texas_EX60</c:v>
                </c:pt>
                <c:pt idx="65">
                  <c:v>SVC_E41</c:v>
                </c:pt>
                <c:pt idx="66">
                  <c:v>SVC_E8</c:v>
                </c:pt>
                <c:pt idx="67">
                  <c:v>SVC_E20</c:v>
                </c:pt>
                <c:pt idx="68">
                  <c:v>AEP Texas_EX16</c:v>
                </c:pt>
                <c:pt idx="69">
                  <c:v>SVC_E114</c:v>
                </c:pt>
                <c:pt idx="70">
                  <c:v>SVC_E160</c:v>
                </c:pt>
                <c:pt idx="71">
                  <c:v>SVC_E87</c:v>
                </c:pt>
                <c:pt idx="72">
                  <c:v>SVC_E92</c:v>
                </c:pt>
                <c:pt idx="73">
                  <c:v>SVC_E132</c:v>
                </c:pt>
                <c:pt idx="74">
                  <c:v>AEP Texas_EX57</c:v>
                </c:pt>
                <c:pt idx="75">
                  <c:v>SVC_E128</c:v>
                </c:pt>
                <c:pt idx="76">
                  <c:v>SVC_E24</c:v>
                </c:pt>
                <c:pt idx="77">
                  <c:v>AEP Texas_EX43</c:v>
                </c:pt>
                <c:pt idx="78">
                  <c:v>AEP Texas_EX62</c:v>
                </c:pt>
                <c:pt idx="79">
                  <c:v>AEP Texas_EX47</c:v>
                </c:pt>
                <c:pt idx="80">
                  <c:v>SVC_E19</c:v>
                </c:pt>
                <c:pt idx="81">
                  <c:v>SVC_E195</c:v>
                </c:pt>
                <c:pt idx="82">
                  <c:v>SVC_E116</c:v>
                </c:pt>
                <c:pt idx="83">
                  <c:v>SVC_E158</c:v>
                </c:pt>
                <c:pt idx="84">
                  <c:v>SVC_E222</c:v>
                </c:pt>
                <c:pt idx="85">
                  <c:v>AEP Texas_EX53</c:v>
                </c:pt>
                <c:pt idx="86">
                  <c:v>SVC_E59</c:v>
                </c:pt>
                <c:pt idx="87">
                  <c:v>SVC_E30</c:v>
                </c:pt>
                <c:pt idx="88">
                  <c:v>SVC_E85</c:v>
                </c:pt>
                <c:pt idx="89">
                  <c:v>AEP Texas_EX8</c:v>
                </c:pt>
                <c:pt idx="90">
                  <c:v>SVC_E122</c:v>
                </c:pt>
                <c:pt idx="91">
                  <c:v>SVC_E210</c:v>
                </c:pt>
                <c:pt idx="92">
                  <c:v>SVC_E56</c:v>
                </c:pt>
                <c:pt idx="93">
                  <c:v>SVC_E29</c:v>
                </c:pt>
                <c:pt idx="94">
                  <c:v>SVC_E104</c:v>
                </c:pt>
                <c:pt idx="95">
                  <c:v>AEP Texas_EX48</c:v>
                </c:pt>
                <c:pt idx="96">
                  <c:v>SVC_E163</c:v>
                </c:pt>
                <c:pt idx="97">
                  <c:v>SVC_E31</c:v>
                </c:pt>
                <c:pt idx="98">
                  <c:v>SVC_E224</c:v>
                </c:pt>
                <c:pt idx="99">
                  <c:v>SVC_E140</c:v>
                </c:pt>
                <c:pt idx="100">
                  <c:v>SVC_E16</c:v>
                </c:pt>
                <c:pt idx="101">
                  <c:v>SVC_E67</c:v>
                </c:pt>
                <c:pt idx="102">
                  <c:v>SVC_E26</c:v>
                </c:pt>
                <c:pt idx="103">
                  <c:v>AEP Texas_EX28</c:v>
                </c:pt>
                <c:pt idx="104">
                  <c:v>SVC_E21</c:v>
                </c:pt>
                <c:pt idx="105">
                  <c:v>SVC_E152</c:v>
                </c:pt>
                <c:pt idx="106">
                  <c:v>SVC_E205</c:v>
                </c:pt>
                <c:pt idx="107">
                  <c:v>AEP Texas_EX32</c:v>
                </c:pt>
                <c:pt idx="108">
                  <c:v>SVC_E63</c:v>
                </c:pt>
                <c:pt idx="109">
                  <c:v>SVC_E129</c:v>
                </c:pt>
                <c:pt idx="110">
                  <c:v>AEP Texas_EX35</c:v>
                </c:pt>
                <c:pt idx="111">
                  <c:v>SVC_E81</c:v>
                </c:pt>
                <c:pt idx="112">
                  <c:v>SVC_E53</c:v>
                </c:pt>
                <c:pt idx="113">
                  <c:v>SVC_E23</c:v>
                </c:pt>
                <c:pt idx="114">
                  <c:v>SVC_E1</c:v>
                </c:pt>
                <c:pt idx="115">
                  <c:v>AEP Texas_EX31</c:v>
                </c:pt>
                <c:pt idx="116">
                  <c:v>SVC_E179</c:v>
                </c:pt>
                <c:pt idx="117">
                  <c:v>SVC_E108</c:v>
                </c:pt>
                <c:pt idx="118">
                  <c:v>SVC_E101</c:v>
                </c:pt>
                <c:pt idx="119">
                  <c:v>SVC_E76</c:v>
                </c:pt>
                <c:pt idx="120">
                  <c:v>SVC_E73</c:v>
                </c:pt>
                <c:pt idx="121">
                  <c:v>SVC_E216</c:v>
                </c:pt>
                <c:pt idx="122">
                  <c:v>SVC_E107</c:v>
                </c:pt>
                <c:pt idx="123">
                  <c:v>SVC_E141</c:v>
                </c:pt>
                <c:pt idx="124">
                  <c:v>SVC_E10</c:v>
                </c:pt>
                <c:pt idx="125">
                  <c:v>SVC_E4</c:v>
                </c:pt>
                <c:pt idx="126">
                  <c:v>SVC_E120</c:v>
                </c:pt>
                <c:pt idx="127">
                  <c:v>SVC_E78</c:v>
                </c:pt>
                <c:pt idx="128">
                  <c:v>AEP Texas_EX34</c:v>
                </c:pt>
                <c:pt idx="129">
                  <c:v>SVC_E156</c:v>
                </c:pt>
                <c:pt idx="130">
                  <c:v>SVC_E98</c:v>
                </c:pt>
                <c:pt idx="131">
                  <c:v>SVC_E123</c:v>
                </c:pt>
                <c:pt idx="132">
                  <c:v>SVC_E209</c:v>
                </c:pt>
                <c:pt idx="133">
                  <c:v>AEP Texas_EX42</c:v>
                </c:pt>
                <c:pt idx="134">
                  <c:v>AEP Texas_EX7</c:v>
                </c:pt>
                <c:pt idx="135">
                  <c:v>SVC_E5</c:v>
                </c:pt>
                <c:pt idx="136">
                  <c:v>AEP Texas_EX46</c:v>
                </c:pt>
                <c:pt idx="137">
                  <c:v>AEP Texas_EX18</c:v>
                </c:pt>
                <c:pt idx="138">
                  <c:v>SVC_E182</c:v>
                </c:pt>
                <c:pt idx="139">
                  <c:v>SVC_E125</c:v>
                </c:pt>
                <c:pt idx="140">
                  <c:v>SVC_E221</c:v>
                </c:pt>
                <c:pt idx="141">
                  <c:v>SVC_E149</c:v>
                </c:pt>
                <c:pt idx="142">
                  <c:v>SVC_E72</c:v>
                </c:pt>
                <c:pt idx="143">
                  <c:v>SVC_E174</c:v>
                </c:pt>
                <c:pt idx="144">
                  <c:v>SVC_E215</c:v>
                </c:pt>
                <c:pt idx="145">
                  <c:v>SVC_E105</c:v>
                </c:pt>
                <c:pt idx="146">
                  <c:v>SVC_E77</c:v>
                </c:pt>
                <c:pt idx="147">
                  <c:v>AEP Texas_EX58</c:v>
                </c:pt>
                <c:pt idx="148">
                  <c:v>SVC_E217</c:v>
                </c:pt>
                <c:pt idx="149">
                  <c:v>SVC_E159</c:v>
                </c:pt>
                <c:pt idx="150">
                  <c:v>AEP Texas_EX4</c:v>
                </c:pt>
                <c:pt idx="151">
                  <c:v>SVC_E183</c:v>
                </c:pt>
                <c:pt idx="152">
                  <c:v>SVC_E90</c:v>
                </c:pt>
                <c:pt idx="153">
                  <c:v>SVC_E9</c:v>
                </c:pt>
                <c:pt idx="154">
                  <c:v>SVC_E75</c:v>
                </c:pt>
                <c:pt idx="155">
                  <c:v>SVC_E147</c:v>
                </c:pt>
                <c:pt idx="156">
                  <c:v>SVC_E52</c:v>
                </c:pt>
                <c:pt idx="157">
                  <c:v>SVC_E89</c:v>
                </c:pt>
                <c:pt idx="158">
                  <c:v>SVC_E135</c:v>
                </c:pt>
                <c:pt idx="159">
                  <c:v>SVC_E115</c:v>
                </c:pt>
                <c:pt idx="160">
                  <c:v>SVC_E47</c:v>
                </c:pt>
                <c:pt idx="161">
                  <c:v>SVC_E168</c:v>
                </c:pt>
                <c:pt idx="162">
                  <c:v>SVC_E91</c:v>
                </c:pt>
                <c:pt idx="163">
                  <c:v>SVC_E220</c:v>
                </c:pt>
                <c:pt idx="164">
                  <c:v>SVC_E177</c:v>
                </c:pt>
                <c:pt idx="165">
                  <c:v>AEP Texas_EX2</c:v>
                </c:pt>
                <c:pt idx="166">
                  <c:v>SVC_E65</c:v>
                </c:pt>
                <c:pt idx="167">
                  <c:v>SVC_E190</c:v>
                </c:pt>
                <c:pt idx="168">
                  <c:v>AEP Texas_EX20</c:v>
                </c:pt>
                <c:pt idx="169">
                  <c:v>SVC_E61</c:v>
                </c:pt>
                <c:pt idx="170">
                  <c:v>SVC_E200</c:v>
                </c:pt>
                <c:pt idx="171">
                  <c:v>SVC_E103</c:v>
                </c:pt>
                <c:pt idx="172">
                  <c:v>SVC_E88</c:v>
                </c:pt>
                <c:pt idx="173">
                  <c:v>SVC_E218</c:v>
                </c:pt>
                <c:pt idx="174">
                  <c:v>SVC_E60</c:v>
                </c:pt>
                <c:pt idx="175">
                  <c:v>AEP Texas_EX23</c:v>
                </c:pt>
                <c:pt idx="176">
                  <c:v>SVC_E74</c:v>
                </c:pt>
                <c:pt idx="177">
                  <c:v>SVC_E136</c:v>
                </c:pt>
                <c:pt idx="178">
                  <c:v>SVC_E211</c:v>
                </c:pt>
                <c:pt idx="179">
                  <c:v>SVC_E198</c:v>
                </c:pt>
                <c:pt idx="180">
                  <c:v>SVC_E184</c:v>
                </c:pt>
                <c:pt idx="181">
                  <c:v>SVC_E118</c:v>
                </c:pt>
                <c:pt idx="182">
                  <c:v>SVC_E202</c:v>
                </c:pt>
                <c:pt idx="183">
                  <c:v>AEP Texas_EX9</c:v>
                </c:pt>
                <c:pt idx="184">
                  <c:v>SVC_E102</c:v>
                </c:pt>
                <c:pt idx="185">
                  <c:v>AEP Texas_EX56</c:v>
                </c:pt>
                <c:pt idx="186">
                  <c:v>SVC_E80</c:v>
                </c:pt>
                <c:pt idx="187">
                  <c:v>SVC_E199</c:v>
                </c:pt>
                <c:pt idx="188">
                  <c:v>SVC_E96</c:v>
                </c:pt>
                <c:pt idx="189">
                  <c:v>SVC_E99</c:v>
                </c:pt>
                <c:pt idx="190">
                  <c:v>SVC_E208</c:v>
                </c:pt>
                <c:pt idx="191">
                  <c:v>AEP Texas_EX3</c:v>
                </c:pt>
                <c:pt idx="192">
                  <c:v>SVC_E164</c:v>
                </c:pt>
                <c:pt idx="193">
                  <c:v>AEP Texas_EX26</c:v>
                </c:pt>
                <c:pt idx="194">
                  <c:v>SVC_E192</c:v>
                </c:pt>
                <c:pt idx="195">
                  <c:v>SVC_E137</c:v>
                </c:pt>
                <c:pt idx="196">
                  <c:v>SVC_E185</c:v>
                </c:pt>
                <c:pt idx="197">
                  <c:v>SVC_E106</c:v>
                </c:pt>
                <c:pt idx="198">
                  <c:v>SVC_E180</c:v>
                </c:pt>
                <c:pt idx="199">
                  <c:v>AEP Texas_EX12</c:v>
                </c:pt>
                <c:pt idx="200">
                  <c:v>SVC_E133</c:v>
                </c:pt>
                <c:pt idx="201">
                  <c:v>SVC_E119</c:v>
                </c:pt>
                <c:pt idx="202">
                  <c:v>SVC_E206</c:v>
                </c:pt>
                <c:pt idx="203">
                  <c:v>SVC_E86</c:v>
                </c:pt>
                <c:pt idx="204">
                  <c:v>SVC_E207</c:v>
                </c:pt>
                <c:pt idx="205">
                  <c:v>SVC_E171</c:v>
                </c:pt>
                <c:pt idx="206">
                  <c:v>SVC_E219</c:v>
                </c:pt>
                <c:pt idx="207">
                  <c:v>SVC_E54</c:v>
                </c:pt>
                <c:pt idx="208">
                  <c:v>SVC_E167</c:v>
                </c:pt>
                <c:pt idx="209">
                  <c:v>AEP Texas_EX11</c:v>
                </c:pt>
                <c:pt idx="210">
                  <c:v>SVC_E196</c:v>
                </c:pt>
                <c:pt idx="211">
                  <c:v>SVC_E13</c:v>
                </c:pt>
                <c:pt idx="212">
                  <c:v>SVC_E94</c:v>
                </c:pt>
                <c:pt idx="213">
                  <c:v>SVC_E169</c:v>
                </c:pt>
                <c:pt idx="214">
                  <c:v>SVC_E197</c:v>
                </c:pt>
                <c:pt idx="215">
                  <c:v>SVC_E12</c:v>
                </c:pt>
                <c:pt idx="216">
                  <c:v>AEP Texas_EX41</c:v>
                </c:pt>
                <c:pt idx="217">
                  <c:v>AEP Texas_EX61</c:v>
                </c:pt>
                <c:pt idx="218">
                  <c:v>AEP Texas_EX44</c:v>
                </c:pt>
                <c:pt idx="219">
                  <c:v>SVC_E155</c:v>
                </c:pt>
                <c:pt idx="220">
                  <c:v>AEP Texas_EX19</c:v>
                </c:pt>
                <c:pt idx="221">
                  <c:v>AEP Texas_EX29</c:v>
                </c:pt>
                <c:pt idx="222">
                  <c:v>SVC_E95</c:v>
                </c:pt>
                <c:pt idx="223">
                  <c:v>AEP Texas_EX17</c:v>
                </c:pt>
                <c:pt idx="224">
                  <c:v>SVC_E48</c:v>
                </c:pt>
                <c:pt idx="225">
                  <c:v>SVC_E131 (5)</c:v>
                </c:pt>
                <c:pt idx="226">
                  <c:v>SVC_E225</c:v>
                </c:pt>
                <c:pt idx="227">
                  <c:v>AEP Texas_EX5</c:v>
                </c:pt>
                <c:pt idx="228">
                  <c:v>SVC_E97</c:v>
                </c:pt>
                <c:pt idx="229">
                  <c:v>SVC_E27</c:v>
                </c:pt>
                <c:pt idx="230">
                  <c:v>SVC_E165</c:v>
                </c:pt>
                <c:pt idx="231">
                  <c:v>SVC_E150</c:v>
                </c:pt>
                <c:pt idx="232">
                  <c:v>SVC_E178</c:v>
                </c:pt>
                <c:pt idx="233">
                  <c:v>AEP Texas_EX1</c:v>
                </c:pt>
                <c:pt idx="234">
                  <c:v>SVC_E194</c:v>
                </c:pt>
                <c:pt idx="235">
                  <c:v>SVC_E70</c:v>
                </c:pt>
                <c:pt idx="236">
                  <c:v>SVC_E166</c:v>
                </c:pt>
                <c:pt idx="237">
                  <c:v>AEP Texas_EX25</c:v>
                </c:pt>
                <c:pt idx="238">
                  <c:v>AEP Texas_EX22</c:v>
                </c:pt>
                <c:pt idx="239">
                  <c:v>AEP Texas_EX39</c:v>
                </c:pt>
                <c:pt idx="240">
                  <c:v>AEP Texas_EX14</c:v>
                </c:pt>
                <c:pt idx="241">
                  <c:v>SVC_E203</c:v>
                </c:pt>
                <c:pt idx="242">
                  <c:v>SVC_E213</c:v>
                </c:pt>
                <c:pt idx="243">
                  <c:v>SVC_E37</c:v>
                </c:pt>
                <c:pt idx="244">
                  <c:v>SVC_E214</c:v>
                </c:pt>
                <c:pt idx="245">
                  <c:v>SVC_E204</c:v>
                </c:pt>
                <c:pt idx="246">
                  <c:v>SVC_E201</c:v>
                </c:pt>
                <c:pt idx="247">
                  <c:v>SVC_E193</c:v>
                </c:pt>
                <c:pt idx="248">
                  <c:v>SVC_E32</c:v>
                </c:pt>
                <c:pt idx="249">
                  <c:v>SVC_E66</c:v>
                </c:pt>
                <c:pt idx="250">
                  <c:v>SVC_E145</c:v>
                </c:pt>
                <c:pt idx="251">
                  <c:v>SVC_E83</c:v>
                </c:pt>
                <c:pt idx="252">
                  <c:v>AEP Texas_EX33</c:v>
                </c:pt>
                <c:pt idx="253">
                  <c:v>AEP Texas_EX55</c:v>
                </c:pt>
                <c:pt idx="254">
                  <c:v>AEP Texas_EX40</c:v>
                </c:pt>
                <c:pt idx="255">
                  <c:v>AEP Texas_EX54</c:v>
                </c:pt>
                <c:pt idx="256">
                  <c:v>AEP Texas_EX21</c:v>
                </c:pt>
                <c:pt idx="257">
                  <c:v>AEP Texas_EX24</c:v>
                </c:pt>
                <c:pt idx="258">
                  <c:v>SVC_E51</c:v>
                </c:pt>
                <c:pt idx="259">
                  <c:v>SVC_E148</c:v>
                </c:pt>
                <c:pt idx="260">
                  <c:v>SVC_E134</c:v>
                </c:pt>
                <c:pt idx="261">
                  <c:v>SVC_E100</c:v>
                </c:pt>
                <c:pt idx="262">
                  <c:v>SVC_E49</c:v>
                </c:pt>
                <c:pt idx="263">
                  <c:v>SVC_E58</c:v>
                </c:pt>
                <c:pt idx="264">
                  <c:v>SVC_E25</c:v>
                </c:pt>
                <c:pt idx="265">
                  <c:v>SVC_E113</c:v>
                </c:pt>
                <c:pt idx="266">
                  <c:v>SVC_E69</c:v>
                </c:pt>
                <c:pt idx="267">
                  <c:v>AEP Texas_EX10</c:v>
                </c:pt>
                <c:pt idx="268">
                  <c:v>SVC_E33</c:v>
                </c:pt>
                <c:pt idx="269">
                  <c:v>AEP Texas_EX13</c:v>
                </c:pt>
                <c:pt idx="270">
                  <c:v>SVC_E38</c:v>
                </c:pt>
                <c:pt idx="271">
                  <c:v>SVC_E57</c:v>
                </c:pt>
                <c:pt idx="272">
                  <c:v>AEP Texas_EX59</c:v>
                </c:pt>
                <c:pt idx="273">
                  <c:v>AEP Texas_EX37</c:v>
                </c:pt>
                <c:pt idx="274">
                  <c:v>AEP Texas_EX36</c:v>
                </c:pt>
                <c:pt idx="275">
                  <c:v>SVC_E42</c:v>
                </c:pt>
                <c:pt idx="276">
                  <c:v>SVC_E223</c:v>
                </c:pt>
                <c:pt idx="277">
                  <c:v>SVC_E35</c:v>
                </c:pt>
                <c:pt idx="278">
                  <c:v>SVC_E157</c:v>
                </c:pt>
                <c:pt idx="279">
                  <c:v>SVC_E46</c:v>
                </c:pt>
                <c:pt idx="280">
                  <c:v>SVC_E45</c:v>
                </c:pt>
                <c:pt idx="281">
                  <c:v>SVC_E34</c:v>
                </c:pt>
                <c:pt idx="282">
                  <c:v>AEP Texas_EX27</c:v>
                </c:pt>
                <c:pt idx="283">
                  <c:v>AEP Texas_EX38</c:v>
                </c:pt>
                <c:pt idx="284">
                  <c:v>SVC_E36</c:v>
                </c:pt>
                <c:pt idx="285">
                  <c:v>SVC_E227</c:v>
                </c:pt>
                <c:pt idx="286">
                  <c:v>SVC_E43</c:v>
                </c:pt>
                <c:pt idx="287">
                  <c:v>SVC_E181</c:v>
                </c:pt>
                <c:pt idx="288">
                  <c:v>AEP Texas_EX15</c:v>
                </c:pt>
              </c:strCache>
            </c:strRef>
          </c:cat>
          <c:val>
            <c:numRef>
              <c:f>'Exempt Graph Data All'!$B$4:$B$292</c:f>
              <c:numCache>
                <c:formatCode>0.0%</c:formatCode>
                <c:ptCount val="289"/>
                <c:pt idx="0">
                  <c:v>1.4977620046720392</c:v>
                </c:pt>
                <c:pt idx="1">
                  <c:v>1.3151011845530578</c:v>
                </c:pt>
                <c:pt idx="2">
                  <c:v>1.2491422259071603</c:v>
                </c:pt>
                <c:pt idx="3">
                  <c:v>1.2407420050940499</c:v>
                </c:pt>
                <c:pt idx="4">
                  <c:v>1.2204236123423007</c:v>
                </c:pt>
                <c:pt idx="5">
                  <c:v>1.2099920813331679</c:v>
                </c:pt>
                <c:pt idx="6">
                  <c:v>1.2067529111306918</c:v>
                </c:pt>
                <c:pt idx="7">
                  <c:v>1.1939249265615641</c:v>
                </c:pt>
                <c:pt idx="8">
                  <c:v>1.1907645244920881</c:v>
                </c:pt>
                <c:pt idx="9">
                  <c:v>1.1766432633626449</c:v>
                </c:pt>
                <c:pt idx="10">
                  <c:v>1.1718179966274358</c:v>
                </c:pt>
                <c:pt idx="11">
                  <c:v>1.1616149768553725</c:v>
                </c:pt>
                <c:pt idx="12">
                  <c:v>1.1607356301606677</c:v>
                </c:pt>
                <c:pt idx="13">
                  <c:v>1.1606422817967721</c:v>
                </c:pt>
                <c:pt idx="14">
                  <c:v>1.1426289806687635</c:v>
                </c:pt>
                <c:pt idx="15">
                  <c:v>1.1383355929851671</c:v>
                </c:pt>
                <c:pt idx="16">
                  <c:v>1.1362406301898307</c:v>
                </c:pt>
                <c:pt idx="17">
                  <c:v>1.1306646753897185</c:v>
                </c:pt>
                <c:pt idx="18">
                  <c:v>1.1197770797835378</c:v>
                </c:pt>
                <c:pt idx="19">
                  <c:v>1.119331221425377</c:v>
                </c:pt>
                <c:pt idx="20">
                  <c:v>1.118616309729892</c:v>
                </c:pt>
                <c:pt idx="21">
                  <c:v>1.1176680596476036</c:v>
                </c:pt>
                <c:pt idx="22">
                  <c:v>1.1140489596585086</c:v>
                </c:pt>
                <c:pt idx="23">
                  <c:v>1.1091185579317127</c:v>
                </c:pt>
                <c:pt idx="24">
                  <c:v>1.108531367761953</c:v>
                </c:pt>
                <c:pt idx="25">
                  <c:v>1.107762374815531</c:v>
                </c:pt>
                <c:pt idx="26">
                  <c:v>1.0988914346716114</c:v>
                </c:pt>
                <c:pt idx="27">
                  <c:v>1.0974406631556479</c:v>
                </c:pt>
                <c:pt idx="28">
                  <c:v>1.0869744122699958</c:v>
                </c:pt>
                <c:pt idx="29">
                  <c:v>1.0853999520356445</c:v>
                </c:pt>
                <c:pt idx="30">
                  <c:v>1.0849441950164902</c:v>
                </c:pt>
                <c:pt idx="31">
                  <c:v>1.0825026531939403</c:v>
                </c:pt>
                <c:pt idx="32">
                  <c:v>1.0766277657857832</c:v>
                </c:pt>
                <c:pt idx="33">
                  <c:v>1.0747992723313771</c:v>
                </c:pt>
                <c:pt idx="34">
                  <c:v>1.0736598887755204</c:v>
                </c:pt>
                <c:pt idx="35">
                  <c:v>1.0709960860421011</c:v>
                </c:pt>
                <c:pt idx="36">
                  <c:v>1.0706976276197266</c:v>
                </c:pt>
                <c:pt idx="37">
                  <c:v>1.070335525069757</c:v>
                </c:pt>
                <c:pt idx="38">
                  <c:v>1.0662952405244477</c:v>
                </c:pt>
                <c:pt idx="39">
                  <c:v>1.0659309100694616</c:v>
                </c:pt>
                <c:pt idx="40">
                  <c:v>1.060077313088414</c:v>
                </c:pt>
                <c:pt idx="41">
                  <c:v>1.0565470116796696</c:v>
                </c:pt>
                <c:pt idx="42">
                  <c:v>1.0530103637186632</c:v>
                </c:pt>
                <c:pt idx="43">
                  <c:v>1.0518230242150324</c:v>
                </c:pt>
                <c:pt idx="44">
                  <c:v>1.0462451652942153</c:v>
                </c:pt>
                <c:pt idx="45">
                  <c:v>1.0440957022403898</c:v>
                </c:pt>
                <c:pt idx="46">
                  <c:v>1.0429894343463175</c:v>
                </c:pt>
                <c:pt idx="47">
                  <c:v>1.0427826658256243</c:v>
                </c:pt>
                <c:pt idx="48">
                  <c:v>1.0406381851109479</c:v>
                </c:pt>
                <c:pt idx="49">
                  <c:v>1.0376049344951102</c:v>
                </c:pt>
                <c:pt idx="50">
                  <c:v>1.0362864308879396</c:v>
                </c:pt>
                <c:pt idx="51">
                  <c:v>1.0359572029031219</c:v>
                </c:pt>
                <c:pt idx="52">
                  <c:v>1.0349470846105286</c:v>
                </c:pt>
                <c:pt idx="53">
                  <c:v>1.0348951344655959</c:v>
                </c:pt>
                <c:pt idx="54">
                  <c:v>1.0322880977643092</c:v>
                </c:pt>
                <c:pt idx="55">
                  <c:v>1.0319925185652783</c:v>
                </c:pt>
                <c:pt idx="56">
                  <c:v>1.031154450808212</c:v>
                </c:pt>
                <c:pt idx="57">
                  <c:v>1.0285109539877735</c:v>
                </c:pt>
                <c:pt idx="58">
                  <c:v>1.0283454679992441</c:v>
                </c:pt>
                <c:pt idx="59">
                  <c:v>1.0279057318384892</c:v>
                </c:pt>
                <c:pt idx="60">
                  <c:v>1.0260743937363117</c:v>
                </c:pt>
                <c:pt idx="61">
                  <c:v>1.0231361349459975</c:v>
                </c:pt>
                <c:pt idx="62">
                  <c:v>1.0207242907100393</c:v>
                </c:pt>
                <c:pt idx="63">
                  <c:v>1.0190180504036834</c:v>
                </c:pt>
                <c:pt idx="64">
                  <c:v>1.0190049044112277</c:v>
                </c:pt>
                <c:pt idx="65">
                  <c:v>1.0173895470231979</c:v>
                </c:pt>
                <c:pt idx="66">
                  <c:v>1.01672470490788</c:v>
                </c:pt>
                <c:pt idx="67">
                  <c:v>1.0163369903209587</c:v>
                </c:pt>
                <c:pt idx="68">
                  <c:v>1.0153386525879737</c:v>
                </c:pt>
                <c:pt idx="69">
                  <c:v>1.0147996591255037</c:v>
                </c:pt>
                <c:pt idx="70">
                  <c:v>1.0143204163725079</c:v>
                </c:pt>
                <c:pt idx="71">
                  <c:v>1.0090110794545843</c:v>
                </c:pt>
                <c:pt idx="72">
                  <c:v>1.0073609091950031</c:v>
                </c:pt>
                <c:pt idx="73">
                  <c:v>1.0059184316260639</c:v>
                </c:pt>
                <c:pt idx="74">
                  <c:v>1.0022726528138521</c:v>
                </c:pt>
                <c:pt idx="75">
                  <c:v>1.0018625808267425</c:v>
                </c:pt>
                <c:pt idx="76">
                  <c:v>1.0018187815854303</c:v>
                </c:pt>
                <c:pt idx="77">
                  <c:v>0.99937662770556768</c:v>
                </c:pt>
                <c:pt idx="78">
                  <c:v>0.99889780543076323</c:v>
                </c:pt>
                <c:pt idx="79">
                  <c:v>0.99868815475051442</c:v>
                </c:pt>
                <c:pt idx="80">
                  <c:v>0.99847724201297516</c:v>
                </c:pt>
                <c:pt idx="81">
                  <c:v>0.9972868834124895</c:v>
                </c:pt>
                <c:pt idx="82">
                  <c:v>0.99712444710189718</c:v>
                </c:pt>
                <c:pt idx="83">
                  <c:v>0.99706448263281167</c:v>
                </c:pt>
                <c:pt idx="84">
                  <c:v>0.99685888155518554</c:v>
                </c:pt>
                <c:pt idx="85">
                  <c:v>0.99637195092707764</c:v>
                </c:pt>
                <c:pt idx="86">
                  <c:v>0.99591189959148163</c:v>
                </c:pt>
                <c:pt idx="87">
                  <c:v>0.99558113446249374</c:v>
                </c:pt>
                <c:pt idx="88">
                  <c:v>0.99550151911532436</c:v>
                </c:pt>
                <c:pt idx="89">
                  <c:v>0.99537706160225492</c:v>
                </c:pt>
                <c:pt idx="90">
                  <c:v>0.99434052704899967</c:v>
                </c:pt>
                <c:pt idx="91">
                  <c:v>0.99415317065003395</c:v>
                </c:pt>
                <c:pt idx="92">
                  <c:v>0.99346645222530139</c:v>
                </c:pt>
                <c:pt idx="93">
                  <c:v>0.99217738677097145</c:v>
                </c:pt>
                <c:pt idx="94">
                  <c:v>0.99135549413610125</c:v>
                </c:pt>
                <c:pt idx="95">
                  <c:v>0.99049054338648856</c:v>
                </c:pt>
                <c:pt idx="96">
                  <c:v>0.98944801184696118</c:v>
                </c:pt>
                <c:pt idx="97">
                  <c:v>0.98930017973309203</c:v>
                </c:pt>
                <c:pt idx="98">
                  <c:v>0.98915712951310764</c:v>
                </c:pt>
                <c:pt idx="99">
                  <c:v>0.9887748860920792</c:v>
                </c:pt>
                <c:pt idx="100">
                  <c:v>0.98738504699878182</c:v>
                </c:pt>
                <c:pt idx="101">
                  <c:v>0.98691536351168963</c:v>
                </c:pt>
                <c:pt idx="102">
                  <c:v>0.98621824479271625</c:v>
                </c:pt>
                <c:pt idx="103">
                  <c:v>0.98484214051590757</c:v>
                </c:pt>
                <c:pt idx="104">
                  <c:v>0.98471045484649633</c:v>
                </c:pt>
                <c:pt idx="105">
                  <c:v>0.98466315566618512</c:v>
                </c:pt>
                <c:pt idx="106">
                  <c:v>0.98331008838727041</c:v>
                </c:pt>
                <c:pt idx="107">
                  <c:v>0.9827761848851263</c:v>
                </c:pt>
                <c:pt idx="108">
                  <c:v>0.98149618388686732</c:v>
                </c:pt>
                <c:pt idx="109">
                  <c:v>0.97952933178044943</c:v>
                </c:pt>
                <c:pt idx="110">
                  <c:v>0.97826728501545346</c:v>
                </c:pt>
                <c:pt idx="111">
                  <c:v>0.97811711696418946</c:v>
                </c:pt>
                <c:pt idx="112">
                  <c:v>0.97796740586730291</c:v>
                </c:pt>
                <c:pt idx="113">
                  <c:v>0.97721225569303971</c:v>
                </c:pt>
                <c:pt idx="114">
                  <c:v>0.97596926058489952</c:v>
                </c:pt>
                <c:pt idx="115">
                  <c:v>0.97575046164971502</c:v>
                </c:pt>
                <c:pt idx="116">
                  <c:v>0.97567915669691474</c:v>
                </c:pt>
                <c:pt idx="117">
                  <c:v>0.9753218997027685</c:v>
                </c:pt>
                <c:pt idx="118">
                  <c:v>0.97385495472384043</c:v>
                </c:pt>
                <c:pt idx="119">
                  <c:v>0.9738334020811511</c:v>
                </c:pt>
                <c:pt idx="120">
                  <c:v>0.97214649797009967</c:v>
                </c:pt>
                <c:pt idx="121">
                  <c:v>0.97127174011645456</c:v>
                </c:pt>
                <c:pt idx="122">
                  <c:v>0.97080114229407222</c:v>
                </c:pt>
                <c:pt idx="123">
                  <c:v>0.97027549420537074</c:v>
                </c:pt>
                <c:pt idx="124">
                  <c:v>0.97020707627041902</c:v>
                </c:pt>
                <c:pt idx="125">
                  <c:v>0.96946823514707292</c:v>
                </c:pt>
                <c:pt idx="126">
                  <c:v>0.96889458628001246</c:v>
                </c:pt>
                <c:pt idx="127">
                  <c:v>0.96796525039347237</c:v>
                </c:pt>
                <c:pt idx="128">
                  <c:v>0.9678644727562975</c:v>
                </c:pt>
                <c:pt idx="129">
                  <c:v>0.9677655429960943</c:v>
                </c:pt>
                <c:pt idx="130">
                  <c:v>0.9667651052207169</c:v>
                </c:pt>
                <c:pt idx="131">
                  <c:v>0.96524906437233748</c:v>
                </c:pt>
                <c:pt idx="132">
                  <c:v>0.96414755446123834</c:v>
                </c:pt>
                <c:pt idx="133">
                  <c:v>0.96409858024929873</c:v>
                </c:pt>
                <c:pt idx="134">
                  <c:v>0.96333044111131438</c:v>
                </c:pt>
                <c:pt idx="135">
                  <c:v>0.96247315087463792</c:v>
                </c:pt>
                <c:pt idx="136">
                  <c:v>0.96168787526507449</c:v>
                </c:pt>
                <c:pt idx="137">
                  <c:v>0.96147991368590313</c:v>
                </c:pt>
                <c:pt idx="138">
                  <c:v>0.95989177271258563</c:v>
                </c:pt>
                <c:pt idx="139">
                  <c:v>0.95975325348953655</c:v>
                </c:pt>
                <c:pt idx="140">
                  <c:v>0.95909844110712117</c:v>
                </c:pt>
                <c:pt idx="141">
                  <c:v>0.95612900116960886</c:v>
                </c:pt>
                <c:pt idx="142">
                  <c:v>0.95612516390504232</c:v>
                </c:pt>
                <c:pt idx="143">
                  <c:v>0.95541494022128548</c:v>
                </c:pt>
                <c:pt idx="144">
                  <c:v>0.95473744231263258</c:v>
                </c:pt>
                <c:pt idx="145">
                  <c:v>0.9546357913098793</c:v>
                </c:pt>
                <c:pt idx="146">
                  <c:v>0.95430367860160714</c:v>
                </c:pt>
                <c:pt idx="147">
                  <c:v>0.95420694752930402</c:v>
                </c:pt>
                <c:pt idx="148">
                  <c:v>0.95363202471654607</c:v>
                </c:pt>
                <c:pt idx="149">
                  <c:v>0.95313945431244218</c:v>
                </c:pt>
                <c:pt idx="150">
                  <c:v>0.95296712728140509</c:v>
                </c:pt>
                <c:pt idx="151">
                  <c:v>0.95089549312795796</c:v>
                </c:pt>
                <c:pt idx="152">
                  <c:v>0.95027307100290281</c:v>
                </c:pt>
                <c:pt idx="153">
                  <c:v>0.95008741196978175</c:v>
                </c:pt>
                <c:pt idx="154">
                  <c:v>0.94941558923691549</c:v>
                </c:pt>
                <c:pt idx="155">
                  <c:v>0.94915442257415483</c:v>
                </c:pt>
                <c:pt idx="156">
                  <c:v>0.94790168674425557</c:v>
                </c:pt>
                <c:pt idx="157">
                  <c:v>0.94662238679732003</c:v>
                </c:pt>
                <c:pt idx="158">
                  <c:v>0.94565814069089815</c:v>
                </c:pt>
                <c:pt idx="159">
                  <c:v>0.9456513948134655</c:v>
                </c:pt>
                <c:pt idx="160">
                  <c:v>0.94459618863978145</c:v>
                </c:pt>
                <c:pt idx="161">
                  <c:v>0.94238005419061421</c:v>
                </c:pt>
                <c:pt idx="162">
                  <c:v>0.9418031210807013</c:v>
                </c:pt>
                <c:pt idx="163">
                  <c:v>0.94155009247843169</c:v>
                </c:pt>
                <c:pt idx="164">
                  <c:v>0.94055489172732676</c:v>
                </c:pt>
                <c:pt idx="165">
                  <c:v>0.93968178221580789</c:v>
                </c:pt>
                <c:pt idx="166">
                  <c:v>0.93817155166449295</c:v>
                </c:pt>
                <c:pt idx="167">
                  <c:v>0.93752864111632772</c:v>
                </c:pt>
                <c:pt idx="168">
                  <c:v>0.93721151938360092</c:v>
                </c:pt>
                <c:pt idx="169">
                  <c:v>0.93577388920099336</c:v>
                </c:pt>
                <c:pt idx="170">
                  <c:v>0.93576111233888737</c:v>
                </c:pt>
                <c:pt idx="171">
                  <c:v>0.93543732593448292</c:v>
                </c:pt>
                <c:pt idx="172">
                  <c:v>0.93433819028917187</c:v>
                </c:pt>
                <c:pt idx="173">
                  <c:v>0.93402161860328037</c:v>
                </c:pt>
                <c:pt idx="174">
                  <c:v>0.93368536066946162</c:v>
                </c:pt>
                <c:pt idx="175">
                  <c:v>0.93122280137297708</c:v>
                </c:pt>
                <c:pt idx="176">
                  <c:v>0.93107600985614747</c:v>
                </c:pt>
                <c:pt idx="177">
                  <c:v>0.92955966505792209</c:v>
                </c:pt>
                <c:pt idx="178">
                  <c:v>0.92950494270580519</c:v>
                </c:pt>
                <c:pt idx="179">
                  <c:v>0.92915355661455457</c:v>
                </c:pt>
                <c:pt idx="180">
                  <c:v>0.92753345247172747</c:v>
                </c:pt>
                <c:pt idx="181">
                  <c:v>0.92575925226597411</c:v>
                </c:pt>
                <c:pt idx="182">
                  <c:v>0.92567644139863603</c:v>
                </c:pt>
                <c:pt idx="183">
                  <c:v>0.92501851792847978</c:v>
                </c:pt>
                <c:pt idx="184">
                  <c:v>0.92477028398078809</c:v>
                </c:pt>
                <c:pt idx="185">
                  <c:v>0.92401652390968991</c:v>
                </c:pt>
                <c:pt idx="186">
                  <c:v>0.9233076469417022</c:v>
                </c:pt>
                <c:pt idx="187">
                  <c:v>0.92265290672798916</c:v>
                </c:pt>
                <c:pt idx="188">
                  <c:v>0.92185045151805889</c:v>
                </c:pt>
                <c:pt idx="189">
                  <c:v>0.92161310522032802</c:v>
                </c:pt>
                <c:pt idx="190">
                  <c:v>0.92140232967797298</c:v>
                </c:pt>
                <c:pt idx="191">
                  <c:v>0.92124197672155517</c:v>
                </c:pt>
                <c:pt idx="192">
                  <c:v>0.9203359146386525</c:v>
                </c:pt>
                <c:pt idx="193">
                  <c:v>0.91977494899030487</c:v>
                </c:pt>
                <c:pt idx="194">
                  <c:v>0.91864798487648158</c:v>
                </c:pt>
                <c:pt idx="195">
                  <c:v>0.91802776765082095</c:v>
                </c:pt>
                <c:pt idx="196">
                  <c:v>0.91677225951745933</c:v>
                </c:pt>
                <c:pt idx="197">
                  <c:v>0.91612621083240886</c:v>
                </c:pt>
                <c:pt idx="198">
                  <c:v>0.91596921744183357</c:v>
                </c:pt>
                <c:pt idx="199">
                  <c:v>0.91426885856410101</c:v>
                </c:pt>
                <c:pt idx="200">
                  <c:v>0.91395696814538807</c:v>
                </c:pt>
                <c:pt idx="201">
                  <c:v>0.91341221868384748</c:v>
                </c:pt>
                <c:pt idx="202">
                  <c:v>0.91255232951485044</c:v>
                </c:pt>
                <c:pt idx="203">
                  <c:v>0.91139074445046575</c:v>
                </c:pt>
                <c:pt idx="204">
                  <c:v>0.91130425240555901</c:v>
                </c:pt>
                <c:pt idx="205">
                  <c:v>0.91042605294876922</c:v>
                </c:pt>
                <c:pt idx="206">
                  <c:v>0.90957890891464244</c:v>
                </c:pt>
                <c:pt idx="207">
                  <c:v>0.90648092432739136</c:v>
                </c:pt>
                <c:pt idx="208">
                  <c:v>0.90621146513142781</c:v>
                </c:pt>
                <c:pt idx="209">
                  <c:v>0.90164614243342078</c:v>
                </c:pt>
                <c:pt idx="210">
                  <c:v>0.90112688537270047</c:v>
                </c:pt>
                <c:pt idx="211">
                  <c:v>0.90052813185979097</c:v>
                </c:pt>
                <c:pt idx="212">
                  <c:v>0.90036205758629062</c:v>
                </c:pt>
                <c:pt idx="213">
                  <c:v>0.89874270460045491</c:v>
                </c:pt>
                <c:pt idx="214">
                  <c:v>0.89798479148161392</c:v>
                </c:pt>
                <c:pt idx="215">
                  <c:v>0.89664102061142625</c:v>
                </c:pt>
                <c:pt idx="216">
                  <c:v>0.89359609736171153</c:v>
                </c:pt>
                <c:pt idx="217">
                  <c:v>0.89040770977854933</c:v>
                </c:pt>
                <c:pt idx="218">
                  <c:v>0.88987934362417009</c:v>
                </c:pt>
                <c:pt idx="219">
                  <c:v>0.88785171030034193</c:v>
                </c:pt>
                <c:pt idx="220">
                  <c:v>0.88722314962606053</c:v>
                </c:pt>
                <c:pt idx="221">
                  <c:v>0.88425754965090186</c:v>
                </c:pt>
                <c:pt idx="222">
                  <c:v>0.88227714239940491</c:v>
                </c:pt>
                <c:pt idx="223">
                  <c:v>0.88004835664254388</c:v>
                </c:pt>
                <c:pt idx="224">
                  <c:v>0.87652012263664192</c:v>
                </c:pt>
                <c:pt idx="225">
                  <c:v>0.87530805801538403</c:v>
                </c:pt>
                <c:pt idx="226">
                  <c:v>0.87485812533046747</c:v>
                </c:pt>
                <c:pt idx="227">
                  <c:v>0.87352781957202097</c:v>
                </c:pt>
                <c:pt idx="228">
                  <c:v>0.87330744250265069</c:v>
                </c:pt>
                <c:pt idx="229">
                  <c:v>0.87322162189627861</c:v>
                </c:pt>
                <c:pt idx="230">
                  <c:v>0.8730164871338213</c:v>
                </c:pt>
                <c:pt idx="231">
                  <c:v>0.87264115916138152</c:v>
                </c:pt>
                <c:pt idx="232">
                  <c:v>0.87077670845143385</c:v>
                </c:pt>
                <c:pt idx="233">
                  <c:v>0.8697585430703858</c:v>
                </c:pt>
                <c:pt idx="234">
                  <c:v>0.86951829093551081</c:v>
                </c:pt>
                <c:pt idx="235">
                  <c:v>0.8677532239969904</c:v>
                </c:pt>
                <c:pt idx="236">
                  <c:v>0.86703656619671166</c:v>
                </c:pt>
                <c:pt idx="237">
                  <c:v>0.86668616233752771</c:v>
                </c:pt>
                <c:pt idx="238">
                  <c:v>0.86609154190819648</c:v>
                </c:pt>
                <c:pt idx="239">
                  <c:v>0.85995662973722187</c:v>
                </c:pt>
                <c:pt idx="240">
                  <c:v>0.85791075086616586</c:v>
                </c:pt>
                <c:pt idx="241">
                  <c:v>0.85475241939050983</c:v>
                </c:pt>
                <c:pt idx="242">
                  <c:v>0.85368558696429253</c:v>
                </c:pt>
                <c:pt idx="243">
                  <c:v>0.85319767947615632</c:v>
                </c:pt>
                <c:pt idx="244">
                  <c:v>0.85289848135519986</c:v>
                </c:pt>
                <c:pt idx="245">
                  <c:v>0.85165950262071699</c:v>
                </c:pt>
                <c:pt idx="246">
                  <c:v>0.84741611233914005</c:v>
                </c:pt>
                <c:pt idx="247">
                  <c:v>0.84389323291916918</c:v>
                </c:pt>
                <c:pt idx="248">
                  <c:v>0.84378758485874872</c:v>
                </c:pt>
                <c:pt idx="249">
                  <c:v>0.84318559638173851</c:v>
                </c:pt>
                <c:pt idx="250">
                  <c:v>0.84166311549041828</c:v>
                </c:pt>
                <c:pt idx="251">
                  <c:v>0.84095355938211613</c:v>
                </c:pt>
                <c:pt idx="252">
                  <c:v>0.83982753878793859</c:v>
                </c:pt>
                <c:pt idx="253">
                  <c:v>0.83839329631485016</c:v>
                </c:pt>
                <c:pt idx="254">
                  <c:v>0.83458146583533699</c:v>
                </c:pt>
                <c:pt idx="255">
                  <c:v>0.83239002787401173</c:v>
                </c:pt>
                <c:pt idx="256">
                  <c:v>0.83130001735824999</c:v>
                </c:pt>
                <c:pt idx="257">
                  <c:v>0.82993122507252237</c:v>
                </c:pt>
                <c:pt idx="258">
                  <c:v>0.82870634857462111</c:v>
                </c:pt>
                <c:pt idx="259">
                  <c:v>0.82227448842814921</c:v>
                </c:pt>
                <c:pt idx="260">
                  <c:v>0.82224423117758516</c:v>
                </c:pt>
                <c:pt idx="261">
                  <c:v>0.81765377046455734</c:v>
                </c:pt>
                <c:pt idx="262">
                  <c:v>0.81677733811277808</c:v>
                </c:pt>
                <c:pt idx="263">
                  <c:v>0.81643031624828777</c:v>
                </c:pt>
                <c:pt idx="264">
                  <c:v>0.81464793861352558</c:v>
                </c:pt>
                <c:pt idx="265">
                  <c:v>0.80821311087802949</c:v>
                </c:pt>
                <c:pt idx="266">
                  <c:v>0.8079349692622978</c:v>
                </c:pt>
                <c:pt idx="267">
                  <c:v>0.80671067486428394</c:v>
                </c:pt>
                <c:pt idx="268">
                  <c:v>0.80520625864991313</c:v>
                </c:pt>
                <c:pt idx="269">
                  <c:v>0.80317027612031366</c:v>
                </c:pt>
                <c:pt idx="270">
                  <c:v>0.80175237599184979</c:v>
                </c:pt>
                <c:pt idx="271">
                  <c:v>0.80003571931190465</c:v>
                </c:pt>
                <c:pt idx="272">
                  <c:v>0.79693719679631814</c:v>
                </c:pt>
                <c:pt idx="273">
                  <c:v>0.79568162227440731</c:v>
                </c:pt>
                <c:pt idx="274">
                  <c:v>0.79470770370375243</c:v>
                </c:pt>
                <c:pt idx="275">
                  <c:v>0.79426522180965942</c:v>
                </c:pt>
                <c:pt idx="276">
                  <c:v>0.79286665223280073</c:v>
                </c:pt>
                <c:pt idx="277">
                  <c:v>0.79279848123984098</c:v>
                </c:pt>
                <c:pt idx="278">
                  <c:v>0.78906844582420976</c:v>
                </c:pt>
                <c:pt idx="279">
                  <c:v>0.78433370780901301</c:v>
                </c:pt>
                <c:pt idx="280">
                  <c:v>0.7809286138854532</c:v>
                </c:pt>
                <c:pt idx="281">
                  <c:v>0.78080399705026993</c:v>
                </c:pt>
                <c:pt idx="282">
                  <c:v>0.77701435509530581</c:v>
                </c:pt>
                <c:pt idx="283">
                  <c:v>0.77015977654255785</c:v>
                </c:pt>
                <c:pt idx="284">
                  <c:v>0.76074859393006011</c:v>
                </c:pt>
                <c:pt idx="285">
                  <c:v>0.75875235254606721</c:v>
                </c:pt>
                <c:pt idx="286">
                  <c:v>0.74504576994617855</c:v>
                </c:pt>
                <c:pt idx="287">
                  <c:v>0.74036349481675012</c:v>
                </c:pt>
                <c:pt idx="288">
                  <c:v>0.70201954835252833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CF-4B47-A293-69FAF507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125712"/>
        <c:axId val="474122432"/>
        <c:extLst>
          <c:ext xmlns:c15="http://schemas.microsoft.com/office/drawing/2012/chart" uri="{02D57815-91ED-43cb-92C2-25804820EDAC}">
            <c15:filteredLineSeries>
              <c15:ser>
                <c:idx val="1"/>
                <c:order val="5"/>
                <c:tx>
                  <c:strRef>
                    <c:extLst>
                      <c:ext uri="{02D57815-91ED-43cb-92C2-25804820EDAC}">
                        <c15:formulaRef>
                          <c15:sqref>'Exempt Graph Data All'!#REF!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'Exempt Graph Data All'!$A$4:$A$292</c15:sqref>
                        </c15:formulaRef>
                      </c:ext>
                    </c:extLst>
                    <c:strCache>
                      <c:ptCount val="289"/>
                      <c:pt idx="0">
                        <c:v>SVC_E111</c:v>
                      </c:pt>
                      <c:pt idx="1">
                        <c:v>SVC_E138</c:v>
                      </c:pt>
                      <c:pt idx="2">
                        <c:v>SVC_E62</c:v>
                      </c:pt>
                      <c:pt idx="3">
                        <c:v>AEP Texas_EX6</c:v>
                      </c:pt>
                      <c:pt idx="4">
                        <c:v>SVC_E109</c:v>
                      </c:pt>
                      <c:pt idx="5">
                        <c:v>SVC_E15</c:v>
                      </c:pt>
                      <c:pt idx="6">
                        <c:v>AEP Texas_EX30</c:v>
                      </c:pt>
                      <c:pt idx="7">
                        <c:v>SVC_E14</c:v>
                      </c:pt>
                      <c:pt idx="8">
                        <c:v>SVC_E146</c:v>
                      </c:pt>
                      <c:pt idx="9">
                        <c:v>SVC_E124</c:v>
                      </c:pt>
                      <c:pt idx="10">
                        <c:v>SVC_E55</c:v>
                      </c:pt>
                      <c:pt idx="11">
                        <c:v>SVC_E154</c:v>
                      </c:pt>
                      <c:pt idx="12">
                        <c:v>SVC_E121</c:v>
                      </c:pt>
                      <c:pt idx="13">
                        <c:v>SVC_E93</c:v>
                      </c:pt>
                      <c:pt idx="14">
                        <c:v>SVC_E151</c:v>
                      </c:pt>
                      <c:pt idx="15">
                        <c:v>SVC_E17</c:v>
                      </c:pt>
                      <c:pt idx="16">
                        <c:v>SVC_E130</c:v>
                      </c:pt>
                      <c:pt idx="17">
                        <c:v>SVC_E143</c:v>
                      </c:pt>
                      <c:pt idx="18">
                        <c:v>SVC_E84</c:v>
                      </c:pt>
                      <c:pt idx="19">
                        <c:v>SVC_E117</c:v>
                      </c:pt>
                      <c:pt idx="20">
                        <c:v>SVC_E187</c:v>
                      </c:pt>
                      <c:pt idx="21">
                        <c:v>SVC_E68</c:v>
                      </c:pt>
                      <c:pt idx="22">
                        <c:v>SVC_E110</c:v>
                      </c:pt>
                      <c:pt idx="23">
                        <c:v>AEP Texas_EX52</c:v>
                      </c:pt>
                      <c:pt idx="24">
                        <c:v>SVC_E189</c:v>
                      </c:pt>
                      <c:pt idx="25">
                        <c:v>SVC_E11</c:v>
                      </c:pt>
                      <c:pt idx="26">
                        <c:v>SVC_E191</c:v>
                      </c:pt>
                      <c:pt idx="27">
                        <c:v>AEP Texas_EX50</c:v>
                      </c:pt>
                      <c:pt idx="28">
                        <c:v>SVC_E162</c:v>
                      </c:pt>
                      <c:pt idx="29">
                        <c:v>SVC_E112</c:v>
                      </c:pt>
                      <c:pt idx="30">
                        <c:v>SVC_E173</c:v>
                      </c:pt>
                      <c:pt idx="31">
                        <c:v>AEP Texas_EX51</c:v>
                      </c:pt>
                      <c:pt idx="32">
                        <c:v>AEP Texas_EX45</c:v>
                      </c:pt>
                      <c:pt idx="33">
                        <c:v>SVC_E18</c:v>
                      </c:pt>
                      <c:pt idx="34">
                        <c:v>SVC_E82</c:v>
                      </c:pt>
                      <c:pt idx="35">
                        <c:v>SVC_E172</c:v>
                      </c:pt>
                      <c:pt idx="36">
                        <c:v>SVC_E226</c:v>
                      </c:pt>
                      <c:pt idx="37">
                        <c:v>SVC_E39</c:v>
                      </c:pt>
                      <c:pt idx="38">
                        <c:v>SVC_E142</c:v>
                      </c:pt>
                      <c:pt idx="39">
                        <c:v>SVC_E176</c:v>
                      </c:pt>
                      <c:pt idx="40">
                        <c:v>SVC_E44</c:v>
                      </c:pt>
                      <c:pt idx="41">
                        <c:v>SVC_E139</c:v>
                      </c:pt>
                      <c:pt idx="42">
                        <c:v>SVC_E50</c:v>
                      </c:pt>
                      <c:pt idx="43">
                        <c:v>SVC_E127</c:v>
                      </c:pt>
                      <c:pt idx="44">
                        <c:v>SVC_E3</c:v>
                      </c:pt>
                      <c:pt idx="45">
                        <c:v>SVC_E7</c:v>
                      </c:pt>
                      <c:pt idx="46">
                        <c:v>SVC_E79</c:v>
                      </c:pt>
                      <c:pt idx="47">
                        <c:v>SVC_E22</c:v>
                      </c:pt>
                      <c:pt idx="48">
                        <c:v>SVC_E153</c:v>
                      </c:pt>
                      <c:pt idx="49">
                        <c:v>SVC_E40</c:v>
                      </c:pt>
                      <c:pt idx="50">
                        <c:v>SVC_E188</c:v>
                      </c:pt>
                      <c:pt idx="51">
                        <c:v>SVC_E126</c:v>
                      </c:pt>
                      <c:pt idx="52">
                        <c:v>SVC_E212</c:v>
                      </c:pt>
                      <c:pt idx="53">
                        <c:v>AEP Texas_EX49</c:v>
                      </c:pt>
                      <c:pt idx="54">
                        <c:v>SVC_E28</c:v>
                      </c:pt>
                      <c:pt idx="55">
                        <c:v>SVC_E161</c:v>
                      </c:pt>
                      <c:pt idx="56">
                        <c:v>SVC_E71</c:v>
                      </c:pt>
                      <c:pt idx="57">
                        <c:v>SVC_E175</c:v>
                      </c:pt>
                      <c:pt idx="58">
                        <c:v>SVC_E2</c:v>
                      </c:pt>
                      <c:pt idx="59">
                        <c:v>SVC_E6</c:v>
                      </c:pt>
                      <c:pt idx="60">
                        <c:v>SVC_E64</c:v>
                      </c:pt>
                      <c:pt idx="61">
                        <c:v>SVC_E186</c:v>
                      </c:pt>
                      <c:pt idx="62">
                        <c:v>SVC_E144</c:v>
                      </c:pt>
                      <c:pt idx="63">
                        <c:v>SVC_E170</c:v>
                      </c:pt>
                      <c:pt idx="64">
                        <c:v>AEP Texas_EX60</c:v>
                      </c:pt>
                      <c:pt idx="65">
                        <c:v>SVC_E41</c:v>
                      </c:pt>
                      <c:pt idx="66">
                        <c:v>SVC_E8</c:v>
                      </c:pt>
                      <c:pt idx="67">
                        <c:v>SVC_E20</c:v>
                      </c:pt>
                      <c:pt idx="68">
                        <c:v>AEP Texas_EX16</c:v>
                      </c:pt>
                      <c:pt idx="69">
                        <c:v>SVC_E114</c:v>
                      </c:pt>
                      <c:pt idx="70">
                        <c:v>SVC_E160</c:v>
                      </c:pt>
                      <c:pt idx="71">
                        <c:v>SVC_E87</c:v>
                      </c:pt>
                      <c:pt idx="72">
                        <c:v>SVC_E92</c:v>
                      </c:pt>
                      <c:pt idx="73">
                        <c:v>SVC_E132</c:v>
                      </c:pt>
                      <c:pt idx="74">
                        <c:v>AEP Texas_EX57</c:v>
                      </c:pt>
                      <c:pt idx="75">
                        <c:v>SVC_E128</c:v>
                      </c:pt>
                      <c:pt idx="76">
                        <c:v>SVC_E24</c:v>
                      </c:pt>
                      <c:pt idx="77">
                        <c:v>AEP Texas_EX43</c:v>
                      </c:pt>
                      <c:pt idx="78">
                        <c:v>AEP Texas_EX62</c:v>
                      </c:pt>
                      <c:pt idx="79">
                        <c:v>AEP Texas_EX47</c:v>
                      </c:pt>
                      <c:pt idx="80">
                        <c:v>SVC_E19</c:v>
                      </c:pt>
                      <c:pt idx="81">
                        <c:v>SVC_E195</c:v>
                      </c:pt>
                      <c:pt idx="82">
                        <c:v>SVC_E116</c:v>
                      </c:pt>
                      <c:pt idx="83">
                        <c:v>SVC_E158</c:v>
                      </c:pt>
                      <c:pt idx="84">
                        <c:v>SVC_E222</c:v>
                      </c:pt>
                      <c:pt idx="85">
                        <c:v>AEP Texas_EX53</c:v>
                      </c:pt>
                      <c:pt idx="86">
                        <c:v>SVC_E59</c:v>
                      </c:pt>
                      <c:pt idx="87">
                        <c:v>SVC_E30</c:v>
                      </c:pt>
                      <c:pt idx="88">
                        <c:v>SVC_E85</c:v>
                      </c:pt>
                      <c:pt idx="89">
                        <c:v>AEP Texas_EX8</c:v>
                      </c:pt>
                      <c:pt idx="90">
                        <c:v>SVC_E122</c:v>
                      </c:pt>
                      <c:pt idx="91">
                        <c:v>SVC_E210</c:v>
                      </c:pt>
                      <c:pt idx="92">
                        <c:v>SVC_E56</c:v>
                      </c:pt>
                      <c:pt idx="93">
                        <c:v>SVC_E29</c:v>
                      </c:pt>
                      <c:pt idx="94">
                        <c:v>SVC_E104</c:v>
                      </c:pt>
                      <c:pt idx="95">
                        <c:v>AEP Texas_EX48</c:v>
                      </c:pt>
                      <c:pt idx="96">
                        <c:v>SVC_E163</c:v>
                      </c:pt>
                      <c:pt idx="97">
                        <c:v>SVC_E31</c:v>
                      </c:pt>
                      <c:pt idx="98">
                        <c:v>SVC_E224</c:v>
                      </c:pt>
                      <c:pt idx="99">
                        <c:v>SVC_E140</c:v>
                      </c:pt>
                      <c:pt idx="100">
                        <c:v>SVC_E16</c:v>
                      </c:pt>
                      <c:pt idx="101">
                        <c:v>SVC_E67</c:v>
                      </c:pt>
                      <c:pt idx="102">
                        <c:v>SVC_E26</c:v>
                      </c:pt>
                      <c:pt idx="103">
                        <c:v>AEP Texas_EX28</c:v>
                      </c:pt>
                      <c:pt idx="104">
                        <c:v>SVC_E21</c:v>
                      </c:pt>
                      <c:pt idx="105">
                        <c:v>SVC_E152</c:v>
                      </c:pt>
                      <c:pt idx="106">
                        <c:v>SVC_E205</c:v>
                      </c:pt>
                      <c:pt idx="107">
                        <c:v>AEP Texas_EX32</c:v>
                      </c:pt>
                      <c:pt idx="108">
                        <c:v>SVC_E63</c:v>
                      </c:pt>
                      <c:pt idx="109">
                        <c:v>SVC_E129</c:v>
                      </c:pt>
                      <c:pt idx="110">
                        <c:v>AEP Texas_EX35</c:v>
                      </c:pt>
                      <c:pt idx="111">
                        <c:v>SVC_E81</c:v>
                      </c:pt>
                      <c:pt idx="112">
                        <c:v>SVC_E53</c:v>
                      </c:pt>
                      <c:pt idx="113">
                        <c:v>SVC_E23</c:v>
                      </c:pt>
                      <c:pt idx="114">
                        <c:v>SVC_E1</c:v>
                      </c:pt>
                      <c:pt idx="115">
                        <c:v>AEP Texas_EX31</c:v>
                      </c:pt>
                      <c:pt idx="116">
                        <c:v>SVC_E179</c:v>
                      </c:pt>
                      <c:pt idx="117">
                        <c:v>SVC_E108</c:v>
                      </c:pt>
                      <c:pt idx="118">
                        <c:v>SVC_E101</c:v>
                      </c:pt>
                      <c:pt idx="119">
                        <c:v>SVC_E76</c:v>
                      </c:pt>
                      <c:pt idx="120">
                        <c:v>SVC_E73</c:v>
                      </c:pt>
                      <c:pt idx="121">
                        <c:v>SVC_E216</c:v>
                      </c:pt>
                      <c:pt idx="122">
                        <c:v>SVC_E107</c:v>
                      </c:pt>
                      <c:pt idx="123">
                        <c:v>SVC_E141</c:v>
                      </c:pt>
                      <c:pt idx="124">
                        <c:v>SVC_E10</c:v>
                      </c:pt>
                      <c:pt idx="125">
                        <c:v>SVC_E4</c:v>
                      </c:pt>
                      <c:pt idx="126">
                        <c:v>SVC_E120</c:v>
                      </c:pt>
                      <c:pt idx="127">
                        <c:v>SVC_E78</c:v>
                      </c:pt>
                      <c:pt idx="128">
                        <c:v>AEP Texas_EX34</c:v>
                      </c:pt>
                      <c:pt idx="129">
                        <c:v>SVC_E156</c:v>
                      </c:pt>
                      <c:pt idx="130">
                        <c:v>SVC_E98</c:v>
                      </c:pt>
                      <c:pt idx="131">
                        <c:v>SVC_E123</c:v>
                      </c:pt>
                      <c:pt idx="132">
                        <c:v>SVC_E209</c:v>
                      </c:pt>
                      <c:pt idx="133">
                        <c:v>AEP Texas_EX42</c:v>
                      </c:pt>
                      <c:pt idx="134">
                        <c:v>AEP Texas_EX7</c:v>
                      </c:pt>
                      <c:pt idx="135">
                        <c:v>SVC_E5</c:v>
                      </c:pt>
                      <c:pt idx="136">
                        <c:v>AEP Texas_EX46</c:v>
                      </c:pt>
                      <c:pt idx="137">
                        <c:v>AEP Texas_EX18</c:v>
                      </c:pt>
                      <c:pt idx="138">
                        <c:v>SVC_E182</c:v>
                      </c:pt>
                      <c:pt idx="139">
                        <c:v>SVC_E125</c:v>
                      </c:pt>
                      <c:pt idx="140">
                        <c:v>SVC_E221</c:v>
                      </c:pt>
                      <c:pt idx="141">
                        <c:v>SVC_E149</c:v>
                      </c:pt>
                      <c:pt idx="142">
                        <c:v>SVC_E72</c:v>
                      </c:pt>
                      <c:pt idx="143">
                        <c:v>SVC_E174</c:v>
                      </c:pt>
                      <c:pt idx="144">
                        <c:v>SVC_E215</c:v>
                      </c:pt>
                      <c:pt idx="145">
                        <c:v>SVC_E105</c:v>
                      </c:pt>
                      <c:pt idx="146">
                        <c:v>SVC_E77</c:v>
                      </c:pt>
                      <c:pt idx="147">
                        <c:v>AEP Texas_EX58</c:v>
                      </c:pt>
                      <c:pt idx="148">
                        <c:v>SVC_E217</c:v>
                      </c:pt>
                      <c:pt idx="149">
                        <c:v>SVC_E159</c:v>
                      </c:pt>
                      <c:pt idx="150">
                        <c:v>AEP Texas_EX4</c:v>
                      </c:pt>
                      <c:pt idx="151">
                        <c:v>SVC_E183</c:v>
                      </c:pt>
                      <c:pt idx="152">
                        <c:v>SVC_E90</c:v>
                      </c:pt>
                      <c:pt idx="153">
                        <c:v>SVC_E9</c:v>
                      </c:pt>
                      <c:pt idx="154">
                        <c:v>SVC_E75</c:v>
                      </c:pt>
                      <c:pt idx="155">
                        <c:v>SVC_E147</c:v>
                      </c:pt>
                      <c:pt idx="156">
                        <c:v>SVC_E52</c:v>
                      </c:pt>
                      <c:pt idx="157">
                        <c:v>SVC_E89</c:v>
                      </c:pt>
                      <c:pt idx="158">
                        <c:v>SVC_E135</c:v>
                      </c:pt>
                      <c:pt idx="159">
                        <c:v>SVC_E115</c:v>
                      </c:pt>
                      <c:pt idx="160">
                        <c:v>SVC_E47</c:v>
                      </c:pt>
                      <c:pt idx="161">
                        <c:v>SVC_E168</c:v>
                      </c:pt>
                      <c:pt idx="162">
                        <c:v>SVC_E91</c:v>
                      </c:pt>
                      <c:pt idx="163">
                        <c:v>SVC_E220</c:v>
                      </c:pt>
                      <c:pt idx="164">
                        <c:v>SVC_E177</c:v>
                      </c:pt>
                      <c:pt idx="165">
                        <c:v>AEP Texas_EX2</c:v>
                      </c:pt>
                      <c:pt idx="166">
                        <c:v>SVC_E65</c:v>
                      </c:pt>
                      <c:pt idx="167">
                        <c:v>SVC_E190</c:v>
                      </c:pt>
                      <c:pt idx="168">
                        <c:v>AEP Texas_EX20</c:v>
                      </c:pt>
                      <c:pt idx="169">
                        <c:v>SVC_E61</c:v>
                      </c:pt>
                      <c:pt idx="170">
                        <c:v>SVC_E200</c:v>
                      </c:pt>
                      <c:pt idx="171">
                        <c:v>SVC_E103</c:v>
                      </c:pt>
                      <c:pt idx="172">
                        <c:v>SVC_E88</c:v>
                      </c:pt>
                      <c:pt idx="173">
                        <c:v>SVC_E218</c:v>
                      </c:pt>
                      <c:pt idx="174">
                        <c:v>SVC_E60</c:v>
                      </c:pt>
                      <c:pt idx="175">
                        <c:v>AEP Texas_EX23</c:v>
                      </c:pt>
                      <c:pt idx="176">
                        <c:v>SVC_E74</c:v>
                      </c:pt>
                      <c:pt idx="177">
                        <c:v>SVC_E136</c:v>
                      </c:pt>
                      <c:pt idx="178">
                        <c:v>SVC_E211</c:v>
                      </c:pt>
                      <c:pt idx="179">
                        <c:v>SVC_E198</c:v>
                      </c:pt>
                      <c:pt idx="180">
                        <c:v>SVC_E184</c:v>
                      </c:pt>
                      <c:pt idx="181">
                        <c:v>SVC_E118</c:v>
                      </c:pt>
                      <c:pt idx="182">
                        <c:v>SVC_E202</c:v>
                      </c:pt>
                      <c:pt idx="183">
                        <c:v>AEP Texas_EX9</c:v>
                      </c:pt>
                      <c:pt idx="184">
                        <c:v>SVC_E102</c:v>
                      </c:pt>
                      <c:pt idx="185">
                        <c:v>AEP Texas_EX56</c:v>
                      </c:pt>
                      <c:pt idx="186">
                        <c:v>SVC_E80</c:v>
                      </c:pt>
                      <c:pt idx="187">
                        <c:v>SVC_E199</c:v>
                      </c:pt>
                      <c:pt idx="188">
                        <c:v>SVC_E96</c:v>
                      </c:pt>
                      <c:pt idx="189">
                        <c:v>SVC_E99</c:v>
                      </c:pt>
                      <c:pt idx="190">
                        <c:v>SVC_E208</c:v>
                      </c:pt>
                      <c:pt idx="191">
                        <c:v>AEP Texas_EX3</c:v>
                      </c:pt>
                      <c:pt idx="192">
                        <c:v>SVC_E164</c:v>
                      </c:pt>
                      <c:pt idx="193">
                        <c:v>AEP Texas_EX26</c:v>
                      </c:pt>
                      <c:pt idx="194">
                        <c:v>SVC_E192</c:v>
                      </c:pt>
                      <c:pt idx="195">
                        <c:v>SVC_E137</c:v>
                      </c:pt>
                      <c:pt idx="196">
                        <c:v>SVC_E185</c:v>
                      </c:pt>
                      <c:pt idx="197">
                        <c:v>SVC_E106</c:v>
                      </c:pt>
                      <c:pt idx="198">
                        <c:v>SVC_E180</c:v>
                      </c:pt>
                      <c:pt idx="199">
                        <c:v>AEP Texas_EX12</c:v>
                      </c:pt>
                      <c:pt idx="200">
                        <c:v>SVC_E133</c:v>
                      </c:pt>
                      <c:pt idx="201">
                        <c:v>SVC_E119</c:v>
                      </c:pt>
                      <c:pt idx="202">
                        <c:v>SVC_E206</c:v>
                      </c:pt>
                      <c:pt idx="203">
                        <c:v>SVC_E86</c:v>
                      </c:pt>
                      <c:pt idx="204">
                        <c:v>SVC_E207</c:v>
                      </c:pt>
                      <c:pt idx="205">
                        <c:v>SVC_E171</c:v>
                      </c:pt>
                      <c:pt idx="206">
                        <c:v>SVC_E219</c:v>
                      </c:pt>
                      <c:pt idx="207">
                        <c:v>SVC_E54</c:v>
                      </c:pt>
                      <c:pt idx="208">
                        <c:v>SVC_E167</c:v>
                      </c:pt>
                      <c:pt idx="209">
                        <c:v>AEP Texas_EX11</c:v>
                      </c:pt>
                      <c:pt idx="210">
                        <c:v>SVC_E196</c:v>
                      </c:pt>
                      <c:pt idx="211">
                        <c:v>SVC_E13</c:v>
                      </c:pt>
                      <c:pt idx="212">
                        <c:v>SVC_E94</c:v>
                      </c:pt>
                      <c:pt idx="213">
                        <c:v>SVC_E169</c:v>
                      </c:pt>
                      <c:pt idx="214">
                        <c:v>SVC_E197</c:v>
                      </c:pt>
                      <c:pt idx="215">
                        <c:v>SVC_E12</c:v>
                      </c:pt>
                      <c:pt idx="216">
                        <c:v>AEP Texas_EX41</c:v>
                      </c:pt>
                      <c:pt idx="217">
                        <c:v>AEP Texas_EX61</c:v>
                      </c:pt>
                      <c:pt idx="218">
                        <c:v>AEP Texas_EX44</c:v>
                      </c:pt>
                      <c:pt idx="219">
                        <c:v>SVC_E155</c:v>
                      </c:pt>
                      <c:pt idx="220">
                        <c:v>AEP Texas_EX19</c:v>
                      </c:pt>
                      <c:pt idx="221">
                        <c:v>AEP Texas_EX29</c:v>
                      </c:pt>
                      <c:pt idx="222">
                        <c:v>SVC_E95</c:v>
                      </c:pt>
                      <c:pt idx="223">
                        <c:v>AEP Texas_EX17</c:v>
                      </c:pt>
                      <c:pt idx="224">
                        <c:v>SVC_E48</c:v>
                      </c:pt>
                      <c:pt idx="225">
                        <c:v>SVC_E131 (5)</c:v>
                      </c:pt>
                      <c:pt idx="226">
                        <c:v>SVC_E225</c:v>
                      </c:pt>
                      <c:pt idx="227">
                        <c:v>AEP Texas_EX5</c:v>
                      </c:pt>
                      <c:pt idx="228">
                        <c:v>SVC_E97</c:v>
                      </c:pt>
                      <c:pt idx="229">
                        <c:v>SVC_E27</c:v>
                      </c:pt>
                      <c:pt idx="230">
                        <c:v>SVC_E165</c:v>
                      </c:pt>
                      <c:pt idx="231">
                        <c:v>SVC_E150</c:v>
                      </c:pt>
                      <c:pt idx="232">
                        <c:v>SVC_E178</c:v>
                      </c:pt>
                      <c:pt idx="233">
                        <c:v>AEP Texas_EX1</c:v>
                      </c:pt>
                      <c:pt idx="234">
                        <c:v>SVC_E194</c:v>
                      </c:pt>
                      <c:pt idx="235">
                        <c:v>SVC_E70</c:v>
                      </c:pt>
                      <c:pt idx="236">
                        <c:v>SVC_E166</c:v>
                      </c:pt>
                      <c:pt idx="237">
                        <c:v>AEP Texas_EX25</c:v>
                      </c:pt>
                      <c:pt idx="238">
                        <c:v>AEP Texas_EX22</c:v>
                      </c:pt>
                      <c:pt idx="239">
                        <c:v>AEP Texas_EX39</c:v>
                      </c:pt>
                      <c:pt idx="240">
                        <c:v>AEP Texas_EX14</c:v>
                      </c:pt>
                      <c:pt idx="241">
                        <c:v>SVC_E203</c:v>
                      </c:pt>
                      <c:pt idx="242">
                        <c:v>SVC_E213</c:v>
                      </c:pt>
                      <c:pt idx="243">
                        <c:v>SVC_E37</c:v>
                      </c:pt>
                      <c:pt idx="244">
                        <c:v>SVC_E214</c:v>
                      </c:pt>
                      <c:pt idx="245">
                        <c:v>SVC_E204</c:v>
                      </c:pt>
                      <c:pt idx="246">
                        <c:v>SVC_E201</c:v>
                      </c:pt>
                      <c:pt idx="247">
                        <c:v>SVC_E193</c:v>
                      </c:pt>
                      <c:pt idx="248">
                        <c:v>SVC_E32</c:v>
                      </c:pt>
                      <c:pt idx="249">
                        <c:v>SVC_E66</c:v>
                      </c:pt>
                      <c:pt idx="250">
                        <c:v>SVC_E145</c:v>
                      </c:pt>
                      <c:pt idx="251">
                        <c:v>SVC_E83</c:v>
                      </c:pt>
                      <c:pt idx="252">
                        <c:v>AEP Texas_EX33</c:v>
                      </c:pt>
                      <c:pt idx="253">
                        <c:v>AEP Texas_EX55</c:v>
                      </c:pt>
                      <c:pt idx="254">
                        <c:v>AEP Texas_EX40</c:v>
                      </c:pt>
                      <c:pt idx="255">
                        <c:v>AEP Texas_EX54</c:v>
                      </c:pt>
                      <c:pt idx="256">
                        <c:v>AEP Texas_EX21</c:v>
                      </c:pt>
                      <c:pt idx="257">
                        <c:v>AEP Texas_EX24</c:v>
                      </c:pt>
                      <c:pt idx="258">
                        <c:v>SVC_E51</c:v>
                      </c:pt>
                      <c:pt idx="259">
                        <c:v>SVC_E148</c:v>
                      </c:pt>
                      <c:pt idx="260">
                        <c:v>SVC_E134</c:v>
                      </c:pt>
                      <c:pt idx="261">
                        <c:v>SVC_E100</c:v>
                      </c:pt>
                      <c:pt idx="262">
                        <c:v>SVC_E49</c:v>
                      </c:pt>
                      <c:pt idx="263">
                        <c:v>SVC_E58</c:v>
                      </c:pt>
                      <c:pt idx="264">
                        <c:v>SVC_E25</c:v>
                      </c:pt>
                      <c:pt idx="265">
                        <c:v>SVC_E113</c:v>
                      </c:pt>
                      <c:pt idx="266">
                        <c:v>SVC_E69</c:v>
                      </c:pt>
                      <c:pt idx="267">
                        <c:v>AEP Texas_EX10</c:v>
                      </c:pt>
                      <c:pt idx="268">
                        <c:v>SVC_E33</c:v>
                      </c:pt>
                      <c:pt idx="269">
                        <c:v>AEP Texas_EX13</c:v>
                      </c:pt>
                      <c:pt idx="270">
                        <c:v>SVC_E38</c:v>
                      </c:pt>
                      <c:pt idx="271">
                        <c:v>SVC_E57</c:v>
                      </c:pt>
                      <c:pt idx="272">
                        <c:v>AEP Texas_EX59</c:v>
                      </c:pt>
                      <c:pt idx="273">
                        <c:v>AEP Texas_EX37</c:v>
                      </c:pt>
                      <c:pt idx="274">
                        <c:v>AEP Texas_EX36</c:v>
                      </c:pt>
                      <c:pt idx="275">
                        <c:v>SVC_E42</c:v>
                      </c:pt>
                      <c:pt idx="276">
                        <c:v>SVC_E223</c:v>
                      </c:pt>
                      <c:pt idx="277">
                        <c:v>SVC_E35</c:v>
                      </c:pt>
                      <c:pt idx="278">
                        <c:v>SVC_E157</c:v>
                      </c:pt>
                      <c:pt idx="279">
                        <c:v>SVC_E46</c:v>
                      </c:pt>
                      <c:pt idx="280">
                        <c:v>SVC_E45</c:v>
                      </c:pt>
                      <c:pt idx="281">
                        <c:v>SVC_E34</c:v>
                      </c:pt>
                      <c:pt idx="282">
                        <c:v>AEP Texas_EX27</c:v>
                      </c:pt>
                      <c:pt idx="283">
                        <c:v>AEP Texas_EX38</c:v>
                      </c:pt>
                      <c:pt idx="284">
                        <c:v>SVC_E36</c:v>
                      </c:pt>
                      <c:pt idx="285">
                        <c:v>SVC_E227</c:v>
                      </c:pt>
                      <c:pt idx="286">
                        <c:v>SVC_E43</c:v>
                      </c:pt>
                      <c:pt idx="287">
                        <c:v>SVC_E181</c:v>
                      </c:pt>
                      <c:pt idx="288">
                        <c:v>AEP Texas_EX15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'Exempt Graph Data All'!#REF!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DCF-4B47-A293-69FAF5077973}"/>
                  </c:ext>
                </c:extLst>
              </c15:ser>
            </c15:filteredLineSeries>
          </c:ext>
        </c:extLst>
      </c:lineChart>
      <c:catAx>
        <c:axId val="47412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AEP Jobs (Every 5th job is labled)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22432"/>
        <c:crosses val="autoZero"/>
        <c:auto val="1"/>
        <c:lblAlgn val="ctr"/>
        <c:lblOffset val="100"/>
        <c:tickLblSkip val="5"/>
        <c:noMultiLvlLbl val="0"/>
      </c:catAx>
      <c:valAx>
        <c:axId val="474122432"/>
        <c:scaling>
          <c:orientation val="minMax"/>
          <c:max val="1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AEP Compensation as a Percent of Market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cross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25712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91" workbookViewId="0"/>
  </sheetViews>
  <pageMargins left="0.7" right="0.7" top="0.75" bottom="0.75" header="0.3" footer="0.3"/>
  <pageSetup orientation="landscape" copies="2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236" cy="62802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N310"/>
  <sheetViews>
    <sheetView tabSelected="1" zoomScaleNormal="100" workbookViewId="0">
      <pane ySplit="4" topLeftCell="A178" activePane="bottomLeft" state="frozen"/>
      <selection activeCell="M19" sqref="M19"/>
      <selection pane="bottomLeft" activeCell="G186" sqref="G185:G186"/>
    </sheetView>
  </sheetViews>
  <sheetFormatPr defaultColWidth="9.140625" defaultRowHeight="12.75" x14ac:dyDescent="0.2"/>
  <cols>
    <col min="1" max="1" width="25.28515625" style="2" customWidth="1"/>
    <col min="2" max="2" width="10.42578125" style="2" customWidth="1"/>
    <col min="3" max="3" width="11.28515625" style="1" bestFit="1" customWidth="1"/>
    <col min="4" max="4" width="11.140625" style="1" bestFit="1" customWidth="1"/>
    <col min="5" max="5" width="11.28515625" style="1" bestFit="1" customWidth="1"/>
    <col min="6" max="6" width="6" style="2" customWidth="1"/>
    <col min="7" max="7" width="11.140625" style="1" bestFit="1" customWidth="1"/>
    <col min="8" max="8" width="10.140625" style="1" bestFit="1" customWidth="1"/>
    <col min="9" max="9" width="11.140625" style="1" bestFit="1" customWidth="1"/>
    <col min="10" max="10" width="11.140625" style="21" bestFit="1" customWidth="1"/>
    <col min="11" max="16384" width="9.140625" style="2"/>
  </cols>
  <sheetData>
    <row r="1" spans="1:10" x14ac:dyDescent="0.2">
      <c r="A1" s="20" t="s">
        <v>241</v>
      </c>
    </row>
    <row r="3" spans="1:10" ht="26.25" customHeight="1" x14ac:dyDescent="0.2">
      <c r="B3" s="22"/>
      <c r="C3" s="34" t="s">
        <v>3</v>
      </c>
      <c r="D3" s="35"/>
      <c r="E3" s="36"/>
      <c r="G3" s="34" t="s">
        <v>4</v>
      </c>
      <c r="H3" s="35"/>
      <c r="I3" s="36"/>
      <c r="J3" s="33" t="s">
        <v>5</v>
      </c>
    </row>
    <row r="4" spans="1:10" s="14" customFormat="1" ht="51" customHeight="1" x14ac:dyDescent="0.25">
      <c r="A4" s="23" t="s">
        <v>17</v>
      </c>
      <c r="B4" s="23" t="s">
        <v>6</v>
      </c>
      <c r="C4" s="24" t="s">
        <v>7</v>
      </c>
      <c r="D4" s="24" t="s">
        <v>8</v>
      </c>
      <c r="E4" s="24" t="s">
        <v>0</v>
      </c>
      <c r="G4" s="24" t="s">
        <v>1</v>
      </c>
      <c r="H4" s="24" t="s">
        <v>9</v>
      </c>
      <c r="I4" s="24" t="s">
        <v>0</v>
      </c>
      <c r="J4" s="23" t="s">
        <v>10</v>
      </c>
    </row>
    <row r="5" spans="1:10" s="14" customFormat="1" x14ac:dyDescent="0.2">
      <c r="A5" s="3" t="s">
        <v>242</v>
      </c>
      <c r="B5" s="12"/>
      <c r="C5" s="13"/>
      <c r="D5" s="13"/>
      <c r="E5" s="13"/>
      <c r="G5" s="13"/>
      <c r="H5" s="13"/>
      <c r="I5" s="13"/>
      <c r="J5" s="12"/>
    </row>
    <row r="6" spans="1:10" x14ac:dyDescent="0.2">
      <c r="A6" s="2" t="s">
        <v>248</v>
      </c>
      <c r="B6" s="2">
        <v>22</v>
      </c>
      <c r="C6" s="1">
        <v>79263.078636363614</v>
      </c>
      <c r="D6" s="10">
        <f>E6-C6</f>
        <v>7133.6770772727323</v>
      </c>
      <c r="E6" s="1">
        <v>86396.755713636347</v>
      </c>
      <c r="G6" s="1">
        <v>92654.216195814006</v>
      </c>
      <c r="H6" s="1">
        <f t="shared" ref="H6" si="0">I6-G6</f>
        <v>6679.9684488599887</v>
      </c>
      <c r="I6" s="1">
        <v>99334.184644673995</v>
      </c>
      <c r="J6" s="17">
        <f t="shared" ref="J6:J12" si="1">(E6-I6)/I6</f>
        <v>-0.13024145692961417</v>
      </c>
    </row>
    <row r="7" spans="1:10" x14ac:dyDescent="0.2">
      <c r="A7" s="2" t="s">
        <v>249</v>
      </c>
      <c r="B7" s="2">
        <v>11</v>
      </c>
      <c r="C7" s="1">
        <v>73947.773636363636</v>
      </c>
      <c r="D7" s="10">
        <f t="shared" ref="D7:D12" si="2">E7-C7</f>
        <v>5915.8218909090938</v>
      </c>
      <c r="E7" s="1">
        <v>79863.59552727273</v>
      </c>
      <c r="G7" s="1">
        <v>79194.390399936005</v>
      </c>
      <c r="H7" s="1">
        <f t="shared" ref="H7:H67" si="3">I7-G7</f>
        <v>5795.6530794119899</v>
      </c>
      <c r="I7" s="1">
        <v>84990.043479347994</v>
      </c>
      <c r="J7" s="17">
        <f t="shared" si="1"/>
        <v>-6.0318217784192059E-2</v>
      </c>
    </row>
    <row r="8" spans="1:10" x14ac:dyDescent="0.2">
      <c r="A8" s="2" t="s">
        <v>250</v>
      </c>
      <c r="B8" s="2">
        <v>2</v>
      </c>
      <c r="C8" s="1">
        <v>127456.19500000001</v>
      </c>
      <c r="D8" s="10">
        <f t="shared" si="2"/>
        <v>19118.429249999986</v>
      </c>
      <c r="E8" s="1">
        <v>146574.62424999999</v>
      </c>
      <c r="G8" s="1">
        <v>141227.38468452601</v>
      </c>
      <c r="H8" s="1">
        <f t="shared" si="3"/>
        <v>17878.070726459991</v>
      </c>
      <c r="I8" s="1">
        <v>159105.455410986</v>
      </c>
      <c r="J8" s="17">
        <f t="shared" si="1"/>
        <v>-7.8758023278444889E-2</v>
      </c>
    </row>
    <row r="9" spans="1:10" x14ac:dyDescent="0.2">
      <c r="A9" s="2" t="s">
        <v>251</v>
      </c>
      <c r="B9" s="2">
        <v>13</v>
      </c>
      <c r="C9" s="1">
        <v>112938.86</v>
      </c>
      <c r="D9" s="10">
        <f t="shared" si="2"/>
        <v>11293.886000000013</v>
      </c>
      <c r="E9" s="1">
        <v>124232.74600000001</v>
      </c>
      <c r="G9" s="1">
        <v>117847.80458513999</v>
      </c>
      <c r="H9" s="1">
        <f t="shared" si="3"/>
        <v>12516.341714856011</v>
      </c>
      <c r="I9" s="1">
        <v>130364.14629999601</v>
      </c>
      <c r="J9" s="17">
        <f t="shared" si="1"/>
        <v>-4.7032872718594868E-2</v>
      </c>
    </row>
    <row r="10" spans="1:10" x14ac:dyDescent="0.2">
      <c r="A10" s="2" t="s">
        <v>252</v>
      </c>
      <c r="B10" s="2">
        <v>5</v>
      </c>
      <c r="C10" s="1">
        <v>104402.164</v>
      </c>
      <c r="D10" s="10">
        <f t="shared" si="2"/>
        <v>10440.216400000005</v>
      </c>
      <c r="E10" s="1">
        <v>114842.38040000001</v>
      </c>
      <c r="G10" s="1">
        <v>117828.56862000001</v>
      </c>
      <c r="H10" s="1">
        <f t="shared" si="3"/>
        <v>13641.062715000007</v>
      </c>
      <c r="I10" s="1">
        <v>131469.63133500001</v>
      </c>
      <c r="J10" s="17">
        <f t="shared" si="1"/>
        <v>-0.126472180427979</v>
      </c>
    </row>
    <row r="11" spans="1:10" x14ac:dyDescent="0.2">
      <c r="A11" s="2" t="s">
        <v>253</v>
      </c>
      <c r="B11" s="2">
        <v>3</v>
      </c>
      <c r="C11" s="1">
        <v>76757.346666666665</v>
      </c>
      <c r="D11" s="10">
        <f t="shared" si="2"/>
        <v>6140.5877333333337</v>
      </c>
      <c r="E11" s="1">
        <v>82897.934399999998</v>
      </c>
      <c r="G11" s="1">
        <v>63033.394743522003</v>
      </c>
      <c r="H11" s="1">
        <f t="shared" si="3"/>
        <v>3779.7977329559944</v>
      </c>
      <c r="I11" s="1">
        <v>66813.192476477998</v>
      </c>
      <c r="J11" s="17">
        <f t="shared" si="1"/>
        <v>0.24074200509404986</v>
      </c>
    </row>
    <row r="12" spans="1:10" x14ac:dyDescent="0.2">
      <c r="A12" s="2" t="s">
        <v>254</v>
      </c>
      <c r="B12" s="2">
        <v>4</v>
      </c>
      <c r="C12" s="1">
        <v>93473.134999999995</v>
      </c>
      <c r="D12" s="10">
        <f t="shared" si="2"/>
        <v>9347.3135000000038</v>
      </c>
      <c r="E12" s="1">
        <v>102820.4485</v>
      </c>
      <c r="G12" s="1">
        <v>97031.113637975999</v>
      </c>
      <c r="H12" s="1">
        <f t="shared" si="3"/>
        <v>9703.2363960420043</v>
      </c>
      <c r="I12" s="1">
        <v>106734.350034018</v>
      </c>
      <c r="J12" s="17">
        <f t="shared" si="1"/>
        <v>-3.6669558888685595E-2</v>
      </c>
    </row>
    <row r="13" spans="1:10" x14ac:dyDescent="0.2">
      <c r="A13" s="2" t="s">
        <v>255</v>
      </c>
      <c r="B13" s="2">
        <v>4</v>
      </c>
      <c r="C13" s="1">
        <v>109500</v>
      </c>
      <c r="D13" s="10">
        <f t="shared" ref="D13" si="4">E13-C13</f>
        <v>10950.000000000015</v>
      </c>
      <c r="E13" s="1">
        <v>120450.00000000001</v>
      </c>
      <c r="G13" s="1">
        <v>113044.90039088399</v>
      </c>
      <c r="H13" s="1">
        <f t="shared" si="3"/>
        <v>7964.5186991160008</v>
      </c>
      <c r="I13" s="1">
        <v>121009.41909</v>
      </c>
      <c r="J13" s="17">
        <f t="shared" ref="J13" si="5">(E13-I13)/I13</f>
        <v>-4.6229383977450279E-3</v>
      </c>
    </row>
    <row r="14" spans="1:10" x14ac:dyDescent="0.2">
      <c r="A14" s="2" t="s">
        <v>256</v>
      </c>
      <c r="B14" s="2">
        <v>4</v>
      </c>
      <c r="C14" s="1">
        <v>85046.792499999996</v>
      </c>
      <c r="D14" s="10">
        <f t="shared" ref="D14:D55" si="6">E14-C14</f>
        <v>8504.679250000001</v>
      </c>
      <c r="E14" s="1">
        <v>93551.471749999997</v>
      </c>
      <c r="G14" s="1">
        <v>91940.594507999995</v>
      </c>
      <c r="H14" s="1">
        <f t="shared" si="3"/>
        <v>9194.1070539780048</v>
      </c>
      <c r="I14" s="1">
        <v>101134.701561978</v>
      </c>
      <c r="J14" s="17">
        <f t="shared" ref="J14:J55" si="7">(E14-I14)/I14</f>
        <v>-7.4981482071520236E-2</v>
      </c>
    </row>
    <row r="15" spans="1:10" x14ac:dyDescent="0.2">
      <c r="A15" s="2" t="s">
        <v>257</v>
      </c>
      <c r="B15" s="2">
        <v>2</v>
      </c>
      <c r="C15" s="1">
        <v>100774.205</v>
      </c>
      <c r="D15" s="10">
        <f t="shared" si="6"/>
        <v>10077.420500000007</v>
      </c>
      <c r="E15" s="1">
        <v>110851.62550000001</v>
      </c>
      <c r="G15" s="1">
        <v>120876.90489000001</v>
      </c>
      <c r="H15" s="1">
        <f t="shared" si="3"/>
        <v>16534.968974999996</v>
      </c>
      <c r="I15" s="1">
        <v>137411.873865</v>
      </c>
      <c r="J15" s="17">
        <f t="shared" si="7"/>
        <v>-0.19328932513571609</v>
      </c>
    </row>
    <row r="16" spans="1:10" x14ac:dyDescent="0.2">
      <c r="A16" s="2" t="s">
        <v>258</v>
      </c>
      <c r="B16" s="2">
        <v>2</v>
      </c>
      <c r="C16" s="1">
        <v>72993.989999999991</v>
      </c>
      <c r="D16" s="10">
        <f t="shared" si="6"/>
        <v>5839.5192000000097</v>
      </c>
      <c r="E16" s="1">
        <v>78833.5092</v>
      </c>
      <c r="G16" s="1">
        <v>79712.388000000006</v>
      </c>
      <c r="H16" s="1">
        <f t="shared" si="3"/>
        <v>7720.4811599999957</v>
      </c>
      <c r="I16" s="1">
        <v>87432.869160000002</v>
      </c>
      <c r="J16" s="17">
        <f t="shared" si="7"/>
        <v>-9.8353857566579272E-2</v>
      </c>
    </row>
    <row r="17" spans="1:10" x14ac:dyDescent="0.2">
      <c r="A17" s="2" t="s">
        <v>259</v>
      </c>
      <c r="B17" s="2">
        <v>2</v>
      </c>
      <c r="C17" s="1">
        <v>117966.97</v>
      </c>
      <c r="D17" s="10">
        <f t="shared" si="6"/>
        <v>11796.697000000015</v>
      </c>
      <c r="E17" s="1">
        <v>129763.66700000002</v>
      </c>
      <c r="G17" s="1">
        <v>127583.65242</v>
      </c>
      <c r="H17" s="1">
        <f t="shared" si="3"/>
        <v>14347.975005000015</v>
      </c>
      <c r="I17" s="1">
        <v>141931.62742500001</v>
      </c>
      <c r="J17" s="17">
        <f t="shared" si="7"/>
        <v>-8.5731141435898994E-2</v>
      </c>
    </row>
    <row r="18" spans="1:10" x14ac:dyDescent="0.2">
      <c r="A18" s="2" t="s">
        <v>260</v>
      </c>
      <c r="B18" s="2">
        <v>2</v>
      </c>
      <c r="C18" s="1">
        <v>64374.36</v>
      </c>
      <c r="D18" s="10">
        <f t="shared" si="6"/>
        <v>5149.9487999999983</v>
      </c>
      <c r="E18" s="1">
        <v>69524.308799999999</v>
      </c>
      <c r="G18" s="1">
        <v>80749.337098499993</v>
      </c>
      <c r="H18" s="1">
        <f t="shared" si="3"/>
        <v>5813.0157015000004</v>
      </c>
      <c r="I18" s="1">
        <v>86562.352799999993</v>
      </c>
      <c r="J18" s="17">
        <f t="shared" si="7"/>
        <v>-0.19682972387968636</v>
      </c>
    </row>
    <row r="19" spans="1:10" x14ac:dyDescent="0.2">
      <c r="A19" s="2" t="s">
        <v>261</v>
      </c>
      <c r="B19" s="2">
        <v>4</v>
      </c>
      <c r="C19" s="1">
        <v>113136.58249999999</v>
      </c>
      <c r="D19" s="10">
        <f t="shared" si="6"/>
        <v>11313.658250000008</v>
      </c>
      <c r="E19" s="1">
        <v>124450.24075</v>
      </c>
      <c r="G19" s="1">
        <v>130485.71339999999</v>
      </c>
      <c r="H19" s="1">
        <f t="shared" si="3"/>
        <v>14576.276584799998</v>
      </c>
      <c r="I19" s="1">
        <v>145061.98998479999</v>
      </c>
      <c r="J19" s="17">
        <f t="shared" si="7"/>
        <v>-0.14208924913383411</v>
      </c>
    </row>
    <row r="20" spans="1:10" x14ac:dyDescent="0.2">
      <c r="A20" s="2" t="s">
        <v>262</v>
      </c>
      <c r="B20" s="2">
        <v>3</v>
      </c>
      <c r="C20" s="1">
        <v>69315.433333333334</v>
      </c>
      <c r="D20" s="10">
        <f t="shared" si="6"/>
        <v>5545.2346666666708</v>
      </c>
      <c r="E20" s="1">
        <v>74860.668000000005</v>
      </c>
      <c r="G20" s="1">
        <v>97647.012728999995</v>
      </c>
      <c r="H20" s="1">
        <f t="shared" si="3"/>
        <v>8989.1460156960093</v>
      </c>
      <c r="I20" s="1">
        <v>106636.158744696</v>
      </c>
      <c r="J20" s="17">
        <f t="shared" si="7"/>
        <v>-0.29798045164747167</v>
      </c>
    </row>
    <row r="21" spans="1:10" x14ac:dyDescent="0.2">
      <c r="A21" s="2" t="s">
        <v>263</v>
      </c>
      <c r="B21" s="2">
        <v>2</v>
      </c>
      <c r="C21" s="1">
        <v>216650</v>
      </c>
      <c r="D21" s="10">
        <f t="shared" si="6"/>
        <v>54162.5</v>
      </c>
      <c r="E21" s="1">
        <v>270812.5</v>
      </c>
      <c r="G21" s="1">
        <v>208216.50443999999</v>
      </c>
      <c r="H21" s="1">
        <f t="shared" si="3"/>
        <v>58504.849376022001</v>
      </c>
      <c r="I21" s="1">
        <v>266721.35381602199</v>
      </c>
      <c r="J21" s="17">
        <f t="shared" si="7"/>
        <v>1.5338652587973831E-2</v>
      </c>
    </row>
    <row r="22" spans="1:10" x14ac:dyDescent="0.2">
      <c r="A22" s="2" t="s">
        <v>264</v>
      </c>
      <c r="B22" s="2">
        <v>2</v>
      </c>
      <c r="C22" s="1">
        <v>122947.75</v>
      </c>
      <c r="D22" s="10">
        <f t="shared" si="6"/>
        <v>18442.162499999977</v>
      </c>
      <c r="E22" s="1">
        <v>141389.91249999998</v>
      </c>
      <c r="G22" s="1">
        <v>145688.987445876</v>
      </c>
      <c r="H22" s="1">
        <f t="shared" si="3"/>
        <v>14972.539199561987</v>
      </c>
      <c r="I22" s="1">
        <v>160661.52664543799</v>
      </c>
      <c r="J22" s="17">
        <f t="shared" si="7"/>
        <v>-0.11995164335745613</v>
      </c>
    </row>
    <row r="23" spans="1:10" x14ac:dyDescent="0.2">
      <c r="A23" s="2" t="s">
        <v>265</v>
      </c>
      <c r="B23" s="2">
        <v>3</v>
      </c>
      <c r="C23" s="1">
        <v>89592.617333333343</v>
      </c>
      <c r="D23" s="10">
        <f t="shared" si="6"/>
        <v>8063.3355600000068</v>
      </c>
      <c r="E23" s="1">
        <v>97655.952893333349</v>
      </c>
      <c r="G23" s="1">
        <v>93222.437187347998</v>
      </c>
      <c r="H23" s="1">
        <f t="shared" si="3"/>
        <v>8345.9382964020042</v>
      </c>
      <c r="I23" s="1">
        <v>101568.37548375</v>
      </c>
      <c r="J23" s="17">
        <f t="shared" si="7"/>
        <v>-3.8520086314096889E-2</v>
      </c>
    </row>
    <row r="24" spans="1:10" x14ac:dyDescent="0.2">
      <c r="A24" s="2" t="s">
        <v>266</v>
      </c>
      <c r="B24" s="2">
        <v>7</v>
      </c>
      <c r="C24" s="1">
        <v>101337.24142857142</v>
      </c>
      <c r="D24" s="10">
        <f t="shared" si="6"/>
        <v>10133.724142857158</v>
      </c>
      <c r="E24" s="1">
        <v>111470.96557142858</v>
      </c>
      <c r="G24" s="1">
        <v>112526.47160999999</v>
      </c>
      <c r="H24" s="1">
        <f t="shared" si="3"/>
        <v>13113.809100000013</v>
      </c>
      <c r="I24" s="1">
        <v>125640.28071000001</v>
      </c>
      <c r="J24" s="17">
        <f t="shared" si="7"/>
        <v>-0.11277685037393952</v>
      </c>
    </row>
    <row r="25" spans="1:10" x14ac:dyDescent="0.2">
      <c r="A25" s="2" t="s">
        <v>267</v>
      </c>
      <c r="B25" s="2">
        <v>5</v>
      </c>
      <c r="C25" s="1">
        <v>69827.040000000008</v>
      </c>
      <c r="D25" s="10">
        <f t="shared" si="6"/>
        <v>5586.16320000001</v>
      </c>
      <c r="E25" s="1">
        <v>75413.203200000018</v>
      </c>
      <c r="G25" s="1">
        <v>73676.87586</v>
      </c>
      <c r="H25" s="1">
        <f t="shared" si="3"/>
        <v>6788.6344760219945</v>
      </c>
      <c r="I25" s="1">
        <v>80465.510336021995</v>
      </c>
      <c r="J25" s="17">
        <f t="shared" si="7"/>
        <v>-6.2788480616399078E-2</v>
      </c>
    </row>
    <row r="26" spans="1:10" x14ac:dyDescent="0.2">
      <c r="A26" s="2" t="s">
        <v>268</v>
      </c>
      <c r="B26" s="2">
        <v>2</v>
      </c>
      <c r="C26" s="1">
        <v>64416.11</v>
      </c>
      <c r="D26" s="10">
        <f t="shared" si="6"/>
        <v>5153.2888000000094</v>
      </c>
      <c r="E26" s="1">
        <v>69569.39880000001</v>
      </c>
      <c r="G26" s="1">
        <v>79840.824840000001</v>
      </c>
      <c r="H26" s="1">
        <f t="shared" si="3"/>
        <v>3846.649413977997</v>
      </c>
      <c r="I26" s="1">
        <v>83687.474253977998</v>
      </c>
      <c r="J26" s="17">
        <f t="shared" si="7"/>
        <v>-0.16869998264175001</v>
      </c>
    </row>
    <row r="27" spans="1:10" x14ac:dyDescent="0.2">
      <c r="A27" s="2" t="s">
        <v>269</v>
      </c>
      <c r="B27" s="2">
        <v>2</v>
      </c>
      <c r="C27" s="1">
        <v>55257.565000000002</v>
      </c>
      <c r="D27" s="10">
        <f t="shared" si="6"/>
        <v>3315.4539000000004</v>
      </c>
      <c r="E27" s="1">
        <v>58573.018900000003</v>
      </c>
      <c r="G27" s="1">
        <v>58807.763279999999</v>
      </c>
      <c r="H27" s="1">
        <f t="shared" si="3"/>
        <v>8821.3683600000077</v>
      </c>
      <c r="I27" s="1">
        <v>67629.131640000007</v>
      </c>
      <c r="J27" s="17">
        <f t="shared" si="7"/>
        <v>-0.13390845809180352</v>
      </c>
    </row>
    <row r="28" spans="1:10" x14ac:dyDescent="0.2">
      <c r="A28" s="2" t="s">
        <v>270</v>
      </c>
      <c r="B28" s="2">
        <v>4</v>
      </c>
      <c r="C28" s="1">
        <v>86137.274999999994</v>
      </c>
      <c r="D28" s="10">
        <f t="shared" si="6"/>
        <v>7752.3547500000132</v>
      </c>
      <c r="E28" s="1">
        <v>93889.629750000007</v>
      </c>
      <c r="G28" s="1">
        <v>94068.602636021998</v>
      </c>
      <c r="H28" s="1">
        <f t="shared" si="3"/>
        <v>6755.4210149999999</v>
      </c>
      <c r="I28" s="1">
        <v>100824.023651022</v>
      </c>
      <c r="J28" s="17">
        <f t="shared" si="7"/>
        <v>-6.8777198627022862E-2</v>
      </c>
    </row>
    <row r="29" spans="1:10" x14ac:dyDescent="0.2">
      <c r="A29" s="2" t="s">
        <v>271</v>
      </c>
      <c r="B29" s="2">
        <v>3</v>
      </c>
      <c r="C29" s="1">
        <v>91548.44</v>
      </c>
      <c r="D29" s="10">
        <f t="shared" si="6"/>
        <v>9154.8440000000119</v>
      </c>
      <c r="E29" s="1">
        <v>100703.28400000001</v>
      </c>
      <c r="G29" s="1">
        <v>111769.65416647799</v>
      </c>
      <c r="H29" s="1">
        <f t="shared" si="3"/>
        <v>9569.6580050820048</v>
      </c>
      <c r="I29" s="1">
        <v>121339.31217156</v>
      </c>
      <c r="J29" s="17">
        <f t="shared" si="7"/>
        <v>-0.17006877492747763</v>
      </c>
    </row>
    <row r="30" spans="1:10" x14ac:dyDescent="0.2">
      <c r="A30" s="2" t="s">
        <v>272</v>
      </c>
      <c r="B30" s="2">
        <v>2</v>
      </c>
      <c r="C30" s="1">
        <v>119024.09</v>
      </c>
      <c r="D30" s="10">
        <f t="shared" si="6"/>
        <v>11902.409000000014</v>
      </c>
      <c r="E30" s="1">
        <v>130926.49900000001</v>
      </c>
      <c r="G30" s="1">
        <v>133338.098577978</v>
      </c>
      <c r="H30" s="1">
        <f t="shared" si="3"/>
        <v>17727.540507431986</v>
      </c>
      <c r="I30" s="1">
        <v>151065.63908540999</v>
      </c>
      <c r="J30" s="17">
        <f t="shared" si="7"/>
        <v>-0.13331383766247229</v>
      </c>
    </row>
    <row r="31" spans="1:10" x14ac:dyDescent="0.2">
      <c r="A31" s="2" t="s">
        <v>273</v>
      </c>
      <c r="B31" s="2">
        <v>2</v>
      </c>
      <c r="C31" s="1">
        <v>112482.89</v>
      </c>
      <c r="D31" s="10">
        <f t="shared" si="6"/>
        <v>11248.289000000004</v>
      </c>
      <c r="E31" s="1">
        <v>123731.179</v>
      </c>
      <c r="G31" s="1">
        <v>122294.29716</v>
      </c>
      <c r="H31" s="1">
        <f t="shared" si="3"/>
        <v>12229.021980000005</v>
      </c>
      <c r="I31" s="1">
        <v>134523.31914000001</v>
      </c>
      <c r="J31" s="17">
        <f t="shared" si="7"/>
        <v>-8.0225051009695167E-2</v>
      </c>
    </row>
    <row r="32" spans="1:10" x14ac:dyDescent="0.2">
      <c r="A32" s="2" t="s">
        <v>274</v>
      </c>
      <c r="B32" s="2">
        <v>2</v>
      </c>
      <c r="C32" s="1">
        <v>147949.345</v>
      </c>
      <c r="D32" s="10">
        <f t="shared" si="6"/>
        <v>29589.869000000006</v>
      </c>
      <c r="E32" s="1">
        <v>177539.21400000001</v>
      </c>
      <c r="G32" s="1">
        <v>183722.60519549999</v>
      </c>
      <c r="H32" s="1">
        <f t="shared" si="3"/>
        <v>44766.370375902014</v>
      </c>
      <c r="I32" s="1">
        <v>228488.975571402</v>
      </c>
      <c r="J32" s="17">
        <f t="shared" si="7"/>
        <v>-0.22298564490469419</v>
      </c>
    </row>
    <row r="33" spans="1:10" x14ac:dyDescent="0.2">
      <c r="A33" s="2" t="s">
        <v>275</v>
      </c>
      <c r="B33" s="2">
        <v>6</v>
      </c>
      <c r="C33" s="1">
        <v>136210.27666666667</v>
      </c>
      <c r="D33" s="10">
        <f t="shared" si="6"/>
        <v>20431.541499999992</v>
      </c>
      <c r="E33" s="1">
        <v>156641.81816666666</v>
      </c>
      <c r="G33" s="1">
        <v>137156.52919500001</v>
      </c>
      <c r="H33" s="1">
        <f t="shared" si="3"/>
        <v>21896.187704999989</v>
      </c>
      <c r="I33" s="1">
        <v>159052.7169</v>
      </c>
      <c r="J33" s="17">
        <f t="shared" si="7"/>
        <v>-1.5157859484092442E-2</v>
      </c>
    </row>
    <row r="34" spans="1:10" x14ac:dyDescent="0.2">
      <c r="A34" s="2" t="s">
        <v>276</v>
      </c>
      <c r="B34" s="2">
        <v>5</v>
      </c>
      <c r="C34" s="1">
        <v>97644.639999999985</v>
      </c>
      <c r="D34" s="10">
        <f t="shared" si="6"/>
        <v>9764.4640000000072</v>
      </c>
      <c r="E34" s="1">
        <v>107409.10399999999</v>
      </c>
      <c r="G34" s="1">
        <v>105624.52047</v>
      </c>
      <c r="H34" s="1">
        <f t="shared" si="3"/>
        <v>15843.601620000001</v>
      </c>
      <c r="I34" s="1">
        <v>121468.12209</v>
      </c>
      <c r="J34" s="17">
        <f t="shared" si="7"/>
        <v>-0.11574245034909811</v>
      </c>
    </row>
    <row r="35" spans="1:10" x14ac:dyDescent="0.2">
      <c r="A35" s="2" t="s">
        <v>277</v>
      </c>
      <c r="B35" s="2">
        <v>2</v>
      </c>
      <c r="C35" s="1">
        <v>176927.65</v>
      </c>
      <c r="D35" s="10">
        <f t="shared" si="6"/>
        <v>35385.53</v>
      </c>
      <c r="E35" s="1">
        <v>212313.18</v>
      </c>
      <c r="G35" s="1">
        <v>152391.32999999999</v>
      </c>
      <c r="H35" s="1">
        <f t="shared" si="3"/>
        <v>23546.244330000016</v>
      </c>
      <c r="I35" s="1">
        <v>175937.57433</v>
      </c>
      <c r="J35" s="17">
        <f t="shared" si="7"/>
        <v>0.20675291113069189</v>
      </c>
    </row>
    <row r="36" spans="1:10" x14ac:dyDescent="0.2">
      <c r="A36" s="2" t="s">
        <v>278</v>
      </c>
      <c r="B36" s="2">
        <v>4</v>
      </c>
      <c r="C36" s="1">
        <v>81596.677499999991</v>
      </c>
      <c r="D36" s="10">
        <f t="shared" si="6"/>
        <v>7343.7009749999997</v>
      </c>
      <c r="E36" s="1">
        <v>88940.37847499999</v>
      </c>
      <c r="G36" s="1">
        <v>85589.732516022006</v>
      </c>
      <c r="H36" s="1">
        <f t="shared" si="3"/>
        <v>5561.0093699999998</v>
      </c>
      <c r="I36" s="1">
        <v>91150.741886022006</v>
      </c>
      <c r="J36" s="17">
        <f t="shared" si="7"/>
        <v>-2.4249538350284951E-2</v>
      </c>
    </row>
    <row r="37" spans="1:10" x14ac:dyDescent="0.2">
      <c r="A37" s="2" t="s">
        <v>279</v>
      </c>
      <c r="B37" s="2">
        <v>2</v>
      </c>
      <c r="C37" s="1">
        <v>99417.34</v>
      </c>
      <c r="D37" s="10">
        <f t="shared" si="6"/>
        <v>9941.7340000000113</v>
      </c>
      <c r="E37" s="1">
        <v>109359.07400000001</v>
      </c>
      <c r="G37" s="1">
        <v>101794.520343978</v>
      </c>
      <c r="H37" s="1">
        <f t="shared" si="3"/>
        <v>9481.1451451920002</v>
      </c>
      <c r="I37" s="1">
        <v>111275.66548917</v>
      </c>
      <c r="J37" s="17">
        <f t="shared" si="7"/>
        <v>-1.7223815114873683E-2</v>
      </c>
    </row>
    <row r="38" spans="1:10" x14ac:dyDescent="0.2">
      <c r="A38" s="2" t="s">
        <v>280</v>
      </c>
      <c r="B38" s="2">
        <v>3</v>
      </c>
      <c r="C38" s="1">
        <v>65115.106666666667</v>
      </c>
      <c r="D38" s="10">
        <f t="shared" si="6"/>
        <v>5209.2085333333307</v>
      </c>
      <c r="E38" s="1">
        <v>70324.315199999997</v>
      </c>
      <c r="G38" s="1">
        <v>77469.84</v>
      </c>
      <c r="H38" s="1">
        <f t="shared" si="3"/>
        <v>6266.7749025000085</v>
      </c>
      <c r="I38" s="1">
        <v>83736.614902500005</v>
      </c>
      <c r="J38" s="17">
        <f t="shared" si="7"/>
        <v>-0.16017246121206144</v>
      </c>
    </row>
    <row r="39" spans="1:10" x14ac:dyDescent="0.2">
      <c r="A39" s="2" t="s">
        <v>281</v>
      </c>
      <c r="B39" s="2">
        <v>2</v>
      </c>
      <c r="C39" s="1">
        <v>148448.995</v>
      </c>
      <c r="D39" s="10">
        <f t="shared" si="6"/>
        <v>22267.349249999999</v>
      </c>
      <c r="E39" s="1">
        <v>170716.34424999999</v>
      </c>
      <c r="G39" s="1">
        <v>154046.636226</v>
      </c>
      <c r="H39" s="1">
        <f t="shared" si="3"/>
        <v>22337.918693999993</v>
      </c>
      <c r="I39" s="1">
        <v>176384.55492</v>
      </c>
      <c r="J39" s="17">
        <f t="shared" si="7"/>
        <v>-3.2135527243702507E-2</v>
      </c>
    </row>
    <row r="40" spans="1:10" x14ac:dyDescent="0.2">
      <c r="A40" s="2" t="s">
        <v>282</v>
      </c>
      <c r="B40" s="2">
        <v>2</v>
      </c>
      <c r="C40" s="1">
        <v>123051.13</v>
      </c>
      <c r="D40" s="10">
        <f t="shared" si="6"/>
        <v>12305.113000000012</v>
      </c>
      <c r="E40" s="1">
        <v>135356.24300000002</v>
      </c>
      <c r="G40" s="1">
        <v>129973.96832956201</v>
      </c>
      <c r="H40" s="1">
        <f t="shared" si="3"/>
        <v>8389.2837931559916</v>
      </c>
      <c r="I40" s="1">
        <v>138363.252122718</v>
      </c>
      <c r="J40" s="17">
        <f t="shared" si="7"/>
        <v>-2.173271498454651E-2</v>
      </c>
    </row>
    <row r="41" spans="1:10" x14ac:dyDescent="0.2">
      <c r="A41" s="2" t="s">
        <v>283</v>
      </c>
      <c r="B41" s="2">
        <v>7</v>
      </c>
      <c r="C41" s="1">
        <v>99962.129428571425</v>
      </c>
      <c r="D41" s="10">
        <f t="shared" si="6"/>
        <v>9996.2129428571498</v>
      </c>
      <c r="E41" s="1">
        <v>109958.34237142857</v>
      </c>
      <c r="G41" s="1">
        <v>129973.96832956201</v>
      </c>
      <c r="H41" s="1">
        <f t="shared" si="3"/>
        <v>8389.2837931559916</v>
      </c>
      <c r="I41" s="1">
        <v>138363.252122718</v>
      </c>
      <c r="J41" s="17">
        <f t="shared" si="7"/>
        <v>-0.20529229629624751</v>
      </c>
    </row>
    <row r="42" spans="1:10" x14ac:dyDescent="0.2">
      <c r="A42" s="2" t="s">
        <v>284</v>
      </c>
      <c r="B42" s="2">
        <v>6</v>
      </c>
      <c r="C42" s="1">
        <v>86869.724999999991</v>
      </c>
      <c r="D42" s="10">
        <f t="shared" si="6"/>
        <v>8686.9725000000035</v>
      </c>
      <c r="E42" s="1">
        <v>95556.697499999995</v>
      </c>
      <c r="G42" s="1">
        <v>110841.672513978</v>
      </c>
      <c r="H42" s="1">
        <f t="shared" si="3"/>
        <v>9252.4641670440033</v>
      </c>
      <c r="I42" s="1">
        <v>120094.13668102201</v>
      </c>
      <c r="J42" s="17">
        <f t="shared" si="7"/>
        <v>-0.20431837772559269</v>
      </c>
    </row>
    <row r="43" spans="1:10" x14ac:dyDescent="0.2">
      <c r="A43" s="2" t="s">
        <v>285</v>
      </c>
      <c r="B43" s="2">
        <v>7</v>
      </c>
      <c r="C43" s="1">
        <v>76626.097142857136</v>
      </c>
      <c r="D43" s="10">
        <f t="shared" si="6"/>
        <v>6896.3487428571534</v>
      </c>
      <c r="E43" s="1">
        <v>83522.445885714289</v>
      </c>
      <c r="G43" s="1">
        <v>97804.143989999997</v>
      </c>
      <c r="H43" s="1">
        <f t="shared" si="3"/>
        <v>10644.061732542003</v>
      </c>
      <c r="I43" s="1">
        <v>108448.205722542</v>
      </c>
      <c r="J43" s="17">
        <f t="shared" si="7"/>
        <v>-0.22984022345744215</v>
      </c>
    </row>
    <row r="44" spans="1:10" x14ac:dyDescent="0.2">
      <c r="A44" s="2" t="s">
        <v>286</v>
      </c>
      <c r="B44" s="2">
        <v>8</v>
      </c>
      <c r="C44" s="1">
        <v>65121.574374999997</v>
      </c>
      <c r="D44" s="10">
        <f t="shared" si="6"/>
        <v>5209.7259500000073</v>
      </c>
      <c r="E44" s="1">
        <v>70331.300325000004</v>
      </c>
      <c r="G44" s="1">
        <v>77126.125177709997</v>
      </c>
      <c r="H44" s="1">
        <f t="shared" si="3"/>
        <v>4658.5810422899958</v>
      </c>
      <c r="I44" s="1">
        <v>81784.706219999993</v>
      </c>
      <c r="J44" s="17">
        <f t="shared" si="7"/>
        <v>-0.14004337026277808</v>
      </c>
    </row>
    <row r="45" spans="1:10" x14ac:dyDescent="0.2">
      <c r="A45" s="2" t="s">
        <v>287</v>
      </c>
      <c r="B45" s="2">
        <v>6</v>
      </c>
      <c r="C45" s="1">
        <v>63200</v>
      </c>
      <c r="D45" s="10">
        <f t="shared" si="6"/>
        <v>5056</v>
      </c>
      <c r="E45" s="1">
        <v>68256</v>
      </c>
      <c r="G45" s="1">
        <v>77126.125177709997</v>
      </c>
      <c r="H45" s="1">
        <f t="shared" si="3"/>
        <v>4658.5810422899958</v>
      </c>
      <c r="I45" s="1">
        <v>81784.706219999993</v>
      </c>
      <c r="J45" s="17">
        <f t="shared" si="7"/>
        <v>-0.16541853416466296</v>
      </c>
    </row>
    <row r="46" spans="1:10" x14ac:dyDescent="0.2">
      <c r="A46" s="2" t="s">
        <v>288</v>
      </c>
      <c r="B46" s="2">
        <v>8</v>
      </c>
      <c r="C46" s="1">
        <v>126279.91499999999</v>
      </c>
      <c r="D46" s="10">
        <f t="shared" si="6"/>
        <v>18941.987249999991</v>
      </c>
      <c r="E46" s="1">
        <v>145221.90224999998</v>
      </c>
      <c r="G46" s="1">
        <v>144965.72127265201</v>
      </c>
      <c r="H46" s="1">
        <f t="shared" si="3"/>
        <v>17548.307916552003</v>
      </c>
      <c r="I46" s="1">
        <v>162514.02918920401</v>
      </c>
      <c r="J46" s="17">
        <f t="shared" si="7"/>
        <v>-0.10640390263828843</v>
      </c>
    </row>
    <row r="47" spans="1:10" x14ac:dyDescent="0.2">
      <c r="A47" s="2" t="s">
        <v>289</v>
      </c>
      <c r="B47" s="2">
        <v>3</v>
      </c>
      <c r="C47" s="1">
        <v>161900</v>
      </c>
      <c r="D47" s="10">
        <f t="shared" si="6"/>
        <v>32380</v>
      </c>
      <c r="E47" s="1">
        <v>194280</v>
      </c>
      <c r="G47" s="1">
        <v>169397.83760621399</v>
      </c>
      <c r="H47" s="1">
        <f t="shared" si="3"/>
        <v>32116.824877536012</v>
      </c>
      <c r="I47" s="1">
        <v>201514.66248375</v>
      </c>
      <c r="J47" s="17">
        <f t="shared" si="7"/>
        <v>-3.5901419750701248E-2</v>
      </c>
    </row>
    <row r="48" spans="1:10" x14ac:dyDescent="0.2">
      <c r="A48" s="2" t="s">
        <v>290</v>
      </c>
      <c r="B48" s="2">
        <v>2</v>
      </c>
      <c r="C48" s="1">
        <v>128785.095</v>
      </c>
      <c r="D48" s="10">
        <f t="shared" si="6"/>
        <v>12878.509500000015</v>
      </c>
      <c r="E48" s="1">
        <v>141663.60450000002</v>
      </c>
      <c r="G48" s="1">
        <v>126463.193892</v>
      </c>
      <c r="H48" s="1">
        <f t="shared" si="3"/>
        <v>15288.774858000004</v>
      </c>
      <c r="I48" s="1">
        <v>141751.96875</v>
      </c>
      <c r="J48" s="17">
        <f t="shared" si="7"/>
        <v>-6.2337229443230695E-4</v>
      </c>
    </row>
    <row r="49" spans="1:10" x14ac:dyDescent="0.2">
      <c r="A49" s="2" t="s">
        <v>291</v>
      </c>
      <c r="B49" s="2">
        <v>2</v>
      </c>
      <c r="C49" s="1">
        <v>188250</v>
      </c>
      <c r="D49" s="10">
        <f t="shared" si="6"/>
        <v>47062.5</v>
      </c>
      <c r="E49" s="1">
        <v>235312.5</v>
      </c>
      <c r="G49" s="1">
        <v>210163.69867499999</v>
      </c>
      <c r="H49" s="1">
        <f t="shared" si="3"/>
        <v>54268.21750102198</v>
      </c>
      <c r="I49" s="1">
        <v>264431.91617602197</v>
      </c>
      <c r="J49" s="17">
        <f t="shared" si="7"/>
        <v>-0.11012065637582991</v>
      </c>
    </row>
    <row r="50" spans="1:10" x14ac:dyDescent="0.2">
      <c r="A50" s="2" t="s">
        <v>292</v>
      </c>
      <c r="B50" s="2">
        <v>3</v>
      </c>
      <c r="C50" s="1">
        <v>90789.363333333327</v>
      </c>
      <c r="D50" s="10">
        <f t="shared" si="6"/>
        <v>8171.0427000000054</v>
      </c>
      <c r="E50" s="1">
        <v>98960.406033333333</v>
      </c>
      <c r="G50" s="1">
        <v>87051.635999999999</v>
      </c>
      <c r="H50" s="1">
        <f t="shared" si="3"/>
        <v>4865.3748538920045</v>
      </c>
      <c r="I50" s="1">
        <v>91917.010853892003</v>
      </c>
      <c r="J50" s="17">
        <f t="shared" si="7"/>
        <v>7.6627765785783217E-2</v>
      </c>
    </row>
    <row r="51" spans="1:10" x14ac:dyDescent="0.2">
      <c r="A51" s="2" t="s">
        <v>293</v>
      </c>
      <c r="B51" s="2">
        <v>5</v>
      </c>
      <c r="C51" s="1">
        <v>66573.100000000006</v>
      </c>
      <c r="D51" s="10">
        <f t="shared" si="6"/>
        <v>5325.8479999999981</v>
      </c>
      <c r="E51" s="1">
        <v>71898.948000000004</v>
      </c>
      <c r="G51" s="1">
        <v>69023.410375499996</v>
      </c>
      <c r="H51" s="1">
        <f t="shared" si="3"/>
        <v>5739.8780565000052</v>
      </c>
      <c r="I51" s="1">
        <v>74763.288432000001</v>
      </c>
      <c r="J51" s="17">
        <f t="shared" si="7"/>
        <v>-3.8312124734925505E-2</v>
      </c>
    </row>
    <row r="52" spans="1:10" x14ac:dyDescent="0.2">
      <c r="A52" s="2" t="s">
        <v>294</v>
      </c>
      <c r="B52" s="2">
        <v>2</v>
      </c>
      <c r="C52" s="1">
        <v>84460</v>
      </c>
      <c r="D52" s="10">
        <f t="shared" si="6"/>
        <v>7601.4000000000087</v>
      </c>
      <c r="E52" s="1">
        <v>92061.400000000009</v>
      </c>
      <c r="G52" s="1">
        <v>85382.169408521993</v>
      </c>
      <c r="H52" s="1">
        <f t="shared" si="3"/>
        <v>6800.1595417980134</v>
      </c>
      <c r="I52" s="1">
        <v>92182.328950320007</v>
      </c>
      <c r="J52" s="17">
        <f t="shared" si="7"/>
        <v>-1.3118452494856193E-3</v>
      </c>
    </row>
    <row r="53" spans="1:10" x14ac:dyDescent="0.2">
      <c r="A53" s="2" t="s">
        <v>295</v>
      </c>
      <c r="B53" s="2">
        <v>19</v>
      </c>
      <c r="C53" s="1">
        <v>103808.19510526313</v>
      </c>
      <c r="D53" s="10">
        <f t="shared" si="6"/>
        <v>10380.819510526329</v>
      </c>
      <c r="E53" s="1">
        <v>114189.01461578946</v>
      </c>
      <c r="G53" s="1">
        <v>104934.93696000001</v>
      </c>
      <c r="H53" s="1">
        <f t="shared" si="3"/>
        <v>10350.378359999988</v>
      </c>
      <c r="I53" s="1">
        <v>115285.31531999999</v>
      </c>
      <c r="J53" s="17">
        <f t="shared" si="7"/>
        <v>-9.5094566135114859E-3</v>
      </c>
    </row>
    <row r="54" spans="1:10" x14ac:dyDescent="0.2">
      <c r="A54" s="2" t="s">
        <v>296</v>
      </c>
      <c r="B54" s="2">
        <v>11</v>
      </c>
      <c r="C54" s="1">
        <v>108462.01081818184</v>
      </c>
      <c r="D54" s="10">
        <f t="shared" si="6"/>
        <v>10846.201081818188</v>
      </c>
      <c r="E54" s="1">
        <v>119308.21190000002</v>
      </c>
      <c r="G54" s="1">
        <v>104934.93696000001</v>
      </c>
      <c r="H54" s="1">
        <f t="shared" si="3"/>
        <v>10350.378359999988</v>
      </c>
      <c r="I54" s="1">
        <v>115285.31531999999</v>
      </c>
      <c r="J54" s="17">
        <f t="shared" si="7"/>
        <v>3.4895134465595959E-2</v>
      </c>
    </row>
    <row r="55" spans="1:10" x14ac:dyDescent="0.2">
      <c r="A55" s="2" t="s">
        <v>297</v>
      </c>
      <c r="B55" s="2">
        <v>33</v>
      </c>
      <c r="C55" s="1">
        <v>130558.34757575757</v>
      </c>
      <c r="D55" s="10">
        <f t="shared" si="6"/>
        <v>19583.752136363619</v>
      </c>
      <c r="E55" s="1">
        <v>150142.09971212118</v>
      </c>
      <c r="G55" s="1">
        <v>121574.947494924</v>
      </c>
      <c r="H55" s="1">
        <f t="shared" si="3"/>
        <v>15236.184762917997</v>
      </c>
      <c r="I55" s="1">
        <v>136811.13225784199</v>
      </c>
      <c r="J55" s="17">
        <f t="shared" si="7"/>
        <v>9.7440663155648005E-2</v>
      </c>
    </row>
    <row r="56" spans="1:10" x14ac:dyDescent="0.2">
      <c r="A56" s="2" t="s">
        <v>298</v>
      </c>
      <c r="B56" s="2">
        <v>6</v>
      </c>
      <c r="C56" s="1">
        <v>130555.30333333334</v>
      </c>
      <c r="D56" s="10">
        <f t="shared" ref="D56:D67" si="8">E56-C56</f>
        <v>13055.530333333358</v>
      </c>
      <c r="E56" s="1">
        <v>143610.8336666667</v>
      </c>
      <c r="G56" s="1">
        <v>117189.95211</v>
      </c>
      <c r="H56" s="1">
        <f t="shared" si="3"/>
        <v>15475.619879999998</v>
      </c>
      <c r="I56" s="1">
        <v>132665.57199</v>
      </c>
      <c r="J56" s="17">
        <f t="shared" ref="J56:J67" si="9">(E56-I56)/I56</f>
        <v>8.2502653193940415E-2</v>
      </c>
    </row>
    <row r="57" spans="1:10" x14ac:dyDescent="0.2">
      <c r="A57" s="2" t="s">
        <v>299</v>
      </c>
      <c r="B57" s="2">
        <v>8</v>
      </c>
      <c r="C57" s="1">
        <v>109513.37125</v>
      </c>
      <c r="D57" s="10">
        <f t="shared" si="8"/>
        <v>10951.337125000005</v>
      </c>
      <c r="E57" s="1">
        <v>120464.708375</v>
      </c>
      <c r="G57" s="1">
        <v>102212.024985</v>
      </c>
      <c r="H57" s="1">
        <f t="shared" si="3"/>
        <v>6400.9880364779965</v>
      </c>
      <c r="I57" s="1">
        <v>108613.01302147799</v>
      </c>
      <c r="J57" s="17">
        <f t="shared" si="9"/>
        <v>0.10911855793171267</v>
      </c>
    </row>
    <row r="58" spans="1:10" x14ac:dyDescent="0.2">
      <c r="A58" s="2" t="s">
        <v>300</v>
      </c>
      <c r="B58" s="2">
        <v>6</v>
      </c>
      <c r="C58" s="1">
        <v>128078.27999999998</v>
      </c>
      <c r="D58" s="10">
        <f t="shared" si="8"/>
        <v>19211.741999999984</v>
      </c>
      <c r="E58" s="1">
        <v>147290.02199999997</v>
      </c>
      <c r="G58" s="1">
        <v>129093.91828641</v>
      </c>
      <c r="H58" s="1">
        <f t="shared" si="3"/>
        <v>18732.424941090008</v>
      </c>
      <c r="I58" s="1">
        <v>147826.34322750001</v>
      </c>
      <c r="J58" s="17">
        <f t="shared" si="9"/>
        <v>-3.6280490729224042E-3</v>
      </c>
    </row>
    <row r="59" spans="1:10" x14ac:dyDescent="0.2">
      <c r="A59" s="2" t="s">
        <v>301</v>
      </c>
      <c r="B59" s="2">
        <v>2</v>
      </c>
      <c r="C59" s="1">
        <v>157202.785</v>
      </c>
      <c r="D59" s="10">
        <f t="shared" si="8"/>
        <v>31440.557000000001</v>
      </c>
      <c r="E59" s="1">
        <v>188643.342</v>
      </c>
      <c r="G59" s="1">
        <v>191218.51759877999</v>
      </c>
      <c r="H59" s="1">
        <f t="shared" si="3"/>
        <v>35410.028735214</v>
      </c>
      <c r="I59" s="1">
        <v>226628.54633399399</v>
      </c>
      <c r="J59" s="17">
        <f t="shared" si="9"/>
        <v>-0.16760997212598833</v>
      </c>
    </row>
    <row r="60" spans="1:10" x14ac:dyDescent="0.2">
      <c r="A60" s="2" t="s">
        <v>302</v>
      </c>
      <c r="B60" s="2">
        <v>2</v>
      </c>
      <c r="C60" s="1">
        <v>158336.54499999998</v>
      </c>
      <c r="D60" s="10">
        <f t="shared" si="8"/>
        <v>31667.308999999979</v>
      </c>
      <c r="E60" s="1">
        <v>190003.85399999996</v>
      </c>
      <c r="G60" s="1">
        <v>191218.51759877999</v>
      </c>
      <c r="H60" s="1">
        <f t="shared" si="3"/>
        <v>35410.028735214</v>
      </c>
      <c r="I60" s="1">
        <v>226628.54633399399</v>
      </c>
      <c r="J60" s="17">
        <f t="shared" si="9"/>
        <v>-0.16160670368514987</v>
      </c>
    </row>
    <row r="61" spans="1:10" x14ac:dyDescent="0.2">
      <c r="A61" s="2" t="s">
        <v>303</v>
      </c>
      <c r="B61" s="2">
        <v>10</v>
      </c>
      <c r="C61" s="1">
        <v>94180.994000000021</v>
      </c>
      <c r="D61" s="10">
        <f t="shared" si="8"/>
        <v>9418.0994000000064</v>
      </c>
      <c r="E61" s="1">
        <v>103599.09340000003</v>
      </c>
      <c r="G61" s="1">
        <v>105162.73855353</v>
      </c>
      <c r="H61" s="1">
        <f t="shared" si="3"/>
        <v>6955.4873864700057</v>
      </c>
      <c r="I61" s="1">
        <v>112118.22594</v>
      </c>
      <c r="J61" s="17">
        <f t="shared" si="9"/>
        <v>-7.5983476090310115E-2</v>
      </c>
    </row>
    <row r="62" spans="1:10" x14ac:dyDescent="0.2">
      <c r="A62" s="2" t="s">
        <v>304</v>
      </c>
      <c r="B62" s="2">
        <v>12</v>
      </c>
      <c r="C62" s="1">
        <v>102157.3015833333</v>
      </c>
      <c r="D62" s="10">
        <f t="shared" si="8"/>
        <v>10215.730158333346</v>
      </c>
      <c r="E62" s="1">
        <v>112373.03174166665</v>
      </c>
      <c r="G62" s="1">
        <v>105162.73855353</v>
      </c>
      <c r="H62" s="1">
        <f t="shared" si="3"/>
        <v>6955.4873864700057</v>
      </c>
      <c r="I62" s="1">
        <v>112118.22594</v>
      </c>
      <c r="J62" s="17">
        <f t="shared" si="9"/>
        <v>2.2726528138521072E-3</v>
      </c>
    </row>
    <row r="63" spans="1:10" x14ac:dyDescent="0.2">
      <c r="A63" s="2" t="s">
        <v>305</v>
      </c>
      <c r="B63" s="2">
        <v>4</v>
      </c>
      <c r="C63" s="1">
        <v>122387.29250000001</v>
      </c>
      <c r="D63" s="10">
        <f t="shared" si="8"/>
        <v>12238.729250000004</v>
      </c>
      <c r="E63" s="1">
        <v>134626.02175000001</v>
      </c>
      <c r="G63" s="1">
        <v>127768.8715947</v>
      </c>
      <c r="H63" s="1">
        <f t="shared" si="3"/>
        <v>13317.946205760003</v>
      </c>
      <c r="I63" s="1">
        <v>141086.81780046</v>
      </c>
      <c r="J63" s="17">
        <f t="shared" si="9"/>
        <v>-4.5793052470695997E-2</v>
      </c>
    </row>
    <row r="64" spans="1:10" x14ac:dyDescent="0.2">
      <c r="A64" s="2" t="s">
        <v>306</v>
      </c>
      <c r="B64" s="2">
        <v>4</v>
      </c>
      <c r="C64" s="1">
        <v>121136.19500000001</v>
      </c>
      <c r="D64" s="10">
        <f t="shared" si="8"/>
        <v>18170.429249999986</v>
      </c>
      <c r="E64" s="1">
        <v>139306.62424999999</v>
      </c>
      <c r="G64" s="1">
        <v>151050.13339500001</v>
      </c>
      <c r="H64" s="1">
        <f t="shared" si="3"/>
        <v>23752.379036357976</v>
      </c>
      <c r="I64" s="1">
        <v>174802.51243135799</v>
      </c>
      <c r="J64" s="17">
        <f t="shared" si="9"/>
        <v>-0.20306280320368184</v>
      </c>
    </row>
    <row r="65" spans="1:10" x14ac:dyDescent="0.2">
      <c r="A65" s="2" t="s">
        <v>307</v>
      </c>
      <c r="B65" s="2">
        <v>2</v>
      </c>
      <c r="C65" s="1">
        <v>130987.625</v>
      </c>
      <c r="D65" s="10">
        <f t="shared" si="8"/>
        <v>19648.143749999988</v>
      </c>
      <c r="E65" s="1">
        <v>150635.76874999999</v>
      </c>
      <c r="G65" s="1">
        <v>129093.91828641</v>
      </c>
      <c r="H65" s="1">
        <f t="shared" si="3"/>
        <v>18732.424941090008</v>
      </c>
      <c r="I65" s="1">
        <v>147826.34322750001</v>
      </c>
      <c r="J65" s="17">
        <f t="shared" si="9"/>
        <v>1.9004904411227732E-2</v>
      </c>
    </row>
    <row r="66" spans="1:10" x14ac:dyDescent="0.2">
      <c r="A66" s="2" t="s">
        <v>308</v>
      </c>
      <c r="B66" s="2">
        <v>2</v>
      </c>
      <c r="C66" s="1">
        <v>125461.84</v>
      </c>
      <c r="D66" s="10">
        <f t="shared" si="8"/>
        <v>18819.275999999983</v>
      </c>
      <c r="E66" s="1">
        <v>144281.11599999998</v>
      </c>
      <c r="G66" s="1">
        <v>139971.579414534</v>
      </c>
      <c r="H66" s="1">
        <f t="shared" si="3"/>
        <v>22067.803685466002</v>
      </c>
      <c r="I66" s="1">
        <v>162039.38310000001</v>
      </c>
      <c r="J66" s="17">
        <f t="shared" si="9"/>
        <v>-0.10959229022145064</v>
      </c>
    </row>
    <row r="67" spans="1:10" x14ac:dyDescent="0.2">
      <c r="A67" s="2" t="s">
        <v>309</v>
      </c>
      <c r="B67" s="2">
        <v>3</v>
      </c>
      <c r="C67" s="1">
        <v>83532.363333333327</v>
      </c>
      <c r="D67" s="10">
        <f t="shared" si="8"/>
        <v>7517.9127000000008</v>
      </c>
      <c r="E67" s="1">
        <v>91050.276033333328</v>
      </c>
      <c r="G67" s="1">
        <v>85589.732516022006</v>
      </c>
      <c r="H67" s="1">
        <f t="shared" si="3"/>
        <v>5561.0093699999998</v>
      </c>
      <c r="I67" s="1">
        <v>91150.741886022006</v>
      </c>
      <c r="J67" s="17">
        <f t="shared" si="9"/>
        <v>-1.1021945692367898E-3</v>
      </c>
    </row>
    <row r="68" spans="1:10" x14ac:dyDescent="0.2">
      <c r="A68" s="15" t="s">
        <v>243</v>
      </c>
      <c r="B68" s="2">
        <f>COUNT(B6:B67)</f>
        <v>62</v>
      </c>
      <c r="D68" s="10"/>
      <c r="J68" s="17"/>
    </row>
    <row r="69" spans="1:10" x14ac:dyDescent="0.2">
      <c r="A69" s="15" t="s">
        <v>244</v>
      </c>
      <c r="B69" s="2">
        <f>SUM(B6:B68)</f>
        <v>390</v>
      </c>
      <c r="H69" s="1" t="s">
        <v>245</v>
      </c>
      <c r="J69" s="19">
        <f>AVERAGE(J6:J67)</f>
        <v>-7.1009339919262685E-2</v>
      </c>
    </row>
    <row r="70" spans="1:10" x14ac:dyDescent="0.2">
      <c r="J70" s="17"/>
    </row>
    <row r="71" spans="1:10" x14ac:dyDescent="0.2">
      <c r="A71" s="3" t="s">
        <v>11</v>
      </c>
      <c r="J71" s="17"/>
    </row>
    <row r="72" spans="1:10" x14ac:dyDescent="0.2">
      <c r="A72" s="31" t="s">
        <v>77</v>
      </c>
      <c r="B72" s="31">
        <v>22</v>
      </c>
      <c r="C72" s="32">
        <v>83976.172727272729</v>
      </c>
      <c r="D72" s="32">
        <f t="shared" ref="D72:D135" si="10">E72-C72</f>
        <v>7557.8555454545422</v>
      </c>
      <c r="E72" s="32">
        <v>91534.028272727272</v>
      </c>
      <c r="F72" s="31"/>
      <c r="G72" s="32">
        <v>90497.100814092002</v>
      </c>
      <c r="H72" s="32">
        <f t="shared" ref="H72:H135" si="11">I72-G72</f>
        <v>3290.7180951539922</v>
      </c>
      <c r="I72" s="32">
        <v>93787.818909245994</v>
      </c>
      <c r="J72" s="17">
        <f t="shared" ref="J72:J135" si="12">(E72-I72)/I72</f>
        <v>-2.403073941510047E-2</v>
      </c>
    </row>
    <row r="73" spans="1:10" x14ac:dyDescent="0.2">
      <c r="A73" s="31" t="s">
        <v>167</v>
      </c>
      <c r="B73" s="31">
        <v>4</v>
      </c>
      <c r="C73" s="32">
        <v>76280.595000000001</v>
      </c>
      <c r="D73" s="32">
        <f t="shared" si="10"/>
        <v>6102.4475999999995</v>
      </c>
      <c r="E73" s="32">
        <v>82383.042600000001</v>
      </c>
      <c r="F73" s="31"/>
      <c r="G73" s="32">
        <v>77410.863943685996</v>
      </c>
      <c r="H73" s="32">
        <f t="shared" si="11"/>
        <v>2701.3601713140088</v>
      </c>
      <c r="I73" s="32">
        <v>80112.224115000005</v>
      </c>
      <c r="J73" s="17">
        <f t="shared" si="12"/>
        <v>2.8345467999243999E-2</v>
      </c>
    </row>
    <row r="74" spans="1:10" x14ac:dyDescent="0.2">
      <c r="A74" s="31" t="s">
        <v>93</v>
      </c>
      <c r="B74" s="31">
        <v>52</v>
      </c>
      <c r="C74" s="32">
        <v>114272.59769230765</v>
      </c>
      <c r="D74" s="32">
        <f t="shared" si="10"/>
        <v>11427.259769230761</v>
      </c>
      <c r="E74" s="32">
        <v>125699.85746153841</v>
      </c>
      <c r="F74" s="31"/>
      <c r="G74" s="32">
        <v>111890.148615</v>
      </c>
      <c r="H74" s="32">
        <f t="shared" si="11"/>
        <v>8253.639505818006</v>
      </c>
      <c r="I74" s="32">
        <v>120143.788120818</v>
      </c>
      <c r="J74" s="17">
        <f t="shared" si="12"/>
        <v>4.6245165294215296E-2</v>
      </c>
    </row>
    <row r="75" spans="1:10" x14ac:dyDescent="0.2">
      <c r="A75" s="31" t="s">
        <v>168</v>
      </c>
      <c r="B75" s="31">
        <v>125</v>
      </c>
      <c r="C75" s="32">
        <v>83416.799335999982</v>
      </c>
      <c r="D75" s="32">
        <f t="shared" si="10"/>
        <v>7507.5119402400014</v>
      </c>
      <c r="E75" s="32">
        <v>90924.311276239983</v>
      </c>
      <c r="F75" s="31"/>
      <c r="G75" s="32">
        <v>90497.100814092002</v>
      </c>
      <c r="H75" s="32">
        <f t="shared" si="11"/>
        <v>3290.7180951539922</v>
      </c>
      <c r="I75" s="32">
        <v>93787.818909245994</v>
      </c>
      <c r="J75" s="17">
        <f t="shared" si="12"/>
        <v>-3.0531764852927128E-2</v>
      </c>
    </row>
    <row r="76" spans="1:10" x14ac:dyDescent="0.2">
      <c r="A76" s="31" t="s">
        <v>120</v>
      </c>
      <c r="B76" s="31">
        <v>74</v>
      </c>
      <c r="C76" s="32">
        <v>75741.328648648647</v>
      </c>
      <c r="D76" s="32">
        <f t="shared" si="10"/>
        <v>6059.3062918918877</v>
      </c>
      <c r="E76" s="32">
        <v>81800.634940540534</v>
      </c>
      <c r="F76" s="31"/>
      <c r="G76" s="32">
        <v>79194.390399936005</v>
      </c>
      <c r="H76" s="32">
        <f t="shared" si="11"/>
        <v>5795.6530794119899</v>
      </c>
      <c r="I76" s="32">
        <v>84990.043479347994</v>
      </c>
      <c r="J76" s="17">
        <f t="shared" si="12"/>
        <v>-3.7526849125362131E-2</v>
      </c>
    </row>
    <row r="77" spans="1:10" x14ac:dyDescent="0.2">
      <c r="A77" s="31" t="s">
        <v>94</v>
      </c>
      <c r="B77" s="31">
        <v>105</v>
      </c>
      <c r="C77" s="32">
        <v>135120.53599047617</v>
      </c>
      <c r="D77" s="32">
        <f t="shared" si="10"/>
        <v>20268.080398571416</v>
      </c>
      <c r="E77" s="32">
        <v>155388.61638904759</v>
      </c>
      <c r="F77" s="31"/>
      <c r="G77" s="32">
        <v>139545.44249272201</v>
      </c>
      <c r="H77" s="32">
        <f t="shared" si="11"/>
        <v>11624.661511974002</v>
      </c>
      <c r="I77" s="32">
        <v>151170.10400469601</v>
      </c>
      <c r="J77" s="17">
        <f t="shared" si="12"/>
        <v>2.7905731838489243E-2</v>
      </c>
    </row>
    <row r="78" spans="1:10" x14ac:dyDescent="0.2">
      <c r="A78" s="31" t="s">
        <v>68</v>
      </c>
      <c r="B78" s="31">
        <v>230</v>
      </c>
      <c r="C78" s="32">
        <v>114037.82984347826</v>
      </c>
      <c r="D78" s="32">
        <f t="shared" si="10"/>
        <v>11403.782984347825</v>
      </c>
      <c r="E78" s="32">
        <v>125441.61282782609</v>
      </c>
      <c r="F78" s="31"/>
      <c r="G78" s="32">
        <v>111890.148615</v>
      </c>
      <c r="H78" s="32">
        <f t="shared" si="11"/>
        <v>8253.639505818006</v>
      </c>
      <c r="I78" s="32">
        <v>120143.788120818</v>
      </c>
      <c r="J78" s="17">
        <f t="shared" si="12"/>
        <v>4.4095702240389896E-2</v>
      </c>
    </row>
    <row r="79" spans="1:10" x14ac:dyDescent="0.2">
      <c r="A79" s="31" t="s">
        <v>169</v>
      </c>
      <c r="B79" s="31">
        <v>53</v>
      </c>
      <c r="C79" s="32">
        <v>158416.49720754716</v>
      </c>
      <c r="D79" s="32">
        <f t="shared" si="10"/>
        <v>31683.299441509444</v>
      </c>
      <c r="E79" s="32">
        <v>190099.7966490566</v>
      </c>
      <c r="F79" s="31"/>
      <c r="G79" s="32">
        <v>167012.78933997001</v>
      </c>
      <c r="H79" s="32">
        <f t="shared" si="11"/>
        <v>19959.943526082003</v>
      </c>
      <c r="I79" s="32">
        <v>186972.73286605201</v>
      </c>
      <c r="J79" s="17">
        <f t="shared" si="12"/>
        <v>1.6724704907879962E-2</v>
      </c>
    </row>
    <row r="80" spans="1:10" x14ac:dyDescent="0.2">
      <c r="A80" s="31" t="s">
        <v>139</v>
      </c>
      <c r="B80" s="31">
        <v>4</v>
      </c>
      <c r="C80" s="32">
        <v>124049.04749999999</v>
      </c>
      <c r="D80" s="32">
        <f t="shared" si="10"/>
        <v>18607.35712500001</v>
      </c>
      <c r="E80" s="32">
        <v>142656.404625</v>
      </c>
      <c r="F80" s="31"/>
      <c r="G80" s="32">
        <v>137561.97167999999</v>
      </c>
      <c r="H80" s="32">
        <f t="shared" si="11"/>
        <v>12588.849000000017</v>
      </c>
      <c r="I80" s="32">
        <v>150150.82068</v>
      </c>
      <c r="J80" s="17">
        <f t="shared" si="12"/>
        <v>-4.9912588030218211E-2</v>
      </c>
    </row>
    <row r="81" spans="1:10" x14ac:dyDescent="0.2">
      <c r="A81" s="31" t="s">
        <v>170</v>
      </c>
      <c r="B81" s="31">
        <v>5</v>
      </c>
      <c r="C81" s="32">
        <v>102760.368</v>
      </c>
      <c r="D81" s="32">
        <f t="shared" si="10"/>
        <v>10276.036800000002</v>
      </c>
      <c r="E81" s="32">
        <v>113036.4048</v>
      </c>
      <c r="F81" s="31"/>
      <c r="G81" s="32">
        <v>109069.38</v>
      </c>
      <c r="H81" s="32">
        <f t="shared" si="11"/>
        <v>7438.1239799999894</v>
      </c>
      <c r="I81" s="32">
        <v>116507.50397999999</v>
      </c>
      <c r="J81" s="17">
        <f t="shared" si="12"/>
        <v>-2.9792923729580961E-2</v>
      </c>
    </row>
    <row r="82" spans="1:10" x14ac:dyDescent="0.2">
      <c r="A82" s="31" t="s">
        <v>171</v>
      </c>
      <c r="B82" s="31">
        <v>3</v>
      </c>
      <c r="C82" s="32">
        <v>79463.909999999989</v>
      </c>
      <c r="D82" s="32">
        <f t="shared" si="10"/>
        <v>7151.7519000000029</v>
      </c>
      <c r="E82" s="32">
        <v>86615.661899999992</v>
      </c>
      <c r="F82" s="31"/>
      <c r="G82" s="32">
        <v>76015.496654999995</v>
      </c>
      <c r="H82" s="32">
        <f t="shared" si="11"/>
        <v>2174.2522200000094</v>
      </c>
      <c r="I82" s="32">
        <v>78189.748875000005</v>
      </c>
      <c r="J82" s="17">
        <f t="shared" si="12"/>
        <v>0.10776237481553091</v>
      </c>
    </row>
    <row r="83" spans="1:10" x14ac:dyDescent="0.2">
      <c r="A83" s="31" t="s">
        <v>78</v>
      </c>
      <c r="B83" s="31">
        <v>44</v>
      </c>
      <c r="C83" s="32">
        <v>107994.45818181815</v>
      </c>
      <c r="D83" s="32">
        <f t="shared" si="10"/>
        <v>10799.445818181819</v>
      </c>
      <c r="E83" s="32">
        <v>118793.90399999997</v>
      </c>
      <c r="F83" s="31"/>
      <c r="G83" s="32">
        <v>125080.626659562</v>
      </c>
      <c r="H83" s="32">
        <f t="shared" si="11"/>
        <v>7407.0705004380143</v>
      </c>
      <c r="I83" s="32">
        <v>132487.69716000001</v>
      </c>
      <c r="J83" s="17">
        <f t="shared" si="12"/>
        <v>-0.10335897938857377</v>
      </c>
    </row>
    <row r="84" spans="1:10" x14ac:dyDescent="0.2">
      <c r="A84" s="31" t="s">
        <v>79</v>
      </c>
      <c r="B84" s="31">
        <v>7</v>
      </c>
      <c r="C84" s="32">
        <v>156961.59857142856</v>
      </c>
      <c r="D84" s="32">
        <f t="shared" si="10"/>
        <v>31392.319714285724</v>
      </c>
      <c r="E84" s="32">
        <v>188353.91828571429</v>
      </c>
      <c r="F84" s="31"/>
      <c r="G84" s="32">
        <v>173434.007300022</v>
      </c>
      <c r="H84" s="32">
        <f t="shared" si="11"/>
        <v>35725.386639978009</v>
      </c>
      <c r="I84" s="32">
        <v>209159.39394000001</v>
      </c>
      <c r="J84" s="17">
        <f t="shared" si="12"/>
        <v>-9.9471868140209058E-2</v>
      </c>
    </row>
    <row r="85" spans="1:10" x14ac:dyDescent="0.2">
      <c r="A85" s="31" t="s">
        <v>172</v>
      </c>
      <c r="B85" s="31">
        <v>20</v>
      </c>
      <c r="C85" s="32">
        <v>73225.733999999997</v>
      </c>
      <c r="D85" s="32">
        <f t="shared" si="10"/>
        <v>5858.0587200000009</v>
      </c>
      <c r="E85" s="32">
        <v>79083.792719999998</v>
      </c>
      <c r="F85" s="31"/>
      <c r="G85" s="32">
        <v>65102.729355342002</v>
      </c>
      <c r="H85" s="32">
        <f t="shared" si="11"/>
        <v>1135.7676896579942</v>
      </c>
      <c r="I85" s="32">
        <v>66238.497044999996</v>
      </c>
      <c r="J85" s="17">
        <f t="shared" si="12"/>
        <v>0.19392492656156404</v>
      </c>
    </row>
    <row r="86" spans="1:10" x14ac:dyDescent="0.2">
      <c r="A86" s="31" t="s">
        <v>49</v>
      </c>
      <c r="B86" s="31">
        <v>3</v>
      </c>
      <c r="C86" s="32">
        <v>91169.166666666672</v>
      </c>
      <c r="D86" s="32">
        <f t="shared" si="10"/>
        <v>8205.2250000000058</v>
      </c>
      <c r="E86" s="32">
        <v>99374.391666666677</v>
      </c>
      <c r="F86" s="31"/>
      <c r="G86" s="32">
        <v>78886.009061999997</v>
      </c>
      <c r="H86" s="32">
        <f t="shared" si="11"/>
        <v>3242.1248322120082</v>
      </c>
      <c r="I86" s="32">
        <v>82128.133894212006</v>
      </c>
      <c r="J86" s="17">
        <f t="shared" si="12"/>
        <v>0.20999208133316791</v>
      </c>
    </row>
    <row r="87" spans="1:10" x14ac:dyDescent="0.2">
      <c r="A87" s="31" t="s">
        <v>121</v>
      </c>
      <c r="B87" s="31">
        <v>19</v>
      </c>
      <c r="C87" s="32">
        <v>93875.404736842116</v>
      </c>
      <c r="D87" s="32">
        <f t="shared" si="10"/>
        <v>9387.5404736842174</v>
      </c>
      <c r="E87" s="32">
        <v>103262.94521052633</v>
      </c>
      <c r="F87" s="31"/>
      <c r="G87" s="32">
        <v>100291.163666022</v>
      </c>
      <c r="H87" s="32">
        <f t="shared" si="11"/>
        <v>4291.0816539780062</v>
      </c>
      <c r="I87" s="32">
        <v>104582.24532</v>
      </c>
      <c r="J87" s="17">
        <f t="shared" si="12"/>
        <v>-1.2614953001218164E-2</v>
      </c>
    </row>
    <row r="88" spans="1:10" x14ac:dyDescent="0.2">
      <c r="A88" s="31" t="s">
        <v>122</v>
      </c>
      <c r="B88" s="31">
        <v>8</v>
      </c>
      <c r="C88" s="32">
        <v>107578.25125</v>
      </c>
      <c r="D88" s="32">
        <f t="shared" si="10"/>
        <v>10757.825125000003</v>
      </c>
      <c r="E88" s="32">
        <v>118336.076375</v>
      </c>
      <c r="F88" s="31"/>
      <c r="G88" s="32">
        <v>98366.989593977996</v>
      </c>
      <c r="H88" s="32">
        <f t="shared" si="11"/>
        <v>5588.3616260220006</v>
      </c>
      <c r="I88" s="32">
        <v>103955.35122</v>
      </c>
      <c r="J88" s="17">
        <f t="shared" si="12"/>
        <v>0.13833559298516704</v>
      </c>
    </row>
    <row r="89" spans="1:10" x14ac:dyDescent="0.2">
      <c r="A89" s="31" t="s">
        <v>95</v>
      </c>
      <c r="B89" s="31">
        <v>3</v>
      </c>
      <c r="C89" s="32">
        <v>144566.66666666666</v>
      </c>
      <c r="D89" s="32">
        <f t="shared" si="10"/>
        <v>28913.333333333343</v>
      </c>
      <c r="E89" s="32">
        <v>173480</v>
      </c>
      <c r="F89" s="31"/>
      <c r="G89" s="32">
        <v>139598.61300000001</v>
      </c>
      <c r="H89" s="32">
        <f t="shared" si="11"/>
        <v>21808.269629999995</v>
      </c>
      <c r="I89" s="32">
        <v>161406.88263000001</v>
      </c>
      <c r="J89" s="17">
        <f t="shared" si="12"/>
        <v>7.4799272331377106E-2</v>
      </c>
    </row>
    <row r="90" spans="1:10" x14ac:dyDescent="0.2">
      <c r="A90" s="31" t="s">
        <v>173</v>
      </c>
      <c r="B90" s="31">
        <v>3</v>
      </c>
      <c r="C90" s="32">
        <v>92262.463333333333</v>
      </c>
      <c r="D90" s="32">
        <f t="shared" si="10"/>
        <v>9226.2463333333289</v>
      </c>
      <c r="E90" s="32">
        <v>101488.70966666666</v>
      </c>
      <c r="F90" s="31"/>
      <c r="G90" s="32">
        <v>96940.327649886007</v>
      </c>
      <c r="H90" s="32">
        <f t="shared" si="11"/>
        <v>4703.1604501139955</v>
      </c>
      <c r="I90" s="32">
        <v>101643.4881</v>
      </c>
      <c r="J90" s="17">
        <f t="shared" si="12"/>
        <v>-1.5227579870248492E-3</v>
      </c>
    </row>
    <row r="91" spans="1:10" x14ac:dyDescent="0.2">
      <c r="A91" s="31" t="s">
        <v>140</v>
      </c>
      <c r="B91" s="31">
        <v>5</v>
      </c>
      <c r="C91" s="32">
        <v>178091.7</v>
      </c>
      <c r="D91" s="32">
        <f t="shared" si="10"/>
        <v>44522.924999999988</v>
      </c>
      <c r="E91" s="32">
        <v>222614.625</v>
      </c>
      <c r="F91" s="31"/>
      <c r="G91" s="32">
        <v>182309.41199469601</v>
      </c>
      <c r="H91" s="32">
        <f t="shared" si="11"/>
        <v>36726.820199999987</v>
      </c>
      <c r="I91" s="32">
        <v>219036.232194696</v>
      </c>
      <c r="J91" s="17">
        <f t="shared" si="12"/>
        <v>1.6336990320958651E-2</v>
      </c>
    </row>
    <row r="92" spans="1:10" x14ac:dyDescent="0.2">
      <c r="A92" s="31" t="s">
        <v>123</v>
      </c>
      <c r="B92" s="31">
        <v>11</v>
      </c>
      <c r="C92" s="32">
        <v>117156.43</v>
      </c>
      <c r="D92" s="32">
        <f t="shared" si="10"/>
        <v>11715.642999999996</v>
      </c>
      <c r="E92" s="32">
        <v>128872.07299999999</v>
      </c>
      <c r="F92" s="31"/>
      <c r="G92" s="32">
        <v>121696.96391999999</v>
      </c>
      <c r="H92" s="32">
        <f t="shared" si="11"/>
        <v>9176.0986800000101</v>
      </c>
      <c r="I92" s="32">
        <v>130873.0626</v>
      </c>
      <c r="J92" s="17">
        <f t="shared" si="12"/>
        <v>-1.5289545153503692E-2</v>
      </c>
    </row>
    <row r="93" spans="1:10" x14ac:dyDescent="0.2">
      <c r="A93" s="31" t="s">
        <v>69</v>
      </c>
      <c r="B93" s="31">
        <v>6</v>
      </c>
      <c r="C93" s="32">
        <v>93180.716666666674</v>
      </c>
      <c r="D93" s="32">
        <f t="shared" si="10"/>
        <v>9318.0716666666704</v>
      </c>
      <c r="E93" s="32">
        <v>102498.78833333334</v>
      </c>
      <c r="F93" s="31"/>
      <c r="G93" s="32">
        <v>91075.868814671994</v>
      </c>
      <c r="H93" s="32">
        <f t="shared" si="11"/>
        <v>7217.6603093279991</v>
      </c>
      <c r="I93" s="32">
        <v>98293.529123999993</v>
      </c>
      <c r="J93" s="17">
        <f t="shared" si="12"/>
        <v>4.2782665825624198E-2</v>
      </c>
    </row>
    <row r="94" spans="1:10" x14ac:dyDescent="0.2">
      <c r="A94" s="31" t="s">
        <v>141</v>
      </c>
      <c r="B94" s="31">
        <v>6</v>
      </c>
      <c r="C94" s="32">
        <v>114975.78166666666</v>
      </c>
      <c r="D94" s="32">
        <f t="shared" si="10"/>
        <v>11497.578166666659</v>
      </c>
      <c r="E94" s="32">
        <v>126473.35983333332</v>
      </c>
      <c r="F94" s="31"/>
      <c r="G94" s="32">
        <v>117688.63107644999</v>
      </c>
      <c r="H94" s="32">
        <f t="shared" si="11"/>
        <v>11733.978081924011</v>
      </c>
      <c r="I94" s="32">
        <v>129422.60915837401</v>
      </c>
      <c r="J94" s="17">
        <f t="shared" si="12"/>
        <v>-2.2787744306960293E-2</v>
      </c>
    </row>
    <row r="95" spans="1:10" x14ac:dyDescent="0.2">
      <c r="A95" s="31" t="s">
        <v>142</v>
      </c>
      <c r="B95" s="31">
        <v>4</v>
      </c>
      <c r="C95" s="32">
        <v>136702.57</v>
      </c>
      <c r="D95" s="32">
        <f t="shared" si="10"/>
        <v>13670.257000000012</v>
      </c>
      <c r="E95" s="32">
        <v>150372.82700000002</v>
      </c>
      <c r="F95" s="31"/>
      <c r="G95" s="32">
        <v>140568.260175</v>
      </c>
      <c r="H95" s="32">
        <f t="shared" si="11"/>
        <v>9531.5680214999884</v>
      </c>
      <c r="I95" s="32">
        <v>150099.82819649999</v>
      </c>
      <c r="J95" s="17">
        <f t="shared" si="12"/>
        <v>1.8187815854301798E-3</v>
      </c>
    </row>
    <row r="96" spans="1:10" x14ac:dyDescent="0.2">
      <c r="A96" s="31" t="s">
        <v>124</v>
      </c>
      <c r="B96" s="31">
        <v>6</v>
      </c>
      <c r="C96" s="32">
        <v>99562.956666666665</v>
      </c>
      <c r="D96" s="32">
        <f t="shared" si="10"/>
        <v>9956.2956666666723</v>
      </c>
      <c r="E96" s="32">
        <v>109519.25233333334</v>
      </c>
      <c r="F96" s="31"/>
      <c r="G96" s="32">
        <v>122774.576223978</v>
      </c>
      <c r="H96" s="32">
        <f t="shared" si="11"/>
        <v>11662.948432043995</v>
      </c>
      <c r="I96" s="32">
        <v>134437.524656022</v>
      </c>
      <c r="J96" s="17">
        <f t="shared" si="12"/>
        <v>-0.18535206138647442</v>
      </c>
    </row>
    <row r="97" spans="1:10" x14ac:dyDescent="0.2">
      <c r="A97" s="31" t="s">
        <v>174</v>
      </c>
      <c r="B97" s="31">
        <v>3</v>
      </c>
      <c r="C97" s="32">
        <v>91827</v>
      </c>
      <c r="D97" s="32">
        <f t="shared" si="10"/>
        <v>9182.6999999999971</v>
      </c>
      <c r="E97" s="32">
        <v>101009.7</v>
      </c>
      <c r="F97" s="31"/>
      <c r="G97" s="32">
        <v>96556.811576021995</v>
      </c>
      <c r="H97" s="32">
        <f t="shared" si="11"/>
        <v>5864.4329439779976</v>
      </c>
      <c r="I97" s="32">
        <v>102421.24451999999</v>
      </c>
      <c r="J97" s="17">
        <f t="shared" si="12"/>
        <v>-1.3781755207283785E-2</v>
      </c>
    </row>
    <row r="98" spans="1:10" x14ac:dyDescent="0.2">
      <c r="A98" s="31" t="s">
        <v>175</v>
      </c>
      <c r="B98" s="31">
        <v>5</v>
      </c>
      <c r="C98" s="32">
        <v>95042.680000000008</v>
      </c>
      <c r="D98" s="32">
        <f t="shared" si="10"/>
        <v>9504.2679999999964</v>
      </c>
      <c r="E98" s="32">
        <v>104546.948</v>
      </c>
      <c r="F98" s="31"/>
      <c r="G98" s="32">
        <v>110228.17702667401</v>
      </c>
      <c r="H98" s="32">
        <f t="shared" si="11"/>
        <v>9497.3833333259972</v>
      </c>
      <c r="I98" s="32">
        <v>119725.56036</v>
      </c>
      <c r="J98" s="17">
        <f t="shared" si="12"/>
        <v>-0.12677837810372139</v>
      </c>
    </row>
    <row r="99" spans="1:10" x14ac:dyDescent="0.2">
      <c r="A99" s="31" t="s">
        <v>125</v>
      </c>
      <c r="B99" s="31">
        <v>4</v>
      </c>
      <c r="C99" s="32">
        <v>92861.287500000006</v>
      </c>
      <c r="D99" s="32">
        <f t="shared" si="10"/>
        <v>9286.1287500000035</v>
      </c>
      <c r="E99" s="32">
        <v>102147.41625000001</v>
      </c>
      <c r="F99" s="31"/>
      <c r="G99" s="32">
        <v>91740.6</v>
      </c>
      <c r="H99" s="32">
        <f t="shared" si="11"/>
        <v>7211.8304999999964</v>
      </c>
      <c r="I99" s="32">
        <v>98952.430500000002</v>
      </c>
      <c r="J99" s="17">
        <f t="shared" si="12"/>
        <v>3.2288097764309152E-2</v>
      </c>
    </row>
    <row r="100" spans="1:10" x14ac:dyDescent="0.2">
      <c r="A100" s="31" t="s">
        <v>126</v>
      </c>
      <c r="B100" s="31">
        <v>3</v>
      </c>
      <c r="C100" s="32">
        <v>115594.01666666666</v>
      </c>
      <c r="D100" s="32">
        <f t="shared" si="10"/>
        <v>11559.401666666672</v>
      </c>
      <c r="E100" s="32">
        <v>127153.41833333333</v>
      </c>
      <c r="F100" s="31"/>
      <c r="G100" s="32">
        <v>121486.938290928</v>
      </c>
      <c r="H100" s="32">
        <f t="shared" si="11"/>
        <v>6668.9943363540078</v>
      </c>
      <c r="I100" s="32">
        <v>128155.932627282</v>
      </c>
      <c r="J100" s="17">
        <f t="shared" si="12"/>
        <v>-7.8226132290285574E-3</v>
      </c>
    </row>
    <row r="101" spans="1:10" x14ac:dyDescent="0.2">
      <c r="A101" s="31" t="s">
        <v>176</v>
      </c>
      <c r="B101" s="31">
        <v>3</v>
      </c>
      <c r="C101" s="32">
        <v>133232.18666666668</v>
      </c>
      <c r="D101" s="32">
        <f t="shared" si="10"/>
        <v>19984.828000000009</v>
      </c>
      <c r="E101" s="32">
        <v>153217.01466666668</v>
      </c>
      <c r="F101" s="31"/>
      <c r="G101" s="32">
        <v>141444.03367911599</v>
      </c>
      <c r="H101" s="32">
        <f t="shared" si="11"/>
        <v>12453.031424862012</v>
      </c>
      <c r="I101" s="32">
        <v>153897.06510397801</v>
      </c>
      <c r="J101" s="17">
        <f t="shared" si="12"/>
        <v>-4.4188655375062341E-3</v>
      </c>
    </row>
    <row r="102" spans="1:10" x14ac:dyDescent="0.2">
      <c r="A102" s="31" t="s">
        <v>24</v>
      </c>
      <c r="B102" s="31">
        <v>4</v>
      </c>
      <c r="C102" s="32">
        <v>144973.53250000003</v>
      </c>
      <c r="D102" s="32">
        <f t="shared" si="10"/>
        <v>21746.029875000007</v>
      </c>
      <c r="E102" s="32">
        <v>166719.56237500004</v>
      </c>
      <c r="F102" s="31"/>
      <c r="G102" s="32">
        <v>154739.20803314401</v>
      </c>
      <c r="H102" s="32">
        <f t="shared" si="11"/>
        <v>13783.517212877981</v>
      </c>
      <c r="I102" s="32">
        <v>168522.72524602199</v>
      </c>
      <c r="J102" s="17">
        <f t="shared" si="12"/>
        <v>-1.0699820266907984E-2</v>
      </c>
    </row>
    <row r="103" spans="1:10" x14ac:dyDescent="0.2">
      <c r="A103" s="31" t="s">
        <v>25</v>
      </c>
      <c r="B103" s="31">
        <v>28</v>
      </c>
      <c r="C103" s="32">
        <v>77945.620285714278</v>
      </c>
      <c r="D103" s="32">
        <f t="shared" si="10"/>
        <v>7015.1058257142868</v>
      </c>
      <c r="E103" s="32">
        <v>84960.726111428565</v>
      </c>
      <c r="F103" s="31"/>
      <c r="G103" s="32">
        <v>91742.638680000004</v>
      </c>
      <c r="H103" s="32">
        <f t="shared" si="11"/>
        <v>8947.0700049779989</v>
      </c>
      <c r="I103" s="32">
        <v>100689.708684978</v>
      </c>
      <c r="J103" s="17">
        <f t="shared" si="12"/>
        <v>-0.15621241514125128</v>
      </c>
    </row>
    <row r="104" spans="1:10" x14ac:dyDescent="0.2">
      <c r="A104" s="31" t="s">
        <v>127</v>
      </c>
      <c r="B104" s="31">
        <v>14</v>
      </c>
      <c r="C104" s="32">
        <v>91834.531428571441</v>
      </c>
      <c r="D104" s="32">
        <f t="shared" si="10"/>
        <v>9183.4531428571499</v>
      </c>
      <c r="E104" s="32">
        <v>101017.98457142859</v>
      </c>
      <c r="F104" s="31"/>
      <c r="G104" s="32">
        <v>114859.027332</v>
      </c>
      <c r="H104" s="32">
        <f t="shared" si="11"/>
        <v>10597.007673</v>
      </c>
      <c r="I104" s="32">
        <v>125456.035005</v>
      </c>
      <c r="J104" s="17">
        <f t="shared" si="12"/>
        <v>-0.19479374135008681</v>
      </c>
    </row>
    <row r="105" spans="1:10" x14ac:dyDescent="0.2">
      <c r="A105" s="31" t="s">
        <v>177</v>
      </c>
      <c r="B105" s="31">
        <v>45</v>
      </c>
      <c r="C105" s="32">
        <v>110132.47511111115</v>
      </c>
      <c r="D105" s="32">
        <f t="shared" si="10"/>
        <v>11013.247511111113</v>
      </c>
      <c r="E105" s="32">
        <v>121145.72262222227</v>
      </c>
      <c r="F105" s="31"/>
      <c r="G105" s="32">
        <v>138983.95097999999</v>
      </c>
      <c r="H105" s="32">
        <f t="shared" si="11"/>
        <v>16171.149506022019</v>
      </c>
      <c r="I105" s="32">
        <v>155155.10048602201</v>
      </c>
      <c r="J105" s="17">
        <f t="shared" si="12"/>
        <v>-0.21919600294973007</v>
      </c>
    </row>
    <row r="106" spans="1:10" x14ac:dyDescent="0.2">
      <c r="A106" s="31" t="s">
        <v>103</v>
      </c>
      <c r="B106" s="31">
        <v>31</v>
      </c>
      <c r="C106" s="32">
        <v>130727.3441935484</v>
      </c>
      <c r="D106" s="32">
        <f t="shared" si="10"/>
        <v>19609.101629032259</v>
      </c>
      <c r="E106" s="32">
        <v>150336.44582258066</v>
      </c>
      <c r="F106" s="31"/>
      <c r="G106" s="32">
        <v>161553.75250102201</v>
      </c>
      <c r="H106" s="32">
        <f t="shared" si="11"/>
        <v>28073.812863977975</v>
      </c>
      <c r="I106" s="32">
        <v>189627.56536499999</v>
      </c>
      <c r="J106" s="17">
        <f t="shared" si="12"/>
        <v>-0.20720151876015902</v>
      </c>
    </row>
    <row r="107" spans="1:10" x14ac:dyDescent="0.2">
      <c r="A107" s="31" t="s">
        <v>80</v>
      </c>
      <c r="B107" s="31">
        <v>8</v>
      </c>
      <c r="C107" s="32">
        <v>104535.02625</v>
      </c>
      <c r="D107" s="32">
        <f t="shared" si="10"/>
        <v>10453.502624999994</v>
      </c>
      <c r="E107" s="32">
        <v>114988.52887499999</v>
      </c>
      <c r="F107" s="31"/>
      <c r="G107" s="32">
        <v>136722.03552</v>
      </c>
      <c r="H107" s="32">
        <f t="shared" si="11"/>
        <v>14429.777039999986</v>
      </c>
      <c r="I107" s="32">
        <v>151151.81255999999</v>
      </c>
      <c r="J107" s="17">
        <f t="shared" si="12"/>
        <v>-0.23925140606993991</v>
      </c>
    </row>
    <row r="108" spans="1:10" x14ac:dyDescent="0.2">
      <c r="A108" s="31" t="s">
        <v>178</v>
      </c>
      <c r="B108" s="31">
        <v>16</v>
      </c>
      <c r="C108" s="32">
        <v>131173.60312499999</v>
      </c>
      <c r="D108" s="32">
        <f t="shared" si="10"/>
        <v>19676.040468749998</v>
      </c>
      <c r="E108" s="32">
        <v>150849.64359374999</v>
      </c>
      <c r="F108" s="31"/>
      <c r="G108" s="32">
        <v>152971.84413000001</v>
      </c>
      <c r="H108" s="32">
        <f t="shared" si="11"/>
        <v>23833.188539999974</v>
      </c>
      <c r="I108" s="32">
        <v>176805.03266999999</v>
      </c>
      <c r="J108" s="17">
        <f t="shared" si="12"/>
        <v>-0.1468023205238437</v>
      </c>
    </row>
    <row r="109" spans="1:10" x14ac:dyDescent="0.2">
      <c r="A109" s="31" t="s">
        <v>179</v>
      </c>
      <c r="B109" s="31">
        <v>4</v>
      </c>
      <c r="C109" s="32">
        <v>101776.25</v>
      </c>
      <c r="D109" s="32">
        <f t="shared" si="10"/>
        <v>10177.625</v>
      </c>
      <c r="E109" s="32">
        <v>111953.875</v>
      </c>
      <c r="F109" s="31"/>
      <c r="G109" s="32">
        <v>124141.34123999999</v>
      </c>
      <c r="H109" s="32">
        <f t="shared" si="11"/>
        <v>15495.133003686016</v>
      </c>
      <c r="I109" s="32">
        <v>139636.47424368601</v>
      </c>
      <c r="J109" s="17">
        <f t="shared" si="12"/>
        <v>-0.19824762400815019</v>
      </c>
    </row>
    <row r="110" spans="1:10" x14ac:dyDescent="0.2">
      <c r="A110" s="31" t="s">
        <v>128</v>
      </c>
      <c r="B110" s="31">
        <v>9</v>
      </c>
      <c r="C110" s="32">
        <v>156926.86333333331</v>
      </c>
      <c r="D110" s="32">
        <f t="shared" si="10"/>
        <v>31385.372666666663</v>
      </c>
      <c r="E110" s="32">
        <v>188312.23599999998</v>
      </c>
      <c r="F110" s="31"/>
      <c r="G110" s="32">
        <v>152391.32999999999</v>
      </c>
      <c r="H110" s="32">
        <f t="shared" si="11"/>
        <v>23546.244330000016</v>
      </c>
      <c r="I110" s="32">
        <v>175937.57433</v>
      </c>
      <c r="J110" s="17">
        <f t="shared" si="12"/>
        <v>7.0335525069757127E-2</v>
      </c>
    </row>
    <row r="111" spans="1:10" x14ac:dyDescent="0.2">
      <c r="A111" s="31" t="s">
        <v>180</v>
      </c>
      <c r="B111" s="31">
        <v>3</v>
      </c>
      <c r="C111" s="32">
        <v>63196.77</v>
      </c>
      <c r="D111" s="32">
        <f t="shared" si="10"/>
        <v>3791.8061999999991</v>
      </c>
      <c r="E111" s="32">
        <v>66988.576199999996</v>
      </c>
      <c r="F111" s="31"/>
      <c r="G111" s="32">
        <v>62456.490810000003</v>
      </c>
      <c r="H111" s="32">
        <f t="shared" si="11"/>
        <v>2104.281766313994</v>
      </c>
      <c r="I111" s="32">
        <v>64560.772576313997</v>
      </c>
      <c r="J111" s="17">
        <f t="shared" si="12"/>
        <v>3.7604934495110265E-2</v>
      </c>
    </row>
    <row r="112" spans="1:10" x14ac:dyDescent="0.2">
      <c r="A112" s="31" t="s">
        <v>143</v>
      </c>
      <c r="B112" s="31">
        <v>3</v>
      </c>
      <c r="C112" s="32">
        <v>90961.66333333333</v>
      </c>
      <c r="D112" s="32">
        <f t="shared" si="10"/>
        <v>9096.1663333333272</v>
      </c>
      <c r="E112" s="32">
        <v>100057.82966666666</v>
      </c>
      <c r="F112" s="31"/>
      <c r="G112" s="32">
        <v>96912.377245152005</v>
      </c>
      <c r="H112" s="32">
        <f t="shared" si="11"/>
        <v>1435.2320451419946</v>
      </c>
      <c r="I112" s="32">
        <v>98347.609290294</v>
      </c>
      <c r="J112" s="17">
        <f t="shared" si="12"/>
        <v>1.7389547023197852E-2</v>
      </c>
    </row>
    <row r="113" spans="1:10" x14ac:dyDescent="0.2">
      <c r="A113" s="31" t="s">
        <v>144</v>
      </c>
      <c r="B113" s="31">
        <v>3</v>
      </c>
      <c r="C113" s="32">
        <v>120417.83333333333</v>
      </c>
      <c r="D113" s="32">
        <f t="shared" si="10"/>
        <v>18062.675000000003</v>
      </c>
      <c r="E113" s="32">
        <v>138480.50833333333</v>
      </c>
      <c r="F113" s="31"/>
      <c r="G113" s="32">
        <v>151270.05600000001</v>
      </c>
      <c r="H113" s="32">
        <f t="shared" si="11"/>
        <v>23080.405949999986</v>
      </c>
      <c r="I113" s="32">
        <v>174350.46195</v>
      </c>
      <c r="J113" s="17">
        <f t="shared" si="12"/>
        <v>-0.20573477819034058</v>
      </c>
    </row>
    <row r="114" spans="1:10" x14ac:dyDescent="0.2">
      <c r="A114" s="31" t="s">
        <v>145</v>
      </c>
      <c r="B114" s="31">
        <v>3</v>
      </c>
      <c r="C114" s="32">
        <v>106808.53666666667</v>
      </c>
      <c r="D114" s="32">
        <f t="shared" si="10"/>
        <v>10680.853666666662</v>
      </c>
      <c r="E114" s="32">
        <v>117489.39033333333</v>
      </c>
      <c r="F114" s="31"/>
      <c r="G114" s="32">
        <v>139689.741996</v>
      </c>
      <c r="H114" s="32">
        <f t="shared" si="11"/>
        <v>18004.449519000016</v>
      </c>
      <c r="I114" s="32">
        <v>157694.19151500001</v>
      </c>
      <c r="J114" s="17">
        <f t="shared" si="12"/>
        <v>-0.2549542300538214</v>
      </c>
    </row>
    <row r="115" spans="1:10" x14ac:dyDescent="0.2">
      <c r="A115" s="31" t="s">
        <v>181</v>
      </c>
      <c r="B115" s="31">
        <v>3</v>
      </c>
      <c r="C115" s="32">
        <v>189491.66666666666</v>
      </c>
      <c r="D115" s="32">
        <f t="shared" si="10"/>
        <v>47372.916666666657</v>
      </c>
      <c r="E115" s="32">
        <v>236864.58333333331</v>
      </c>
      <c r="F115" s="31"/>
      <c r="G115" s="32">
        <v>186200.79912000001</v>
      </c>
      <c r="H115" s="32">
        <f t="shared" si="11"/>
        <v>37240.057889999996</v>
      </c>
      <c r="I115" s="32">
        <v>223440.85701000001</v>
      </c>
      <c r="J115" s="17">
        <f t="shared" si="12"/>
        <v>6.0077313088413964E-2</v>
      </c>
    </row>
    <row r="116" spans="1:10" x14ac:dyDescent="0.2">
      <c r="A116" s="31" t="s">
        <v>81</v>
      </c>
      <c r="B116" s="31">
        <v>4</v>
      </c>
      <c r="C116" s="32">
        <v>86531.367499999993</v>
      </c>
      <c r="D116" s="32">
        <f t="shared" si="10"/>
        <v>8653.1367500000051</v>
      </c>
      <c r="E116" s="32">
        <v>95184.504249999998</v>
      </c>
      <c r="F116" s="31"/>
      <c r="G116" s="32">
        <v>116383.90900499999</v>
      </c>
      <c r="H116" s="32">
        <f t="shared" si="11"/>
        <v>5502.3973200000037</v>
      </c>
      <c r="I116" s="32">
        <v>121886.306325</v>
      </c>
      <c r="J116" s="17">
        <f t="shared" si="12"/>
        <v>-0.21907138611454677</v>
      </c>
    </row>
    <row r="117" spans="1:10" x14ac:dyDescent="0.2">
      <c r="A117" s="31" t="s">
        <v>146</v>
      </c>
      <c r="B117" s="31">
        <v>3</v>
      </c>
      <c r="C117" s="32">
        <v>108249.27666666667</v>
      </c>
      <c r="D117" s="32">
        <f t="shared" si="10"/>
        <v>10824.92766666667</v>
      </c>
      <c r="E117" s="32">
        <v>119074.20433333334</v>
      </c>
      <c r="F117" s="31"/>
      <c r="G117" s="32">
        <v>139139.91</v>
      </c>
      <c r="H117" s="32">
        <f t="shared" si="11"/>
        <v>12675.832646021998</v>
      </c>
      <c r="I117" s="32">
        <v>151815.742646022</v>
      </c>
      <c r="J117" s="17">
        <f t="shared" si="12"/>
        <v>-0.21566629219098696</v>
      </c>
    </row>
    <row r="118" spans="1:10" x14ac:dyDescent="0.2">
      <c r="A118" s="31" t="s">
        <v>34</v>
      </c>
      <c r="B118" s="31">
        <v>3</v>
      </c>
      <c r="C118" s="32">
        <v>74541.626666666663</v>
      </c>
      <c r="D118" s="32">
        <f t="shared" si="10"/>
        <v>6708.7464000000036</v>
      </c>
      <c r="E118" s="32">
        <v>81250.373066666667</v>
      </c>
      <c r="F118" s="31"/>
      <c r="G118" s="32">
        <v>81632.314889999994</v>
      </c>
      <c r="H118" s="32">
        <f t="shared" si="11"/>
        <v>4383.6716700000106</v>
      </c>
      <c r="I118" s="32">
        <v>86015.986560000005</v>
      </c>
      <c r="J118" s="17">
        <f t="shared" si="12"/>
        <v>-5.5403811360218588E-2</v>
      </c>
    </row>
    <row r="119" spans="1:10" x14ac:dyDescent="0.2">
      <c r="A119" s="31" t="s">
        <v>30</v>
      </c>
      <c r="B119" s="31">
        <v>7</v>
      </c>
      <c r="C119" s="32">
        <v>109134.90000000001</v>
      </c>
      <c r="D119" s="32">
        <f t="shared" si="10"/>
        <v>10913.490000000005</v>
      </c>
      <c r="E119" s="32">
        <v>120048.39000000001</v>
      </c>
      <c r="F119" s="31"/>
      <c r="G119" s="32">
        <v>122602.13784</v>
      </c>
      <c r="H119" s="32">
        <f t="shared" si="11"/>
        <v>14358.083493978003</v>
      </c>
      <c r="I119" s="32">
        <v>136960.221333978</v>
      </c>
      <c r="J119" s="17">
        <f t="shared" si="12"/>
        <v>-0.1234798773633581</v>
      </c>
    </row>
    <row r="120" spans="1:10" x14ac:dyDescent="0.2">
      <c r="A120" s="31" t="s">
        <v>32</v>
      </c>
      <c r="B120" s="31">
        <v>8</v>
      </c>
      <c r="C120" s="32">
        <v>135831.25</v>
      </c>
      <c r="D120" s="32">
        <f t="shared" si="10"/>
        <v>20374.6875</v>
      </c>
      <c r="E120" s="32">
        <v>156205.9375</v>
      </c>
      <c r="F120" s="31"/>
      <c r="G120" s="32">
        <v>166301.498475</v>
      </c>
      <c r="H120" s="32">
        <f t="shared" si="11"/>
        <v>24945.161062500003</v>
      </c>
      <c r="I120" s="32">
        <v>191246.6595375</v>
      </c>
      <c r="J120" s="17">
        <f t="shared" si="12"/>
        <v>-0.18322266188722189</v>
      </c>
    </row>
    <row r="121" spans="1:10" x14ac:dyDescent="0.2">
      <c r="A121" s="31" t="s">
        <v>33</v>
      </c>
      <c r="B121" s="31">
        <v>3</v>
      </c>
      <c r="C121" s="32">
        <v>143480.13666666669</v>
      </c>
      <c r="D121" s="32">
        <f t="shared" si="10"/>
        <v>21522.020500000013</v>
      </c>
      <c r="E121" s="32">
        <v>165002.1571666667</v>
      </c>
      <c r="F121" s="31"/>
      <c r="G121" s="32">
        <v>136013.93396602201</v>
      </c>
      <c r="H121" s="32">
        <f t="shared" si="11"/>
        <v>20681.729107955995</v>
      </c>
      <c r="I121" s="32">
        <v>156695.66307397801</v>
      </c>
      <c r="J121" s="17">
        <f t="shared" si="12"/>
        <v>5.30103637186633E-2</v>
      </c>
    </row>
    <row r="122" spans="1:10" x14ac:dyDescent="0.2">
      <c r="A122" s="31" t="s">
        <v>27</v>
      </c>
      <c r="B122" s="31">
        <v>4</v>
      </c>
      <c r="C122" s="32">
        <v>178636.25</v>
      </c>
      <c r="D122" s="32">
        <f t="shared" si="10"/>
        <v>44659.0625</v>
      </c>
      <c r="E122" s="32">
        <v>223295.3125</v>
      </c>
      <c r="F122" s="31"/>
      <c r="G122" s="32">
        <v>214438.21605397799</v>
      </c>
      <c r="H122" s="32">
        <f t="shared" si="11"/>
        <v>55012.250789999991</v>
      </c>
      <c r="I122" s="32">
        <v>269450.46684397798</v>
      </c>
      <c r="J122" s="17">
        <f t="shared" si="12"/>
        <v>-0.17129365142537889</v>
      </c>
    </row>
    <row r="123" spans="1:10" x14ac:dyDescent="0.2">
      <c r="A123" s="31" t="s">
        <v>63</v>
      </c>
      <c r="B123" s="31">
        <v>9</v>
      </c>
      <c r="C123" s="32">
        <v>129158.33333333333</v>
      </c>
      <c r="D123" s="32">
        <f t="shared" si="10"/>
        <v>19373.749999999985</v>
      </c>
      <c r="E123" s="32">
        <v>148532.08333333331</v>
      </c>
      <c r="F123" s="31"/>
      <c r="G123" s="32">
        <v>136013.93396602201</v>
      </c>
      <c r="H123" s="32">
        <f t="shared" si="11"/>
        <v>20681.729107955995</v>
      </c>
      <c r="I123" s="32">
        <v>156695.66307397801</v>
      </c>
      <c r="J123" s="17">
        <f t="shared" si="12"/>
        <v>-5.2098313255744447E-2</v>
      </c>
    </row>
    <row r="124" spans="1:10" x14ac:dyDescent="0.2">
      <c r="A124" s="31" t="s">
        <v>182</v>
      </c>
      <c r="B124" s="31">
        <v>16</v>
      </c>
      <c r="C124" s="32">
        <v>146406.29375000001</v>
      </c>
      <c r="D124" s="32">
        <f t="shared" si="10"/>
        <v>29281.258750000008</v>
      </c>
      <c r="E124" s="32">
        <v>175687.55250000002</v>
      </c>
      <c r="F124" s="31"/>
      <c r="G124" s="32">
        <v>160842.61423124999</v>
      </c>
      <c r="H124" s="32">
        <f t="shared" si="11"/>
        <v>18802.997111178003</v>
      </c>
      <c r="I124" s="32">
        <v>179645.61134242799</v>
      </c>
      <c r="J124" s="17">
        <f t="shared" si="12"/>
        <v>-2.2032594132697144E-2</v>
      </c>
    </row>
    <row r="125" spans="1:10" x14ac:dyDescent="0.2">
      <c r="A125" s="31" t="s">
        <v>29</v>
      </c>
      <c r="B125" s="31">
        <v>3</v>
      </c>
      <c r="C125" s="32">
        <v>119909.36333333333</v>
      </c>
      <c r="D125" s="32">
        <f t="shared" si="10"/>
        <v>11990.936333333331</v>
      </c>
      <c r="E125" s="32">
        <v>131900.29966666666</v>
      </c>
      <c r="F125" s="31"/>
      <c r="G125" s="32">
        <v>133341.90408000001</v>
      </c>
      <c r="H125" s="32">
        <f t="shared" si="11"/>
        <v>12166.176814848004</v>
      </c>
      <c r="I125" s="32">
        <v>145508.08089484801</v>
      </c>
      <c r="J125" s="17">
        <f t="shared" si="12"/>
        <v>-9.3519075672608656E-2</v>
      </c>
    </row>
    <row r="126" spans="1:10" x14ac:dyDescent="0.2">
      <c r="A126" s="31" t="s">
        <v>104</v>
      </c>
      <c r="B126" s="31">
        <v>4</v>
      </c>
      <c r="C126" s="32">
        <v>76735.514999999999</v>
      </c>
      <c r="D126" s="32">
        <f t="shared" si="10"/>
        <v>6906.1963499999983</v>
      </c>
      <c r="E126" s="32">
        <v>83641.711349999998</v>
      </c>
      <c r="F126" s="31"/>
      <c r="G126" s="32">
        <v>69283.775294999999</v>
      </c>
      <c r="H126" s="32">
        <f t="shared" si="11"/>
        <v>2093.9570753220032</v>
      </c>
      <c r="I126" s="32">
        <v>71377.732370322003</v>
      </c>
      <c r="J126" s="17">
        <f t="shared" si="12"/>
        <v>0.17181799662743572</v>
      </c>
    </row>
    <row r="127" spans="1:10" x14ac:dyDescent="0.2">
      <c r="A127" s="31" t="s">
        <v>105</v>
      </c>
      <c r="B127" s="31">
        <v>4</v>
      </c>
      <c r="C127" s="32">
        <v>128347.565</v>
      </c>
      <c r="D127" s="32">
        <f t="shared" si="10"/>
        <v>19252.134749999997</v>
      </c>
      <c r="E127" s="32">
        <v>147599.69975</v>
      </c>
      <c r="F127" s="31"/>
      <c r="G127" s="32">
        <v>135350.18593412399</v>
      </c>
      <c r="H127" s="32">
        <f t="shared" si="11"/>
        <v>13220.205566652003</v>
      </c>
      <c r="I127" s="32">
        <v>148570.39150077599</v>
      </c>
      <c r="J127" s="17">
        <f t="shared" si="12"/>
        <v>-6.5335477746985915E-3</v>
      </c>
    </row>
    <row r="128" spans="1:10" x14ac:dyDescent="0.2">
      <c r="A128" s="31" t="s">
        <v>106</v>
      </c>
      <c r="B128" s="31">
        <v>5</v>
      </c>
      <c r="C128" s="32">
        <v>92591</v>
      </c>
      <c r="D128" s="32">
        <f t="shared" si="10"/>
        <v>9259.1000000000058</v>
      </c>
      <c r="E128" s="32">
        <v>101850.1</v>
      </c>
      <c r="F128" s="31"/>
      <c r="G128" s="32">
        <v>114618.836883978</v>
      </c>
      <c r="H128" s="32">
        <f t="shared" si="11"/>
        <v>12688.103970611992</v>
      </c>
      <c r="I128" s="32">
        <v>127306.94085458999</v>
      </c>
      <c r="J128" s="17">
        <f t="shared" si="12"/>
        <v>-0.19996428068809535</v>
      </c>
    </row>
    <row r="129" spans="1:10" x14ac:dyDescent="0.2">
      <c r="A129" s="31" t="s">
        <v>147</v>
      </c>
      <c r="B129" s="31">
        <v>9</v>
      </c>
      <c r="C129" s="32">
        <v>77828.333333333328</v>
      </c>
      <c r="D129" s="32">
        <f t="shared" si="10"/>
        <v>7004.5500000000029</v>
      </c>
      <c r="E129" s="32">
        <v>84832.883333333331</v>
      </c>
      <c r="F129" s="31"/>
      <c r="G129" s="32">
        <v>95244.496338978002</v>
      </c>
      <c r="H129" s="32">
        <f t="shared" si="11"/>
        <v>8662.575268998</v>
      </c>
      <c r="I129" s="32">
        <v>103907.071607976</v>
      </c>
      <c r="J129" s="17">
        <f t="shared" si="12"/>
        <v>-0.18356968375171223</v>
      </c>
    </row>
    <row r="130" spans="1:10" x14ac:dyDescent="0.2">
      <c r="A130" s="31" t="s">
        <v>57</v>
      </c>
      <c r="B130" s="31">
        <v>7</v>
      </c>
      <c r="C130" s="32">
        <v>118521.42857142857</v>
      </c>
      <c r="D130" s="32">
        <f t="shared" si="10"/>
        <v>11852.142857142855</v>
      </c>
      <c r="E130" s="32">
        <v>130373.57142857142</v>
      </c>
      <c r="F130" s="31"/>
      <c r="G130" s="32">
        <v>119315.37794400001</v>
      </c>
      <c r="H130" s="32">
        <f t="shared" si="11"/>
        <v>11593.361555999989</v>
      </c>
      <c r="I130" s="32">
        <v>130908.7395</v>
      </c>
      <c r="J130" s="17">
        <f t="shared" si="12"/>
        <v>-4.088100408518377E-3</v>
      </c>
    </row>
    <row r="131" spans="1:10" x14ac:dyDescent="0.2">
      <c r="A131" s="31" t="s">
        <v>183</v>
      </c>
      <c r="B131" s="31">
        <v>9</v>
      </c>
      <c r="C131" s="32">
        <v>92176.46666666666</v>
      </c>
      <c r="D131" s="32">
        <f t="shared" si="10"/>
        <v>9217.6466666666674</v>
      </c>
      <c r="E131" s="32">
        <v>101394.11333333333</v>
      </c>
      <c r="F131" s="31"/>
      <c r="G131" s="32">
        <v>97556.954039999997</v>
      </c>
      <c r="H131" s="32">
        <f t="shared" si="11"/>
        <v>11038.636727999998</v>
      </c>
      <c r="I131" s="32">
        <v>108595.59076799999</v>
      </c>
      <c r="J131" s="17">
        <f t="shared" si="12"/>
        <v>-6.6314639330538425E-2</v>
      </c>
    </row>
    <row r="132" spans="1:10" x14ac:dyDescent="0.2">
      <c r="A132" s="31" t="s">
        <v>184</v>
      </c>
      <c r="B132" s="31">
        <v>3</v>
      </c>
      <c r="C132" s="32">
        <v>92350.833333333328</v>
      </c>
      <c r="D132" s="32">
        <f t="shared" si="10"/>
        <v>9235.0833333333285</v>
      </c>
      <c r="E132" s="32">
        <v>101585.91666666666</v>
      </c>
      <c r="F132" s="31"/>
      <c r="G132" s="32">
        <v>101047.7093535</v>
      </c>
      <c r="H132" s="32">
        <f t="shared" si="11"/>
        <v>7510.4774467380048</v>
      </c>
      <c r="I132" s="32">
        <v>108558.18680023801</v>
      </c>
      <c r="J132" s="17">
        <f t="shared" si="12"/>
        <v>-6.4226110799006669E-2</v>
      </c>
    </row>
    <row r="133" spans="1:10" x14ac:dyDescent="0.2">
      <c r="A133" s="31" t="s">
        <v>44</v>
      </c>
      <c r="B133" s="31">
        <v>5</v>
      </c>
      <c r="C133" s="32">
        <v>196880</v>
      </c>
      <c r="D133" s="32">
        <f t="shared" si="10"/>
        <v>49220</v>
      </c>
      <c r="E133" s="32">
        <v>246100</v>
      </c>
      <c r="F133" s="31"/>
      <c r="G133" s="32">
        <v>168925.02480000001</v>
      </c>
      <c r="H133" s="32">
        <f t="shared" si="11"/>
        <v>28090.170824561996</v>
      </c>
      <c r="I133" s="32">
        <v>197015.19562456201</v>
      </c>
      <c r="J133" s="17">
        <f t="shared" si="12"/>
        <v>0.2491422259071602</v>
      </c>
    </row>
    <row r="134" spans="1:10" x14ac:dyDescent="0.2">
      <c r="A134" s="31" t="s">
        <v>129</v>
      </c>
      <c r="B134" s="31">
        <v>17</v>
      </c>
      <c r="C134" s="32">
        <v>122182.35294117648</v>
      </c>
      <c r="D134" s="32">
        <f t="shared" si="10"/>
        <v>18327.352941176476</v>
      </c>
      <c r="E134" s="32">
        <v>140509.70588235295</v>
      </c>
      <c r="F134" s="31"/>
      <c r="G134" s="32">
        <v>124515.588964914</v>
      </c>
      <c r="H134" s="32">
        <f t="shared" si="11"/>
        <v>18643.098953681998</v>
      </c>
      <c r="I134" s="32">
        <v>143158.687918596</v>
      </c>
      <c r="J134" s="17">
        <f t="shared" si="12"/>
        <v>-1.8503816113132666E-2</v>
      </c>
    </row>
    <row r="135" spans="1:10" x14ac:dyDescent="0.2">
      <c r="A135" s="31" t="s">
        <v>148</v>
      </c>
      <c r="B135" s="31">
        <v>7</v>
      </c>
      <c r="C135" s="32">
        <v>80214.28571428571</v>
      </c>
      <c r="D135" s="32">
        <f t="shared" si="10"/>
        <v>7219.2857142857101</v>
      </c>
      <c r="E135" s="32">
        <v>87433.57142857142</v>
      </c>
      <c r="F135" s="31"/>
      <c r="G135" s="32">
        <v>81354.660537023999</v>
      </c>
      <c r="H135" s="32">
        <f t="shared" si="11"/>
        <v>3857.0667629759992</v>
      </c>
      <c r="I135" s="32">
        <v>85211.727299999999</v>
      </c>
      <c r="J135" s="17">
        <f t="shared" si="12"/>
        <v>2.6074393736311711E-2</v>
      </c>
    </row>
    <row r="136" spans="1:10" x14ac:dyDescent="0.2">
      <c r="A136" s="31" t="s">
        <v>82</v>
      </c>
      <c r="B136" s="31">
        <v>6</v>
      </c>
      <c r="C136" s="32">
        <v>90850</v>
      </c>
      <c r="D136" s="32">
        <f t="shared" ref="D136:D199" si="13">E136-C136</f>
        <v>9085</v>
      </c>
      <c r="E136" s="32">
        <v>99935</v>
      </c>
      <c r="F136" s="31"/>
      <c r="G136" s="32">
        <v>100753.02662002201</v>
      </c>
      <c r="H136" s="32">
        <f t="shared" ref="H136:H199" si="14">I136-G136</f>
        <v>5768.0033799779922</v>
      </c>
      <c r="I136" s="32">
        <v>106521.03</v>
      </c>
      <c r="J136" s="17">
        <f t="shared" ref="J136:J199" si="15">(E136-I136)/I136</f>
        <v>-6.1828448335507075E-2</v>
      </c>
    </row>
    <row r="137" spans="1:10" x14ac:dyDescent="0.2">
      <c r="A137" s="31" t="s">
        <v>83</v>
      </c>
      <c r="B137" s="31">
        <v>11</v>
      </c>
      <c r="C137" s="32">
        <v>105631.32727272729</v>
      </c>
      <c r="D137" s="32">
        <f t="shared" si="13"/>
        <v>10563.132727272736</v>
      </c>
      <c r="E137" s="32">
        <v>116194.46000000002</v>
      </c>
      <c r="F137" s="31"/>
      <c r="G137" s="32">
        <v>124762.527036</v>
      </c>
      <c r="H137" s="32">
        <f t="shared" si="14"/>
        <v>13041.605883978002</v>
      </c>
      <c r="I137" s="32">
        <v>137804.132919978</v>
      </c>
      <c r="J137" s="17">
        <f t="shared" si="15"/>
        <v>-0.15681440361826146</v>
      </c>
    </row>
    <row r="138" spans="1:10" x14ac:dyDescent="0.2">
      <c r="A138" s="31" t="s">
        <v>96</v>
      </c>
      <c r="B138" s="31">
        <v>5</v>
      </c>
      <c r="C138" s="32">
        <v>94442.582000000009</v>
      </c>
      <c r="D138" s="32">
        <f t="shared" si="13"/>
        <v>9444.2581999999966</v>
      </c>
      <c r="E138" s="32">
        <v>103886.84020000001</v>
      </c>
      <c r="F138" s="31"/>
      <c r="G138" s="32">
        <v>99125.561525508005</v>
      </c>
      <c r="H138" s="32">
        <f t="shared" si="14"/>
        <v>6138.622254492002</v>
      </c>
      <c r="I138" s="32">
        <v>105264.18378000001</v>
      </c>
      <c r="J138" s="17">
        <f t="shared" si="15"/>
        <v>-1.3084636488310408E-2</v>
      </c>
    </row>
    <row r="139" spans="1:10" x14ac:dyDescent="0.2">
      <c r="A139" s="31" t="s">
        <v>107</v>
      </c>
      <c r="B139" s="31">
        <v>3</v>
      </c>
      <c r="C139" s="32">
        <v>57822.950000000004</v>
      </c>
      <c r="D139" s="32">
        <f t="shared" si="13"/>
        <v>3469.3770000000004</v>
      </c>
      <c r="E139" s="32">
        <v>61292.327000000005</v>
      </c>
      <c r="F139" s="31"/>
      <c r="G139" s="32">
        <v>53005.68</v>
      </c>
      <c r="H139" s="32">
        <f t="shared" si="14"/>
        <v>1833.7926599999992</v>
      </c>
      <c r="I139" s="32">
        <v>54839.472659999999</v>
      </c>
      <c r="J139" s="17">
        <f t="shared" si="15"/>
        <v>0.11766805964760357</v>
      </c>
    </row>
    <row r="140" spans="1:10" x14ac:dyDescent="0.2">
      <c r="A140" s="31" t="s">
        <v>149</v>
      </c>
      <c r="B140" s="31">
        <v>5</v>
      </c>
      <c r="C140" s="32">
        <v>66576.5</v>
      </c>
      <c r="D140" s="32">
        <f t="shared" si="13"/>
        <v>5326.1199999999953</v>
      </c>
      <c r="E140" s="32">
        <v>71902.62</v>
      </c>
      <c r="F140" s="31"/>
      <c r="G140" s="32">
        <v>82062.585541313994</v>
      </c>
      <c r="H140" s="32">
        <f t="shared" si="14"/>
        <v>6932.9682291240024</v>
      </c>
      <c r="I140" s="32">
        <v>88995.553770437997</v>
      </c>
      <c r="J140" s="17">
        <f t="shared" si="15"/>
        <v>-0.19206503073770217</v>
      </c>
    </row>
    <row r="141" spans="1:10" x14ac:dyDescent="0.2">
      <c r="A141" s="31" t="s">
        <v>108</v>
      </c>
      <c r="B141" s="31">
        <v>5</v>
      </c>
      <c r="C141" s="32">
        <v>147556.58600000001</v>
      </c>
      <c r="D141" s="32">
        <f t="shared" si="13"/>
        <v>29511.31719999999</v>
      </c>
      <c r="E141" s="32">
        <v>177067.9032</v>
      </c>
      <c r="F141" s="31"/>
      <c r="G141" s="32">
        <v>171808.83959399999</v>
      </c>
      <c r="H141" s="32">
        <f t="shared" si="14"/>
        <v>32244.453788651997</v>
      </c>
      <c r="I141" s="32">
        <v>204053.29338265199</v>
      </c>
      <c r="J141" s="17">
        <f t="shared" si="15"/>
        <v>-0.13224677600300963</v>
      </c>
    </row>
    <row r="142" spans="1:10" x14ac:dyDescent="0.2">
      <c r="A142" s="31" t="s">
        <v>185</v>
      </c>
      <c r="B142" s="31">
        <v>5</v>
      </c>
      <c r="C142" s="32">
        <v>103378.334</v>
      </c>
      <c r="D142" s="32">
        <f t="shared" si="13"/>
        <v>10337.833400000003</v>
      </c>
      <c r="E142" s="32">
        <v>113716.16740000001</v>
      </c>
      <c r="F142" s="31"/>
      <c r="G142" s="32">
        <v>100951.01649397799</v>
      </c>
      <c r="H142" s="32">
        <f t="shared" si="14"/>
        <v>9329.424337044009</v>
      </c>
      <c r="I142" s="32">
        <v>110280.440831022</v>
      </c>
      <c r="J142" s="17">
        <f t="shared" si="15"/>
        <v>3.1154450808211949E-2</v>
      </c>
    </row>
    <row r="143" spans="1:10" x14ac:dyDescent="0.2">
      <c r="A143" s="31" t="s">
        <v>70</v>
      </c>
      <c r="B143" s="31">
        <v>5</v>
      </c>
      <c r="C143" s="32">
        <v>114150.33399999999</v>
      </c>
      <c r="D143" s="32">
        <f t="shared" si="13"/>
        <v>11415.0334</v>
      </c>
      <c r="E143" s="32">
        <v>125565.36739999999</v>
      </c>
      <c r="F143" s="31"/>
      <c r="G143" s="32">
        <v>120527.78094</v>
      </c>
      <c r="H143" s="32">
        <f t="shared" si="14"/>
        <v>10799.551652274007</v>
      </c>
      <c r="I143" s="32">
        <v>131327.332592274</v>
      </c>
      <c r="J143" s="17">
        <f t="shared" si="15"/>
        <v>-4.3874836094957681E-2</v>
      </c>
    </row>
    <row r="144" spans="1:10" x14ac:dyDescent="0.2">
      <c r="A144" s="31" t="s">
        <v>150</v>
      </c>
      <c r="B144" s="31">
        <v>11</v>
      </c>
      <c r="C144" s="32">
        <v>151132.67127272725</v>
      </c>
      <c r="D144" s="32">
        <f t="shared" si="13"/>
        <v>30226.534254545462</v>
      </c>
      <c r="E144" s="32">
        <v>181359.20552727272</v>
      </c>
      <c r="F144" s="31"/>
      <c r="G144" s="32">
        <v>161999.74208867399</v>
      </c>
      <c r="H144" s="32">
        <f t="shared" si="14"/>
        <v>24555.685417326022</v>
      </c>
      <c r="I144" s="32">
        <v>186555.42750600001</v>
      </c>
      <c r="J144" s="17">
        <f t="shared" si="15"/>
        <v>-2.785350202990031E-2</v>
      </c>
    </row>
    <row r="145" spans="1:10" x14ac:dyDescent="0.2">
      <c r="A145" s="31" t="s">
        <v>109</v>
      </c>
      <c r="B145" s="31">
        <v>3</v>
      </c>
      <c r="C145" s="32">
        <v>158802.19666666666</v>
      </c>
      <c r="D145" s="32">
        <f t="shared" si="13"/>
        <v>31760.439333333343</v>
      </c>
      <c r="E145" s="32">
        <v>190562.636</v>
      </c>
      <c r="F145" s="31"/>
      <c r="G145" s="32">
        <v>175047.265751022</v>
      </c>
      <c r="H145" s="32">
        <f t="shared" si="14"/>
        <v>29621.992164282012</v>
      </c>
      <c r="I145" s="32">
        <v>204669.25791530401</v>
      </c>
      <c r="J145" s="17">
        <f t="shared" si="15"/>
        <v>-6.8923990143852476E-2</v>
      </c>
    </row>
    <row r="146" spans="1:10" x14ac:dyDescent="0.2">
      <c r="A146" s="31" t="s">
        <v>110</v>
      </c>
      <c r="B146" s="31">
        <v>20</v>
      </c>
      <c r="C146" s="32">
        <v>148302.99790000002</v>
      </c>
      <c r="D146" s="32">
        <f t="shared" si="13"/>
        <v>29660.599580000009</v>
      </c>
      <c r="E146" s="32">
        <v>177963.59748000003</v>
      </c>
      <c r="F146" s="31"/>
      <c r="G146" s="32">
        <v>162846.90424800001</v>
      </c>
      <c r="H146" s="32">
        <f t="shared" si="14"/>
        <v>24598.509011999995</v>
      </c>
      <c r="I146" s="32">
        <v>187445.41326</v>
      </c>
      <c r="J146" s="17">
        <f t="shared" si="15"/>
        <v>-5.058441076308455E-2</v>
      </c>
    </row>
    <row r="147" spans="1:10" x14ac:dyDescent="0.2">
      <c r="A147" s="31" t="s">
        <v>64</v>
      </c>
      <c r="B147" s="31">
        <v>5</v>
      </c>
      <c r="C147" s="32">
        <v>205092.872</v>
      </c>
      <c r="D147" s="32">
        <f t="shared" si="13"/>
        <v>61527.861599999975</v>
      </c>
      <c r="E147" s="32">
        <v>266620.73359999998</v>
      </c>
      <c r="F147" s="31"/>
      <c r="G147" s="32">
        <v>227410.93147499999</v>
      </c>
      <c r="H147" s="32">
        <f t="shared" si="14"/>
        <v>46373.817569562001</v>
      </c>
      <c r="I147" s="32">
        <v>273784.74904456199</v>
      </c>
      <c r="J147" s="17">
        <f t="shared" si="15"/>
        <v>-2.6166597918848934E-2</v>
      </c>
    </row>
    <row r="148" spans="1:10" x14ac:dyDescent="0.2">
      <c r="A148" s="31" t="s">
        <v>58</v>
      </c>
      <c r="B148" s="31">
        <v>5</v>
      </c>
      <c r="C148" s="32">
        <v>65725.244000000006</v>
      </c>
      <c r="D148" s="32">
        <f t="shared" si="13"/>
        <v>5258.0195200000016</v>
      </c>
      <c r="E148" s="32">
        <v>70983.263520000008</v>
      </c>
      <c r="F148" s="31"/>
      <c r="G148" s="32">
        <v>71412.70714893</v>
      </c>
      <c r="H148" s="32">
        <f t="shared" si="14"/>
        <v>2969.551991069995</v>
      </c>
      <c r="I148" s="32">
        <v>74382.259139999995</v>
      </c>
      <c r="J148" s="17">
        <f t="shared" si="15"/>
        <v>-4.5696321398392893E-2</v>
      </c>
    </row>
    <row r="149" spans="1:10" x14ac:dyDescent="0.2">
      <c r="A149" s="31" t="s">
        <v>84</v>
      </c>
      <c r="B149" s="31">
        <v>3</v>
      </c>
      <c r="C149" s="32">
        <v>95016.666666666672</v>
      </c>
      <c r="D149" s="32">
        <f t="shared" si="13"/>
        <v>9501.6666666666715</v>
      </c>
      <c r="E149" s="32">
        <v>104518.33333333334</v>
      </c>
      <c r="F149" s="31"/>
      <c r="G149" s="32">
        <v>101016.594</v>
      </c>
      <c r="H149" s="32">
        <f t="shared" si="14"/>
        <v>6960.7670579999976</v>
      </c>
      <c r="I149" s="32">
        <v>107977.36105799999</v>
      </c>
      <c r="J149" s="17">
        <f t="shared" si="15"/>
        <v>-3.2034749606527579E-2</v>
      </c>
    </row>
    <row r="150" spans="1:10" x14ac:dyDescent="0.2">
      <c r="A150" s="31" t="s">
        <v>130</v>
      </c>
      <c r="B150" s="31">
        <v>5</v>
      </c>
      <c r="C150" s="32">
        <v>77200</v>
      </c>
      <c r="D150" s="32">
        <f t="shared" si="13"/>
        <v>6948</v>
      </c>
      <c r="E150" s="32">
        <v>84148</v>
      </c>
      <c r="F150" s="31"/>
      <c r="G150" s="32">
        <v>78867.737392499999</v>
      </c>
      <c r="H150" s="32">
        <f t="shared" si="14"/>
        <v>1811.8910188260052</v>
      </c>
      <c r="I150" s="32">
        <v>80679.628411326004</v>
      </c>
      <c r="J150" s="17">
        <f t="shared" si="15"/>
        <v>4.2989434346317551E-2</v>
      </c>
    </row>
    <row r="151" spans="1:10" x14ac:dyDescent="0.2">
      <c r="A151" s="31" t="s">
        <v>151</v>
      </c>
      <c r="B151" s="31">
        <v>14</v>
      </c>
      <c r="C151" s="32">
        <v>109032.93907142857</v>
      </c>
      <c r="D151" s="32">
        <f t="shared" si="13"/>
        <v>10903.293907142855</v>
      </c>
      <c r="E151" s="32">
        <v>119936.23297857142</v>
      </c>
      <c r="F151" s="31"/>
      <c r="G151" s="32">
        <v>120664.168632</v>
      </c>
      <c r="H151" s="32">
        <f t="shared" si="14"/>
        <v>9234.2821994639962</v>
      </c>
      <c r="I151" s="32">
        <v>129898.450831464</v>
      </c>
      <c r="J151" s="17">
        <f t="shared" si="15"/>
        <v>-7.6692353058297788E-2</v>
      </c>
    </row>
    <row r="152" spans="1:10" x14ac:dyDescent="0.2">
      <c r="A152" s="31" t="s">
        <v>97</v>
      </c>
      <c r="B152" s="31">
        <v>15</v>
      </c>
      <c r="C152" s="32">
        <v>93239.035333333319</v>
      </c>
      <c r="D152" s="32">
        <f t="shared" si="13"/>
        <v>9323.9035333333304</v>
      </c>
      <c r="E152" s="32">
        <v>102562.93886666665</v>
      </c>
      <c r="F152" s="31"/>
      <c r="G152" s="32">
        <v>98272.530719999995</v>
      </c>
      <c r="H152" s="32">
        <f t="shared" si="14"/>
        <v>6584.9930753040098</v>
      </c>
      <c r="I152" s="32">
        <v>104857.52379530401</v>
      </c>
      <c r="J152" s="17">
        <f t="shared" si="15"/>
        <v>-2.188288303581052E-2</v>
      </c>
    </row>
    <row r="153" spans="1:10" x14ac:dyDescent="0.2">
      <c r="A153" s="31" t="s">
        <v>186</v>
      </c>
      <c r="B153" s="31">
        <v>5</v>
      </c>
      <c r="C153" s="32">
        <v>153490.296</v>
      </c>
      <c r="D153" s="32">
        <f t="shared" si="13"/>
        <v>30698.059199999989</v>
      </c>
      <c r="E153" s="32">
        <v>184188.35519999999</v>
      </c>
      <c r="F153" s="31"/>
      <c r="G153" s="32">
        <v>149154.19738543799</v>
      </c>
      <c r="H153" s="32">
        <f t="shared" si="14"/>
        <v>22397.666594562004</v>
      </c>
      <c r="I153" s="32">
        <v>171551.86397999999</v>
      </c>
      <c r="J153" s="17">
        <f t="shared" si="15"/>
        <v>7.3659888775520349E-2</v>
      </c>
    </row>
    <row r="154" spans="1:10" x14ac:dyDescent="0.2">
      <c r="A154" s="31" t="s">
        <v>98</v>
      </c>
      <c r="B154" s="31">
        <v>8</v>
      </c>
      <c r="C154" s="32">
        <v>135247.15125</v>
      </c>
      <c r="D154" s="32">
        <f t="shared" si="13"/>
        <v>20287.072687500011</v>
      </c>
      <c r="E154" s="32">
        <v>155534.22393750001</v>
      </c>
      <c r="F154" s="31"/>
      <c r="G154" s="32">
        <v>160249.31472349801</v>
      </c>
      <c r="H154" s="32">
        <f t="shared" si="14"/>
        <v>24700.522520519997</v>
      </c>
      <c r="I154" s="32">
        <v>184949.83724401801</v>
      </c>
      <c r="J154" s="17">
        <f t="shared" si="15"/>
        <v>-0.15904644061788389</v>
      </c>
    </row>
    <row r="155" spans="1:10" x14ac:dyDescent="0.2">
      <c r="A155" s="31" t="s">
        <v>85</v>
      </c>
      <c r="B155" s="31">
        <v>6</v>
      </c>
      <c r="C155" s="32">
        <v>77545.03333333334</v>
      </c>
      <c r="D155" s="32">
        <f t="shared" si="13"/>
        <v>6203.602666666673</v>
      </c>
      <c r="E155" s="32">
        <v>83748.636000000013</v>
      </c>
      <c r="F155" s="31"/>
      <c r="G155" s="32">
        <v>70665.550296390007</v>
      </c>
      <c r="H155" s="32">
        <f t="shared" si="14"/>
        <v>4124.9035466099886</v>
      </c>
      <c r="I155" s="32">
        <v>74790.453842999996</v>
      </c>
      <c r="J155" s="17">
        <f t="shared" si="15"/>
        <v>0.11977707978353788</v>
      </c>
    </row>
    <row r="156" spans="1:10" x14ac:dyDescent="0.2">
      <c r="A156" s="31" t="s">
        <v>152</v>
      </c>
      <c r="B156" s="31">
        <v>3</v>
      </c>
      <c r="C156" s="32">
        <v>138583.33333333334</v>
      </c>
      <c r="D156" s="32">
        <f t="shared" si="13"/>
        <v>27716.666666666657</v>
      </c>
      <c r="E156" s="32">
        <v>166300</v>
      </c>
      <c r="F156" s="31"/>
      <c r="G156" s="32">
        <v>143009.32464000001</v>
      </c>
      <c r="H156" s="32">
        <f t="shared" si="14"/>
        <v>24042.153239999985</v>
      </c>
      <c r="I156" s="32">
        <v>167051.47787999999</v>
      </c>
      <c r="J156" s="17">
        <f t="shared" si="15"/>
        <v>-4.4984808846756149E-3</v>
      </c>
    </row>
    <row r="157" spans="1:10" x14ac:dyDescent="0.2">
      <c r="A157" s="31" t="s">
        <v>187</v>
      </c>
      <c r="B157" s="31">
        <v>3</v>
      </c>
      <c r="C157" s="32">
        <v>111570</v>
      </c>
      <c r="D157" s="32">
        <f t="shared" si="13"/>
        <v>11157</v>
      </c>
      <c r="E157" s="32">
        <v>122727</v>
      </c>
      <c r="F157" s="31"/>
      <c r="G157" s="32">
        <v>122189.30514</v>
      </c>
      <c r="H157" s="32">
        <f t="shared" si="14"/>
        <v>12469.731883685992</v>
      </c>
      <c r="I157" s="32">
        <v>134659.03702368599</v>
      </c>
      <c r="J157" s="17">
        <f t="shared" si="15"/>
        <v>-8.8609255549534277E-2</v>
      </c>
    </row>
    <row r="158" spans="1:10" x14ac:dyDescent="0.2">
      <c r="A158" s="31" t="s">
        <v>153</v>
      </c>
      <c r="B158" s="31">
        <v>3</v>
      </c>
      <c r="C158" s="32">
        <v>95467.723333333328</v>
      </c>
      <c r="D158" s="32">
        <f t="shared" si="13"/>
        <v>9546.772333333327</v>
      </c>
      <c r="E158" s="32">
        <v>105014.49566666665</v>
      </c>
      <c r="F158" s="31"/>
      <c r="G158" s="32">
        <v>96590.619720000002</v>
      </c>
      <c r="H158" s="32">
        <f t="shared" si="14"/>
        <v>7486.0329599999968</v>
      </c>
      <c r="I158" s="32">
        <v>104076.65268</v>
      </c>
      <c r="J158" s="17">
        <f t="shared" si="15"/>
        <v>9.0110794545843163E-3</v>
      </c>
    </row>
    <row r="159" spans="1:10" x14ac:dyDescent="0.2">
      <c r="A159" s="31" t="s">
        <v>188</v>
      </c>
      <c r="B159" s="31">
        <v>3</v>
      </c>
      <c r="C159" s="32">
        <v>59626.15</v>
      </c>
      <c r="D159" s="32">
        <f t="shared" si="13"/>
        <v>3577.5690000000031</v>
      </c>
      <c r="E159" s="32">
        <v>63203.719000000005</v>
      </c>
      <c r="F159" s="31"/>
      <c r="G159" s="32">
        <v>66257.100000000006</v>
      </c>
      <c r="H159" s="32">
        <f t="shared" si="14"/>
        <v>1388.3410799999983</v>
      </c>
      <c r="I159" s="32">
        <v>67645.441080000004</v>
      </c>
      <c r="J159" s="17">
        <f t="shared" si="15"/>
        <v>-6.5661809710828176E-2</v>
      </c>
    </row>
    <row r="160" spans="1:10" x14ac:dyDescent="0.2">
      <c r="A160" s="31" t="s">
        <v>189</v>
      </c>
      <c r="B160" s="31">
        <v>4</v>
      </c>
      <c r="C160" s="32">
        <v>104357.625</v>
      </c>
      <c r="D160" s="32">
        <f t="shared" si="13"/>
        <v>10435.762499999997</v>
      </c>
      <c r="E160" s="32">
        <v>114793.3875</v>
      </c>
      <c r="F160" s="31"/>
      <c r="G160" s="32">
        <v>113491.329823746</v>
      </c>
      <c r="H160" s="32">
        <f t="shared" si="14"/>
        <v>7774.9629462540033</v>
      </c>
      <c r="I160" s="32">
        <v>121266.29277</v>
      </c>
      <c r="J160" s="17">
        <f t="shared" si="15"/>
        <v>-5.337761320267994E-2</v>
      </c>
    </row>
    <row r="161" spans="1:10" x14ac:dyDescent="0.2">
      <c r="A161" s="31" t="s">
        <v>190</v>
      </c>
      <c r="B161" s="31">
        <v>3</v>
      </c>
      <c r="C161" s="32">
        <v>75497.19</v>
      </c>
      <c r="D161" s="32">
        <f t="shared" si="13"/>
        <v>6794.7470999999932</v>
      </c>
      <c r="E161" s="32">
        <v>82291.937099999996</v>
      </c>
      <c r="F161" s="31"/>
      <c r="G161" s="32">
        <v>79399.144818000001</v>
      </c>
      <c r="H161" s="32">
        <f t="shared" si="14"/>
        <v>7199.0548059779976</v>
      </c>
      <c r="I161" s="32">
        <v>86598.199623977998</v>
      </c>
      <c r="J161" s="17">
        <f t="shared" si="15"/>
        <v>-4.9726928997097193E-2</v>
      </c>
    </row>
    <row r="162" spans="1:10" x14ac:dyDescent="0.2">
      <c r="A162" s="31" t="s">
        <v>26</v>
      </c>
      <c r="B162" s="31">
        <v>15</v>
      </c>
      <c r="C162" s="32">
        <v>112635.766</v>
      </c>
      <c r="D162" s="32">
        <f t="shared" si="13"/>
        <v>11263.5766</v>
      </c>
      <c r="E162" s="32">
        <v>123899.3426</v>
      </c>
      <c r="F162" s="31"/>
      <c r="G162" s="32">
        <v>121433.804276022</v>
      </c>
      <c r="H162" s="32">
        <f t="shared" si="14"/>
        <v>10121.655486977994</v>
      </c>
      <c r="I162" s="32">
        <v>131555.45976299999</v>
      </c>
      <c r="J162" s="17">
        <f t="shared" si="15"/>
        <v>-5.8196878919298742E-2</v>
      </c>
    </row>
    <row r="163" spans="1:10" x14ac:dyDescent="0.2">
      <c r="A163" s="31" t="s">
        <v>45</v>
      </c>
      <c r="B163" s="31">
        <v>4</v>
      </c>
      <c r="C163" s="32">
        <v>78487.095000000001</v>
      </c>
      <c r="D163" s="32">
        <f t="shared" si="13"/>
        <v>7063.8385500000004</v>
      </c>
      <c r="E163" s="32">
        <v>85550.933550000002</v>
      </c>
      <c r="F163" s="31"/>
      <c r="G163" s="32">
        <v>81946.781279999996</v>
      </c>
      <c r="H163" s="32">
        <f t="shared" si="14"/>
        <v>2979.0211500000005</v>
      </c>
      <c r="I163" s="32">
        <v>84925.802429999996</v>
      </c>
      <c r="J163" s="17">
        <f t="shared" si="15"/>
        <v>7.3609091950031218E-3</v>
      </c>
    </row>
    <row r="164" spans="1:10" x14ac:dyDescent="0.2">
      <c r="A164" s="31" t="s">
        <v>99</v>
      </c>
      <c r="B164" s="31">
        <v>3</v>
      </c>
      <c r="C164" s="32">
        <v>115042.64333333333</v>
      </c>
      <c r="D164" s="32">
        <f t="shared" si="13"/>
        <v>11504.26433333334</v>
      </c>
      <c r="E164" s="32">
        <v>126546.90766666667</v>
      </c>
      <c r="F164" s="31"/>
      <c r="G164" s="32">
        <v>102721.593051</v>
      </c>
      <c r="H164" s="32">
        <f t="shared" si="14"/>
        <v>6310.1987864999974</v>
      </c>
      <c r="I164" s="32">
        <v>109031.7918375</v>
      </c>
      <c r="J164" s="17">
        <f t="shared" si="15"/>
        <v>0.16064228179677204</v>
      </c>
    </row>
    <row r="165" spans="1:10" x14ac:dyDescent="0.2">
      <c r="A165" s="31" t="s">
        <v>50</v>
      </c>
      <c r="B165" s="31">
        <v>3</v>
      </c>
      <c r="C165" s="32">
        <v>127937.84333333334</v>
      </c>
      <c r="D165" s="32">
        <f t="shared" si="13"/>
        <v>19190.676499999987</v>
      </c>
      <c r="E165" s="32">
        <v>147128.51983333332</v>
      </c>
      <c r="F165" s="31"/>
      <c r="G165" s="32">
        <v>151121.74202999999</v>
      </c>
      <c r="H165" s="32">
        <f t="shared" si="14"/>
        <v>12288.653370000015</v>
      </c>
      <c r="I165" s="32">
        <v>163410.39540000001</v>
      </c>
      <c r="J165" s="17">
        <f t="shared" si="15"/>
        <v>-9.9637942413709393E-2</v>
      </c>
    </row>
    <row r="166" spans="1:10" x14ac:dyDescent="0.2">
      <c r="A166" s="31" t="s">
        <v>40</v>
      </c>
      <c r="B166" s="31">
        <v>4</v>
      </c>
      <c r="C166" s="32">
        <v>112650.9675</v>
      </c>
      <c r="D166" s="32">
        <f t="shared" si="13"/>
        <v>11265.096749999997</v>
      </c>
      <c r="E166" s="32">
        <v>123916.06425</v>
      </c>
      <c r="F166" s="31"/>
      <c r="G166" s="32">
        <v>131759.8884</v>
      </c>
      <c r="H166" s="32">
        <f t="shared" si="14"/>
        <v>8690.3831700000155</v>
      </c>
      <c r="I166" s="32">
        <v>140450.27157000001</v>
      </c>
      <c r="J166" s="17">
        <f t="shared" si="15"/>
        <v>-0.11772285760059506</v>
      </c>
    </row>
    <row r="167" spans="1:10" x14ac:dyDescent="0.2">
      <c r="A167" s="31" t="s">
        <v>43</v>
      </c>
      <c r="B167" s="31">
        <v>3</v>
      </c>
      <c r="C167" s="32">
        <v>118656.33333333333</v>
      </c>
      <c r="D167" s="32">
        <f t="shared" si="13"/>
        <v>11865.633333333331</v>
      </c>
      <c r="E167" s="32">
        <v>130521.96666666666</v>
      </c>
      <c r="F167" s="31"/>
      <c r="G167" s="32">
        <v>128811.44745000001</v>
      </c>
      <c r="H167" s="32">
        <f t="shared" si="14"/>
        <v>12775.473131021979</v>
      </c>
      <c r="I167" s="32">
        <v>141586.92058102199</v>
      </c>
      <c r="J167" s="17">
        <f t="shared" si="15"/>
        <v>-7.8149548481941139E-2</v>
      </c>
    </row>
    <row r="168" spans="1:10" x14ac:dyDescent="0.2">
      <c r="A168" s="31" t="s">
        <v>51</v>
      </c>
      <c r="B168" s="31">
        <v>4</v>
      </c>
      <c r="C168" s="32">
        <v>91079.010000000009</v>
      </c>
      <c r="D168" s="32">
        <f t="shared" si="13"/>
        <v>9107.900999999998</v>
      </c>
      <c r="E168" s="32">
        <v>100186.91100000001</v>
      </c>
      <c r="F168" s="31"/>
      <c r="G168" s="32">
        <v>108844.419510918</v>
      </c>
      <c r="H168" s="32">
        <f t="shared" si="14"/>
        <v>5876.8185365819954</v>
      </c>
      <c r="I168" s="32">
        <v>114721.2380475</v>
      </c>
      <c r="J168" s="17">
        <f t="shared" si="15"/>
        <v>-0.12669255749734928</v>
      </c>
    </row>
    <row r="169" spans="1:10" x14ac:dyDescent="0.2">
      <c r="A169" s="31" t="s">
        <v>71</v>
      </c>
      <c r="B169" s="31">
        <v>3</v>
      </c>
      <c r="C169" s="32">
        <v>181219.16666666666</v>
      </c>
      <c r="D169" s="32">
        <f t="shared" si="13"/>
        <v>45304.791666666657</v>
      </c>
      <c r="E169" s="32">
        <v>226523.95833333331</v>
      </c>
      <c r="F169" s="31"/>
      <c r="G169" s="32">
        <v>194158.78649999999</v>
      </c>
      <c r="H169" s="32">
        <f t="shared" si="14"/>
        <v>40152.482193978009</v>
      </c>
      <c r="I169" s="32">
        <v>234311.268693978</v>
      </c>
      <c r="J169" s="17">
        <f t="shared" si="15"/>
        <v>-3.323489477928307E-2</v>
      </c>
    </row>
    <row r="170" spans="1:10" x14ac:dyDescent="0.2">
      <c r="A170" s="31" t="s">
        <v>38</v>
      </c>
      <c r="B170" s="31">
        <v>13</v>
      </c>
      <c r="C170" s="32">
        <v>94044.059230769228</v>
      </c>
      <c r="D170" s="32">
        <f t="shared" si="13"/>
        <v>9404.4059230769199</v>
      </c>
      <c r="E170" s="32">
        <v>103448.46515384615</v>
      </c>
      <c r="F170" s="31"/>
      <c r="G170" s="32">
        <v>103525.58177816401</v>
      </c>
      <c r="H170" s="32">
        <f t="shared" si="14"/>
        <v>8721.5906718359911</v>
      </c>
      <c r="I170" s="32">
        <v>112247.17245</v>
      </c>
      <c r="J170" s="17">
        <f t="shared" si="15"/>
        <v>-7.838689477967202E-2</v>
      </c>
    </row>
    <row r="171" spans="1:10" x14ac:dyDescent="0.2">
      <c r="A171" s="31" t="s">
        <v>41</v>
      </c>
      <c r="B171" s="31">
        <v>13</v>
      </c>
      <c r="C171" s="32">
        <v>105244.6176923077</v>
      </c>
      <c r="D171" s="32">
        <f t="shared" si="13"/>
        <v>10524.461769230766</v>
      </c>
      <c r="E171" s="32">
        <v>115769.07946153847</v>
      </c>
      <c r="F171" s="31"/>
      <c r="G171" s="32">
        <v>128811.44745000001</v>
      </c>
      <c r="H171" s="32">
        <f t="shared" si="14"/>
        <v>12775.473131021979</v>
      </c>
      <c r="I171" s="32">
        <v>141586.92058102199</v>
      </c>
      <c r="J171" s="17">
        <f t="shared" si="15"/>
        <v>-0.18234622953544263</v>
      </c>
    </row>
    <row r="172" spans="1:10" x14ac:dyDescent="0.2">
      <c r="A172" s="31" t="s">
        <v>191</v>
      </c>
      <c r="B172" s="31">
        <v>4</v>
      </c>
      <c r="C172" s="32">
        <v>105275.1525</v>
      </c>
      <c r="D172" s="32">
        <f t="shared" si="13"/>
        <v>10527.515249999997</v>
      </c>
      <c r="E172" s="32">
        <v>115802.66774999999</v>
      </c>
      <c r="F172" s="31"/>
      <c r="G172" s="32">
        <v>107928.347826978</v>
      </c>
      <c r="H172" s="32">
        <f t="shared" si="14"/>
        <v>10983.269543022005</v>
      </c>
      <c r="I172" s="32">
        <v>118911.61737000001</v>
      </c>
      <c r="J172" s="17">
        <f t="shared" si="15"/>
        <v>-2.614504527615958E-2</v>
      </c>
    </row>
    <row r="173" spans="1:10" x14ac:dyDescent="0.2">
      <c r="A173" s="31" t="s">
        <v>111</v>
      </c>
      <c r="B173" s="31">
        <v>82</v>
      </c>
      <c r="C173" s="32">
        <v>157602.9392804878</v>
      </c>
      <c r="D173" s="32">
        <f t="shared" si="13"/>
        <v>31520.587856097554</v>
      </c>
      <c r="E173" s="32">
        <v>189123.52713658536</v>
      </c>
      <c r="F173" s="31"/>
      <c r="G173" s="32">
        <v>180855.21023602199</v>
      </c>
      <c r="H173" s="32">
        <f t="shared" si="14"/>
        <v>23653.444953978003</v>
      </c>
      <c r="I173" s="32">
        <v>204508.65518999999</v>
      </c>
      <c r="J173" s="17">
        <f t="shared" si="15"/>
        <v>-7.5229716019211954E-2</v>
      </c>
    </row>
    <row r="174" spans="1:10" x14ac:dyDescent="0.2">
      <c r="A174" s="31" t="s">
        <v>46</v>
      </c>
      <c r="B174" s="31">
        <v>18</v>
      </c>
      <c r="C174" s="32">
        <v>129304.45944444442</v>
      </c>
      <c r="D174" s="32">
        <f t="shared" si="13"/>
        <v>19395.668916666677</v>
      </c>
      <c r="E174" s="32">
        <v>148700.1283611111</v>
      </c>
      <c r="F174" s="31"/>
      <c r="G174" s="32">
        <v>151464.350664522</v>
      </c>
      <c r="H174" s="32">
        <f t="shared" si="14"/>
        <v>7498.8681834779854</v>
      </c>
      <c r="I174" s="32">
        <v>158963.21884799999</v>
      </c>
      <c r="J174" s="17">
        <f t="shared" si="15"/>
        <v>-6.456267406551712E-2</v>
      </c>
    </row>
    <row r="175" spans="1:10" x14ac:dyDescent="0.2">
      <c r="A175" s="31" t="s">
        <v>28</v>
      </c>
      <c r="B175" s="31">
        <v>3</v>
      </c>
      <c r="C175" s="32">
        <v>155718.74333333335</v>
      </c>
      <c r="D175" s="32">
        <f t="shared" si="13"/>
        <v>31143.748666666681</v>
      </c>
      <c r="E175" s="32">
        <v>186862.49200000003</v>
      </c>
      <c r="F175" s="31"/>
      <c r="G175" s="32">
        <v>168842.71309500001</v>
      </c>
      <c r="H175" s="32">
        <f t="shared" si="14"/>
        <v>19649.198338685994</v>
      </c>
      <c r="I175" s="32">
        <v>188491.91143368601</v>
      </c>
      <c r="J175" s="17">
        <f t="shared" si="15"/>
        <v>-8.6445058638987375E-3</v>
      </c>
    </row>
    <row r="176" spans="1:10" x14ac:dyDescent="0.2">
      <c r="A176" s="31" t="s">
        <v>192</v>
      </c>
      <c r="B176" s="31">
        <v>3</v>
      </c>
      <c r="C176" s="32">
        <v>65233.63666666668</v>
      </c>
      <c r="D176" s="32">
        <f t="shared" si="13"/>
        <v>5218.6909333333388</v>
      </c>
      <c r="E176" s="32">
        <v>70452.327600000019</v>
      </c>
      <c r="F176" s="31"/>
      <c r="G176" s="32">
        <v>71815.561019999994</v>
      </c>
      <c r="H176" s="32">
        <f t="shared" si="14"/>
        <v>1984.6549800000066</v>
      </c>
      <c r="I176" s="32">
        <v>73800.216</v>
      </c>
      <c r="J176" s="17">
        <f t="shared" si="15"/>
        <v>-4.5364208690120658E-2</v>
      </c>
    </row>
    <row r="177" spans="1:10" x14ac:dyDescent="0.2">
      <c r="A177" s="31" t="s">
        <v>54</v>
      </c>
      <c r="B177" s="31">
        <v>6</v>
      </c>
      <c r="C177" s="32">
        <v>77192.066666666666</v>
      </c>
      <c r="D177" s="32">
        <f t="shared" si="13"/>
        <v>6947.2860000000073</v>
      </c>
      <c r="E177" s="32">
        <v>84139.352666666673</v>
      </c>
      <c r="F177" s="31"/>
      <c r="G177" s="32">
        <v>88916.020990146004</v>
      </c>
      <c r="H177" s="32">
        <f t="shared" si="14"/>
        <v>2926.5130098539958</v>
      </c>
      <c r="I177" s="32">
        <v>91842.534</v>
      </c>
      <c r="J177" s="17">
        <f t="shared" si="15"/>
        <v>-8.3873789167591195E-2</v>
      </c>
    </row>
    <row r="178" spans="1:10" x14ac:dyDescent="0.2">
      <c r="A178" s="31" t="s">
        <v>55</v>
      </c>
      <c r="B178" s="31">
        <v>5</v>
      </c>
      <c r="C178" s="32">
        <v>93452.449999999983</v>
      </c>
      <c r="D178" s="32">
        <f t="shared" si="13"/>
        <v>9345.2449999999953</v>
      </c>
      <c r="E178" s="32">
        <v>102797.69499999998</v>
      </c>
      <c r="F178" s="31"/>
      <c r="G178" s="32">
        <v>96263.241656022001</v>
      </c>
      <c r="H178" s="32">
        <f t="shared" si="14"/>
        <v>9626.3072139779979</v>
      </c>
      <c r="I178" s="32">
        <v>105889.54887</v>
      </c>
      <c r="J178" s="17">
        <f t="shared" si="15"/>
        <v>-2.9198857705927828E-2</v>
      </c>
    </row>
    <row r="179" spans="1:10" x14ac:dyDescent="0.2">
      <c r="A179" s="31" t="s">
        <v>35</v>
      </c>
      <c r="B179" s="31">
        <v>4</v>
      </c>
      <c r="C179" s="32">
        <v>77502.985000000001</v>
      </c>
      <c r="D179" s="32">
        <f t="shared" si="13"/>
        <v>6975.2686499999982</v>
      </c>
      <c r="E179" s="32">
        <v>84478.253649999999</v>
      </c>
      <c r="F179" s="31"/>
      <c r="G179" s="32">
        <v>80908.243743978004</v>
      </c>
      <c r="H179" s="32">
        <f t="shared" si="14"/>
        <v>5707.5224720219994</v>
      </c>
      <c r="I179" s="32">
        <v>86615.766216000004</v>
      </c>
      <c r="J179" s="17">
        <f t="shared" si="15"/>
        <v>-2.4678100297231512E-2</v>
      </c>
    </row>
    <row r="180" spans="1:10" x14ac:dyDescent="0.2">
      <c r="A180" s="31" t="s">
        <v>193</v>
      </c>
      <c r="B180" s="31">
        <v>6</v>
      </c>
      <c r="C180" s="32">
        <v>148747.57</v>
      </c>
      <c r="D180" s="32">
        <f t="shared" si="13"/>
        <v>29749.513999999996</v>
      </c>
      <c r="E180" s="32">
        <v>178497.084</v>
      </c>
      <c r="F180" s="31"/>
      <c r="G180" s="32">
        <v>146258.30096602201</v>
      </c>
      <c r="H180" s="32">
        <f t="shared" si="14"/>
        <v>0</v>
      </c>
      <c r="I180" s="32">
        <v>146258.30096602201</v>
      </c>
      <c r="J180" s="17">
        <f t="shared" si="15"/>
        <v>0.22042361234230076</v>
      </c>
    </row>
    <row r="181" spans="1:10" x14ac:dyDescent="0.2">
      <c r="A181" s="31" t="s">
        <v>23</v>
      </c>
      <c r="B181" s="31">
        <v>25</v>
      </c>
      <c r="C181" s="32">
        <v>188731.29120000001</v>
      </c>
      <c r="D181" s="32">
        <f t="shared" si="13"/>
        <v>47182.822799999994</v>
      </c>
      <c r="E181" s="32">
        <v>235914.114</v>
      </c>
      <c r="F181" s="31"/>
      <c r="G181" s="32">
        <v>186883.75692000001</v>
      </c>
      <c r="H181" s="32">
        <f t="shared" si="14"/>
        <v>24879.031379999971</v>
      </c>
      <c r="I181" s="32">
        <v>211762.78829999999</v>
      </c>
      <c r="J181" s="17">
        <f t="shared" si="15"/>
        <v>0.1140489596585087</v>
      </c>
    </row>
    <row r="182" spans="1:10" x14ac:dyDescent="0.2">
      <c r="A182" s="31" t="s">
        <v>65</v>
      </c>
      <c r="B182" s="31">
        <v>3</v>
      </c>
      <c r="C182" s="32">
        <v>249039.79333333333</v>
      </c>
      <c r="D182" s="32">
        <f t="shared" si="13"/>
        <v>74711.937999999966</v>
      </c>
      <c r="E182" s="32">
        <v>323751.7313333333</v>
      </c>
      <c r="F182" s="31"/>
      <c r="G182" s="32">
        <v>194627.088318978</v>
      </c>
      <c r="H182" s="32">
        <f t="shared" si="14"/>
        <v>21529.904797044001</v>
      </c>
      <c r="I182" s="32">
        <v>216156.993116022</v>
      </c>
      <c r="J182" s="17">
        <f t="shared" si="15"/>
        <v>0.49776200467203924</v>
      </c>
    </row>
    <row r="183" spans="1:10" x14ac:dyDescent="0.2">
      <c r="A183" s="31" t="s">
        <v>47</v>
      </c>
      <c r="B183" s="31">
        <v>3</v>
      </c>
      <c r="C183" s="32">
        <v>81568.466</v>
      </c>
      <c r="D183" s="32">
        <f t="shared" si="13"/>
        <v>7341.1619400000054</v>
      </c>
      <c r="E183" s="32">
        <v>88909.627940000006</v>
      </c>
      <c r="F183" s="31"/>
      <c r="G183" s="32">
        <v>80569.65294</v>
      </c>
      <c r="H183" s="32">
        <f t="shared" si="14"/>
        <v>1344.5094600000011</v>
      </c>
      <c r="I183" s="32">
        <v>81914.162400000001</v>
      </c>
      <c r="J183" s="17">
        <f t="shared" si="15"/>
        <v>8.5399952035644627E-2</v>
      </c>
    </row>
    <row r="184" spans="1:10" x14ac:dyDescent="0.2">
      <c r="A184" s="31" t="s">
        <v>131</v>
      </c>
      <c r="B184" s="31">
        <v>5</v>
      </c>
      <c r="C184" s="32">
        <v>76599.512799999997</v>
      </c>
      <c r="D184" s="32">
        <f t="shared" si="13"/>
        <v>7659.9512799999939</v>
      </c>
      <c r="E184" s="32">
        <v>84259.464079999991</v>
      </c>
      <c r="F184" s="31"/>
      <c r="G184" s="32">
        <v>97259.918363999997</v>
      </c>
      <c r="H184" s="32">
        <f t="shared" si="14"/>
        <v>6994.0994760000031</v>
      </c>
      <c r="I184" s="32">
        <v>104254.01784</v>
      </c>
      <c r="J184" s="17">
        <f t="shared" si="15"/>
        <v>-0.19178688912197045</v>
      </c>
    </row>
    <row r="185" spans="1:10" x14ac:dyDescent="0.2">
      <c r="A185" s="31" t="s">
        <v>36</v>
      </c>
      <c r="B185" s="31">
        <v>17</v>
      </c>
      <c r="C185" s="32">
        <v>75284.37705882352</v>
      </c>
      <c r="D185" s="32">
        <f t="shared" si="13"/>
        <v>6775.5939352941205</v>
      </c>
      <c r="E185" s="32">
        <v>82059.970994117641</v>
      </c>
      <c r="F185" s="31"/>
      <c r="G185" s="32">
        <v>76642.205642856003</v>
      </c>
      <c r="H185" s="32">
        <f t="shared" si="14"/>
        <v>4221.0172171439917</v>
      </c>
      <c r="I185" s="32">
        <v>80863.222859999994</v>
      </c>
      <c r="J185" s="17">
        <f t="shared" si="15"/>
        <v>1.4799659125503798E-2</v>
      </c>
    </row>
    <row r="186" spans="1:10" x14ac:dyDescent="0.2">
      <c r="A186" s="31" t="s">
        <v>31</v>
      </c>
      <c r="B186" s="31">
        <v>4</v>
      </c>
      <c r="C186" s="32">
        <v>99375</v>
      </c>
      <c r="D186" s="32">
        <f t="shared" si="13"/>
        <v>9937.5</v>
      </c>
      <c r="E186" s="32">
        <v>109312.5</v>
      </c>
      <c r="F186" s="31"/>
      <c r="G186" s="32">
        <v>109062.24462</v>
      </c>
      <c r="H186" s="32">
        <f t="shared" si="14"/>
        <v>6532.678202021998</v>
      </c>
      <c r="I186" s="32">
        <v>115594.922822022</v>
      </c>
      <c r="J186" s="17">
        <f t="shared" si="15"/>
        <v>-5.4348605186534463E-2</v>
      </c>
    </row>
    <row r="187" spans="1:10" x14ac:dyDescent="0.2">
      <c r="A187" s="31" t="s">
        <v>132</v>
      </c>
      <c r="B187" s="31">
        <v>12</v>
      </c>
      <c r="C187" s="32">
        <v>102589.53166666666</v>
      </c>
      <c r="D187" s="32">
        <f t="shared" si="13"/>
        <v>10258.953166666659</v>
      </c>
      <c r="E187" s="32">
        <v>112848.48483333332</v>
      </c>
      <c r="F187" s="31"/>
      <c r="G187" s="32">
        <v>101705.86202427</v>
      </c>
      <c r="H187" s="32">
        <f t="shared" si="14"/>
        <v>11468.060409708007</v>
      </c>
      <c r="I187" s="32">
        <v>113173.922433978</v>
      </c>
      <c r="J187" s="17">
        <f t="shared" si="15"/>
        <v>-2.8755528981027714E-3</v>
      </c>
    </row>
    <row r="188" spans="1:10" x14ac:dyDescent="0.2">
      <c r="A188" s="31" t="s">
        <v>154</v>
      </c>
      <c r="B188" s="31">
        <v>3</v>
      </c>
      <c r="C188" s="32">
        <v>88294.666666666672</v>
      </c>
      <c r="D188" s="32">
        <f t="shared" si="13"/>
        <v>8829.4666666666599</v>
      </c>
      <c r="E188" s="32">
        <v>97124.133333333331</v>
      </c>
      <c r="F188" s="31"/>
      <c r="G188" s="32">
        <v>83063.468250000005</v>
      </c>
      <c r="H188" s="32">
        <f t="shared" si="14"/>
        <v>3706.3202400000009</v>
      </c>
      <c r="I188" s="32">
        <v>86769.788490000006</v>
      </c>
      <c r="J188" s="17">
        <f t="shared" si="15"/>
        <v>0.11933122142537707</v>
      </c>
    </row>
    <row r="189" spans="1:10" x14ac:dyDescent="0.2">
      <c r="A189" s="31" t="s">
        <v>42</v>
      </c>
      <c r="B189" s="31">
        <v>5</v>
      </c>
      <c r="C189" s="32">
        <v>57779.8</v>
      </c>
      <c r="D189" s="32">
        <f t="shared" si="13"/>
        <v>3466.7880000000005</v>
      </c>
      <c r="E189" s="32">
        <v>61246.588000000003</v>
      </c>
      <c r="F189" s="31"/>
      <c r="G189" s="32">
        <v>63978.875099999997</v>
      </c>
      <c r="H189" s="32">
        <f t="shared" si="14"/>
        <v>2179.3489199999967</v>
      </c>
      <c r="I189" s="32">
        <v>66158.224019999994</v>
      </c>
      <c r="J189" s="17">
        <f t="shared" si="15"/>
        <v>-7.4240747734025878E-2</v>
      </c>
    </row>
    <row r="190" spans="1:10" x14ac:dyDescent="0.2">
      <c r="A190" s="31" t="s">
        <v>59</v>
      </c>
      <c r="B190" s="31">
        <v>4</v>
      </c>
      <c r="C190" s="32">
        <v>65385.5</v>
      </c>
      <c r="D190" s="32">
        <f t="shared" si="13"/>
        <v>5230.8399999999965</v>
      </c>
      <c r="E190" s="32">
        <v>70616.34</v>
      </c>
      <c r="F190" s="31"/>
      <c r="G190" s="32">
        <v>74668.850454492</v>
      </c>
      <c r="H190" s="32">
        <f t="shared" si="14"/>
        <v>2641.6327594860049</v>
      </c>
      <c r="I190" s="32">
        <v>77310.483213978005</v>
      </c>
      <c r="J190" s="17">
        <f t="shared" si="15"/>
        <v>-8.6587781316152523E-2</v>
      </c>
    </row>
    <row r="191" spans="1:10" x14ac:dyDescent="0.2">
      <c r="A191" s="31" t="s">
        <v>194</v>
      </c>
      <c r="B191" s="31">
        <v>7</v>
      </c>
      <c r="C191" s="32">
        <v>131580.19857142857</v>
      </c>
      <c r="D191" s="32">
        <f t="shared" si="13"/>
        <v>19737.029785714287</v>
      </c>
      <c r="E191" s="32">
        <v>151317.22835714286</v>
      </c>
      <c r="F191" s="31"/>
      <c r="G191" s="32">
        <v>135804.62951999999</v>
      </c>
      <c r="H191" s="32">
        <f t="shared" si="14"/>
        <v>20370.490560000006</v>
      </c>
      <c r="I191" s="32">
        <v>156175.12007999999</v>
      </c>
      <c r="J191" s="17">
        <f t="shared" si="15"/>
        <v>-3.1105413719987565E-2</v>
      </c>
    </row>
    <row r="192" spans="1:10" x14ac:dyDescent="0.2">
      <c r="A192" s="31" t="s">
        <v>60</v>
      </c>
      <c r="B192" s="31">
        <v>4</v>
      </c>
      <c r="C192" s="32">
        <v>150712.09999999998</v>
      </c>
      <c r="D192" s="32">
        <f t="shared" si="13"/>
        <v>22606.815000000002</v>
      </c>
      <c r="E192" s="32">
        <v>173318.91499999998</v>
      </c>
      <c r="F192" s="31"/>
      <c r="G192" s="32">
        <v>130437.095265162</v>
      </c>
      <c r="H192" s="32">
        <f t="shared" si="14"/>
        <v>18881.070298523991</v>
      </c>
      <c r="I192" s="32">
        <v>149318.16556368599</v>
      </c>
      <c r="J192" s="17">
        <f t="shared" si="15"/>
        <v>0.16073563016066775</v>
      </c>
    </row>
    <row r="193" spans="1:10" x14ac:dyDescent="0.2">
      <c r="A193" s="31" t="s">
        <v>155</v>
      </c>
      <c r="B193" s="31">
        <v>4</v>
      </c>
      <c r="C193" s="32">
        <v>134500</v>
      </c>
      <c r="D193" s="32">
        <f t="shared" si="13"/>
        <v>20175</v>
      </c>
      <c r="E193" s="32">
        <v>154675</v>
      </c>
      <c r="F193" s="31"/>
      <c r="G193" s="32">
        <v>142370.19846000001</v>
      </c>
      <c r="H193" s="32">
        <f t="shared" si="14"/>
        <v>13185.162899999996</v>
      </c>
      <c r="I193" s="32">
        <v>155555.36136000001</v>
      </c>
      <c r="J193" s="17">
        <f t="shared" si="15"/>
        <v>-5.6594729510003813E-3</v>
      </c>
    </row>
    <row r="194" spans="1:10" x14ac:dyDescent="0.2">
      <c r="A194" s="31" t="s">
        <v>86</v>
      </c>
      <c r="B194" s="31">
        <v>4</v>
      </c>
      <c r="C194" s="32">
        <v>82761.66750000001</v>
      </c>
      <c r="D194" s="32">
        <f t="shared" si="13"/>
        <v>7448.5500750000065</v>
      </c>
      <c r="E194" s="32">
        <v>90210.217575000017</v>
      </c>
      <c r="F194" s="31"/>
      <c r="G194" s="32">
        <v>90140.533541477998</v>
      </c>
      <c r="H194" s="32">
        <f t="shared" si="14"/>
        <v>3317.4359139599983</v>
      </c>
      <c r="I194" s="32">
        <v>93457.969455437997</v>
      </c>
      <c r="J194" s="17">
        <f t="shared" si="15"/>
        <v>-3.4750935627662564E-2</v>
      </c>
    </row>
    <row r="195" spans="1:10" x14ac:dyDescent="0.2">
      <c r="A195" s="31" t="s">
        <v>133</v>
      </c>
      <c r="B195" s="31">
        <v>7</v>
      </c>
      <c r="C195" s="32">
        <v>83789.428571428565</v>
      </c>
      <c r="D195" s="32">
        <f t="shared" si="13"/>
        <v>7541.0485714285751</v>
      </c>
      <c r="E195" s="32">
        <v>91330.47714285714</v>
      </c>
      <c r="F195" s="31"/>
      <c r="G195" s="32">
        <v>74708.957609999998</v>
      </c>
      <c r="H195" s="32">
        <f t="shared" si="14"/>
        <v>2910.555446022001</v>
      </c>
      <c r="I195" s="32">
        <v>77619.513056021999</v>
      </c>
      <c r="J195" s="17">
        <f t="shared" si="15"/>
        <v>0.17664326336264483</v>
      </c>
    </row>
    <row r="196" spans="1:10" x14ac:dyDescent="0.2">
      <c r="A196" s="31" t="s">
        <v>195</v>
      </c>
      <c r="B196" s="31">
        <v>5</v>
      </c>
      <c r="C196" s="32">
        <v>88684.243999999992</v>
      </c>
      <c r="D196" s="32">
        <f t="shared" si="13"/>
        <v>8868.4244000000035</v>
      </c>
      <c r="E196" s="32">
        <v>97552.668399999995</v>
      </c>
      <c r="F196" s="31"/>
      <c r="G196" s="32">
        <v>96940.327649886007</v>
      </c>
      <c r="H196" s="32">
        <f t="shared" si="14"/>
        <v>4703.1604501139955</v>
      </c>
      <c r="I196" s="32">
        <v>101643.4881</v>
      </c>
      <c r="J196" s="17">
        <f t="shared" si="15"/>
        <v>-4.0246746510463442E-2</v>
      </c>
    </row>
    <row r="197" spans="1:10" x14ac:dyDescent="0.2">
      <c r="A197" s="31" t="s">
        <v>196</v>
      </c>
      <c r="B197" s="31">
        <v>44</v>
      </c>
      <c r="C197" s="32">
        <v>120694.60136363636</v>
      </c>
      <c r="D197" s="32">
        <f t="shared" si="13"/>
        <v>12069.460136363647</v>
      </c>
      <c r="E197" s="32">
        <v>132764.06150000001</v>
      </c>
      <c r="F197" s="31"/>
      <c r="G197" s="32">
        <v>121486.938290928</v>
      </c>
      <c r="H197" s="32">
        <f t="shared" si="14"/>
        <v>6668.9943363540078</v>
      </c>
      <c r="I197" s="32">
        <v>128155.932627282</v>
      </c>
      <c r="J197" s="17">
        <f t="shared" si="15"/>
        <v>3.5957202903121967E-2</v>
      </c>
    </row>
    <row r="198" spans="1:10" x14ac:dyDescent="0.2">
      <c r="A198" s="31" t="s">
        <v>134</v>
      </c>
      <c r="B198" s="31">
        <v>31</v>
      </c>
      <c r="C198" s="32">
        <v>140758.67516129033</v>
      </c>
      <c r="D198" s="32">
        <f t="shared" si="13"/>
        <v>21113.801274193538</v>
      </c>
      <c r="E198" s="32">
        <v>161872.47643548387</v>
      </c>
      <c r="F198" s="31"/>
      <c r="G198" s="32">
        <v>141444.03367911599</v>
      </c>
      <c r="H198" s="32">
        <f t="shared" si="14"/>
        <v>12453.031424862012</v>
      </c>
      <c r="I198" s="32">
        <v>153897.06510397801</v>
      </c>
      <c r="J198" s="17">
        <f t="shared" si="15"/>
        <v>5.1823024215032362E-2</v>
      </c>
    </row>
    <row r="199" spans="1:10" x14ac:dyDescent="0.2">
      <c r="A199" s="31" t="s">
        <v>22</v>
      </c>
      <c r="B199" s="31">
        <v>5</v>
      </c>
      <c r="C199" s="32">
        <v>155845.266</v>
      </c>
      <c r="D199" s="32">
        <f t="shared" si="13"/>
        <v>31169.053199999995</v>
      </c>
      <c r="E199" s="32">
        <v>187014.3192</v>
      </c>
      <c r="F199" s="31"/>
      <c r="G199" s="32">
        <v>162787.91840602201</v>
      </c>
      <c r="H199" s="32">
        <f t="shared" si="14"/>
        <v>23878.719093977998</v>
      </c>
      <c r="I199" s="32">
        <v>186666.63750000001</v>
      </c>
      <c r="J199" s="17">
        <f t="shared" si="15"/>
        <v>1.8625808267424672E-3</v>
      </c>
    </row>
    <row r="200" spans="1:10" x14ac:dyDescent="0.2">
      <c r="A200" s="31" t="s">
        <v>156</v>
      </c>
      <c r="B200" s="31">
        <v>4</v>
      </c>
      <c r="C200" s="32">
        <v>116413.83249999999</v>
      </c>
      <c r="D200" s="32">
        <f t="shared" ref="D200:D263" si="16">E200-C200</f>
        <v>11641.383249999999</v>
      </c>
      <c r="E200" s="32">
        <v>128055.21574999999</v>
      </c>
      <c r="F200" s="31"/>
      <c r="G200" s="32">
        <v>120379.31253999</v>
      </c>
      <c r="H200" s="32">
        <f t="shared" ref="H200:H263" si="17">I200-G200</f>
        <v>10352.061800009993</v>
      </c>
      <c r="I200" s="32">
        <v>130731.37433999999</v>
      </c>
      <c r="J200" s="17">
        <f t="shared" ref="J200:J210" si="18">(E200-I200)/I200</f>
        <v>-2.0470668219550566E-2</v>
      </c>
    </row>
    <row r="201" spans="1:10" x14ac:dyDescent="0.2">
      <c r="A201" s="31" t="s">
        <v>197</v>
      </c>
      <c r="B201" s="31">
        <v>3</v>
      </c>
      <c r="C201" s="32">
        <v>130949.65999999999</v>
      </c>
      <c r="D201" s="32">
        <f t="shared" si="16"/>
        <v>19642.449000000008</v>
      </c>
      <c r="E201" s="32">
        <v>150592.109</v>
      </c>
      <c r="F201" s="31"/>
      <c r="G201" s="32">
        <v>122322.32901</v>
      </c>
      <c r="H201" s="32">
        <f t="shared" si="17"/>
        <v>10213.073262000005</v>
      </c>
      <c r="I201" s="32">
        <v>132535.40227200001</v>
      </c>
      <c r="J201" s="17">
        <f t="shared" si="18"/>
        <v>0.13624063018983062</v>
      </c>
    </row>
    <row r="202" spans="1:10" ht="14.25" x14ac:dyDescent="0.2">
      <c r="A202" s="31" t="s">
        <v>310</v>
      </c>
      <c r="B202" s="31">
        <v>6</v>
      </c>
      <c r="C202" s="32">
        <v>176576.24466666664</v>
      </c>
      <c r="D202" s="32">
        <f t="shared" si="16"/>
        <v>44144.061166666652</v>
      </c>
      <c r="E202" s="32">
        <v>220720.30583333329</v>
      </c>
      <c r="F202" s="31"/>
      <c r="G202" s="32">
        <v>219697</v>
      </c>
      <c r="H202" s="32">
        <f t="shared" si="17"/>
        <v>32466</v>
      </c>
      <c r="I202" s="32">
        <v>252163</v>
      </c>
      <c r="J202" s="17">
        <f t="shared" si="18"/>
        <v>-0.12469194198461594</v>
      </c>
    </row>
    <row r="203" spans="1:10" x14ac:dyDescent="0.2">
      <c r="A203" s="31" t="s">
        <v>37</v>
      </c>
      <c r="B203" s="31">
        <v>12</v>
      </c>
      <c r="C203" s="32">
        <v>121934.3725</v>
      </c>
      <c r="D203" s="32">
        <f t="shared" si="16"/>
        <v>18290.155874999997</v>
      </c>
      <c r="E203" s="32">
        <v>140224.52837499999</v>
      </c>
      <c r="F203" s="31"/>
      <c r="G203" s="32">
        <v>127417.5</v>
      </c>
      <c r="H203" s="32">
        <f t="shared" si="17"/>
        <v>11982.001953978004</v>
      </c>
      <c r="I203" s="32">
        <v>139399.501953978</v>
      </c>
      <c r="J203" s="17">
        <f t="shared" si="18"/>
        <v>5.918431626063975E-3</v>
      </c>
    </row>
    <row r="204" spans="1:10" x14ac:dyDescent="0.2">
      <c r="A204" s="31" t="s">
        <v>72</v>
      </c>
      <c r="B204" s="31">
        <v>3</v>
      </c>
      <c r="C204" s="32">
        <v>140272.08333333334</v>
      </c>
      <c r="D204" s="32">
        <f t="shared" si="16"/>
        <v>28054.416666666657</v>
      </c>
      <c r="E204" s="32">
        <v>168326.5</v>
      </c>
      <c r="F204" s="31"/>
      <c r="G204" s="32">
        <v>162916.01550000001</v>
      </c>
      <c r="H204" s="32">
        <f t="shared" si="17"/>
        <v>21257.316359999997</v>
      </c>
      <c r="I204" s="32">
        <v>184173.33186000001</v>
      </c>
      <c r="J204" s="17">
        <f t="shared" si="18"/>
        <v>-8.6043031854611984E-2</v>
      </c>
    </row>
    <row r="205" spans="1:10" x14ac:dyDescent="0.2">
      <c r="A205" s="31" t="s">
        <v>157</v>
      </c>
      <c r="B205" s="31">
        <v>3</v>
      </c>
      <c r="C205" s="32">
        <v>74000</v>
      </c>
      <c r="D205" s="32">
        <f t="shared" si="16"/>
        <v>6660</v>
      </c>
      <c r="E205" s="32">
        <v>80660</v>
      </c>
      <c r="F205" s="31"/>
      <c r="G205" s="32">
        <v>93779.28</v>
      </c>
      <c r="H205" s="32">
        <f t="shared" si="17"/>
        <v>4318.0941639780067</v>
      </c>
      <c r="I205" s="32">
        <v>98097.374163978006</v>
      </c>
      <c r="J205" s="17">
        <f t="shared" si="18"/>
        <v>-0.17775576882241484</v>
      </c>
    </row>
    <row r="206" spans="1:10" x14ac:dyDescent="0.2">
      <c r="A206" s="31" t="s">
        <v>198</v>
      </c>
      <c r="B206" s="31">
        <v>9</v>
      </c>
      <c r="C206" s="32">
        <v>88252.693333333344</v>
      </c>
      <c r="D206" s="32">
        <f t="shared" si="16"/>
        <v>8825.26933333333</v>
      </c>
      <c r="E206" s="32">
        <v>97077.962666666674</v>
      </c>
      <c r="F206" s="31"/>
      <c r="G206" s="32">
        <v>96905.850615000003</v>
      </c>
      <c r="H206" s="32">
        <f t="shared" si="17"/>
        <v>5750.6575769999909</v>
      </c>
      <c r="I206" s="32">
        <v>102656.50819199999</v>
      </c>
      <c r="J206" s="17">
        <f t="shared" si="18"/>
        <v>-5.4341859309101799E-2</v>
      </c>
    </row>
    <row r="207" spans="1:10" x14ac:dyDescent="0.2">
      <c r="A207" s="31" t="s">
        <v>199</v>
      </c>
      <c r="B207" s="31">
        <v>5</v>
      </c>
      <c r="C207" s="32">
        <v>109389.526</v>
      </c>
      <c r="D207" s="32">
        <f t="shared" si="16"/>
        <v>10938.952600000004</v>
      </c>
      <c r="E207" s="32">
        <v>120328.4786</v>
      </c>
      <c r="F207" s="31"/>
      <c r="G207" s="32">
        <v>123326.633745</v>
      </c>
      <c r="H207" s="32">
        <f t="shared" si="17"/>
        <v>6120.1173600000038</v>
      </c>
      <c r="I207" s="32">
        <v>129446.751105</v>
      </c>
      <c r="J207" s="17">
        <f t="shared" si="18"/>
        <v>-7.0440334942077965E-2</v>
      </c>
    </row>
    <row r="208" spans="1:10" x14ac:dyDescent="0.2">
      <c r="A208" s="31" t="s">
        <v>200</v>
      </c>
      <c r="B208" s="31">
        <v>9</v>
      </c>
      <c r="C208" s="32">
        <v>130448.06999999999</v>
      </c>
      <c r="D208" s="32">
        <f t="shared" si="16"/>
        <v>19567.210500000001</v>
      </c>
      <c r="E208" s="32">
        <v>150015.28049999999</v>
      </c>
      <c r="F208" s="31"/>
      <c r="G208" s="32">
        <v>151121.74202999999</v>
      </c>
      <c r="H208" s="32">
        <f t="shared" si="17"/>
        <v>12288.653370000015</v>
      </c>
      <c r="I208" s="32">
        <v>163410.39540000001</v>
      </c>
      <c r="J208" s="17">
        <f t="shared" si="18"/>
        <v>-8.1972232349179025E-2</v>
      </c>
    </row>
    <row r="209" spans="1:10" x14ac:dyDescent="0.2">
      <c r="A209" s="31" t="s">
        <v>73</v>
      </c>
      <c r="B209" s="31">
        <v>4</v>
      </c>
      <c r="C209" s="32">
        <v>178210.755</v>
      </c>
      <c r="D209" s="32">
        <f t="shared" si="16"/>
        <v>35642.151000000013</v>
      </c>
      <c r="E209" s="32">
        <v>213852.90600000002</v>
      </c>
      <c r="F209" s="31"/>
      <c r="G209" s="32">
        <v>150979.03443</v>
      </c>
      <c r="H209" s="32">
        <f t="shared" si="17"/>
        <v>11634.23709000001</v>
      </c>
      <c r="I209" s="32">
        <v>162613.27152000001</v>
      </c>
      <c r="J209" s="17">
        <f t="shared" si="18"/>
        <v>0.31510118455305774</v>
      </c>
    </row>
    <row r="210" spans="1:10" x14ac:dyDescent="0.2">
      <c r="A210" s="31" t="s">
        <v>201</v>
      </c>
      <c r="B210" s="31">
        <v>4</v>
      </c>
      <c r="C210" s="32">
        <v>96016.25</v>
      </c>
      <c r="D210" s="32">
        <f t="shared" si="16"/>
        <v>9601.625</v>
      </c>
      <c r="E210" s="32">
        <v>105617.875</v>
      </c>
      <c r="F210" s="31"/>
      <c r="G210" s="32">
        <v>94025.620533977999</v>
      </c>
      <c r="H210" s="32">
        <f t="shared" si="17"/>
        <v>5939.5242560220067</v>
      </c>
      <c r="I210" s="32">
        <v>99965.144790000006</v>
      </c>
      <c r="J210" s="17">
        <f t="shared" si="18"/>
        <v>5.6547011679669613E-2</v>
      </c>
    </row>
    <row r="211" spans="1:10" x14ac:dyDescent="0.2">
      <c r="A211" s="31" t="s">
        <v>202</v>
      </c>
      <c r="B211" s="31">
        <v>12</v>
      </c>
      <c r="C211" s="32">
        <v>93588.030833333338</v>
      </c>
      <c r="D211" s="32">
        <f t="shared" si="16"/>
        <v>9358.8030833333323</v>
      </c>
      <c r="E211" s="32">
        <v>102946.83391666667</v>
      </c>
      <c r="F211" s="31"/>
      <c r="G211" s="32">
        <v>98313.559154999995</v>
      </c>
      <c r="H211" s="32">
        <f t="shared" si="17"/>
        <v>5801.9835885479988</v>
      </c>
      <c r="I211" s="32">
        <v>104115.54274354799</v>
      </c>
      <c r="J211" s="17">
        <f t="shared" ref="J211:J274" si="19">(E211-I211)/I211</f>
        <v>-1.122511390792081E-2</v>
      </c>
    </row>
    <row r="212" spans="1:10" x14ac:dyDescent="0.2">
      <c r="A212" s="31" t="s">
        <v>203</v>
      </c>
      <c r="B212" s="31">
        <v>8</v>
      </c>
      <c r="C212" s="32">
        <v>73069.382500000007</v>
      </c>
      <c r="D212" s="32">
        <f t="shared" si="16"/>
        <v>5845.5506000000023</v>
      </c>
      <c r="E212" s="32">
        <v>78914.933100000009</v>
      </c>
      <c r="F212" s="31"/>
      <c r="G212" s="32">
        <v>78661.278536022</v>
      </c>
      <c r="H212" s="32">
        <f t="shared" si="17"/>
        <v>2671.2229764780059</v>
      </c>
      <c r="I212" s="32">
        <v>81332.501512500006</v>
      </c>
      <c r="J212" s="17">
        <f t="shared" si="19"/>
        <v>-2.9724505794629229E-2</v>
      </c>
    </row>
    <row r="213" spans="1:10" x14ac:dyDescent="0.2">
      <c r="A213" s="31" t="s">
        <v>112</v>
      </c>
      <c r="B213" s="31">
        <v>9</v>
      </c>
      <c r="C213" s="32">
        <v>63403.514444444445</v>
      </c>
      <c r="D213" s="32">
        <f t="shared" si="16"/>
        <v>5072.2811555555527</v>
      </c>
      <c r="E213" s="32">
        <v>68475.795599999998</v>
      </c>
      <c r="F213" s="31"/>
      <c r="G213" s="32">
        <v>62524.673341326001</v>
      </c>
      <c r="H213" s="32">
        <f t="shared" si="17"/>
        <v>1693.7466586739974</v>
      </c>
      <c r="I213" s="32">
        <v>64218.42</v>
      </c>
      <c r="J213" s="17">
        <f t="shared" si="19"/>
        <v>6.6295240524447657E-2</v>
      </c>
    </row>
    <row r="214" spans="1:10" x14ac:dyDescent="0.2">
      <c r="A214" s="31" t="s">
        <v>158</v>
      </c>
      <c r="B214" s="31">
        <v>4</v>
      </c>
      <c r="C214" s="32">
        <v>156546.94425</v>
      </c>
      <c r="D214" s="32">
        <f t="shared" si="16"/>
        <v>31309.388849999988</v>
      </c>
      <c r="E214" s="32">
        <v>187856.33309999999</v>
      </c>
      <c r="F214" s="31"/>
      <c r="G214" s="32">
        <v>152244.290205</v>
      </c>
      <c r="H214" s="32">
        <f t="shared" si="17"/>
        <v>13902.523424999992</v>
      </c>
      <c r="I214" s="32">
        <v>166146.81362999999</v>
      </c>
      <c r="J214" s="17">
        <f t="shared" si="19"/>
        <v>0.13066467538971846</v>
      </c>
    </row>
    <row r="215" spans="1:10" x14ac:dyDescent="0.2">
      <c r="A215" s="31" t="s">
        <v>159</v>
      </c>
      <c r="B215" s="31">
        <v>6</v>
      </c>
      <c r="C215" s="32">
        <v>124507.09833333334</v>
      </c>
      <c r="D215" s="32">
        <f t="shared" si="16"/>
        <v>12450.709833333342</v>
      </c>
      <c r="E215" s="32">
        <v>136957.80816666668</v>
      </c>
      <c r="F215" s="31"/>
      <c r="G215" s="32">
        <v>125644.86774</v>
      </c>
      <c r="H215" s="32">
        <f t="shared" si="17"/>
        <v>8532.2155460220092</v>
      </c>
      <c r="I215" s="32">
        <v>134177.08328602201</v>
      </c>
      <c r="J215" s="17">
        <f t="shared" si="19"/>
        <v>2.0724290710039284E-2</v>
      </c>
    </row>
    <row r="216" spans="1:10" x14ac:dyDescent="0.2">
      <c r="A216" s="31" t="s">
        <v>87</v>
      </c>
      <c r="B216" s="31">
        <v>5</v>
      </c>
      <c r="C216" s="32">
        <v>96707.616000000009</v>
      </c>
      <c r="D216" s="32">
        <f t="shared" si="16"/>
        <v>9670.761599999998</v>
      </c>
      <c r="E216" s="32">
        <v>106378.37760000001</v>
      </c>
      <c r="F216" s="31"/>
      <c r="G216" s="32">
        <v>114900.68439397799</v>
      </c>
      <c r="H216" s="32">
        <f t="shared" si="17"/>
        <v>11490.000480000002</v>
      </c>
      <c r="I216" s="32">
        <v>126390.684873978</v>
      </c>
      <c r="J216" s="17">
        <f t="shared" si="19"/>
        <v>-0.15833688450958169</v>
      </c>
    </row>
    <row r="217" spans="1:10" x14ac:dyDescent="0.2">
      <c r="A217" s="31" t="s">
        <v>160</v>
      </c>
      <c r="B217" s="31">
        <v>3</v>
      </c>
      <c r="C217" s="32">
        <v>156586.82</v>
      </c>
      <c r="D217" s="32">
        <f t="shared" si="16"/>
        <v>31317.364000000001</v>
      </c>
      <c r="E217" s="32">
        <v>187904.18400000001</v>
      </c>
      <c r="F217" s="31"/>
      <c r="G217" s="32">
        <v>142749.39293999999</v>
      </c>
      <c r="H217" s="32">
        <f t="shared" si="17"/>
        <v>15051.902055876009</v>
      </c>
      <c r="I217" s="32">
        <v>157801.294995876</v>
      </c>
      <c r="J217" s="17">
        <f t="shared" si="19"/>
        <v>0.19076452449208811</v>
      </c>
    </row>
    <row r="218" spans="1:10" x14ac:dyDescent="0.2">
      <c r="A218" s="31" t="s">
        <v>204</v>
      </c>
      <c r="B218" s="31">
        <v>4</v>
      </c>
      <c r="C218" s="32">
        <v>122845.76000000001</v>
      </c>
      <c r="D218" s="32">
        <f t="shared" si="16"/>
        <v>12284.576000000001</v>
      </c>
      <c r="E218" s="32">
        <v>135130.33600000001</v>
      </c>
      <c r="F218" s="31"/>
      <c r="G218" s="32">
        <v>129426.61914</v>
      </c>
      <c r="H218" s="32">
        <f t="shared" si="17"/>
        <v>12942.559979999991</v>
      </c>
      <c r="I218" s="32">
        <v>142369.17911999999</v>
      </c>
      <c r="J218" s="17">
        <f t="shared" si="19"/>
        <v>-5.0845577425845147E-2</v>
      </c>
    </row>
    <row r="219" spans="1:10" x14ac:dyDescent="0.2">
      <c r="A219" s="31" t="s">
        <v>205</v>
      </c>
      <c r="B219" s="31">
        <v>6</v>
      </c>
      <c r="C219" s="32">
        <v>155292.39333333334</v>
      </c>
      <c r="D219" s="32">
        <f t="shared" si="16"/>
        <v>31058.478666666662</v>
      </c>
      <c r="E219" s="32">
        <v>186350.872</v>
      </c>
      <c r="F219" s="31"/>
      <c r="G219" s="32">
        <v>191218.51759877999</v>
      </c>
      <c r="H219" s="32">
        <f t="shared" si="17"/>
        <v>35410.028735214</v>
      </c>
      <c r="I219" s="32">
        <v>226628.54633399399</v>
      </c>
      <c r="J219" s="17">
        <f t="shared" si="19"/>
        <v>-0.17772551157185085</v>
      </c>
    </row>
    <row r="220" spans="1:10" x14ac:dyDescent="0.2">
      <c r="A220" s="31" t="s">
        <v>206</v>
      </c>
      <c r="B220" s="31">
        <v>3</v>
      </c>
      <c r="C220" s="32">
        <v>125950</v>
      </c>
      <c r="D220" s="32">
        <f t="shared" si="16"/>
        <v>18892.5</v>
      </c>
      <c r="E220" s="32">
        <v>144842.5</v>
      </c>
      <c r="F220" s="31"/>
      <c r="G220" s="32">
        <v>139283.891775</v>
      </c>
      <c r="H220" s="32">
        <f t="shared" si="17"/>
        <v>12204.557820000016</v>
      </c>
      <c r="I220" s="32">
        <v>151488.44959500001</v>
      </c>
      <c r="J220" s="17">
        <f t="shared" si="19"/>
        <v>-4.3870998830391139E-2</v>
      </c>
    </row>
    <row r="221" spans="1:10" x14ac:dyDescent="0.2">
      <c r="A221" s="31" t="s">
        <v>61</v>
      </c>
      <c r="B221" s="31">
        <v>4</v>
      </c>
      <c r="C221" s="32">
        <v>144849.11749999999</v>
      </c>
      <c r="D221" s="32">
        <f t="shared" si="16"/>
        <v>28969.823499999999</v>
      </c>
      <c r="E221" s="32">
        <v>173818.94099999999</v>
      </c>
      <c r="F221" s="31"/>
      <c r="G221" s="32">
        <v>170393.638905</v>
      </c>
      <c r="H221" s="32">
        <f t="shared" si="17"/>
        <v>28793.551815000013</v>
      </c>
      <c r="I221" s="32">
        <v>199187.19072000001</v>
      </c>
      <c r="J221" s="17">
        <f t="shared" si="19"/>
        <v>-0.12735884083861845</v>
      </c>
    </row>
    <row r="222" spans="1:10" x14ac:dyDescent="0.2">
      <c r="A222" s="31" t="s">
        <v>161</v>
      </c>
      <c r="B222" s="31">
        <v>5</v>
      </c>
      <c r="C222" s="32">
        <v>86570.59199999999</v>
      </c>
      <c r="D222" s="32">
        <f t="shared" si="16"/>
        <v>7791.3532799999957</v>
      </c>
      <c r="E222" s="32">
        <v>94361.945279999985</v>
      </c>
      <c r="F222" s="31"/>
      <c r="G222" s="32">
        <v>78116.696141021996</v>
      </c>
      <c r="H222" s="32">
        <f t="shared" si="17"/>
        <v>4466.4930450000102</v>
      </c>
      <c r="I222" s="32">
        <v>82583.189186022006</v>
      </c>
      <c r="J222" s="17">
        <f t="shared" si="19"/>
        <v>0.14262898066876359</v>
      </c>
    </row>
    <row r="223" spans="1:10" x14ac:dyDescent="0.2">
      <c r="A223" s="31" t="s">
        <v>135</v>
      </c>
      <c r="B223" s="31">
        <v>3</v>
      </c>
      <c r="C223" s="32">
        <v>72432.296666666662</v>
      </c>
      <c r="D223" s="32">
        <f t="shared" si="16"/>
        <v>5794.5837333333329</v>
      </c>
      <c r="E223" s="32">
        <v>78226.880399999995</v>
      </c>
      <c r="F223" s="31"/>
      <c r="G223" s="32">
        <v>74735.832814901994</v>
      </c>
      <c r="H223" s="32">
        <f t="shared" si="17"/>
        <v>4709.4881050980039</v>
      </c>
      <c r="I223" s="32">
        <v>79445.320919999998</v>
      </c>
      <c r="J223" s="17">
        <f t="shared" si="19"/>
        <v>-1.5336844333814843E-2</v>
      </c>
    </row>
    <row r="224" spans="1:10" x14ac:dyDescent="0.2">
      <c r="A224" s="31" t="s">
        <v>207</v>
      </c>
      <c r="B224" s="31">
        <v>3</v>
      </c>
      <c r="C224" s="32">
        <v>94520.67333333334</v>
      </c>
      <c r="D224" s="32">
        <f t="shared" si="16"/>
        <v>9452.0673333333398</v>
      </c>
      <c r="E224" s="32">
        <v>103972.74066666668</v>
      </c>
      <c r="F224" s="31"/>
      <c r="G224" s="32">
        <v>93653.136675000002</v>
      </c>
      <c r="H224" s="32">
        <f t="shared" si="17"/>
        <v>6259.3421810220025</v>
      </c>
      <c r="I224" s="32">
        <v>99912.478856022004</v>
      </c>
      <c r="J224" s="17">
        <f t="shared" si="19"/>
        <v>4.0638185110947751E-2</v>
      </c>
    </row>
    <row r="225" spans="1:10" x14ac:dyDescent="0.2">
      <c r="A225" s="31" t="s">
        <v>66</v>
      </c>
      <c r="B225" s="31">
        <v>9</v>
      </c>
      <c r="C225" s="32">
        <v>170309.76777777777</v>
      </c>
      <c r="D225" s="32">
        <f t="shared" si="16"/>
        <v>34061.953555555549</v>
      </c>
      <c r="E225" s="32">
        <v>204371.72133333332</v>
      </c>
      <c r="F225" s="31"/>
      <c r="G225" s="32">
        <v>152391.32999999999</v>
      </c>
      <c r="H225" s="32">
        <f t="shared" si="17"/>
        <v>23546.244330000016</v>
      </c>
      <c r="I225" s="32">
        <v>175937.57433</v>
      </c>
      <c r="J225" s="17">
        <f t="shared" si="19"/>
        <v>0.16161497685537243</v>
      </c>
    </row>
    <row r="226" spans="1:10" x14ac:dyDescent="0.2">
      <c r="A226" s="31" t="s">
        <v>67</v>
      </c>
      <c r="B226" s="31">
        <v>13</v>
      </c>
      <c r="C226" s="32">
        <v>91166.233846153846</v>
      </c>
      <c r="D226" s="32">
        <f t="shared" si="16"/>
        <v>9116.6233846153918</v>
      </c>
      <c r="E226" s="32">
        <v>100282.85723076924</v>
      </c>
      <c r="F226" s="31"/>
      <c r="G226" s="32">
        <v>104116.746686022</v>
      </c>
      <c r="H226" s="32">
        <f t="shared" si="17"/>
        <v>8833.2606939779944</v>
      </c>
      <c r="I226" s="32">
        <v>112950.00738</v>
      </c>
      <c r="J226" s="17">
        <f t="shared" si="19"/>
        <v>-0.11214828969965808</v>
      </c>
    </row>
    <row r="227" spans="1:10" x14ac:dyDescent="0.2">
      <c r="A227" s="31" t="s">
        <v>88</v>
      </c>
      <c r="B227" s="31">
        <v>10</v>
      </c>
      <c r="C227" s="32">
        <v>80775.012000000002</v>
      </c>
      <c r="D227" s="32">
        <f t="shared" si="16"/>
        <v>7269.7510800000018</v>
      </c>
      <c r="E227" s="32">
        <v>88044.763080000004</v>
      </c>
      <c r="F227" s="31"/>
      <c r="G227" s="32">
        <v>84218.890140000003</v>
      </c>
      <c r="H227" s="32">
        <f t="shared" si="17"/>
        <v>6758.4790349999967</v>
      </c>
      <c r="I227" s="32">
        <v>90977.369175</v>
      </c>
      <c r="J227" s="17">
        <f t="shared" si="19"/>
        <v>-3.2234457003905724E-2</v>
      </c>
    </row>
    <row r="228" spans="1:10" x14ac:dyDescent="0.2">
      <c r="A228" s="31" t="s">
        <v>100</v>
      </c>
      <c r="B228" s="31">
        <v>15</v>
      </c>
      <c r="C228" s="32">
        <v>105918.79946666666</v>
      </c>
      <c r="D228" s="32">
        <f t="shared" si="16"/>
        <v>10591.879946666668</v>
      </c>
      <c r="E228" s="32">
        <v>116510.67941333333</v>
      </c>
      <c r="F228" s="31"/>
      <c r="G228" s="32">
        <v>130788.014170968</v>
      </c>
      <c r="H228" s="32">
        <f t="shared" si="17"/>
        <v>16867.971859031997</v>
      </c>
      <c r="I228" s="32">
        <v>147655.98603</v>
      </c>
      <c r="J228" s="17">
        <f t="shared" si="19"/>
        <v>-0.21093155417579021</v>
      </c>
    </row>
    <row r="229" spans="1:10" x14ac:dyDescent="0.2">
      <c r="A229" s="31" t="s">
        <v>89</v>
      </c>
      <c r="B229" s="31">
        <v>3</v>
      </c>
      <c r="C229" s="32">
        <v>188766.66666666666</v>
      </c>
      <c r="D229" s="32">
        <f t="shared" si="16"/>
        <v>47191.666666666657</v>
      </c>
      <c r="E229" s="32">
        <v>235958.33333333331</v>
      </c>
      <c r="F229" s="31"/>
      <c r="G229" s="32">
        <v>194958.798476022</v>
      </c>
      <c r="H229" s="32">
        <f t="shared" si="17"/>
        <v>41694.233943978004</v>
      </c>
      <c r="I229" s="32">
        <v>236653.03242</v>
      </c>
      <c r="J229" s="17">
        <f t="shared" si="19"/>
        <v>-2.9355173671883144E-3</v>
      </c>
    </row>
    <row r="230" spans="1:10" x14ac:dyDescent="0.2">
      <c r="A230" s="31" t="s">
        <v>52</v>
      </c>
      <c r="B230" s="31">
        <v>4</v>
      </c>
      <c r="C230" s="32">
        <v>77301.477500000008</v>
      </c>
      <c r="D230" s="32">
        <f t="shared" si="16"/>
        <v>6957.1329750000004</v>
      </c>
      <c r="E230" s="32">
        <v>84258.610475000009</v>
      </c>
      <c r="F230" s="31"/>
      <c r="G230" s="32">
        <v>84549.341616011996</v>
      </c>
      <c r="H230" s="32">
        <f t="shared" si="17"/>
        <v>3851.7943287600065</v>
      </c>
      <c r="I230" s="32">
        <v>88401.135944772002</v>
      </c>
      <c r="J230" s="17">
        <f t="shared" si="19"/>
        <v>-4.6860545687557771E-2</v>
      </c>
    </row>
    <row r="231" spans="1:10" x14ac:dyDescent="0.2">
      <c r="A231" s="31" t="s">
        <v>74</v>
      </c>
      <c r="B231" s="31">
        <v>3</v>
      </c>
      <c r="C231" s="32">
        <v>67964.150000000009</v>
      </c>
      <c r="D231" s="32">
        <f t="shared" si="16"/>
        <v>5437.1319999999978</v>
      </c>
      <c r="E231" s="32">
        <v>73401.282000000007</v>
      </c>
      <c r="F231" s="31"/>
      <c r="G231" s="32">
        <v>69332.053581882006</v>
      </c>
      <c r="H231" s="32">
        <f t="shared" si="17"/>
        <v>3032.9316981179873</v>
      </c>
      <c r="I231" s="32">
        <v>72364.985279999994</v>
      </c>
      <c r="J231" s="17">
        <f t="shared" si="19"/>
        <v>1.432041637250801E-2</v>
      </c>
    </row>
    <row r="232" spans="1:10" x14ac:dyDescent="0.2">
      <c r="A232" s="31" t="s">
        <v>39</v>
      </c>
      <c r="B232" s="31">
        <v>5</v>
      </c>
      <c r="C232" s="32">
        <v>149335</v>
      </c>
      <c r="D232" s="32">
        <f t="shared" si="16"/>
        <v>29867</v>
      </c>
      <c r="E232" s="32">
        <v>179202</v>
      </c>
      <c r="F232" s="31"/>
      <c r="G232" s="32">
        <v>147414.14761499999</v>
      </c>
      <c r="H232" s="32">
        <f t="shared" si="17"/>
        <v>26232.460064999992</v>
      </c>
      <c r="I232" s="32">
        <v>173646.60767999999</v>
      </c>
      <c r="J232" s="17">
        <f t="shared" si="19"/>
        <v>3.1992518565278398E-2</v>
      </c>
    </row>
    <row r="233" spans="1:10" x14ac:dyDescent="0.2">
      <c r="A233" s="31" t="s">
        <v>113</v>
      </c>
      <c r="B233" s="31">
        <v>5</v>
      </c>
      <c r="C233" s="32">
        <v>83518.437999999995</v>
      </c>
      <c r="D233" s="32">
        <f t="shared" si="16"/>
        <v>7516.6594199999963</v>
      </c>
      <c r="E233" s="32">
        <v>91035.097419999991</v>
      </c>
      <c r="F233" s="31"/>
      <c r="G233" s="32">
        <v>80297.659083977996</v>
      </c>
      <c r="H233" s="32">
        <f t="shared" si="17"/>
        <v>3453.2520620220021</v>
      </c>
      <c r="I233" s="32">
        <v>83750.911145999999</v>
      </c>
      <c r="J233" s="17">
        <f t="shared" si="19"/>
        <v>8.6974412269995832E-2</v>
      </c>
    </row>
    <row r="234" spans="1:10" x14ac:dyDescent="0.2">
      <c r="A234" s="31" t="s">
        <v>208</v>
      </c>
      <c r="B234" s="31">
        <v>16</v>
      </c>
      <c r="C234" s="32">
        <v>82742.128750000003</v>
      </c>
      <c r="D234" s="32">
        <f t="shared" si="16"/>
        <v>7446.7915875000035</v>
      </c>
      <c r="E234" s="32">
        <v>90188.920337500007</v>
      </c>
      <c r="F234" s="31"/>
      <c r="G234" s="32">
        <v>85589.732516022006</v>
      </c>
      <c r="H234" s="32">
        <f t="shared" si="17"/>
        <v>5561.0093699999998</v>
      </c>
      <c r="I234" s="32">
        <v>91150.741886022006</v>
      </c>
      <c r="J234" s="17">
        <f t="shared" si="19"/>
        <v>-1.0551988153038769E-2</v>
      </c>
    </row>
    <row r="235" spans="1:10" x14ac:dyDescent="0.2">
      <c r="A235" s="31" t="s">
        <v>114</v>
      </c>
      <c r="B235" s="31">
        <v>8</v>
      </c>
      <c r="C235" s="32">
        <v>93100.90125000001</v>
      </c>
      <c r="D235" s="32">
        <f t="shared" si="16"/>
        <v>9310.0901250000024</v>
      </c>
      <c r="E235" s="32">
        <v>102410.99137500001</v>
      </c>
      <c r="F235" s="31"/>
      <c r="G235" s="32">
        <v>101794.520343978</v>
      </c>
      <c r="H235" s="32">
        <f t="shared" si="17"/>
        <v>9481.1451451920002</v>
      </c>
      <c r="I235" s="32">
        <v>111275.66548917</v>
      </c>
      <c r="J235" s="17">
        <f t="shared" si="19"/>
        <v>-7.9664085361347503E-2</v>
      </c>
    </row>
    <row r="236" spans="1:10" x14ac:dyDescent="0.2">
      <c r="A236" s="31" t="s">
        <v>209</v>
      </c>
      <c r="B236" s="31">
        <v>9</v>
      </c>
      <c r="C236" s="32">
        <v>84111.835555555546</v>
      </c>
      <c r="D236" s="32">
        <f t="shared" si="16"/>
        <v>7570.0651999999973</v>
      </c>
      <c r="E236" s="32">
        <v>91681.900755555544</v>
      </c>
      <c r="F236" s="31"/>
      <c r="G236" s="32">
        <v>97223.120190000001</v>
      </c>
      <c r="H236" s="32">
        <f t="shared" si="17"/>
        <v>7794.2558925000048</v>
      </c>
      <c r="I236" s="32">
        <v>105017.37608250001</v>
      </c>
      <c r="J236" s="17">
        <f t="shared" si="19"/>
        <v>-0.12698351286617865</v>
      </c>
    </row>
    <row r="237" spans="1:10" x14ac:dyDescent="0.2">
      <c r="A237" s="31" t="s">
        <v>75</v>
      </c>
      <c r="B237" s="31">
        <v>8</v>
      </c>
      <c r="C237" s="32">
        <v>67224.728749999995</v>
      </c>
      <c r="D237" s="32">
        <f t="shared" si="16"/>
        <v>5377.9783000000025</v>
      </c>
      <c r="E237" s="32">
        <v>72602.707049999997</v>
      </c>
      <c r="F237" s="31"/>
      <c r="G237" s="32">
        <v>77469.84</v>
      </c>
      <c r="H237" s="32">
        <f t="shared" si="17"/>
        <v>6266.7749025000085</v>
      </c>
      <c r="I237" s="32">
        <v>83736.614902500005</v>
      </c>
      <c r="J237" s="17">
        <f t="shared" si="19"/>
        <v>-0.13296343380328834</v>
      </c>
    </row>
    <row r="238" spans="1:10" x14ac:dyDescent="0.2">
      <c r="A238" s="31" t="s">
        <v>115</v>
      </c>
      <c r="B238" s="31">
        <v>4</v>
      </c>
      <c r="C238" s="32">
        <v>56629.375</v>
      </c>
      <c r="D238" s="32">
        <f t="shared" si="16"/>
        <v>3397.7624999999971</v>
      </c>
      <c r="E238" s="32">
        <v>60027.137499999997</v>
      </c>
      <c r="F238" s="31"/>
      <c r="G238" s="32">
        <v>62490.185705304</v>
      </c>
      <c r="H238" s="32">
        <f t="shared" si="17"/>
        <v>3749.4722660219995</v>
      </c>
      <c r="I238" s="32">
        <v>66239.657971326</v>
      </c>
      <c r="J238" s="17">
        <f t="shared" si="19"/>
        <v>-9.3788534868572165E-2</v>
      </c>
    </row>
    <row r="239" spans="1:10" x14ac:dyDescent="0.2">
      <c r="A239" s="31" t="s">
        <v>116</v>
      </c>
      <c r="B239" s="31">
        <v>3</v>
      </c>
      <c r="C239" s="32">
        <v>111267.35333333333</v>
      </c>
      <c r="D239" s="32">
        <f t="shared" si="16"/>
        <v>11126.73533333333</v>
      </c>
      <c r="E239" s="32">
        <v>122394.08866666666</v>
      </c>
      <c r="F239" s="31"/>
      <c r="G239" s="32">
        <v>119217.0727944</v>
      </c>
      <c r="H239" s="32">
        <f t="shared" si="17"/>
        <v>10660.557915630008</v>
      </c>
      <c r="I239" s="32">
        <v>129877.63071003</v>
      </c>
      <c r="J239" s="17">
        <f t="shared" si="19"/>
        <v>-5.7619945809385731E-2</v>
      </c>
    </row>
    <row r="240" spans="1:10" x14ac:dyDescent="0.2">
      <c r="A240" s="31" t="s">
        <v>210</v>
      </c>
      <c r="B240" s="31">
        <v>9</v>
      </c>
      <c r="C240" s="32">
        <v>138934.24666666667</v>
      </c>
      <c r="D240" s="32">
        <f t="shared" si="16"/>
        <v>20840.136999999988</v>
      </c>
      <c r="E240" s="32">
        <v>159774.38366666666</v>
      </c>
      <c r="F240" s="31"/>
      <c r="G240" s="32">
        <v>159991.48469871</v>
      </c>
      <c r="H240" s="32">
        <f t="shared" si="17"/>
        <v>17783.959651290003</v>
      </c>
      <c r="I240" s="32">
        <v>177775.44435000001</v>
      </c>
      <c r="J240" s="17">
        <f t="shared" si="19"/>
        <v>-0.10125729539954512</v>
      </c>
    </row>
    <row r="241" spans="1:10" x14ac:dyDescent="0.2">
      <c r="A241" s="31" t="s">
        <v>211</v>
      </c>
      <c r="B241" s="31">
        <v>37</v>
      </c>
      <c r="C241" s="32">
        <v>99807.579513513527</v>
      </c>
      <c r="D241" s="32">
        <f t="shared" si="16"/>
        <v>9980.7579513513483</v>
      </c>
      <c r="E241" s="32">
        <v>109788.33746486488</v>
      </c>
      <c r="F241" s="31"/>
      <c r="G241" s="32">
        <v>102775.872906</v>
      </c>
      <c r="H241" s="32">
        <f t="shared" si="17"/>
        <v>4963.4722619999957</v>
      </c>
      <c r="I241" s="32">
        <v>107739.345168</v>
      </c>
      <c r="J241" s="17">
        <f t="shared" si="19"/>
        <v>1.901805040368347E-2</v>
      </c>
    </row>
    <row r="242" spans="1:10" x14ac:dyDescent="0.2">
      <c r="A242" s="31" t="s">
        <v>101</v>
      </c>
      <c r="B242" s="31">
        <v>25</v>
      </c>
      <c r="C242" s="32">
        <v>113353.93719999999</v>
      </c>
      <c r="D242" s="32">
        <f t="shared" si="16"/>
        <v>11335.393719999993</v>
      </c>
      <c r="E242" s="32">
        <v>124689.33091999998</v>
      </c>
      <c r="F242" s="31"/>
      <c r="G242" s="32">
        <v>128127.96173381399</v>
      </c>
      <c r="H242" s="32">
        <f t="shared" si="17"/>
        <v>8829.1590736860089</v>
      </c>
      <c r="I242" s="32">
        <v>136957.1208075</v>
      </c>
      <c r="J242" s="17">
        <f t="shared" si="19"/>
        <v>-8.9573947051230798E-2</v>
      </c>
    </row>
    <row r="243" spans="1:10" x14ac:dyDescent="0.2">
      <c r="A243" s="31" t="s">
        <v>102</v>
      </c>
      <c r="B243" s="31">
        <v>8</v>
      </c>
      <c r="C243" s="32">
        <v>84541.731249999997</v>
      </c>
      <c r="D243" s="32">
        <f t="shared" si="16"/>
        <v>7608.7558125000069</v>
      </c>
      <c r="E243" s="32">
        <v>92150.487062500004</v>
      </c>
      <c r="F243" s="31"/>
      <c r="G243" s="32">
        <v>83277.954408977996</v>
      </c>
      <c r="H243" s="32">
        <f t="shared" si="17"/>
        <v>2763.8979035220109</v>
      </c>
      <c r="I243" s="32">
        <v>86041.852312500007</v>
      </c>
      <c r="J243" s="17">
        <f t="shared" si="19"/>
        <v>7.0996086042101003E-2</v>
      </c>
    </row>
    <row r="244" spans="1:10" x14ac:dyDescent="0.2">
      <c r="A244" s="31" t="s">
        <v>212</v>
      </c>
      <c r="B244" s="31">
        <v>38</v>
      </c>
      <c r="C244" s="32">
        <v>97252.249736842117</v>
      </c>
      <c r="D244" s="32">
        <f t="shared" si="16"/>
        <v>9725.2249736842059</v>
      </c>
      <c r="E244" s="32">
        <v>106977.47471052632</v>
      </c>
      <c r="F244" s="31"/>
      <c r="G244" s="32">
        <v>90159.603659999993</v>
      </c>
      <c r="H244" s="32">
        <f t="shared" si="17"/>
        <v>8442.2186290259997</v>
      </c>
      <c r="I244" s="32">
        <v>98601.822289025993</v>
      </c>
      <c r="J244" s="17">
        <f t="shared" si="19"/>
        <v>8.4944195016490157E-2</v>
      </c>
    </row>
    <row r="245" spans="1:10" x14ac:dyDescent="0.2">
      <c r="A245" s="31" t="s">
        <v>62</v>
      </c>
      <c r="B245" s="31">
        <v>45</v>
      </c>
      <c r="C245" s="32">
        <v>115308.89155555556</v>
      </c>
      <c r="D245" s="32">
        <f t="shared" si="16"/>
        <v>11530.88915555556</v>
      </c>
      <c r="E245" s="32">
        <v>126839.78071111112</v>
      </c>
      <c r="F245" s="31"/>
      <c r="G245" s="32">
        <v>117126.49819499999</v>
      </c>
      <c r="H245" s="32">
        <f t="shared" si="17"/>
        <v>15632.343405000021</v>
      </c>
      <c r="I245" s="32">
        <v>132758.84160000001</v>
      </c>
      <c r="J245" s="17">
        <f t="shared" si="19"/>
        <v>-4.4585059778714548E-2</v>
      </c>
    </row>
    <row r="246" spans="1:10" x14ac:dyDescent="0.2">
      <c r="A246" s="31" t="s">
        <v>162</v>
      </c>
      <c r="B246" s="31">
        <v>45</v>
      </c>
      <c r="C246" s="32">
        <v>134667.00911111111</v>
      </c>
      <c r="D246" s="32">
        <f t="shared" si="16"/>
        <v>20200.051366666681</v>
      </c>
      <c r="E246" s="32">
        <v>154867.06047777779</v>
      </c>
      <c r="F246" s="31"/>
      <c r="G246" s="32">
        <v>137580.064965</v>
      </c>
      <c r="H246" s="32">
        <f t="shared" si="17"/>
        <v>12993.985683000006</v>
      </c>
      <c r="I246" s="32">
        <v>150574.050648</v>
      </c>
      <c r="J246" s="17">
        <f t="shared" si="19"/>
        <v>2.8510953987773386E-2</v>
      </c>
    </row>
    <row r="247" spans="1:10" x14ac:dyDescent="0.2">
      <c r="A247" s="31" t="s">
        <v>117</v>
      </c>
      <c r="B247" s="31">
        <v>31</v>
      </c>
      <c r="C247" s="32">
        <v>159509.93483870965</v>
      </c>
      <c r="D247" s="32">
        <f t="shared" si="16"/>
        <v>31901.986967741919</v>
      </c>
      <c r="E247" s="32">
        <v>191411.92180645157</v>
      </c>
      <c r="F247" s="31"/>
      <c r="G247" s="32">
        <v>154198.87465499999</v>
      </c>
      <c r="H247" s="32">
        <f t="shared" si="17"/>
        <v>25373.666115</v>
      </c>
      <c r="I247" s="32">
        <v>179572.54076999999</v>
      </c>
      <c r="J247" s="17">
        <f t="shared" si="19"/>
        <v>6.5930910069461515E-2</v>
      </c>
    </row>
    <row r="248" spans="1:10" x14ac:dyDescent="0.2">
      <c r="A248" s="31" t="s">
        <v>163</v>
      </c>
      <c r="B248" s="31">
        <v>3</v>
      </c>
      <c r="C248" s="32">
        <v>87158.656666666662</v>
      </c>
      <c r="D248" s="32">
        <f t="shared" si="16"/>
        <v>8715.8656666666648</v>
      </c>
      <c r="E248" s="32">
        <v>95874.522333333327</v>
      </c>
      <c r="F248" s="31"/>
      <c r="G248" s="32">
        <v>97696.041555924006</v>
      </c>
      <c r="H248" s="32">
        <f t="shared" si="17"/>
        <v>4237.9584440759936</v>
      </c>
      <c r="I248" s="32">
        <v>101934</v>
      </c>
      <c r="J248" s="17">
        <f t="shared" si="19"/>
        <v>-5.9445108272673228E-2</v>
      </c>
    </row>
    <row r="249" spans="1:10" x14ac:dyDescent="0.2">
      <c r="A249" s="31" t="s">
        <v>164</v>
      </c>
      <c r="B249" s="31">
        <v>3</v>
      </c>
      <c r="C249" s="32">
        <v>105088.44</v>
      </c>
      <c r="D249" s="32">
        <f t="shared" si="16"/>
        <v>10508.843999999997</v>
      </c>
      <c r="E249" s="32">
        <v>115597.284</v>
      </c>
      <c r="F249" s="31"/>
      <c r="G249" s="32">
        <v>123502.095593352</v>
      </c>
      <c r="H249" s="32">
        <f t="shared" si="17"/>
        <v>9249.8290712099842</v>
      </c>
      <c r="I249" s="32">
        <v>132751.92466456199</v>
      </c>
      <c r="J249" s="17">
        <f t="shared" si="19"/>
        <v>-0.12922329154856618</v>
      </c>
    </row>
    <row r="250" spans="1:10" x14ac:dyDescent="0.2">
      <c r="A250" s="31" t="s">
        <v>56</v>
      </c>
      <c r="B250" s="31">
        <v>3</v>
      </c>
      <c r="C250" s="32">
        <v>124156.87666666666</v>
      </c>
      <c r="D250" s="32">
        <f t="shared" si="16"/>
        <v>18623.531499999997</v>
      </c>
      <c r="E250" s="32">
        <v>142780.40816666666</v>
      </c>
      <c r="F250" s="31"/>
      <c r="G250" s="32">
        <v>127292.653989018</v>
      </c>
      <c r="H250" s="32">
        <f t="shared" si="17"/>
        <v>19046.854430981999</v>
      </c>
      <c r="I250" s="32">
        <v>146339.50842</v>
      </c>
      <c r="J250" s="17">
        <f t="shared" si="19"/>
        <v>-2.4320843303085204E-2</v>
      </c>
    </row>
    <row r="251" spans="1:10" x14ac:dyDescent="0.2">
      <c r="A251" s="31" t="s">
        <v>213</v>
      </c>
      <c r="B251" s="31">
        <v>3</v>
      </c>
      <c r="C251" s="32">
        <v>183207.48666666666</v>
      </c>
      <c r="D251" s="32">
        <f t="shared" si="16"/>
        <v>45801.871666666673</v>
      </c>
      <c r="E251" s="32">
        <v>229009.35833333334</v>
      </c>
      <c r="F251" s="31"/>
      <c r="G251" s="32">
        <v>201558.17556</v>
      </c>
      <c r="H251" s="32">
        <f t="shared" si="17"/>
        <v>48460.442940000008</v>
      </c>
      <c r="I251" s="32">
        <v>250018.61850000001</v>
      </c>
      <c r="J251" s="17">
        <f t="shared" si="19"/>
        <v>-8.4030782558166456E-2</v>
      </c>
    </row>
    <row r="252" spans="1:10" x14ac:dyDescent="0.2">
      <c r="A252" s="31" t="s">
        <v>76</v>
      </c>
      <c r="B252" s="31">
        <v>4</v>
      </c>
      <c r="C252" s="32">
        <v>101675.89499999999</v>
      </c>
      <c r="D252" s="32">
        <f t="shared" si="16"/>
        <v>10167.589500000002</v>
      </c>
      <c r="E252" s="32">
        <v>111843.48449999999</v>
      </c>
      <c r="F252" s="31"/>
      <c r="G252" s="32">
        <v>133338.098577978</v>
      </c>
      <c r="H252" s="32">
        <f t="shared" si="17"/>
        <v>17727.540507431986</v>
      </c>
      <c r="I252" s="32">
        <v>151065.63908540999</v>
      </c>
      <c r="J252" s="17">
        <f t="shared" si="19"/>
        <v>-0.25963650518324982</v>
      </c>
    </row>
    <row r="253" spans="1:10" x14ac:dyDescent="0.2">
      <c r="A253" s="31" t="s">
        <v>214</v>
      </c>
      <c r="B253" s="31">
        <v>5</v>
      </c>
      <c r="C253" s="32">
        <v>151445.432</v>
      </c>
      <c r="D253" s="32">
        <f t="shared" si="16"/>
        <v>30289.0864</v>
      </c>
      <c r="E253" s="32">
        <v>181734.5184</v>
      </c>
      <c r="F253" s="31"/>
      <c r="G253" s="32">
        <v>164633.09372999999</v>
      </c>
      <c r="H253" s="32">
        <f t="shared" si="17"/>
        <v>24695.040510000021</v>
      </c>
      <c r="I253" s="32">
        <v>189328.13424000001</v>
      </c>
      <c r="J253" s="17">
        <f t="shared" si="19"/>
        <v>-4.0108227287414339E-2</v>
      </c>
    </row>
    <row r="254" spans="1:10" x14ac:dyDescent="0.2">
      <c r="A254" s="31" t="s">
        <v>118</v>
      </c>
      <c r="B254" s="31">
        <v>11</v>
      </c>
      <c r="C254" s="32">
        <v>133704.65454545454</v>
      </c>
      <c r="D254" s="32">
        <f t="shared" si="16"/>
        <v>20055.698181818181</v>
      </c>
      <c r="E254" s="32">
        <v>153760.35272727272</v>
      </c>
      <c r="F254" s="31"/>
      <c r="G254" s="32">
        <v>143680.05035999999</v>
      </c>
      <c r="H254" s="32">
        <f t="shared" si="17"/>
        <v>18020.529607500008</v>
      </c>
      <c r="I254" s="32">
        <v>161700.5799675</v>
      </c>
      <c r="J254" s="17">
        <f t="shared" si="19"/>
        <v>-4.9104506872041993E-2</v>
      </c>
    </row>
    <row r="255" spans="1:10" x14ac:dyDescent="0.2">
      <c r="A255" s="31" t="s">
        <v>119</v>
      </c>
      <c r="B255" s="31">
        <v>19</v>
      </c>
      <c r="C255" s="32">
        <v>112914.27684210528</v>
      </c>
      <c r="D255" s="32">
        <f t="shared" si="16"/>
        <v>11291.427684210532</v>
      </c>
      <c r="E255" s="32">
        <v>124205.70452631581</v>
      </c>
      <c r="F255" s="31"/>
      <c r="G255" s="32">
        <v>121735.69884</v>
      </c>
      <c r="H255" s="32">
        <f t="shared" si="17"/>
        <v>12173.977619999991</v>
      </c>
      <c r="I255" s="32">
        <v>133909.67645999999</v>
      </c>
      <c r="J255" s="17">
        <f t="shared" si="19"/>
        <v>-7.2466547528272487E-2</v>
      </c>
    </row>
    <row r="256" spans="1:10" x14ac:dyDescent="0.2">
      <c r="A256" s="31" t="s">
        <v>215</v>
      </c>
      <c r="B256" s="31">
        <v>23</v>
      </c>
      <c r="C256" s="32">
        <v>95477.567826086961</v>
      </c>
      <c r="D256" s="32">
        <f t="shared" si="16"/>
        <v>9547.7567826087034</v>
      </c>
      <c r="E256" s="32">
        <v>105025.32460869566</v>
      </c>
      <c r="F256" s="31"/>
      <c r="G256" s="32">
        <v>102090.774492</v>
      </c>
      <c r="H256" s="32">
        <f t="shared" si="17"/>
        <v>12469.11049402201</v>
      </c>
      <c r="I256" s="32">
        <v>114559.88498602201</v>
      </c>
      <c r="J256" s="17">
        <f t="shared" si="19"/>
        <v>-8.3227740482540641E-2</v>
      </c>
    </row>
    <row r="257" spans="1:10" x14ac:dyDescent="0.2">
      <c r="A257" s="31" t="s">
        <v>90</v>
      </c>
      <c r="B257" s="31">
        <v>3</v>
      </c>
      <c r="C257" s="32">
        <v>150127.14333333334</v>
      </c>
      <c r="D257" s="32">
        <f t="shared" si="16"/>
        <v>22519.071499999991</v>
      </c>
      <c r="E257" s="32">
        <v>172646.21483333333</v>
      </c>
      <c r="F257" s="31"/>
      <c r="G257" s="32">
        <v>148482.870254838</v>
      </c>
      <c r="H257" s="32">
        <f t="shared" si="17"/>
        <v>20259.302889546001</v>
      </c>
      <c r="I257" s="32">
        <v>168742.173144384</v>
      </c>
      <c r="J257" s="17">
        <f t="shared" si="19"/>
        <v>2.3136134945997453E-2</v>
      </c>
    </row>
    <row r="258" spans="1:10" x14ac:dyDescent="0.2">
      <c r="A258" s="31" t="s">
        <v>53</v>
      </c>
      <c r="B258" s="31">
        <v>3</v>
      </c>
      <c r="C258" s="32">
        <v>170768.64333333331</v>
      </c>
      <c r="D258" s="32">
        <f t="shared" si="16"/>
        <v>34153.728666666662</v>
      </c>
      <c r="E258" s="32">
        <v>204922.37199999997</v>
      </c>
      <c r="F258" s="31"/>
      <c r="G258" s="32">
        <v>164304.35657999999</v>
      </c>
      <c r="H258" s="32">
        <f t="shared" si="17"/>
        <v>18888.370200000005</v>
      </c>
      <c r="I258" s="32">
        <v>183192.72678</v>
      </c>
      <c r="J258" s="17">
        <f t="shared" si="19"/>
        <v>0.11861630972989209</v>
      </c>
    </row>
    <row r="259" spans="1:10" x14ac:dyDescent="0.2">
      <c r="A259" s="31" t="s">
        <v>136</v>
      </c>
      <c r="B259" s="31">
        <v>3</v>
      </c>
      <c r="C259" s="32">
        <v>108899.5</v>
      </c>
      <c r="D259" s="32">
        <f t="shared" si="16"/>
        <v>10889.949999999997</v>
      </c>
      <c r="E259" s="32">
        <v>119789.45</v>
      </c>
      <c r="F259" s="31"/>
      <c r="G259" s="32">
        <v>109062.24462</v>
      </c>
      <c r="H259" s="32">
        <f t="shared" si="17"/>
        <v>6532.678202021998</v>
      </c>
      <c r="I259" s="32">
        <v>115594.922822022</v>
      </c>
      <c r="J259" s="17">
        <f t="shared" si="19"/>
        <v>3.6286430887939501E-2</v>
      </c>
    </row>
    <row r="260" spans="1:10" x14ac:dyDescent="0.2">
      <c r="A260" s="31" t="s">
        <v>216</v>
      </c>
      <c r="B260" s="31">
        <v>3</v>
      </c>
      <c r="C260" s="32">
        <v>82051.28333333334</v>
      </c>
      <c r="D260" s="32">
        <f t="shared" si="16"/>
        <v>7384.6154999999999</v>
      </c>
      <c r="E260" s="32">
        <v>89435.89883333334</v>
      </c>
      <c r="F260" s="31"/>
      <c r="G260" s="32">
        <v>78867.737392499999</v>
      </c>
      <c r="H260" s="32">
        <f t="shared" si="17"/>
        <v>1811.8910188260052</v>
      </c>
      <c r="I260" s="32">
        <v>80679.628411326004</v>
      </c>
      <c r="J260" s="17">
        <f t="shared" si="19"/>
        <v>0.10853136776195302</v>
      </c>
    </row>
    <row r="261" spans="1:10" x14ac:dyDescent="0.2">
      <c r="A261" s="31" t="s">
        <v>217</v>
      </c>
      <c r="B261" s="31">
        <v>3</v>
      </c>
      <c r="C261" s="32">
        <v>111930.12333333334</v>
      </c>
      <c r="D261" s="32">
        <f t="shared" si="16"/>
        <v>11193.012333333332</v>
      </c>
      <c r="E261" s="32">
        <v>123123.13566666667</v>
      </c>
      <c r="F261" s="31"/>
      <c r="G261" s="32">
        <v>120527.78094</v>
      </c>
      <c r="H261" s="32">
        <f t="shared" si="17"/>
        <v>10799.551652274007</v>
      </c>
      <c r="I261" s="32">
        <v>131327.332592274</v>
      </c>
      <c r="J261" s="17">
        <f t="shared" si="19"/>
        <v>-6.2471358883672237E-2</v>
      </c>
    </row>
    <row r="262" spans="1:10" x14ac:dyDescent="0.2">
      <c r="A262" s="31" t="s">
        <v>91</v>
      </c>
      <c r="B262" s="31">
        <v>4</v>
      </c>
      <c r="C262" s="32">
        <v>101548.38500000001</v>
      </c>
      <c r="D262" s="32">
        <f t="shared" si="16"/>
        <v>10154.838499999998</v>
      </c>
      <c r="E262" s="32">
        <v>111703.22350000001</v>
      </c>
      <c r="F262" s="31"/>
      <c r="G262" s="32">
        <v>94121.166635999994</v>
      </c>
      <c r="H262" s="32">
        <f t="shared" si="17"/>
        <v>7529.6607120000117</v>
      </c>
      <c r="I262" s="32">
        <v>101650.82734800001</v>
      </c>
      <c r="J262" s="17">
        <f t="shared" si="19"/>
        <v>9.8891434671611489E-2</v>
      </c>
    </row>
    <row r="263" spans="1:10" x14ac:dyDescent="0.2">
      <c r="A263" s="31" t="s">
        <v>218</v>
      </c>
      <c r="B263" s="31">
        <v>4</v>
      </c>
      <c r="C263" s="32">
        <v>144938.25750000001</v>
      </c>
      <c r="D263" s="32">
        <f t="shared" si="16"/>
        <v>28987.651500000007</v>
      </c>
      <c r="E263" s="32">
        <v>173925.90900000001</v>
      </c>
      <c r="F263" s="31"/>
      <c r="G263" s="32">
        <v>164633.09372999999</v>
      </c>
      <c r="H263" s="32">
        <f t="shared" si="17"/>
        <v>24695.040510000021</v>
      </c>
      <c r="I263" s="32">
        <v>189328.13424000001</v>
      </c>
      <c r="J263" s="17">
        <f t="shared" si="19"/>
        <v>-8.135201512351839E-2</v>
      </c>
    </row>
    <row r="264" spans="1:10" x14ac:dyDescent="0.2">
      <c r="A264" s="31" t="s">
        <v>165</v>
      </c>
      <c r="B264" s="31">
        <v>5</v>
      </c>
      <c r="C264" s="32">
        <v>89381.28</v>
      </c>
      <c r="D264" s="32">
        <f t="shared" ref="D264:D298" si="20">E264-C264</f>
        <v>8938.127999999997</v>
      </c>
      <c r="E264" s="32">
        <v>98319.407999999996</v>
      </c>
      <c r="F264" s="31"/>
      <c r="G264" s="32">
        <v>105253.99038</v>
      </c>
      <c r="H264" s="32">
        <f t="shared" ref="H264:H298" si="21">I264-G264</f>
        <v>11252.937469031996</v>
      </c>
      <c r="I264" s="32">
        <v>116506.927849032</v>
      </c>
      <c r="J264" s="17">
        <f t="shared" si="19"/>
        <v>-0.15610676708083085</v>
      </c>
    </row>
    <row r="265" spans="1:10" x14ac:dyDescent="0.2">
      <c r="A265" s="31" t="s">
        <v>166</v>
      </c>
      <c r="B265" s="31">
        <v>4</v>
      </c>
      <c r="C265" s="32">
        <v>108262.11750000001</v>
      </c>
      <c r="D265" s="32">
        <f t="shared" si="20"/>
        <v>10826.211750000002</v>
      </c>
      <c r="E265" s="32">
        <v>119088.32925000001</v>
      </c>
      <c r="F265" s="31"/>
      <c r="G265" s="32">
        <v>124829.490640554</v>
      </c>
      <c r="H265" s="32">
        <f t="shared" si="21"/>
        <v>12129.479045838001</v>
      </c>
      <c r="I265" s="32">
        <v>136958.969686392</v>
      </c>
      <c r="J265" s="17">
        <f t="shared" si="19"/>
        <v>-0.13048170906448914</v>
      </c>
    </row>
    <row r="266" spans="1:10" x14ac:dyDescent="0.2">
      <c r="A266" s="31" t="s">
        <v>137</v>
      </c>
      <c r="B266" s="31">
        <v>3</v>
      </c>
      <c r="C266" s="32">
        <v>161379.07</v>
      </c>
      <c r="D266" s="32">
        <f t="shared" si="20"/>
        <v>32275.814000000013</v>
      </c>
      <c r="E266" s="32">
        <v>193654.88400000002</v>
      </c>
      <c r="F266" s="31"/>
      <c r="G266" s="32">
        <v>167986.21265999999</v>
      </c>
      <c r="H266" s="32">
        <f t="shared" si="21"/>
        <v>26195.508990000002</v>
      </c>
      <c r="I266" s="32">
        <v>194181.72164999999</v>
      </c>
      <c r="J266" s="17">
        <f t="shared" si="19"/>
        <v>-2.7131165875105539E-3</v>
      </c>
    </row>
    <row r="267" spans="1:10" x14ac:dyDescent="0.2">
      <c r="A267" s="31" t="s">
        <v>92</v>
      </c>
      <c r="B267" s="31">
        <v>15</v>
      </c>
      <c r="C267" s="32">
        <v>119201.13066666668</v>
      </c>
      <c r="D267" s="32">
        <f t="shared" si="20"/>
        <v>11920.113066666658</v>
      </c>
      <c r="E267" s="32">
        <v>131121.24373333334</v>
      </c>
      <c r="F267" s="31"/>
      <c r="G267" s="32">
        <v>133341.90408000001</v>
      </c>
      <c r="H267" s="32">
        <f t="shared" si="21"/>
        <v>12166.176814848004</v>
      </c>
      <c r="I267" s="32">
        <v>145508.08089484801</v>
      </c>
      <c r="J267" s="17">
        <f t="shared" si="19"/>
        <v>-9.8873114627299502E-2</v>
      </c>
    </row>
    <row r="268" spans="1:10" x14ac:dyDescent="0.2">
      <c r="A268" s="31" t="s">
        <v>48</v>
      </c>
      <c r="B268" s="31">
        <v>9</v>
      </c>
      <c r="C268" s="32">
        <v>94365.893333333341</v>
      </c>
      <c r="D268" s="32">
        <f t="shared" si="20"/>
        <v>9436.589333333337</v>
      </c>
      <c r="E268" s="32">
        <v>103802.48266666668</v>
      </c>
      <c r="F268" s="31"/>
      <c r="G268" s="32">
        <v>109062.24462</v>
      </c>
      <c r="H268" s="32">
        <f t="shared" si="21"/>
        <v>6532.678202021998</v>
      </c>
      <c r="I268" s="32">
        <v>115594.922822022</v>
      </c>
      <c r="J268" s="17">
        <f t="shared" si="19"/>
        <v>-0.10201520851838607</v>
      </c>
    </row>
    <row r="269" spans="1:10" x14ac:dyDescent="0.2">
      <c r="A269" s="31" t="s">
        <v>219</v>
      </c>
      <c r="B269" s="31">
        <v>12</v>
      </c>
      <c r="C269" s="32">
        <v>97641.303333333344</v>
      </c>
      <c r="D269" s="32">
        <f t="shared" si="20"/>
        <v>9764.1303333333344</v>
      </c>
      <c r="E269" s="32">
        <v>107405.43366666668</v>
      </c>
      <c r="F269" s="31"/>
      <c r="G269" s="32">
        <v>109062.24462</v>
      </c>
      <c r="H269" s="32">
        <f t="shared" si="21"/>
        <v>6532.678202021998</v>
      </c>
      <c r="I269" s="32">
        <v>115594.922822022</v>
      </c>
      <c r="J269" s="17">
        <f t="shared" si="19"/>
        <v>-7.0846443385445448E-2</v>
      </c>
    </row>
    <row r="270" spans="1:10" x14ac:dyDescent="0.2">
      <c r="A270" s="31" t="s">
        <v>220</v>
      </c>
      <c r="B270" s="31">
        <v>16</v>
      </c>
      <c r="C270" s="32">
        <v>74828.958750000005</v>
      </c>
      <c r="D270" s="32">
        <f t="shared" si="20"/>
        <v>6734.6062875000061</v>
      </c>
      <c r="E270" s="32">
        <v>81563.565037500011</v>
      </c>
      <c r="F270" s="31"/>
      <c r="G270" s="32">
        <v>84549.341616011996</v>
      </c>
      <c r="H270" s="32">
        <f t="shared" si="21"/>
        <v>3851.7943287600065</v>
      </c>
      <c r="I270" s="32">
        <v>88401.135944772002</v>
      </c>
      <c r="J270" s="17">
        <f t="shared" si="19"/>
        <v>-7.734709327201085E-2</v>
      </c>
    </row>
    <row r="271" spans="1:10" x14ac:dyDescent="0.2">
      <c r="A271" s="31" t="s">
        <v>138</v>
      </c>
      <c r="B271" s="31">
        <v>5</v>
      </c>
      <c r="C271" s="32">
        <v>62700.313999999998</v>
      </c>
      <c r="D271" s="32">
        <f t="shared" si="20"/>
        <v>5016.0251200000057</v>
      </c>
      <c r="E271" s="32">
        <v>67716.339120000004</v>
      </c>
      <c r="F271" s="31"/>
      <c r="G271" s="32">
        <v>69332.053581882006</v>
      </c>
      <c r="H271" s="32">
        <f t="shared" si="21"/>
        <v>3032.9316981179873</v>
      </c>
      <c r="I271" s="32">
        <v>72364.985279999994</v>
      </c>
      <c r="J271" s="17">
        <f t="shared" si="19"/>
        <v>-6.4238887661112645E-2</v>
      </c>
    </row>
    <row r="272" spans="1:10" x14ac:dyDescent="0.2">
      <c r="A272" s="31" t="s">
        <v>221</v>
      </c>
      <c r="B272" s="31">
        <v>3</v>
      </c>
      <c r="C272" s="32">
        <v>128872.96666666667</v>
      </c>
      <c r="D272" s="32">
        <f t="shared" si="20"/>
        <v>19330.945000000007</v>
      </c>
      <c r="E272" s="32">
        <v>148203.91166666668</v>
      </c>
      <c r="F272" s="31"/>
      <c r="G272" s="32">
        <v>153359.70300000001</v>
      </c>
      <c r="H272" s="32">
        <f t="shared" si="21"/>
        <v>21529.48014</v>
      </c>
      <c r="I272" s="32">
        <v>174889.18314000001</v>
      </c>
      <c r="J272" s="17">
        <f t="shared" si="19"/>
        <v>-0.15258388766085998</v>
      </c>
    </row>
    <row r="273" spans="1:10" x14ac:dyDescent="0.2">
      <c r="A273" s="31" t="s">
        <v>222</v>
      </c>
      <c r="B273" s="31">
        <v>6</v>
      </c>
      <c r="C273" s="32">
        <v>169555.11166666666</v>
      </c>
      <c r="D273" s="32">
        <f t="shared" si="20"/>
        <v>42388.777916666673</v>
      </c>
      <c r="E273" s="32">
        <v>211943.88958333334</v>
      </c>
      <c r="F273" s="31"/>
      <c r="G273" s="32">
        <v>191974.34088</v>
      </c>
      <c r="H273" s="32">
        <f t="shared" si="21"/>
        <v>36986.751900000003</v>
      </c>
      <c r="I273" s="32">
        <v>228961.09278000001</v>
      </c>
      <c r="J273" s="17">
        <f t="shared" si="19"/>
        <v>-7.4323558601363998E-2</v>
      </c>
    </row>
    <row r="274" spans="1:10" x14ac:dyDescent="0.2">
      <c r="A274" s="31" t="s">
        <v>228</v>
      </c>
      <c r="B274" s="31">
        <v>5</v>
      </c>
      <c r="C274" s="32">
        <v>163087.54</v>
      </c>
      <c r="D274" s="32">
        <f t="shared" si="20"/>
        <v>32617.508000000002</v>
      </c>
      <c r="E274" s="32">
        <v>195705.04800000001</v>
      </c>
      <c r="F274" s="31"/>
      <c r="G274" s="32">
        <v>191974.34088</v>
      </c>
      <c r="H274" s="32">
        <f t="shared" si="21"/>
        <v>36986.751900000003</v>
      </c>
      <c r="I274" s="32">
        <v>228961.09278000001</v>
      </c>
      <c r="J274" s="17">
        <f t="shared" si="19"/>
        <v>-0.14524758060949011</v>
      </c>
    </row>
    <row r="275" spans="1:10" x14ac:dyDescent="0.2">
      <c r="A275" s="31" t="s">
        <v>229</v>
      </c>
      <c r="B275" s="31">
        <v>5</v>
      </c>
      <c r="C275" s="32">
        <v>157155.15</v>
      </c>
      <c r="D275" s="32">
        <f t="shared" si="20"/>
        <v>31431.03</v>
      </c>
      <c r="E275" s="32">
        <v>188586.18</v>
      </c>
      <c r="F275" s="31"/>
      <c r="G275" s="32">
        <v>186701.29506</v>
      </c>
      <c r="H275" s="32">
        <f t="shared" si="21"/>
        <v>34732.481490000006</v>
      </c>
      <c r="I275" s="32">
        <v>221433.77655000001</v>
      </c>
      <c r="J275" s="17">
        <f t="shared" ref="J275:J282" si="22">(E275-I275)/I275</f>
        <v>-0.14834049737928301</v>
      </c>
    </row>
    <row r="276" spans="1:10" x14ac:dyDescent="0.2">
      <c r="A276" s="31" t="s">
        <v>230</v>
      </c>
      <c r="B276" s="31">
        <v>16</v>
      </c>
      <c r="C276" s="32">
        <v>126399.2475</v>
      </c>
      <c r="D276" s="32">
        <f t="shared" si="20"/>
        <v>18959.887125000008</v>
      </c>
      <c r="E276" s="32">
        <v>145359.13462500001</v>
      </c>
      <c r="F276" s="31"/>
      <c r="G276" s="32">
        <v>129093.91828641</v>
      </c>
      <c r="H276" s="32">
        <f t="shared" si="21"/>
        <v>18732.424941090008</v>
      </c>
      <c r="I276" s="32">
        <v>147826.34322750001</v>
      </c>
      <c r="J276" s="17">
        <f t="shared" si="22"/>
        <v>-1.6689911612729591E-2</v>
      </c>
    </row>
    <row r="277" spans="1:10" x14ac:dyDescent="0.2">
      <c r="A277" s="31" t="s">
        <v>231</v>
      </c>
      <c r="B277" s="31">
        <v>21</v>
      </c>
      <c r="C277" s="32">
        <v>85308.571428571435</v>
      </c>
      <c r="D277" s="32">
        <f t="shared" si="20"/>
        <v>7677.7714285714319</v>
      </c>
      <c r="E277" s="32">
        <v>92986.342857142867</v>
      </c>
      <c r="F277" s="31"/>
      <c r="G277" s="32">
        <v>92967.089051592004</v>
      </c>
      <c r="H277" s="32">
        <f t="shared" si="21"/>
        <v>8929.9089064080035</v>
      </c>
      <c r="I277" s="32">
        <v>101896.99795800001</v>
      </c>
      <c r="J277" s="17">
        <f t="shared" si="22"/>
        <v>-8.7447670485149537E-2</v>
      </c>
    </row>
    <row r="278" spans="1:10" x14ac:dyDescent="0.2">
      <c r="A278" s="31" t="s">
        <v>232</v>
      </c>
      <c r="B278" s="31">
        <v>10</v>
      </c>
      <c r="C278" s="32">
        <v>100800.125</v>
      </c>
      <c r="D278" s="32">
        <f t="shared" si="20"/>
        <v>10080.012499999997</v>
      </c>
      <c r="E278" s="32">
        <v>110880.1375</v>
      </c>
      <c r="F278" s="31"/>
      <c r="G278" s="32">
        <v>108174.625977348</v>
      </c>
      <c r="H278" s="32">
        <f t="shared" si="21"/>
        <v>13497.293370455998</v>
      </c>
      <c r="I278" s="32">
        <v>121671.919347804</v>
      </c>
      <c r="J278" s="17">
        <f t="shared" si="22"/>
        <v>-8.8695747594440946E-2</v>
      </c>
    </row>
    <row r="279" spans="1:10" x14ac:dyDescent="0.2">
      <c r="A279" s="31" t="s">
        <v>233</v>
      </c>
      <c r="B279" s="31">
        <v>22</v>
      </c>
      <c r="C279" s="32">
        <v>116308.86363636363</v>
      </c>
      <c r="D279" s="32">
        <f t="shared" si="20"/>
        <v>11630.886363636368</v>
      </c>
      <c r="E279" s="32">
        <v>127939.75</v>
      </c>
      <c r="F279" s="31"/>
      <c r="G279" s="32">
        <v>126230.268687894</v>
      </c>
      <c r="H279" s="32">
        <f t="shared" si="21"/>
        <v>12623.026858596</v>
      </c>
      <c r="I279" s="32">
        <v>138853.29554649</v>
      </c>
      <c r="J279" s="17">
        <f t="shared" si="22"/>
        <v>-7.8597670322026997E-2</v>
      </c>
    </row>
    <row r="280" spans="1:10" x14ac:dyDescent="0.2">
      <c r="A280" s="31" t="s">
        <v>234</v>
      </c>
      <c r="B280" s="31">
        <v>21</v>
      </c>
      <c r="C280" s="32">
        <v>129344.32428571429</v>
      </c>
      <c r="D280" s="32">
        <f t="shared" si="20"/>
        <v>19401.648642857137</v>
      </c>
      <c r="E280" s="32">
        <v>148745.97292857143</v>
      </c>
      <c r="F280" s="31"/>
      <c r="G280" s="32">
        <v>135555.40088999999</v>
      </c>
      <c r="H280" s="32">
        <f t="shared" si="21"/>
        <v>18721.786497246008</v>
      </c>
      <c r="I280" s="32">
        <v>154277.187387246</v>
      </c>
      <c r="J280" s="17">
        <f t="shared" si="22"/>
        <v>-3.5852445538761699E-2</v>
      </c>
    </row>
    <row r="281" spans="1:10" x14ac:dyDescent="0.2">
      <c r="A281" s="31" t="s">
        <v>235</v>
      </c>
      <c r="B281" s="31">
        <v>21</v>
      </c>
      <c r="C281" s="32">
        <v>133369.70000000001</v>
      </c>
      <c r="D281" s="32">
        <f t="shared" si="20"/>
        <v>20005.455000000016</v>
      </c>
      <c r="E281" s="32">
        <v>153375.15500000003</v>
      </c>
      <c r="F281" s="31"/>
      <c r="G281" s="32">
        <v>135555.40088999999</v>
      </c>
      <c r="H281" s="32">
        <f t="shared" si="21"/>
        <v>18721.786497246008</v>
      </c>
      <c r="I281" s="32">
        <v>154277.187387246</v>
      </c>
      <c r="J281" s="17">
        <f t="shared" si="22"/>
        <v>-5.8468293499661034E-3</v>
      </c>
    </row>
    <row r="282" spans="1:10" x14ac:dyDescent="0.2">
      <c r="A282" s="31" t="s">
        <v>236</v>
      </c>
      <c r="B282" s="31">
        <v>10</v>
      </c>
      <c r="C282" s="32">
        <v>155889.932</v>
      </c>
      <c r="D282" s="32">
        <f t="shared" si="20"/>
        <v>31177.986399999994</v>
      </c>
      <c r="E282" s="32">
        <v>187067.9184</v>
      </c>
      <c r="F282" s="31"/>
      <c r="G282" s="32">
        <v>179139.32126999999</v>
      </c>
      <c r="H282" s="32">
        <f t="shared" si="21"/>
        <v>22116.110310000018</v>
      </c>
      <c r="I282" s="32">
        <v>201255.43158</v>
      </c>
      <c r="J282" s="17">
        <f t="shared" si="22"/>
        <v>-7.0495057294194835E-2</v>
      </c>
    </row>
    <row r="283" spans="1:10" x14ac:dyDescent="0.2">
      <c r="A283" s="31" t="s">
        <v>237</v>
      </c>
      <c r="B283" s="31">
        <v>4</v>
      </c>
      <c r="C283" s="32">
        <v>186803.5575</v>
      </c>
      <c r="D283" s="32">
        <f t="shared" si="20"/>
        <v>46700.889374999999</v>
      </c>
      <c r="E283" s="32">
        <v>233504.44687499999</v>
      </c>
      <c r="F283" s="31"/>
      <c r="G283" s="32">
        <v>189557.48574</v>
      </c>
      <c r="H283" s="32">
        <f t="shared" si="21"/>
        <v>36062.210519999993</v>
      </c>
      <c r="I283" s="32">
        <v>225619.69626</v>
      </c>
      <c r="J283" s="17">
        <f t="shared" ref="J283:J298" si="23">(E283-I283)/I283</f>
        <v>3.4947084610528666E-2</v>
      </c>
    </row>
    <row r="284" spans="1:10" x14ac:dyDescent="0.2">
      <c r="A284" s="31" t="s">
        <v>238</v>
      </c>
      <c r="B284" s="31">
        <v>10</v>
      </c>
      <c r="C284" s="32">
        <v>161224.603</v>
      </c>
      <c r="D284" s="32">
        <f t="shared" si="20"/>
        <v>32244.920600000012</v>
      </c>
      <c r="E284" s="32">
        <v>193469.52360000001</v>
      </c>
      <c r="F284" s="31"/>
      <c r="G284" s="32">
        <v>191218.51759877999</v>
      </c>
      <c r="H284" s="32">
        <f t="shared" si="21"/>
        <v>35410.028735214</v>
      </c>
      <c r="I284" s="32">
        <v>226628.54633399399</v>
      </c>
      <c r="J284" s="17">
        <f t="shared" si="23"/>
        <v>-0.14631441303570752</v>
      </c>
    </row>
    <row r="285" spans="1:10" x14ac:dyDescent="0.2">
      <c r="A285" s="31" t="s">
        <v>239</v>
      </c>
      <c r="B285" s="31">
        <v>8</v>
      </c>
      <c r="C285" s="32">
        <v>161075.95250000001</v>
      </c>
      <c r="D285" s="32">
        <f t="shared" si="20"/>
        <v>32215.190499999997</v>
      </c>
      <c r="E285" s="32">
        <v>193291.14300000001</v>
      </c>
      <c r="F285" s="31"/>
      <c r="G285" s="32">
        <v>191218.51759877999</v>
      </c>
      <c r="H285" s="32">
        <f t="shared" si="21"/>
        <v>35410.028735214</v>
      </c>
      <c r="I285" s="32">
        <v>226628.54633399399</v>
      </c>
      <c r="J285" s="17">
        <f t="shared" si="23"/>
        <v>-0.14710151864480017</v>
      </c>
    </row>
    <row r="286" spans="1:10" x14ac:dyDescent="0.2">
      <c r="A286" s="31" t="s">
        <v>311</v>
      </c>
      <c r="B286" s="31">
        <v>9</v>
      </c>
      <c r="C286" s="32">
        <v>127475.56</v>
      </c>
      <c r="D286" s="32">
        <f t="shared" si="20"/>
        <v>19121.334000000003</v>
      </c>
      <c r="E286" s="32">
        <v>146596.894</v>
      </c>
      <c r="F286" s="31"/>
      <c r="G286" s="32">
        <v>134752.67064</v>
      </c>
      <c r="H286" s="32">
        <f t="shared" si="21"/>
        <v>18794.144958749996</v>
      </c>
      <c r="I286" s="32">
        <v>153546.81559874999</v>
      </c>
      <c r="J286" s="17">
        <f t="shared" si="23"/>
        <v>-4.5262557687367436E-2</v>
      </c>
    </row>
    <row r="287" spans="1:10" x14ac:dyDescent="0.2">
      <c r="A287" s="31" t="s">
        <v>312</v>
      </c>
      <c r="B287" s="31">
        <v>6</v>
      </c>
      <c r="C287" s="32">
        <v>86000</v>
      </c>
      <c r="D287" s="32">
        <f t="shared" si="20"/>
        <v>7740</v>
      </c>
      <c r="E287" s="32">
        <v>93740</v>
      </c>
      <c r="F287" s="31"/>
      <c r="G287" s="32">
        <v>85892.136750000005</v>
      </c>
      <c r="H287" s="32">
        <f t="shared" si="21"/>
        <v>10620.503459999993</v>
      </c>
      <c r="I287" s="32">
        <v>96512.640209999998</v>
      </c>
      <c r="J287" s="17">
        <f t="shared" si="23"/>
        <v>-2.8728259883545444E-2</v>
      </c>
    </row>
    <row r="288" spans="1:10" x14ac:dyDescent="0.2">
      <c r="A288" s="31" t="s">
        <v>313</v>
      </c>
      <c r="B288" s="31">
        <v>4</v>
      </c>
      <c r="C288" s="32">
        <v>132242</v>
      </c>
      <c r="D288" s="32">
        <f t="shared" si="20"/>
        <v>19836.299999999988</v>
      </c>
      <c r="E288" s="32">
        <v>152078.29999999999</v>
      </c>
      <c r="F288" s="31"/>
      <c r="G288" s="32">
        <v>143726.38395002999</v>
      </c>
      <c r="H288" s="32">
        <f t="shared" si="21"/>
        <v>15746.343536447996</v>
      </c>
      <c r="I288" s="32">
        <v>159472.72748647799</v>
      </c>
      <c r="J288" s="17">
        <f t="shared" si="23"/>
        <v>-4.6367975283453967E-2</v>
      </c>
    </row>
    <row r="289" spans="1:11" x14ac:dyDescent="0.2">
      <c r="A289" s="31" t="s">
        <v>314</v>
      </c>
      <c r="B289" s="31">
        <v>9</v>
      </c>
      <c r="C289" s="32">
        <v>129522.587</v>
      </c>
      <c r="D289" s="32">
        <f t="shared" si="20"/>
        <v>19428.388050000009</v>
      </c>
      <c r="E289" s="32">
        <v>148950.97505000001</v>
      </c>
      <c r="F289" s="31"/>
      <c r="G289" s="32">
        <v>143726.38395002999</v>
      </c>
      <c r="H289" s="32">
        <f t="shared" si="21"/>
        <v>15746.343536447996</v>
      </c>
      <c r="I289" s="32">
        <v>159472.72748647799</v>
      </c>
      <c r="J289" s="17">
        <f t="shared" si="23"/>
        <v>-6.5978381396719646E-2</v>
      </c>
    </row>
    <row r="290" spans="1:11" x14ac:dyDescent="0.2">
      <c r="A290" s="31" t="s">
        <v>315</v>
      </c>
      <c r="B290" s="31">
        <v>7</v>
      </c>
      <c r="C290" s="32">
        <v>116142.92857142857</v>
      </c>
      <c r="D290" s="32">
        <f t="shared" si="20"/>
        <v>11614.292857142849</v>
      </c>
      <c r="E290" s="32">
        <v>127757.22142857141</v>
      </c>
      <c r="F290" s="31"/>
      <c r="G290" s="32">
        <v>129118.230157014</v>
      </c>
      <c r="H290" s="32">
        <f t="shared" si="21"/>
        <v>11339.31583096199</v>
      </c>
      <c r="I290" s="32">
        <v>140457.54598797599</v>
      </c>
      <c r="J290" s="17">
        <f t="shared" si="23"/>
        <v>-9.0421091085357549E-2</v>
      </c>
    </row>
    <row r="291" spans="1:11" x14ac:dyDescent="0.2">
      <c r="A291" s="31" t="s">
        <v>316</v>
      </c>
      <c r="B291" s="31">
        <v>12</v>
      </c>
      <c r="C291" s="32">
        <v>97708.333333333328</v>
      </c>
      <c r="D291" s="32">
        <f t="shared" si="20"/>
        <v>9770.8333333333285</v>
      </c>
      <c r="E291" s="32">
        <v>107479.16666666666</v>
      </c>
      <c r="F291" s="31"/>
      <c r="G291" s="32">
        <v>105716.33945724599</v>
      </c>
      <c r="H291" s="32">
        <f t="shared" si="21"/>
        <v>8434.9601127540082</v>
      </c>
      <c r="I291" s="32">
        <v>114151.29957</v>
      </c>
      <c r="J291" s="17">
        <f t="shared" si="23"/>
        <v>-5.8449907521568353E-2</v>
      </c>
    </row>
    <row r="292" spans="1:11" x14ac:dyDescent="0.2">
      <c r="A292" s="31" t="s">
        <v>317</v>
      </c>
      <c r="B292" s="31">
        <v>32</v>
      </c>
      <c r="C292" s="32">
        <v>97756.741562499999</v>
      </c>
      <c r="D292" s="32">
        <f t="shared" si="20"/>
        <v>9775.6741562499956</v>
      </c>
      <c r="E292" s="32">
        <v>107532.41571874999</v>
      </c>
      <c r="F292" s="31"/>
      <c r="G292" s="32">
        <v>105162.73855353</v>
      </c>
      <c r="H292" s="32">
        <f t="shared" si="21"/>
        <v>6955.4873864700057</v>
      </c>
      <c r="I292" s="32">
        <v>112118.22594</v>
      </c>
      <c r="J292" s="17">
        <f t="shared" si="23"/>
        <v>-4.0901558892878866E-2</v>
      </c>
    </row>
    <row r="293" spans="1:11" x14ac:dyDescent="0.2">
      <c r="A293" s="31" t="s">
        <v>318</v>
      </c>
      <c r="B293" s="31">
        <v>16</v>
      </c>
      <c r="C293" s="32">
        <v>101605.499375</v>
      </c>
      <c r="D293" s="32">
        <f t="shared" si="20"/>
        <v>10160.549937499993</v>
      </c>
      <c r="E293" s="32">
        <v>111766.04931249999</v>
      </c>
      <c r="F293" s="31"/>
      <c r="G293" s="32">
        <v>105162.73855353</v>
      </c>
      <c r="H293" s="32">
        <f t="shared" si="21"/>
        <v>6955.4873864700057</v>
      </c>
      <c r="I293" s="32">
        <v>112118.22594</v>
      </c>
      <c r="J293" s="17">
        <f t="shared" si="23"/>
        <v>-3.1411184448144848E-3</v>
      </c>
    </row>
    <row r="294" spans="1:11" x14ac:dyDescent="0.2">
      <c r="A294" s="31" t="s">
        <v>319</v>
      </c>
      <c r="B294" s="31">
        <v>12</v>
      </c>
      <c r="C294" s="32">
        <v>120517.46333333333</v>
      </c>
      <c r="D294" s="32">
        <f t="shared" si="20"/>
        <v>18077.619500000015</v>
      </c>
      <c r="E294" s="32">
        <v>138595.08283333335</v>
      </c>
      <c r="F294" s="31"/>
      <c r="G294" s="32">
        <v>151050.13339500001</v>
      </c>
      <c r="H294" s="32">
        <f t="shared" si="21"/>
        <v>23752.379036357976</v>
      </c>
      <c r="I294" s="32">
        <v>174802.51243135799</v>
      </c>
      <c r="J294" s="17">
        <f t="shared" si="23"/>
        <v>-0.20713334776719922</v>
      </c>
    </row>
    <row r="295" spans="1:11" x14ac:dyDescent="0.2">
      <c r="A295" s="31" t="s">
        <v>320</v>
      </c>
      <c r="B295" s="31">
        <v>12</v>
      </c>
      <c r="C295" s="32">
        <v>127150.85333333333</v>
      </c>
      <c r="D295" s="32">
        <f t="shared" si="20"/>
        <v>19072.627999999997</v>
      </c>
      <c r="E295" s="32">
        <v>146223.48133333333</v>
      </c>
      <c r="F295" s="31"/>
      <c r="G295" s="32">
        <v>129093.91828641</v>
      </c>
      <c r="H295" s="32">
        <f t="shared" si="21"/>
        <v>18732.424941090008</v>
      </c>
      <c r="I295" s="32">
        <v>147826.34322750001</v>
      </c>
      <c r="J295" s="17">
        <f t="shared" si="23"/>
        <v>-1.0842870486892354E-2</v>
      </c>
    </row>
    <row r="296" spans="1:11" x14ac:dyDescent="0.2">
      <c r="A296" s="31" t="s">
        <v>321</v>
      </c>
      <c r="B296" s="31">
        <v>7</v>
      </c>
      <c r="C296" s="32">
        <v>123270.84428571429</v>
      </c>
      <c r="D296" s="32">
        <f t="shared" si="20"/>
        <v>18490.626642857154</v>
      </c>
      <c r="E296" s="32">
        <v>141761.47092857145</v>
      </c>
      <c r="F296" s="31"/>
      <c r="G296" s="32">
        <v>139971.579414534</v>
      </c>
      <c r="H296" s="32">
        <f t="shared" si="21"/>
        <v>22067.803685466002</v>
      </c>
      <c r="I296" s="32">
        <v>162039.38310000001</v>
      </c>
      <c r="J296" s="17">
        <f t="shared" si="23"/>
        <v>-0.12514187466953247</v>
      </c>
    </row>
    <row r="297" spans="1:11" x14ac:dyDescent="0.2">
      <c r="A297" s="31" t="s">
        <v>322</v>
      </c>
      <c r="B297" s="31">
        <v>3</v>
      </c>
      <c r="C297" s="32">
        <v>79572.573333333319</v>
      </c>
      <c r="D297" s="32">
        <f t="shared" si="20"/>
        <v>7161.5316000000021</v>
      </c>
      <c r="E297" s="32">
        <v>86734.104933333321</v>
      </c>
      <c r="F297" s="31"/>
      <c r="G297" s="32">
        <v>78667.614549594</v>
      </c>
      <c r="H297" s="32">
        <f t="shared" si="21"/>
        <v>2339.480914091997</v>
      </c>
      <c r="I297" s="32">
        <v>81007.095463685997</v>
      </c>
      <c r="J297" s="17">
        <f t="shared" si="23"/>
        <v>7.06976276197267E-2</v>
      </c>
    </row>
    <row r="298" spans="1:11" x14ac:dyDescent="0.2">
      <c r="A298" s="31" t="s">
        <v>323</v>
      </c>
      <c r="B298" s="31">
        <v>3</v>
      </c>
      <c r="C298" s="32">
        <v>106368.33333333333</v>
      </c>
      <c r="D298" s="32">
        <f t="shared" si="20"/>
        <v>10636.833333333328</v>
      </c>
      <c r="E298" s="32">
        <v>117005.16666666666</v>
      </c>
      <c r="F298" s="31"/>
      <c r="G298" s="32">
        <v>138776.03528279401</v>
      </c>
      <c r="H298" s="32">
        <f t="shared" si="21"/>
        <v>15431.284502171999</v>
      </c>
      <c r="I298" s="32">
        <v>154207.31978496601</v>
      </c>
      <c r="J298" s="17">
        <f t="shared" si="23"/>
        <v>-0.24124764745393276</v>
      </c>
    </row>
    <row r="299" spans="1:11" x14ac:dyDescent="0.2">
      <c r="A299" s="2" t="s">
        <v>13</v>
      </c>
      <c r="B299" s="25">
        <f>COUNT(B72:B298)</f>
        <v>227</v>
      </c>
      <c r="F299" s="26"/>
      <c r="G299" s="16"/>
      <c r="H299" s="1" t="s">
        <v>240</v>
      </c>
      <c r="J299" s="19">
        <f>AVERAGE(J72:J298)</f>
        <v>-3.3541943230986158E-2</v>
      </c>
    </row>
    <row r="300" spans="1:11" x14ac:dyDescent="0.2">
      <c r="A300" s="2" t="s">
        <v>14</v>
      </c>
      <c r="B300" s="25">
        <f>SUM(B72:B298)</f>
        <v>2646</v>
      </c>
      <c r="I300" s="16"/>
      <c r="J300" s="18"/>
    </row>
    <row r="301" spans="1:11" x14ac:dyDescent="0.2">
      <c r="B301" s="25"/>
      <c r="I301" s="16"/>
      <c r="J301" s="18"/>
    </row>
    <row r="302" spans="1:11" x14ac:dyDescent="0.2">
      <c r="B302" s="25"/>
      <c r="I302" s="16" t="s">
        <v>12</v>
      </c>
      <c r="J302" s="18">
        <f>AVERAGE(J6:J67,J72:J298)</f>
        <v>-4.1579931447848259E-2</v>
      </c>
    </row>
    <row r="303" spans="1:11" s="26" customFormat="1" ht="14.25" x14ac:dyDescent="0.2">
      <c r="A303" s="26" t="s">
        <v>15</v>
      </c>
      <c r="B303" s="27">
        <f>B299+B68</f>
        <v>289</v>
      </c>
      <c r="C303" s="16"/>
      <c r="D303" s="16"/>
      <c r="E303" s="16"/>
      <c r="F303" s="1" t="s">
        <v>223</v>
      </c>
      <c r="G303" s="1"/>
      <c r="H303" s="1"/>
      <c r="I303" s="1"/>
      <c r="J303" s="28">
        <f>COUNTIF(J6:J298,"&gt;.15")/$B$303</f>
        <v>4.8442906574394463E-2</v>
      </c>
      <c r="K303" s="11"/>
    </row>
    <row r="304" spans="1:11" ht="14.25" x14ac:dyDescent="0.2">
      <c r="A304" s="26" t="s">
        <v>16</v>
      </c>
      <c r="B304" s="27">
        <f>B300+B69</f>
        <v>3036</v>
      </c>
      <c r="F304" s="1" t="s">
        <v>224</v>
      </c>
      <c r="J304" s="28">
        <f>COUNTIF(J6:J298,"&lt;-.15")/$B$303</f>
        <v>0.14878892733564014</v>
      </c>
      <c r="K304" s="11"/>
    </row>
    <row r="306" spans="1:14" x14ac:dyDescent="0.2">
      <c r="A306" s="29" t="s">
        <v>2</v>
      </c>
    </row>
    <row r="307" spans="1:14" x14ac:dyDescent="0.2">
      <c r="A307" s="21" t="s">
        <v>246</v>
      </c>
    </row>
    <row r="308" spans="1:14" x14ac:dyDescent="0.2">
      <c r="A308" s="2" t="s">
        <v>225</v>
      </c>
    </row>
    <row r="309" spans="1:14" s="21" customFormat="1" ht="27" customHeight="1" x14ac:dyDescent="0.2">
      <c r="A309" s="37" t="s">
        <v>247</v>
      </c>
      <c r="B309" s="37"/>
      <c r="C309" s="37"/>
      <c r="D309" s="37"/>
      <c r="E309" s="37"/>
      <c r="F309" s="37"/>
      <c r="G309" s="37"/>
      <c r="H309" s="37"/>
      <c r="I309" s="37"/>
      <c r="J309" s="37"/>
      <c r="K309" s="30"/>
      <c r="L309" s="30"/>
      <c r="M309" s="30"/>
      <c r="N309" s="30"/>
    </row>
    <row r="310" spans="1:14" x14ac:dyDescent="0.2">
      <c r="A310" s="2" t="s">
        <v>226</v>
      </c>
    </row>
  </sheetData>
  <mergeCells count="3">
    <mergeCell ref="C3:E3"/>
    <mergeCell ref="G3:I3"/>
    <mergeCell ref="A309:J309"/>
  </mergeCells>
  <conditionalFormatting sqref="J5:J12 J68 J70:J299">
    <cfRule type="cellIs" dxfId="7" priority="7" operator="greaterThan">
      <formula>0.15</formula>
    </cfRule>
    <cfRule type="cellIs" dxfId="6" priority="8" operator="lessThan">
      <formula>-0.15</formula>
    </cfRule>
  </conditionalFormatting>
  <conditionalFormatting sqref="J13:J67">
    <cfRule type="cellIs" dxfId="5" priority="5" operator="greaterThan">
      <formula>0.15</formula>
    </cfRule>
    <cfRule type="cellIs" dxfId="4" priority="6" operator="lessThan">
      <formula>-0.15</formula>
    </cfRule>
  </conditionalFormatting>
  <conditionalFormatting sqref="J300:J301">
    <cfRule type="cellIs" dxfId="3" priority="3" operator="greaterThan">
      <formula>0.15</formula>
    </cfRule>
    <cfRule type="cellIs" dxfId="2" priority="4" operator="lessThan">
      <formula>-0.15</formula>
    </cfRule>
  </conditionalFormatting>
  <conditionalFormatting sqref="J302">
    <cfRule type="cellIs" dxfId="1" priority="1" operator="greaterThan">
      <formula>0.15</formula>
    </cfRule>
    <cfRule type="cellIs" dxfId="0" priority="2" operator="lessThan">
      <formula>-0.15</formula>
    </cfRule>
  </conditionalFormatting>
  <pageMargins left="0.7" right="0.7" top="0.75" bottom="0.75" header="0.3" footer="0.3"/>
  <pageSetup fitToHeight="0" orientation="portrait" r:id="rId1"/>
  <headerFooter>
    <oddHeader>&amp;RDocket No. 56165
W/P &amp;F
&amp;A
Page &amp;P of &amp;N</oddHeader>
    <evenFooter>&amp;C&amp;"Calibri,Regular"&amp;11&amp;B&amp;K000000AEP CONFIDENTIAL</evenFooter>
    <firstFooter>&amp;C&amp;"Calibri,Regular"&amp;11&amp;B&amp;K000000AEP 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3:F311"/>
  <sheetViews>
    <sheetView tabSelected="1" zoomScaleNormal="100" workbookViewId="0">
      <pane ySplit="3" topLeftCell="A4" activePane="bottomLeft" state="frozen"/>
      <selection activeCell="G186" sqref="G185:G186"/>
      <selection pane="bottomLeft" activeCell="G186" sqref="G185:G186"/>
    </sheetView>
  </sheetViews>
  <sheetFormatPr defaultColWidth="9.140625" defaultRowHeight="12.75" x14ac:dyDescent="0.2"/>
  <cols>
    <col min="1" max="1" width="10.7109375" style="6" bestFit="1" customWidth="1"/>
    <col min="2" max="3" width="9.140625" style="6"/>
    <col min="4" max="4" width="13.5703125" style="6" bestFit="1" customWidth="1"/>
    <col min="5" max="5" width="11" style="6" bestFit="1" customWidth="1"/>
    <col min="6" max="16384" width="9.140625" style="6"/>
  </cols>
  <sheetData>
    <row r="3" spans="1:6" ht="76.5" x14ac:dyDescent="0.2">
      <c r="A3" s="4" t="s">
        <v>227</v>
      </c>
      <c r="B3" s="5" t="s">
        <v>324</v>
      </c>
      <c r="C3" s="5" t="s">
        <v>18</v>
      </c>
      <c r="D3" s="5" t="s">
        <v>19</v>
      </c>
      <c r="E3" s="9" t="s">
        <v>21</v>
      </c>
      <c r="F3" s="5" t="s">
        <v>20</v>
      </c>
    </row>
    <row r="4" spans="1:6" x14ac:dyDescent="0.2">
      <c r="A4" s="31" t="s">
        <v>65</v>
      </c>
      <c r="B4" s="8">
        <f>VLOOKUP($A4,'Exempt Non-managerial'!$A:$J,10,FALSE)+1</f>
        <v>1.4977620046720392</v>
      </c>
      <c r="C4" s="7">
        <v>0.85</v>
      </c>
      <c r="D4" s="7">
        <v>1</v>
      </c>
      <c r="E4" s="7">
        <v>0.3</v>
      </c>
      <c r="F4" s="7">
        <v>0.35</v>
      </c>
    </row>
    <row r="5" spans="1:6" x14ac:dyDescent="0.2">
      <c r="A5" s="31" t="s">
        <v>73</v>
      </c>
      <c r="B5" s="8">
        <f>VLOOKUP($A5,'Exempt Non-managerial'!$A:$J,10,FALSE)+1</f>
        <v>1.3151011845530578</v>
      </c>
      <c r="C5" s="7">
        <v>0.85</v>
      </c>
      <c r="D5" s="7">
        <v>1</v>
      </c>
      <c r="E5" s="7">
        <v>0.3</v>
      </c>
      <c r="F5" s="7">
        <v>0.35</v>
      </c>
    </row>
    <row r="6" spans="1:6" x14ac:dyDescent="0.2">
      <c r="A6" s="31" t="s">
        <v>44</v>
      </c>
      <c r="B6" s="8">
        <f>VLOOKUP($A6,'Exempt Non-managerial'!$A:$J,10,FALSE)+1</f>
        <v>1.2491422259071603</v>
      </c>
      <c r="C6" s="7">
        <v>0.85</v>
      </c>
      <c r="D6" s="7">
        <v>1</v>
      </c>
      <c r="E6" s="7">
        <v>0.3</v>
      </c>
      <c r="F6" s="7">
        <v>0.35</v>
      </c>
    </row>
    <row r="7" spans="1:6" x14ac:dyDescent="0.2">
      <c r="A7" s="2" t="s">
        <v>253</v>
      </c>
      <c r="B7" s="8">
        <f>VLOOKUP($A7,'Exempt Non-managerial'!$A:$J,10,FALSE)+1</f>
        <v>1.2407420050940499</v>
      </c>
      <c r="C7" s="7">
        <v>0.85</v>
      </c>
      <c r="D7" s="7">
        <v>1</v>
      </c>
      <c r="E7" s="7">
        <v>0.3</v>
      </c>
      <c r="F7" s="7">
        <v>0.35</v>
      </c>
    </row>
    <row r="8" spans="1:6" x14ac:dyDescent="0.2">
      <c r="A8" s="31" t="s">
        <v>193</v>
      </c>
      <c r="B8" s="8">
        <f>VLOOKUP($A8,'Exempt Non-managerial'!$A:$J,10,FALSE)+1</f>
        <v>1.2204236123423007</v>
      </c>
      <c r="C8" s="7">
        <v>0.85</v>
      </c>
      <c r="D8" s="7">
        <v>1</v>
      </c>
      <c r="E8" s="7">
        <v>0.3</v>
      </c>
      <c r="F8" s="7">
        <v>0.35</v>
      </c>
    </row>
    <row r="9" spans="1:6" x14ac:dyDescent="0.2">
      <c r="A9" s="31" t="s">
        <v>49</v>
      </c>
      <c r="B9" s="8">
        <f>VLOOKUP($A9,'Exempt Non-managerial'!$A:$J,10,FALSE)+1</f>
        <v>1.2099920813331679</v>
      </c>
      <c r="C9" s="7">
        <v>0.85</v>
      </c>
      <c r="D9" s="7">
        <v>1</v>
      </c>
      <c r="E9" s="7">
        <v>0.3</v>
      </c>
      <c r="F9" s="7">
        <v>0.35</v>
      </c>
    </row>
    <row r="10" spans="1:6" x14ac:dyDescent="0.2">
      <c r="A10" s="2" t="s">
        <v>277</v>
      </c>
      <c r="B10" s="8">
        <f>VLOOKUP($A10,'Exempt Non-managerial'!$A:$J,10,FALSE)+1</f>
        <v>1.2067529111306918</v>
      </c>
      <c r="C10" s="7">
        <v>0.85</v>
      </c>
      <c r="D10" s="7">
        <v>1</v>
      </c>
      <c r="E10" s="7">
        <v>0.3</v>
      </c>
      <c r="F10" s="7">
        <v>0.35</v>
      </c>
    </row>
    <row r="11" spans="1:6" x14ac:dyDescent="0.2">
      <c r="A11" s="31" t="s">
        <v>172</v>
      </c>
      <c r="B11" s="8">
        <f>VLOOKUP($A11,'Exempt Non-managerial'!$A:$J,10,FALSE)+1</f>
        <v>1.1939249265615641</v>
      </c>
      <c r="C11" s="7">
        <v>0.85</v>
      </c>
      <c r="D11" s="7">
        <v>1</v>
      </c>
      <c r="E11" s="7">
        <v>0.3</v>
      </c>
      <c r="F11" s="7">
        <v>0.35</v>
      </c>
    </row>
    <row r="12" spans="1:6" x14ac:dyDescent="0.2">
      <c r="A12" s="31" t="s">
        <v>160</v>
      </c>
      <c r="B12" s="8">
        <f>VLOOKUP($A12,'Exempt Non-managerial'!$A:$J,10,FALSE)+1</f>
        <v>1.1907645244920881</v>
      </c>
      <c r="C12" s="7">
        <v>0.85</v>
      </c>
      <c r="D12" s="7">
        <v>1</v>
      </c>
      <c r="E12" s="7">
        <v>0.3</v>
      </c>
      <c r="F12" s="7">
        <v>0.35</v>
      </c>
    </row>
    <row r="13" spans="1:6" x14ac:dyDescent="0.2">
      <c r="A13" s="31" t="s">
        <v>133</v>
      </c>
      <c r="B13" s="8">
        <f>VLOOKUP($A13,'Exempt Non-managerial'!$A:$J,10,FALSE)+1</f>
        <v>1.1766432633626449</v>
      </c>
      <c r="C13" s="7">
        <v>0.85</v>
      </c>
      <c r="D13" s="7">
        <v>1</v>
      </c>
      <c r="E13" s="7">
        <v>0.3</v>
      </c>
      <c r="F13" s="7">
        <v>0.35</v>
      </c>
    </row>
    <row r="14" spans="1:6" x14ac:dyDescent="0.2">
      <c r="A14" s="31" t="s">
        <v>104</v>
      </c>
      <c r="B14" s="8">
        <f>VLOOKUP($A14,'Exempt Non-managerial'!$A:$J,10,FALSE)+1</f>
        <v>1.1718179966274358</v>
      </c>
      <c r="C14" s="7">
        <v>0.85</v>
      </c>
      <c r="D14" s="7">
        <v>1</v>
      </c>
      <c r="E14" s="7">
        <v>0.3</v>
      </c>
      <c r="F14" s="7">
        <v>0.35</v>
      </c>
    </row>
    <row r="15" spans="1:6" x14ac:dyDescent="0.2">
      <c r="A15" s="31" t="s">
        <v>66</v>
      </c>
      <c r="B15" s="8">
        <f>VLOOKUP($A15,'Exempt Non-managerial'!$A:$J,10,FALSE)+1</f>
        <v>1.1616149768553725</v>
      </c>
      <c r="C15" s="7">
        <v>0.85</v>
      </c>
      <c r="D15" s="7">
        <v>1</v>
      </c>
      <c r="E15" s="7">
        <v>0.3</v>
      </c>
      <c r="F15" s="7">
        <v>0.35</v>
      </c>
    </row>
    <row r="16" spans="1:6" x14ac:dyDescent="0.2">
      <c r="A16" s="31" t="s">
        <v>60</v>
      </c>
      <c r="B16" s="8">
        <f>VLOOKUP($A16,'Exempt Non-managerial'!$A:$J,10,FALSE)+1</f>
        <v>1.1607356301606677</v>
      </c>
      <c r="C16" s="7">
        <v>0.85</v>
      </c>
      <c r="D16" s="7">
        <v>1</v>
      </c>
      <c r="E16" s="7">
        <v>0.3</v>
      </c>
      <c r="F16" s="7">
        <v>0.35</v>
      </c>
    </row>
    <row r="17" spans="1:6" x14ac:dyDescent="0.2">
      <c r="A17" s="31" t="s">
        <v>99</v>
      </c>
      <c r="B17" s="8">
        <f>VLOOKUP($A17,'Exempt Non-managerial'!$A:$J,10,FALSE)+1</f>
        <v>1.1606422817967721</v>
      </c>
      <c r="C17" s="7">
        <v>0.85</v>
      </c>
      <c r="D17" s="7">
        <v>1</v>
      </c>
      <c r="E17" s="7">
        <v>0.3</v>
      </c>
      <c r="F17" s="7">
        <v>0.35</v>
      </c>
    </row>
    <row r="18" spans="1:6" x14ac:dyDescent="0.2">
      <c r="A18" s="31" t="s">
        <v>161</v>
      </c>
      <c r="B18" s="8">
        <f>VLOOKUP($A18,'Exempt Non-managerial'!$A:$J,10,FALSE)+1</f>
        <v>1.1426289806687635</v>
      </c>
      <c r="C18" s="7">
        <v>0.85</v>
      </c>
      <c r="D18" s="7">
        <v>1</v>
      </c>
      <c r="E18" s="7">
        <v>0.3</v>
      </c>
      <c r="F18" s="7">
        <v>0.35</v>
      </c>
    </row>
    <row r="19" spans="1:6" x14ac:dyDescent="0.2">
      <c r="A19" s="31" t="s">
        <v>122</v>
      </c>
      <c r="B19" s="8">
        <f>VLOOKUP($A19,'Exempt Non-managerial'!$A:$J,10,FALSE)+1</f>
        <v>1.1383355929851671</v>
      </c>
      <c r="C19" s="7">
        <v>0.85</v>
      </c>
      <c r="D19" s="7">
        <v>1</v>
      </c>
      <c r="E19" s="7">
        <v>0.3</v>
      </c>
      <c r="F19" s="7">
        <v>0.35</v>
      </c>
    </row>
    <row r="20" spans="1:6" x14ac:dyDescent="0.2">
      <c r="A20" s="31" t="s">
        <v>197</v>
      </c>
      <c r="B20" s="8">
        <f>VLOOKUP($A20,'Exempt Non-managerial'!$A:$J,10,FALSE)+1</f>
        <v>1.1362406301898307</v>
      </c>
      <c r="C20" s="7">
        <v>0.85</v>
      </c>
      <c r="D20" s="7">
        <v>1</v>
      </c>
      <c r="E20" s="7">
        <v>0.3</v>
      </c>
      <c r="F20" s="7">
        <v>0.35</v>
      </c>
    </row>
    <row r="21" spans="1:6" x14ac:dyDescent="0.2">
      <c r="A21" s="31" t="s">
        <v>158</v>
      </c>
      <c r="B21" s="8">
        <f>VLOOKUP($A21,'Exempt Non-managerial'!$A:$J,10,FALSE)+1</f>
        <v>1.1306646753897185</v>
      </c>
      <c r="C21" s="7">
        <v>0.85</v>
      </c>
      <c r="D21" s="7">
        <v>1</v>
      </c>
      <c r="E21" s="7">
        <v>0.3</v>
      </c>
      <c r="F21" s="7">
        <v>0.35</v>
      </c>
    </row>
    <row r="22" spans="1:6" x14ac:dyDescent="0.2">
      <c r="A22" s="31" t="s">
        <v>85</v>
      </c>
      <c r="B22" s="8">
        <f>VLOOKUP($A22,'Exempt Non-managerial'!$A:$J,10,FALSE)+1</f>
        <v>1.1197770797835378</v>
      </c>
      <c r="C22" s="7">
        <v>0.85</v>
      </c>
      <c r="D22" s="7">
        <v>1</v>
      </c>
      <c r="E22" s="7">
        <v>0.3</v>
      </c>
      <c r="F22" s="7">
        <v>0.35</v>
      </c>
    </row>
    <row r="23" spans="1:6" x14ac:dyDescent="0.2">
      <c r="A23" s="31" t="s">
        <v>154</v>
      </c>
      <c r="B23" s="8">
        <f>VLOOKUP($A23,'Exempt Non-managerial'!$A:$J,10,FALSE)+1</f>
        <v>1.119331221425377</v>
      </c>
      <c r="C23" s="7">
        <v>0.85</v>
      </c>
      <c r="D23" s="7">
        <v>1</v>
      </c>
      <c r="E23" s="7">
        <v>0.3</v>
      </c>
      <c r="F23" s="7">
        <v>0.35</v>
      </c>
    </row>
    <row r="24" spans="1:6" x14ac:dyDescent="0.2">
      <c r="A24" s="31" t="s">
        <v>53</v>
      </c>
      <c r="B24" s="8">
        <f>VLOOKUP($A24,'Exempt Non-managerial'!$A:$J,10,FALSE)+1</f>
        <v>1.118616309729892</v>
      </c>
      <c r="C24" s="7">
        <v>0.85</v>
      </c>
      <c r="D24" s="7">
        <v>1</v>
      </c>
      <c r="E24" s="7">
        <v>0.3</v>
      </c>
      <c r="F24" s="7">
        <v>0.35</v>
      </c>
    </row>
    <row r="25" spans="1:6" x14ac:dyDescent="0.2">
      <c r="A25" s="31" t="s">
        <v>107</v>
      </c>
      <c r="B25" s="8">
        <f>VLOOKUP($A25,'Exempt Non-managerial'!$A:$J,10,FALSE)+1</f>
        <v>1.1176680596476036</v>
      </c>
      <c r="C25" s="7">
        <v>0.85</v>
      </c>
      <c r="D25" s="7">
        <v>1</v>
      </c>
      <c r="E25" s="7">
        <v>0.3</v>
      </c>
      <c r="F25" s="7">
        <v>0.35</v>
      </c>
    </row>
    <row r="26" spans="1:6" x14ac:dyDescent="0.2">
      <c r="A26" s="31" t="s">
        <v>23</v>
      </c>
      <c r="B26" s="8">
        <f>VLOOKUP($A26,'Exempt Non-managerial'!$A:$J,10,FALSE)+1</f>
        <v>1.1140489596585086</v>
      </c>
      <c r="C26" s="7">
        <v>0.85</v>
      </c>
      <c r="D26" s="7">
        <v>1</v>
      </c>
      <c r="E26" s="7">
        <v>0.3</v>
      </c>
      <c r="F26" s="7">
        <v>0.35</v>
      </c>
    </row>
    <row r="27" spans="1:6" x14ac:dyDescent="0.2">
      <c r="A27" s="2" t="s">
        <v>299</v>
      </c>
      <c r="B27" s="8">
        <f>VLOOKUP($A27,'Exempt Non-managerial'!$A:$J,10,FALSE)+1</f>
        <v>1.1091185579317127</v>
      </c>
      <c r="C27" s="7">
        <v>0.85</v>
      </c>
      <c r="D27" s="7">
        <v>1</v>
      </c>
      <c r="E27" s="7">
        <v>0.3</v>
      </c>
      <c r="F27" s="7">
        <v>0.35</v>
      </c>
    </row>
    <row r="28" spans="1:6" x14ac:dyDescent="0.2">
      <c r="A28" s="31" t="s">
        <v>216</v>
      </c>
      <c r="B28" s="8">
        <f>VLOOKUP($A28,'Exempt Non-managerial'!$A:$J,10,FALSE)+1</f>
        <v>1.108531367761953</v>
      </c>
      <c r="C28" s="7">
        <v>0.85</v>
      </c>
      <c r="D28" s="7">
        <v>1</v>
      </c>
      <c r="E28" s="7">
        <v>0.3</v>
      </c>
      <c r="F28" s="7">
        <v>0.35</v>
      </c>
    </row>
    <row r="29" spans="1:6" x14ac:dyDescent="0.2">
      <c r="A29" s="31" t="s">
        <v>171</v>
      </c>
      <c r="B29" s="8">
        <f>VLOOKUP($A29,'Exempt Non-managerial'!$A:$J,10,FALSE)+1</f>
        <v>1.107762374815531</v>
      </c>
      <c r="C29" s="7">
        <v>0.85</v>
      </c>
      <c r="D29" s="7">
        <v>1</v>
      </c>
      <c r="E29" s="7">
        <v>0.3</v>
      </c>
      <c r="F29" s="7">
        <v>0.35</v>
      </c>
    </row>
    <row r="30" spans="1:6" x14ac:dyDescent="0.2">
      <c r="A30" s="31" t="s">
        <v>91</v>
      </c>
      <c r="B30" s="8">
        <f>VLOOKUP($A30,'Exempt Non-managerial'!$A:$J,10,FALSE)+1</f>
        <v>1.0988914346716114</v>
      </c>
      <c r="C30" s="7">
        <v>0.85</v>
      </c>
      <c r="D30" s="7">
        <v>1</v>
      </c>
      <c r="E30" s="7">
        <v>0.3</v>
      </c>
      <c r="F30" s="7">
        <v>0.35</v>
      </c>
    </row>
    <row r="31" spans="1:6" x14ac:dyDescent="0.2">
      <c r="A31" s="2" t="s">
        <v>297</v>
      </c>
      <c r="B31" s="8">
        <f>VLOOKUP($A31,'Exempt Non-managerial'!$A:$J,10,FALSE)+1</f>
        <v>1.0974406631556479</v>
      </c>
      <c r="C31" s="7">
        <v>0.85</v>
      </c>
      <c r="D31" s="7">
        <v>1</v>
      </c>
      <c r="E31" s="7">
        <v>0.3</v>
      </c>
      <c r="F31" s="7">
        <v>0.35</v>
      </c>
    </row>
    <row r="32" spans="1:6" x14ac:dyDescent="0.2">
      <c r="A32" s="31" t="s">
        <v>113</v>
      </c>
      <c r="B32" s="8">
        <f>VLOOKUP($A32,'Exempt Non-managerial'!$A:$J,10,FALSE)+1</f>
        <v>1.0869744122699958</v>
      </c>
      <c r="C32" s="7">
        <v>0.85</v>
      </c>
      <c r="D32" s="7">
        <v>1</v>
      </c>
      <c r="E32" s="7">
        <v>0.3</v>
      </c>
      <c r="F32" s="7">
        <v>0.35</v>
      </c>
    </row>
    <row r="33" spans="1:6" x14ac:dyDescent="0.2">
      <c r="A33" s="31" t="s">
        <v>47</v>
      </c>
      <c r="B33" s="8">
        <f>VLOOKUP($A33,'Exempt Non-managerial'!$A:$J,10,FALSE)+1</f>
        <v>1.0853999520356445</v>
      </c>
      <c r="C33" s="7">
        <v>0.85</v>
      </c>
      <c r="D33" s="7">
        <v>1</v>
      </c>
      <c r="E33" s="7">
        <v>0.3</v>
      </c>
      <c r="F33" s="7">
        <v>0.35</v>
      </c>
    </row>
    <row r="34" spans="1:6" x14ac:dyDescent="0.2">
      <c r="A34" s="31" t="s">
        <v>212</v>
      </c>
      <c r="B34" s="8">
        <f>VLOOKUP($A34,'Exempt Non-managerial'!$A:$J,10,FALSE)+1</f>
        <v>1.0849441950164902</v>
      </c>
      <c r="C34" s="7">
        <v>0.85</v>
      </c>
      <c r="D34" s="7">
        <v>1</v>
      </c>
      <c r="E34" s="7">
        <v>0.3</v>
      </c>
      <c r="F34" s="7">
        <v>0.35</v>
      </c>
    </row>
    <row r="35" spans="1:6" x14ac:dyDescent="0.2">
      <c r="A35" s="2" t="s">
        <v>298</v>
      </c>
      <c r="B35" s="8">
        <f>VLOOKUP($A35,'Exempt Non-managerial'!$A:$J,10,FALSE)+1</f>
        <v>1.0825026531939403</v>
      </c>
      <c r="C35" s="7">
        <v>0.85</v>
      </c>
      <c r="D35" s="7">
        <v>1</v>
      </c>
      <c r="E35" s="7">
        <v>0.3</v>
      </c>
      <c r="F35" s="7">
        <v>0.35</v>
      </c>
    </row>
    <row r="36" spans="1:6" x14ac:dyDescent="0.2">
      <c r="A36" s="2" t="s">
        <v>292</v>
      </c>
      <c r="B36" s="8">
        <f>VLOOKUP($A36,'Exempt Non-managerial'!$A:$J,10,FALSE)+1</f>
        <v>1.0766277657857832</v>
      </c>
      <c r="C36" s="7">
        <v>0.85</v>
      </c>
      <c r="D36" s="7">
        <v>1</v>
      </c>
      <c r="E36" s="7">
        <v>0.3</v>
      </c>
      <c r="F36" s="7">
        <v>0.35</v>
      </c>
    </row>
    <row r="37" spans="1:6" x14ac:dyDescent="0.2">
      <c r="A37" s="31" t="s">
        <v>95</v>
      </c>
      <c r="B37" s="8">
        <f>VLOOKUP($A37,'Exempt Non-managerial'!$A:$J,10,FALSE)+1</f>
        <v>1.0747992723313771</v>
      </c>
      <c r="C37" s="7">
        <v>0.85</v>
      </c>
      <c r="D37" s="7">
        <v>1</v>
      </c>
      <c r="E37" s="7">
        <v>0.3</v>
      </c>
      <c r="F37" s="7">
        <v>0.35</v>
      </c>
    </row>
    <row r="38" spans="1:6" x14ac:dyDescent="0.2">
      <c r="A38" s="31" t="s">
        <v>186</v>
      </c>
      <c r="B38" s="8">
        <f>VLOOKUP($A38,'Exempt Non-managerial'!$A:$J,10,FALSE)+1</f>
        <v>1.0736598887755204</v>
      </c>
      <c r="C38" s="7">
        <v>0.85</v>
      </c>
      <c r="D38" s="7">
        <v>1</v>
      </c>
      <c r="E38" s="7">
        <v>0.3</v>
      </c>
      <c r="F38" s="7">
        <v>0.35</v>
      </c>
    </row>
    <row r="39" spans="1:6" x14ac:dyDescent="0.2">
      <c r="A39" s="31" t="s">
        <v>102</v>
      </c>
      <c r="B39" s="8">
        <f>VLOOKUP($A39,'Exempt Non-managerial'!$A:$J,10,FALSE)+1</f>
        <v>1.0709960860421011</v>
      </c>
      <c r="C39" s="7">
        <v>0.85</v>
      </c>
      <c r="D39" s="7">
        <v>1</v>
      </c>
      <c r="E39" s="7">
        <v>0.3</v>
      </c>
      <c r="F39" s="7">
        <v>0.35</v>
      </c>
    </row>
    <row r="40" spans="1:6" x14ac:dyDescent="0.2">
      <c r="A40" s="31" t="s">
        <v>322</v>
      </c>
      <c r="B40" s="8">
        <f>VLOOKUP($A40,'Exempt Non-managerial'!$A:$J,10,FALSE)+1</f>
        <v>1.0706976276197266</v>
      </c>
      <c r="C40" s="7">
        <v>0.85</v>
      </c>
      <c r="D40" s="7">
        <v>1</v>
      </c>
      <c r="E40" s="7">
        <v>0.3</v>
      </c>
      <c r="F40" s="7">
        <v>0.35</v>
      </c>
    </row>
    <row r="41" spans="1:6" x14ac:dyDescent="0.2">
      <c r="A41" s="31" t="s">
        <v>128</v>
      </c>
      <c r="B41" s="8">
        <f>VLOOKUP($A41,'Exempt Non-managerial'!$A:$J,10,FALSE)+1</f>
        <v>1.070335525069757</v>
      </c>
      <c r="C41" s="7">
        <v>0.85</v>
      </c>
      <c r="D41" s="7">
        <v>1</v>
      </c>
      <c r="E41" s="7">
        <v>0.3</v>
      </c>
      <c r="F41" s="7">
        <v>0.35</v>
      </c>
    </row>
    <row r="42" spans="1:6" x14ac:dyDescent="0.2">
      <c r="A42" s="31" t="s">
        <v>112</v>
      </c>
      <c r="B42" s="8">
        <f>VLOOKUP($A42,'Exempt Non-managerial'!$A:$J,10,FALSE)+1</f>
        <v>1.0662952405244477</v>
      </c>
      <c r="C42" s="7">
        <v>0.85</v>
      </c>
      <c r="D42" s="7">
        <v>1</v>
      </c>
      <c r="E42" s="7">
        <v>0.3</v>
      </c>
      <c r="F42" s="7">
        <v>0.35</v>
      </c>
    </row>
    <row r="43" spans="1:6" x14ac:dyDescent="0.2">
      <c r="A43" s="31" t="s">
        <v>117</v>
      </c>
      <c r="B43" s="8">
        <f>VLOOKUP($A43,'Exempt Non-managerial'!$A:$J,10,FALSE)+1</f>
        <v>1.0659309100694616</v>
      </c>
      <c r="C43" s="7">
        <v>0.85</v>
      </c>
      <c r="D43" s="7">
        <v>1</v>
      </c>
      <c r="E43" s="7">
        <v>0.3</v>
      </c>
      <c r="F43" s="7">
        <v>0.35</v>
      </c>
    </row>
    <row r="44" spans="1:6" x14ac:dyDescent="0.2">
      <c r="A44" s="31" t="s">
        <v>181</v>
      </c>
      <c r="B44" s="8">
        <f>VLOOKUP($A44,'Exempt Non-managerial'!$A:$J,10,FALSE)+1</f>
        <v>1.060077313088414</v>
      </c>
      <c r="C44" s="7">
        <v>0.85</v>
      </c>
      <c r="D44" s="7">
        <v>1</v>
      </c>
      <c r="E44" s="7">
        <v>0.3</v>
      </c>
      <c r="F44" s="7">
        <v>0.35</v>
      </c>
    </row>
    <row r="45" spans="1:6" x14ac:dyDescent="0.2">
      <c r="A45" s="31" t="s">
        <v>201</v>
      </c>
      <c r="B45" s="8">
        <f>VLOOKUP($A45,'Exempt Non-managerial'!$A:$J,10,FALSE)+1</f>
        <v>1.0565470116796696</v>
      </c>
      <c r="C45" s="7">
        <v>0.85</v>
      </c>
      <c r="D45" s="7">
        <v>1</v>
      </c>
      <c r="E45" s="7">
        <v>0.3</v>
      </c>
      <c r="F45" s="7">
        <v>0.35</v>
      </c>
    </row>
    <row r="46" spans="1:6" x14ac:dyDescent="0.2">
      <c r="A46" s="31" t="s">
        <v>33</v>
      </c>
      <c r="B46" s="8">
        <f>VLOOKUP($A46,'Exempt Non-managerial'!$A:$J,10,FALSE)+1</f>
        <v>1.0530103637186632</v>
      </c>
      <c r="C46" s="7">
        <v>0.85</v>
      </c>
      <c r="D46" s="7">
        <v>1</v>
      </c>
      <c r="E46" s="7">
        <v>0.3</v>
      </c>
      <c r="F46" s="7">
        <v>0.35</v>
      </c>
    </row>
    <row r="47" spans="1:6" x14ac:dyDescent="0.2">
      <c r="A47" s="31" t="s">
        <v>134</v>
      </c>
      <c r="B47" s="8">
        <f>VLOOKUP($A47,'Exempt Non-managerial'!$A:$J,10,FALSE)+1</f>
        <v>1.0518230242150324</v>
      </c>
      <c r="C47" s="7">
        <v>0.85</v>
      </c>
      <c r="D47" s="7">
        <v>1</v>
      </c>
      <c r="E47" s="7">
        <v>0.3</v>
      </c>
      <c r="F47" s="7">
        <v>0.35</v>
      </c>
    </row>
    <row r="48" spans="1:6" x14ac:dyDescent="0.2">
      <c r="A48" s="31" t="s">
        <v>93</v>
      </c>
      <c r="B48" s="8">
        <f>VLOOKUP($A48,'Exempt Non-managerial'!$A:$J,10,FALSE)+1</f>
        <v>1.0462451652942153</v>
      </c>
      <c r="C48" s="7">
        <v>0.85</v>
      </c>
      <c r="D48" s="7">
        <v>1</v>
      </c>
      <c r="E48" s="7">
        <v>0.3</v>
      </c>
      <c r="F48" s="7">
        <v>0.35</v>
      </c>
    </row>
    <row r="49" spans="1:6" x14ac:dyDescent="0.2">
      <c r="A49" s="31" t="s">
        <v>68</v>
      </c>
      <c r="B49" s="8">
        <f>VLOOKUP($A49,'Exempt Non-managerial'!$A:$J,10,FALSE)+1</f>
        <v>1.0440957022403898</v>
      </c>
      <c r="C49" s="7">
        <v>0.85</v>
      </c>
      <c r="D49" s="7">
        <v>1</v>
      </c>
      <c r="E49" s="7">
        <v>0.3</v>
      </c>
      <c r="F49" s="7">
        <v>0.35</v>
      </c>
    </row>
    <row r="50" spans="1:6" x14ac:dyDescent="0.2">
      <c r="A50" s="31" t="s">
        <v>130</v>
      </c>
      <c r="B50" s="8">
        <f>VLOOKUP($A50,'Exempt Non-managerial'!$A:$J,10,FALSE)+1</f>
        <v>1.0429894343463175</v>
      </c>
      <c r="C50" s="7">
        <v>0.85</v>
      </c>
      <c r="D50" s="7">
        <v>1</v>
      </c>
      <c r="E50" s="7">
        <v>0.3</v>
      </c>
      <c r="F50" s="7">
        <v>0.35</v>
      </c>
    </row>
    <row r="51" spans="1:6" x14ac:dyDescent="0.2">
      <c r="A51" s="31" t="s">
        <v>69</v>
      </c>
      <c r="B51" s="8">
        <f>VLOOKUP($A51,'Exempt Non-managerial'!$A:$J,10,FALSE)+1</f>
        <v>1.0427826658256243</v>
      </c>
      <c r="C51" s="7">
        <v>0.85</v>
      </c>
      <c r="D51" s="7">
        <v>1</v>
      </c>
      <c r="E51" s="7">
        <v>0.3</v>
      </c>
      <c r="F51" s="7">
        <v>0.35</v>
      </c>
    </row>
    <row r="52" spans="1:6" x14ac:dyDescent="0.2">
      <c r="A52" s="31" t="s">
        <v>207</v>
      </c>
      <c r="B52" s="8">
        <f>VLOOKUP($A52,'Exempt Non-managerial'!$A:$J,10,FALSE)+1</f>
        <v>1.0406381851109479</v>
      </c>
      <c r="C52" s="7">
        <v>0.85</v>
      </c>
      <c r="D52" s="7">
        <v>1</v>
      </c>
      <c r="E52" s="7">
        <v>0.3</v>
      </c>
      <c r="F52" s="7">
        <v>0.35</v>
      </c>
    </row>
    <row r="53" spans="1:6" x14ac:dyDescent="0.2">
      <c r="A53" s="31" t="s">
        <v>180</v>
      </c>
      <c r="B53" s="8">
        <f>VLOOKUP($A53,'Exempt Non-managerial'!$A:$J,10,FALSE)+1</f>
        <v>1.0376049344951102</v>
      </c>
      <c r="C53" s="7">
        <v>0.85</v>
      </c>
      <c r="D53" s="7">
        <v>1</v>
      </c>
      <c r="E53" s="7">
        <v>0.3</v>
      </c>
      <c r="F53" s="7">
        <v>0.35</v>
      </c>
    </row>
    <row r="54" spans="1:6" x14ac:dyDescent="0.2">
      <c r="A54" s="31" t="s">
        <v>136</v>
      </c>
      <c r="B54" s="8">
        <f>VLOOKUP($A54,'Exempt Non-managerial'!$A:$J,10,FALSE)+1</f>
        <v>1.0362864308879396</v>
      </c>
      <c r="C54" s="7">
        <v>0.85</v>
      </c>
      <c r="D54" s="7">
        <v>1</v>
      </c>
      <c r="E54" s="7">
        <v>0.3</v>
      </c>
      <c r="F54" s="7">
        <v>0.35</v>
      </c>
    </row>
    <row r="55" spans="1:6" x14ac:dyDescent="0.2">
      <c r="A55" s="31" t="s">
        <v>196</v>
      </c>
      <c r="B55" s="8">
        <f>VLOOKUP($A55,'Exempt Non-managerial'!$A:$J,10,FALSE)+1</f>
        <v>1.0359572029031219</v>
      </c>
      <c r="C55" s="7">
        <v>0.85</v>
      </c>
      <c r="D55" s="7">
        <v>1</v>
      </c>
      <c r="E55" s="7">
        <v>0.3</v>
      </c>
      <c r="F55" s="7">
        <v>0.35</v>
      </c>
    </row>
    <row r="56" spans="1:6" x14ac:dyDescent="0.2">
      <c r="A56" s="31" t="s">
        <v>237</v>
      </c>
      <c r="B56" s="8">
        <f>VLOOKUP($A56,'Exempt Non-managerial'!$A:$J,10,FALSE)+1</f>
        <v>1.0349470846105286</v>
      </c>
      <c r="C56" s="7">
        <v>0.85</v>
      </c>
      <c r="D56" s="7">
        <v>1</v>
      </c>
      <c r="E56" s="7">
        <v>0.3</v>
      </c>
      <c r="F56" s="7">
        <v>0.35</v>
      </c>
    </row>
    <row r="57" spans="1:6" x14ac:dyDescent="0.2">
      <c r="A57" s="2" t="s">
        <v>296</v>
      </c>
      <c r="B57" s="8">
        <f>VLOOKUP($A57,'Exempt Non-managerial'!$A:$J,10,FALSE)+1</f>
        <v>1.0348951344655959</v>
      </c>
      <c r="C57" s="7">
        <v>0.85</v>
      </c>
      <c r="D57" s="7">
        <v>1</v>
      </c>
      <c r="E57" s="7">
        <v>0.3</v>
      </c>
      <c r="F57" s="7">
        <v>0.35</v>
      </c>
    </row>
    <row r="58" spans="1:6" x14ac:dyDescent="0.2">
      <c r="A58" s="31" t="s">
        <v>125</v>
      </c>
      <c r="B58" s="8">
        <f>VLOOKUP($A58,'Exempt Non-managerial'!$A:$J,10,FALSE)+1</f>
        <v>1.0322880977643092</v>
      </c>
      <c r="C58" s="7">
        <v>0.85</v>
      </c>
      <c r="D58" s="7">
        <v>1</v>
      </c>
      <c r="E58" s="7">
        <v>0.3</v>
      </c>
      <c r="F58" s="7">
        <v>0.35</v>
      </c>
    </row>
    <row r="59" spans="1:6" x14ac:dyDescent="0.2">
      <c r="A59" s="31" t="s">
        <v>39</v>
      </c>
      <c r="B59" s="8">
        <f>VLOOKUP($A59,'Exempt Non-managerial'!$A:$J,10,FALSE)+1</f>
        <v>1.0319925185652783</v>
      </c>
      <c r="C59" s="7">
        <v>0.85</v>
      </c>
      <c r="D59" s="7">
        <v>1</v>
      </c>
      <c r="E59" s="7">
        <v>0.3</v>
      </c>
      <c r="F59" s="7">
        <v>0.35</v>
      </c>
    </row>
    <row r="60" spans="1:6" x14ac:dyDescent="0.2">
      <c r="A60" s="31" t="s">
        <v>185</v>
      </c>
      <c r="B60" s="8">
        <f>VLOOKUP($A60,'Exempt Non-managerial'!$A:$J,10,FALSE)+1</f>
        <v>1.031154450808212</v>
      </c>
      <c r="C60" s="7">
        <v>0.85</v>
      </c>
      <c r="D60" s="7">
        <v>1</v>
      </c>
      <c r="E60" s="7">
        <v>0.3</v>
      </c>
      <c r="F60" s="7">
        <v>0.35</v>
      </c>
    </row>
    <row r="61" spans="1:6" x14ac:dyDescent="0.2">
      <c r="A61" s="31" t="s">
        <v>162</v>
      </c>
      <c r="B61" s="8">
        <f>VLOOKUP($A61,'Exempt Non-managerial'!$A:$J,10,FALSE)+1</f>
        <v>1.0285109539877735</v>
      </c>
      <c r="C61" s="7">
        <v>0.85</v>
      </c>
      <c r="D61" s="7">
        <v>1</v>
      </c>
      <c r="E61" s="7">
        <v>0.3</v>
      </c>
      <c r="F61" s="7">
        <v>0.35</v>
      </c>
    </row>
    <row r="62" spans="1:6" x14ac:dyDescent="0.2">
      <c r="A62" s="31" t="s">
        <v>167</v>
      </c>
      <c r="B62" s="8">
        <f>VLOOKUP($A62,'Exempt Non-managerial'!$A:$J,10,FALSE)+1</f>
        <v>1.0283454679992441</v>
      </c>
      <c r="C62" s="7">
        <v>0.85</v>
      </c>
      <c r="D62" s="7">
        <v>1</v>
      </c>
      <c r="E62" s="7">
        <v>0.3</v>
      </c>
      <c r="F62" s="7">
        <v>0.35</v>
      </c>
    </row>
    <row r="63" spans="1:6" x14ac:dyDescent="0.2">
      <c r="A63" s="31" t="s">
        <v>94</v>
      </c>
      <c r="B63" s="8">
        <f>VLOOKUP($A63,'Exempt Non-managerial'!$A:$J,10,FALSE)+1</f>
        <v>1.0279057318384892</v>
      </c>
      <c r="C63" s="7">
        <v>0.85</v>
      </c>
      <c r="D63" s="7">
        <v>1</v>
      </c>
      <c r="E63" s="7">
        <v>0.3</v>
      </c>
      <c r="F63" s="7">
        <v>0.35</v>
      </c>
    </row>
    <row r="64" spans="1:6" x14ac:dyDescent="0.2">
      <c r="A64" s="31" t="s">
        <v>148</v>
      </c>
      <c r="B64" s="8">
        <f>VLOOKUP($A64,'Exempt Non-managerial'!$A:$J,10,FALSE)+1</f>
        <v>1.0260743937363117</v>
      </c>
      <c r="C64" s="7">
        <v>0.85</v>
      </c>
      <c r="D64" s="7">
        <v>1</v>
      </c>
      <c r="E64" s="7">
        <v>0.3</v>
      </c>
      <c r="F64" s="7">
        <v>0.35</v>
      </c>
    </row>
    <row r="65" spans="1:6" x14ac:dyDescent="0.2">
      <c r="A65" s="31" t="s">
        <v>90</v>
      </c>
      <c r="B65" s="8">
        <f>VLOOKUP($A65,'Exempt Non-managerial'!$A:$J,10,FALSE)+1</f>
        <v>1.0231361349459975</v>
      </c>
      <c r="C65" s="7">
        <v>0.85</v>
      </c>
      <c r="D65" s="7">
        <v>1</v>
      </c>
      <c r="E65" s="7">
        <v>0.3</v>
      </c>
      <c r="F65" s="7">
        <v>0.35</v>
      </c>
    </row>
    <row r="66" spans="1:6" x14ac:dyDescent="0.2">
      <c r="A66" s="31" t="s">
        <v>159</v>
      </c>
      <c r="B66" s="8">
        <f>VLOOKUP($A66,'Exempt Non-managerial'!$A:$J,10,FALSE)+1</f>
        <v>1.0207242907100393</v>
      </c>
      <c r="C66" s="7">
        <v>0.85</v>
      </c>
      <c r="D66" s="7">
        <v>1</v>
      </c>
      <c r="E66" s="7">
        <v>0.3</v>
      </c>
      <c r="F66" s="7">
        <v>0.35</v>
      </c>
    </row>
    <row r="67" spans="1:6" x14ac:dyDescent="0.2">
      <c r="A67" s="31" t="s">
        <v>211</v>
      </c>
      <c r="B67" s="8">
        <f>VLOOKUP($A67,'Exempt Non-managerial'!$A:$J,10,FALSE)+1</f>
        <v>1.0190180504036834</v>
      </c>
      <c r="C67" s="7">
        <v>0.85</v>
      </c>
      <c r="D67" s="7">
        <v>1</v>
      </c>
      <c r="E67" s="7">
        <v>0.3</v>
      </c>
      <c r="F67" s="7">
        <v>0.35</v>
      </c>
    </row>
    <row r="68" spans="1:6" x14ac:dyDescent="0.2">
      <c r="A68" s="2" t="s">
        <v>307</v>
      </c>
      <c r="B68" s="8">
        <f>VLOOKUP($A68,'Exempt Non-managerial'!$A:$J,10,FALSE)+1</f>
        <v>1.0190049044112277</v>
      </c>
      <c r="C68" s="7">
        <v>0.85</v>
      </c>
      <c r="D68" s="7">
        <v>1</v>
      </c>
      <c r="E68" s="7">
        <v>0.3</v>
      </c>
      <c r="F68" s="7">
        <v>0.35</v>
      </c>
    </row>
    <row r="69" spans="1:6" x14ac:dyDescent="0.2">
      <c r="A69" s="31" t="s">
        <v>143</v>
      </c>
      <c r="B69" s="8">
        <f>VLOOKUP($A69,'Exempt Non-managerial'!$A:$J,10,FALSE)+1</f>
        <v>1.0173895470231979</v>
      </c>
      <c r="C69" s="7">
        <v>0.85</v>
      </c>
      <c r="D69" s="7">
        <v>1</v>
      </c>
      <c r="E69" s="7">
        <v>0.3</v>
      </c>
      <c r="F69" s="7">
        <v>0.35</v>
      </c>
    </row>
    <row r="70" spans="1:6" x14ac:dyDescent="0.2">
      <c r="A70" s="31" t="s">
        <v>169</v>
      </c>
      <c r="B70" s="8">
        <f>VLOOKUP($A70,'Exempt Non-managerial'!$A:$J,10,FALSE)+1</f>
        <v>1.01672470490788</v>
      </c>
      <c r="C70" s="7">
        <v>0.85</v>
      </c>
      <c r="D70" s="7">
        <v>1</v>
      </c>
      <c r="E70" s="7">
        <v>0.3</v>
      </c>
      <c r="F70" s="7">
        <v>0.35</v>
      </c>
    </row>
    <row r="71" spans="1:6" x14ac:dyDescent="0.2">
      <c r="A71" s="31" t="s">
        <v>140</v>
      </c>
      <c r="B71" s="8">
        <f>VLOOKUP($A71,'Exempt Non-managerial'!$A:$J,10,FALSE)+1</f>
        <v>1.0163369903209587</v>
      </c>
      <c r="C71" s="7">
        <v>0.85</v>
      </c>
      <c r="D71" s="7">
        <v>1</v>
      </c>
      <c r="E71" s="7">
        <v>0.3</v>
      </c>
      <c r="F71" s="7">
        <v>0.35</v>
      </c>
    </row>
    <row r="72" spans="1:6" x14ac:dyDescent="0.2">
      <c r="A72" s="2" t="s">
        <v>263</v>
      </c>
      <c r="B72" s="8">
        <f>VLOOKUP($A72,'Exempt Non-managerial'!$A:$J,10,FALSE)+1</f>
        <v>1.0153386525879737</v>
      </c>
      <c r="C72" s="7">
        <v>0.85</v>
      </c>
      <c r="D72" s="7">
        <v>1</v>
      </c>
      <c r="E72" s="7">
        <v>0.3</v>
      </c>
      <c r="F72" s="7">
        <v>0.35</v>
      </c>
    </row>
    <row r="73" spans="1:6" x14ac:dyDescent="0.2">
      <c r="A73" s="31" t="s">
        <v>36</v>
      </c>
      <c r="B73" s="8">
        <f>VLOOKUP($A73,'Exempt Non-managerial'!$A:$J,10,FALSE)+1</f>
        <v>1.0147996591255037</v>
      </c>
      <c r="C73" s="7">
        <v>0.85</v>
      </c>
      <c r="D73" s="7">
        <v>1</v>
      </c>
      <c r="E73" s="7">
        <v>0.3</v>
      </c>
      <c r="F73" s="7">
        <v>0.35</v>
      </c>
    </row>
    <row r="74" spans="1:6" x14ac:dyDescent="0.2">
      <c r="A74" s="31" t="s">
        <v>74</v>
      </c>
      <c r="B74" s="8">
        <f>VLOOKUP($A74,'Exempt Non-managerial'!$A:$J,10,FALSE)+1</f>
        <v>1.0143204163725079</v>
      </c>
      <c r="C74" s="7">
        <v>0.85</v>
      </c>
      <c r="D74" s="7">
        <v>1</v>
      </c>
      <c r="E74" s="7">
        <v>0.3</v>
      </c>
      <c r="F74" s="7">
        <v>0.35</v>
      </c>
    </row>
    <row r="75" spans="1:6" x14ac:dyDescent="0.2">
      <c r="A75" s="31" t="s">
        <v>153</v>
      </c>
      <c r="B75" s="8">
        <f>VLOOKUP($A75,'Exempt Non-managerial'!$A:$J,10,FALSE)+1</f>
        <v>1.0090110794545843</v>
      </c>
      <c r="C75" s="7">
        <v>0.85</v>
      </c>
      <c r="D75" s="7">
        <v>1</v>
      </c>
      <c r="E75" s="7">
        <v>0.3</v>
      </c>
      <c r="F75" s="7">
        <v>0.35</v>
      </c>
    </row>
    <row r="76" spans="1:6" x14ac:dyDescent="0.2">
      <c r="A76" s="31" t="s">
        <v>45</v>
      </c>
      <c r="B76" s="8">
        <f>VLOOKUP($A76,'Exempt Non-managerial'!$A:$J,10,FALSE)+1</f>
        <v>1.0073609091950031</v>
      </c>
      <c r="C76" s="7">
        <v>0.85</v>
      </c>
      <c r="D76" s="7">
        <v>1</v>
      </c>
      <c r="E76" s="7">
        <v>0.3</v>
      </c>
      <c r="F76" s="7">
        <v>0.35</v>
      </c>
    </row>
    <row r="77" spans="1:6" x14ac:dyDescent="0.2">
      <c r="A77" s="31" t="s">
        <v>37</v>
      </c>
      <c r="B77" s="8">
        <f>VLOOKUP($A77,'Exempt Non-managerial'!$A:$J,10,FALSE)+1</f>
        <v>1.0059184316260639</v>
      </c>
      <c r="C77" s="7">
        <v>0.85</v>
      </c>
      <c r="D77" s="7">
        <v>1</v>
      </c>
      <c r="E77" s="7">
        <v>0.3</v>
      </c>
      <c r="F77" s="7">
        <v>0.35</v>
      </c>
    </row>
    <row r="78" spans="1:6" x14ac:dyDescent="0.2">
      <c r="A78" s="2" t="s">
        <v>304</v>
      </c>
      <c r="B78" s="8">
        <f>VLOOKUP($A78,'Exempt Non-managerial'!$A:$J,10,FALSE)+1</f>
        <v>1.0022726528138521</v>
      </c>
      <c r="C78" s="7">
        <v>0.85</v>
      </c>
      <c r="D78" s="7">
        <v>1</v>
      </c>
      <c r="E78" s="7">
        <v>0.3</v>
      </c>
      <c r="F78" s="7">
        <v>0.35</v>
      </c>
    </row>
    <row r="79" spans="1:6" x14ac:dyDescent="0.2">
      <c r="A79" s="31" t="s">
        <v>22</v>
      </c>
      <c r="B79" s="8">
        <f>VLOOKUP($A79,'Exempt Non-managerial'!$A:$J,10,FALSE)+1</f>
        <v>1.0018625808267425</v>
      </c>
      <c r="C79" s="7">
        <v>0.85</v>
      </c>
      <c r="D79" s="7">
        <v>1</v>
      </c>
      <c r="E79" s="7">
        <v>0.3</v>
      </c>
      <c r="F79" s="7">
        <v>0.35</v>
      </c>
    </row>
    <row r="80" spans="1:6" x14ac:dyDescent="0.2">
      <c r="A80" s="31" t="s">
        <v>142</v>
      </c>
      <c r="B80" s="8">
        <f>VLOOKUP($A80,'Exempt Non-managerial'!$A:$J,10,FALSE)+1</f>
        <v>1.0018187815854303</v>
      </c>
      <c r="C80" s="7">
        <v>0.85</v>
      </c>
      <c r="D80" s="7">
        <v>1</v>
      </c>
      <c r="E80" s="7">
        <v>0.3</v>
      </c>
      <c r="F80" s="7">
        <v>0.35</v>
      </c>
    </row>
    <row r="81" spans="1:6" x14ac:dyDescent="0.2">
      <c r="A81" s="2" t="s">
        <v>290</v>
      </c>
      <c r="B81" s="8">
        <f>VLOOKUP($A81,'Exempt Non-managerial'!$A:$J,10,FALSE)+1</f>
        <v>0.99937662770556768</v>
      </c>
      <c r="C81" s="7">
        <v>0.85</v>
      </c>
      <c r="D81" s="7">
        <v>1</v>
      </c>
      <c r="E81" s="7">
        <v>0.3</v>
      </c>
      <c r="F81" s="7">
        <v>0.35</v>
      </c>
    </row>
    <row r="82" spans="1:6" x14ac:dyDescent="0.2">
      <c r="A82" s="2" t="s">
        <v>309</v>
      </c>
      <c r="B82" s="8">
        <f>VLOOKUP($A82,'Exempt Non-managerial'!$A:$J,10,FALSE)+1</f>
        <v>0.99889780543076323</v>
      </c>
      <c r="C82" s="7">
        <v>0.85</v>
      </c>
      <c r="D82" s="7">
        <v>1</v>
      </c>
      <c r="E82" s="7">
        <v>0.3</v>
      </c>
      <c r="F82" s="7">
        <v>0.35</v>
      </c>
    </row>
    <row r="83" spans="1:6" x14ac:dyDescent="0.2">
      <c r="A83" s="2" t="s">
        <v>294</v>
      </c>
      <c r="B83" s="8">
        <f>VLOOKUP($A83,'Exempt Non-managerial'!$A:$J,10,FALSE)+1</f>
        <v>0.99868815475051442</v>
      </c>
      <c r="C83" s="7">
        <v>0.85</v>
      </c>
      <c r="D83" s="7">
        <v>1</v>
      </c>
      <c r="E83" s="7">
        <v>0.3</v>
      </c>
      <c r="F83" s="7">
        <v>0.35</v>
      </c>
    </row>
    <row r="84" spans="1:6" x14ac:dyDescent="0.2">
      <c r="A84" s="31" t="s">
        <v>173</v>
      </c>
      <c r="B84" s="8">
        <f>VLOOKUP($A84,'Exempt Non-managerial'!$A:$J,10,FALSE)+1</f>
        <v>0.99847724201297516</v>
      </c>
      <c r="C84" s="7">
        <v>0.85</v>
      </c>
      <c r="D84" s="7">
        <v>1</v>
      </c>
      <c r="E84" s="7">
        <v>0.3</v>
      </c>
      <c r="F84" s="7">
        <v>0.35</v>
      </c>
    </row>
    <row r="85" spans="1:6" x14ac:dyDescent="0.2">
      <c r="A85" s="31" t="s">
        <v>137</v>
      </c>
      <c r="B85" s="8">
        <f>VLOOKUP($A85,'Exempt Non-managerial'!$A:$J,10,FALSE)+1</f>
        <v>0.9972868834124895</v>
      </c>
      <c r="C85" s="7">
        <v>0.85</v>
      </c>
      <c r="D85" s="7">
        <v>1</v>
      </c>
      <c r="E85" s="7">
        <v>0.3</v>
      </c>
      <c r="F85" s="7">
        <v>0.35</v>
      </c>
    </row>
    <row r="86" spans="1:6" x14ac:dyDescent="0.2">
      <c r="A86" s="31" t="s">
        <v>132</v>
      </c>
      <c r="B86" s="8">
        <f>VLOOKUP($A86,'Exempt Non-managerial'!$A:$J,10,FALSE)+1</f>
        <v>0.99712444710189718</v>
      </c>
      <c r="C86" s="7">
        <v>0.85</v>
      </c>
      <c r="D86" s="7">
        <v>1</v>
      </c>
      <c r="E86" s="7">
        <v>0.3</v>
      </c>
      <c r="F86" s="7">
        <v>0.35</v>
      </c>
    </row>
    <row r="87" spans="1:6" x14ac:dyDescent="0.2">
      <c r="A87" s="31" t="s">
        <v>89</v>
      </c>
      <c r="B87" s="8">
        <f>VLOOKUP($A87,'Exempt Non-managerial'!$A:$J,10,FALSE)+1</f>
        <v>0.99706448263281167</v>
      </c>
      <c r="C87" s="7">
        <v>0.85</v>
      </c>
      <c r="D87" s="7">
        <v>1</v>
      </c>
      <c r="E87" s="7">
        <v>0.3</v>
      </c>
      <c r="F87" s="7">
        <v>0.35</v>
      </c>
    </row>
    <row r="88" spans="1:6" x14ac:dyDescent="0.2">
      <c r="A88" s="31" t="s">
        <v>318</v>
      </c>
      <c r="B88" s="8">
        <f>VLOOKUP($A88,'Exempt Non-managerial'!$A:$J,10,FALSE)+1</f>
        <v>0.99685888155518554</v>
      </c>
      <c r="C88" s="7">
        <v>0.85</v>
      </c>
      <c r="D88" s="7">
        <v>1</v>
      </c>
      <c r="E88" s="7">
        <v>0.3</v>
      </c>
      <c r="F88" s="7">
        <v>0.35</v>
      </c>
    </row>
    <row r="89" spans="1:6" x14ac:dyDescent="0.2">
      <c r="A89" s="2" t="s">
        <v>300</v>
      </c>
      <c r="B89" s="8">
        <f>VLOOKUP($A89,'Exempt Non-managerial'!$A:$J,10,FALSE)+1</f>
        <v>0.99637195092707764</v>
      </c>
      <c r="C89" s="7">
        <v>0.85</v>
      </c>
      <c r="D89" s="7">
        <v>1</v>
      </c>
      <c r="E89" s="7">
        <v>0.3</v>
      </c>
      <c r="F89" s="7">
        <v>0.35</v>
      </c>
    </row>
    <row r="90" spans="1:6" x14ac:dyDescent="0.2">
      <c r="A90" s="31" t="s">
        <v>57</v>
      </c>
      <c r="B90" s="8">
        <f>VLOOKUP($A90,'Exempt Non-managerial'!$A:$J,10,FALSE)+1</f>
        <v>0.99591189959148163</v>
      </c>
      <c r="C90" s="7">
        <v>0.85</v>
      </c>
      <c r="D90" s="7">
        <v>1</v>
      </c>
      <c r="E90" s="7">
        <v>0.3</v>
      </c>
      <c r="F90" s="7">
        <v>0.35</v>
      </c>
    </row>
    <row r="91" spans="1:6" x14ac:dyDescent="0.2">
      <c r="A91" s="31" t="s">
        <v>176</v>
      </c>
      <c r="B91" s="8">
        <f>VLOOKUP($A91,'Exempt Non-managerial'!$A:$J,10,FALSE)+1</f>
        <v>0.99558113446249374</v>
      </c>
      <c r="C91" s="7">
        <v>0.85</v>
      </c>
      <c r="D91" s="7">
        <v>1</v>
      </c>
      <c r="E91" s="7">
        <v>0.3</v>
      </c>
      <c r="F91" s="7">
        <v>0.35</v>
      </c>
    </row>
    <row r="92" spans="1:6" x14ac:dyDescent="0.2">
      <c r="A92" s="31" t="s">
        <v>152</v>
      </c>
      <c r="B92" s="8">
        <f>VLOOKUP($A92,'Exempt Non-managerial'!$A:$J,10,FALSE)+1</f>
        <v>0.99550151911532436</v>
      </c>
      <c r="C92" s="7">
        <v>0.85</v>
      </c>
      <c r="D92" s="7">
        <v>1</v>
      </c>
      <c r="E92" s="7">
        <v>0.3</v>
      </c>
      <c r="F92" s="7">
        <v>0.35</v>
      </c>
    </row>
    <row r="93" spans="1:6" x14ac:dyDescent="0.2">
      <c r="A93" s="2" t="s">
        <v>255</v>
      </c>
      <c r="B93" s="8">
        <f>VLOOKUP($A93,'Exempt Non-managerial'!$A:$J,10,FALSE)+1</f>
        <v>0.99537706160225492</v>
      </c>
      <c r="C93" s="7">
        <v>0.85</v>
      </c>
      <c r="D93" s="7">
        <v>1</v>
      </c>
      <c r="E93" s="7">
        <v>0.3</v>
      </c>
      <c r="F93" s="7">
        <v>0.35</v>
      </c>
    </row>
    <row r="94" spans="1:6" x14ac:dyDescent="0.2">
      <c r="A94" s="31" t="s">
        <v>155</v>
      </c>
      <c r="B94" s="8">
        <f>VLOOKUP($A94,'Exempt Non-managerial'!$A:$J,10,FALSE)+1</f>
        <v>0.99434052704899967</v>
      </c>
      <c r="C94" s="7">
        <v>0.85</v>
      </c>
      <c r="D94" s="7">
        <v>1</v>
      </c>
      <c r="E94" s="7">
        <v>0.3</v>
      </c>
      <c r="F94" s="7">
        <v>0.35</v>
      </c>
    </row>
    <row r="95" spans="1:6" x14ac:dyDescent="0.2">
      <c r="A95" s="31" t="s">
        <v>235</v>
      </c>
      <c r="B95" s="8">
        <f>VLOOKUP($A95,'Exempt Non-managerial'!$A:$J,10,FALSE)+1</f>
        <v>0.99415317065003395</v>
      </c>
      <c r="C95" s="7">
        <v>0.85</v>
      </c>
      <c r="D95" s="7">
        <v>1</v>
      </c>
      <c r="E95" s="7">
        <v>0.3</v>
      </c>
      <c r="F95" s="7">
        <v>0.35</v>
      </c>
    </row>
    <row r="96" spans="1:6" x14ac:dyDescent="0.2">
      <c r="A96" s="31" t="s">
        <v>105</v>
      </c>
      <c r="B96" s="8">
        <f>VLOOKUP($A96,'Exempt Non-managerial'!$A:$J,10,FALSE)+1</f>
        <v>0.99346645222530139</v>
      </c>
      <c r="C96" s="7">
        <v>0.85</v>
      </c>
      <c r="D96" s="7">
        <v>1</v>
      </c>
      <c r="E96" s="7">
        <v>0.3</v>
      </c>
      <c r="F96" s="7">
        <v>0.35</v>
      </c>
    </row>
    <row r="97" spans="1:6" x14ac:dyDescent="0.2">
      <c r="A97" s="31" t="s">
        <v>126</v>
      </c>
      <c r="B97" s="8">
        <f>VLOOKUP($A97,'Exempt Non-managerial'!$A:$J,10,FALSE)+1</f>
        <v>0.99217738677097145</v>
      </c>
      <c r="C97" s="7">
        <v>0.85</v>
      </c>
      <c r="D97" s="7">
        <v>1</v>
      </c>
      <c r="E97" s="7">
        <v>0.3</v>
      </c>
      <c r="F97" s="7">
        <v>0.35</v>
      </c>
    </row>
    <row r="98" spans="1:6" x14ac:dyDescent="0.2">
      <c r="A98" s="31" t="s">
        <v>28</v>
      </c>
      <c r="B98" s="8">
        <f>VLOOKUP($A98,'Exempt Non-managerial'!$A:$J,10,FALSE)+1</f>
        <v>0.99135549413610125</v>
      </c>
      <c r="C98" s="7">
        <v>0.85</v>
      </c>
      <c r="D98" s="7">
        <v>1</v>
      </c>
      <c r="E98" s="7">
        <v>0.3</v>
      </c>
      <c r="F98" s="7">
        <v>0.35</v>
      </c>
    </row>
    <row r="99" spans="1:6" x14ac:dyDescent="0.2">
      <c r="A99" s="2" t="s">
        <v>295</v>
      </c>
      <c r="B99" s="8">
        <f>VLOOKUP($A99,'Exempt Non-managerial'!$A:$J,10,FALSE)+1</f>
        <v>0.99049054338648856</v>
      </c>
      <c r="C99" s="7">
        <v>0.85</v>
      </c>
      <c r="D99" s="7">
        <v>1</v>
      </c>
      <c r="E99" s="7">
        <v>0.3</v>
      </c>
      <c r="F99" s="7">
        <v>0.35</v>
      </c>
    </row>
    <row r="100" spans="1:6" x14ac:dyDescent="0.2">
      <c r="A100" s="31" t="s">
        <v>208</v>
      </c>
      <c r="B100" s="8">
        <f>VLOOKUP($A100,'Exempt Non-managerial'!$A:$J,10,FALSE)+1</f>
        <v>0.98944801184696118</v>
      </c>
      <c r="C100" s="7">
        <v>0.85</v>
      </c>
      <c r="D100" s="7">
        <v>1</v>
      </c>
      <c r="E100" s="7">
        <v>0.3</v>
      </c>
      <c r="F100" s="7">
        <v>0.35</v>
      </c>
    </row>
    <row r="101" spans="1:6" x14ac:dyDescent="0.2">
      <c r="A101" s="31" t="s">
        <v>24</v>
      </c>
      <c r="B101" s="8">
        <f>VLOOKUP($A101,'Exempt Non-managerial'!$A:$J,10,FALSE)+1</f>
        <v>0.98930017973309203</v>
      </c>
      <c r="C101" s="7">
        <v>0.85</v>
      </c>
      <c r="D101" s="7">
        <v>1</v>
      </c>
      <c r="E101" s="7">
        <v>0.3</v>
      </c>
      <c r="F101" s="7">
        <v>0.35</v>
      </c>
    </row>
    <row r="102" spans="1:6" x14ac:dyDescent="0.2">
      <c r="A102" s="31" t="s">
        <v>320</v>
      </c>
      <c r="B102" s="8">
        <f>VLOOKUP($A102,'Exempt Non-managerial'!$A:$J,10,FALSE)+1</f>
        <v>0.98915712951310764</v>
      </c>
      <c r="C102" s="7">
        <v>0.85</v>
      </c>
      <c r="D102" s="7">
        <v>1</v>
      </c>
      <c r="E102" s="7">
        <v>0.3</v>
      </c>
      <c r="F102" s="7">
        <v>0.35</v>
      </c>
    </row>
    <row r="103" spans="1:6" x14ac:dyDescent="0.2">
      <c r="A103" s="31" t="s">
        <v>202</v>
      </c>
      <c r="B103" s="8">
        <f>VLOOKUP($A103,'Exempt Non-managerial'!$A:$J,10,FALSE)+1</f>
        <v>0.9887748860920792</v>
      </c>
      <c r="C103" s="7">
        <v>0.85</v>
      </c>
      <c r="D103" s="7">
        <v>1</v>
      </c>
      <c r="E103" s="7">
        <v>0.3</v>
      </c>
      <c r="F103" s="7">
        <v>0.35</v>
      </c>
    </row>
    <row r="104" spans="1:6" x14ac:dyDescent="0.2">
      <c r="A104" s="31" t="s">
        <v>121</v>
      </c>
      <c r="B104" s="8">
        <f>VLOOKUP($A104,'Exempt Non-managerial'!$A:$J,10,FALSE)+1</f>
        <v>0.98738504699878182</v>
      </c>
      <c r="C104" s="7">
        <v>0.85</v>
      </c>
      <c r="D104" s="7">
        <v>1</v>
      </c>
      <c r="E104" s="7">
        <v>0.3</v>
      </c>
      <c r="F104" s="7">
        <v>0.35</v>
      </c>
    </row>
    <row r="105" spans="1:6" x14ac:dyDescent="0.2">
      <c r="A105" s="31" t="s">
        <v>96</v>
      </c>
      <c r="B105" s="8">
        <f>VLOOKUP($A105,'Exempt Non-managerial'!$A:$J,10,FALSE)+1</f>
        <v>0.98691536351168963</v>
      </c>
      <c r="C105" s="7">
        <v>0.85</v>
      </c>
      <c r="D105" s="7">
        <v>1</v>
      </c>
      <c r="E105" s="7">
        <v>0.3</v>
      </c>
      <c r="F105" s="7">
        <v>0.35</v>
      </c>
    </row>
    <row r="106" spans="1:6" x14ac:dyDescent="0.2">
      <c r="A106" s="31" t="s">
        <v>174</v>
      </c>
      <c r="B106" s="8">
        <f>VLOOKUP($A106,'Exempt Non-managerial'!$A:$J,10,FALSE)+1</f>
        <v>0.98621824479271625</v>
      </c>
      <c r="C106" s="7">
        <v>0.85</v>
      </c>
      <c r="D106" s="7">
        <v>1</v>
      </c>
      <c r="E106" s="7">
        <v>0.3</v>
      </c>
      <c r="F106" s="7">
        <v>0.35</v>
      </c>
    </row>
    <row r="107" spans="1:6" x14ac:dyDescent="0.2">
      <c r="A107" s="2" t="s">
        <v>275</v>
      </c>
      <c r="B107" s="8">
        <f>VLOOKUP($A107,'Exempt Non-managerial'!$A:$J,10,FALSE)+1</f>
        <v>0.98484214051590757</v>
      </c>
      <c r="C107" s="7">
        <v>0.85</v>
      </c>
      <c r="D107" s="7">
        <v>1</v>
      </c>
      <c r="E107" s="7">
        <v>0.3</v>
      </c>
      <c r="F107" s="7">
        <v>0.35</v>
      </c>
    </row>
    <row r="108" spans="1:6" x14ac:dyDescent="0.2">
      <c r="A108" s="31" t="s">
        <v>123</v>
      </c>
      <c r="B108" s="8">
        <f>VLOOKUP($A108,'Exempt Non-managerial'!$A:$J,10,FALSE)+1</f>
        <v>0.98471045484649633</v>
      </c>
      <c r="C108" s="7">
        <v>0.85</v>
      </c>
      <c r="D108" s="7">
        <v>1</v>
      </c>
      <c r="E108" s="7">
        <v>0.3</v>
      </c>
      <c r="F108" s="7">
        <v>0.35</v>
      </c>
    </row>
    <row r="109" spans="1:6" x14ac:dyDescent="0.2">
      <c r="A109" s="31" t="s">
        <v>135</v>
      </c>
      <c r="B109" s="8">
        <f>VLOOKUP($A109,'Exempt Non-managerial'!$A:$J,10,FALSE)+1</f>
        <v>0.98466315566618512</v>
      </c>
      <c r="C109" s="7">
        <v>0.85</v>
      </c>
      <c r="D109" s="7">
        <v>1</v>
      </c>
      <c r="E109" s="7">
        <v>0.3</v>
      </c>
      <c r="F109" s="7">
        <v>0.35</v>
      </c>
    </row>
    <row r="110" spans="1:6" x14ac:dyDescent="0.2">
      <c r="A110" s="31" t="s">
        <v>230</v>
      </c>
      <c r="B110" s="8">
        <f>VLOOKUP($A110,'Exempt Non-managerial'!$A:$J,10,FALSE)+1</f>
        <v>0.98331008838727041</v>
      </c>
      <c r="C110" s="7">
        <v>0.85</v>
      </c>
      <c r="D110" s="7">
        <v>1</v>
      </c>
      <c r="E110" s="7">
        <v>0.3</v>
      </c>
      <c r="F110" s="7">
        <v>0.35</v>
      </c>
    </row>
    <row r="111" spans="1:6" x14ac:dyDescent="0.2">
      <c r="A111" s="2" t="s">
        <v>279</v>
      </c>
      <c r="B111" s="8">
        <f>VLOOKUP($A111,'Exempt Non-managerial'!$A:$J,10,FALSE)+1</f>
        <v>0.9827761848851263</v>
      </c>
      <c r="C111" s="7">
        <v>0.85</v>
      </c>
      <c r="D111" s="7">
        <v>1</v>
      </c>
      <c r="E111" s="7">
        <v>0.3</v>
      </c>
      <c r="F111" s="7">
        <v>0.35</v>
      </c>
    </row>
    <row r="112" spans="1:6" x14ac:dyDescent="0.2">
      <c r="A112" s="31" t="s">
        <v>129</v>
      </c>
      <c r="B112" s="8">
        <f>VLOOKUP($A112,'Exempt Non-managerial'!$A:$J,10,FALSE)+1</f>
        <v>0.98149618388686732</v>
      </c>
      <c r="C112" s="7">
        <v>0.85</v>
      </c>
      <c r="D112" s="7">
        <v>1</v>
      </c>
      <c r="E112" s="7">
        <v>0.3</v>
      </c>
      <c r="F112" s="7">
        <v>0.35</v>
      </c>
    </row>
    <row r="113" spans="1:6" x14ac:dyDescent="0.2">
      <c r="A113" s="31" t="s">
        <v>156</v>
      </c>
      <c r="B113" s="8">
        <f>VLOOKUP($A113,'Exempt Non-managerial'!$A:$J,10,FALSE)+1</f>
        <v>0.97952933178044943</v>
      </c>
      <c r="C113" s="7">
        <v>0.85</v>
      </c>
      <c r="D113" s="7">
        <v>1</v>
      </c>
      <c r="E113" s="7">
        <v>0.3</v>
      </c>
      <c r="F113" s="7">
        <v>0.35</v>
      </c>
    </row>
    <row r="114" spans="1:6" x14ac:dyDescent="0.2">
      <c r="A114" s="2" t="s">
        <v>282</v>
      </c>
      <c r="B114" s="8">
        <f>VLOOKUP($A114,'Exempt Non-managerial'!$A:$J,10,FALSE)+1</f>
        <v>0.97826728501545346</v>
      </c>
      <c r="C114" s="7">
        <v>0.85</v>
      </c>
      <c r="D114" s="7">
        <v>1</v>
      </c>
      <c r="E114" s="7">
        <v>0.3</v>
      </c>
      <c r="F114" s="7">
        <v>0.35</v>
      </c>
    </row>
    <row r="115" spans="1:6" x14ac:dyDescent="0.2">
      <c r="A115" s="31" t="s">
        <v>97</v>
      </c>
      <c r="B115" s="8">
        <f>VLOOKUP($A115,'Exempt Non-managerial'!$A:$J,10,FALSE)+1</f>
        <v>0.97811711696418946</v>
      </c>
      <c r="C115" s="7">
        <v>0.85</v>
      </c>
      <c r="D115" s="7">
        <v>1</v>
      </c>
      <c r="E115" s="7">
        <v>0.3</v>
      </c>
      <c r="F115" s="7">
        <v>0.35</v>
      </c>
    </row>
    <row r="116" spans="1:6" x14ac:dyDescent="0.2">
      <c r="A116" s="31" t="s">
        <v>182</v>
      </c>
      <c r="B116" s="8">
        <f>VLOOKUP($A116,'Exempt Non-managerial'!$A:$J,10,FALSE)+1</f>
        <v>0.97796740586730291</v>
      </c>
      <c r="C116" s="7">
        <v>0.85</v>
      </c>
      <c r="D116" s="7">
        <v>1</v>
      </c>
      <c r="E116" s="7">
        <v>0.3</v>
      </c>
      <c r="F116" s="7">
        <v>0.35</v>
      </c>
    </row>
    <row r="117" spans="1:6" x14ac:dyDescent="0.2">
      <c r="A117" s="31" t="s">
        <v>141</v>
      </c>
      <c r="B117" s="8">
        <f>VLOOKUP($A117,'Exempt Non-managerial'!$A:$J,10,FALSE)+1</f>
        <v>0.97721225569303971</v>
      </c>
      <c r="C117" s="7">
        <v>0.85</v>
      </c>
      <c r="D117" s="7">
        <v>1</v>
      </c>
      <c r="E117" s="7">
        <v>0.3</v>
      </c>
      <c r="F117" s="7">
        <v>0.35</v>
      </c>
    </row>
    <row r="118" spans="1:6" x14ac:dyDescent="0.2">
      <c r="A118" s="31" t="s">
        <v>77</v>
      </c>
      <c r="B118" s="8">
        <f>VLOOKUP($A118,'Exempt Non-managerial'!$A:$J,10,FALSE)+1</f>
        <v>0.97596926058489952</v>
      </c>
      <c r="C118" s="7">
        <v>0.85</v>
      </c>
      <c r="D118" s="7">
        <v>1</v>
      </c>
      <c r="E118" s="7">
        <v>0.3</v>
      </c>
      <c r="F118" s="7">
        <v>0.35</v>
      </c>
    </row>
    <row r="119" spans="1:6" x14ac:dyDescent="0.2">
      <c r="A119" s="2" t="s">
        <v>278</v>
      </c>
      <c r="B119" s="8">
        <f>VLOOKUP($A119,'Exempt Non-managerial'!$A:$J,10,FALSE)+1</f>
        <v>0.97575046164971502</v>
      </c>
      <c r="C119" s="7">
        <v>0.85</v>
      </c>
      <c r="D119" s="7">
        <v>1</v>
      </c>
      <c r="E119" s="7">
        <v>0.3</v>
      </c>
      <c r="F119" s="7">
        <v>0.35</v>
      </c>
    </row>
    <row r="120" spans="1:6" x14ac:dyDescent="0.2">
      <c r="A120" s="31" t="s">
        <v>56</v>
      </c>
      <c r="B120" s="8">
        <f>VLOOKUP($A120,'Exempt Non-managerial'!$A:$J,10,FALSE)+1</f>
        <v>0.97567915669691474</v>
      </c>
      <c r="C120" s="7">
        <v>0.85</v>
      </c>
      <c r="D120" s="7">
        <v>1</v>
      </c>
      <c r="E120" s="7">
        <v>0.3</v>
      </c>
      <c r="F120" s="7">
        <v>0.35</v>
      </c>
    </row>
    <row r="121" spans="1:6" x14ac:dyDescent="0.2">
      <c r="A121" s="31" t="s">
        <v>35</v>
      </c>
      <c r="B121" s="8">
        <f>VLOOKUP($A121,'Exempt Non-managerial'!$A:$J,10,FALSE)+1</f>
        <v>0.9753218997027685</v>
      </c>
      <c r="C121" s="7">
        <v>0.85</v>
      </c>
      <c r="D121" s="7">
        <v>1</v>
      </c>
      <c r="E121" s="7">
        <v>0.3</v>
      </c>
      <c r="F121" s="7">
        <v>0.35</v>
      </c>
    </row>
    <row r="122" spans="1:6" x14ac:dyDescent="0.2">
      <c r="A122" s="31" t="s">
        <v>191</v>
      </c>
      <c r="B122" s="8">
        <f>VLOOKUP($A122,'Exempt Non-managerial'!$A:$J,10,FALSE)+1</f>
        <v>0.97385495472384043</v>
      </c>
      <c r="C122" s="7">
        <v>0.85</v>
      </c>
      <c r="D122" s="7">
        <v>1</v>
      </c>
      <c r="E122" s="7">
        <v>0.3</v>
      </c>
      <c r="F122" s="7">
        <v>0.35</v>
      </c>
    </row>
    <row r="123" spans="1:6" x14ac:dyDescent="0.2">
      <c r="A123" s="31" t="s">
        <v>64</v>
      </c>
      <c r="B123" s="8">
        <f>VLOOKUP($A123,'Exempt Non-managerial'!$A:$J,10,FALSE)+1</f>
        <v>0.9738334020811511</v>
      </c>
      <c r="C123" s="7">
        <v>0.85</v>
      </c>
      <c r="D123" s="7">
        <v>1</v>
      </c>
      <c r="E123" s="7">
        <v>0.3</v>
      </c>
      <c r="F123" s="7">
        <v>0.35</v>
      </c>
    </row>
    <row r="124" spans="1:6" x14ac:dyDescent="0.2">
      <c r="A124" s="31" t="s">
        <v>150</v>
      </c>
      <c r="B124" s="8">
        <f>VLOOKUP($A124,'Exempt Non-managerial'!$A:$J,10,FALSE)+1</f>
        <v>0.97214649797009967</v>
      </c>
      <c r="C124" s="7">
        <v>0.85</v>
      </c>
      <c r="D124" s="7">
        <v>1</v>
      </c>
      <c r="E124" s="7">
        <v>0.3</v>
      </c>
      <c r="F124" s="7">
        <v>0.35</v>
      </c>
    </row>
    <row r="125" spans="1:6" x14ac:dyDescent="0.2">
      <c r="A125" s="31" t="s">
        <v>312</v>
      </c>
      <c r="B125" s="8">
        <f>VLOOKUP($A125,'Exempt Non-managerial'!$A:$J,10,FALSE)+1</f>
        <v>0.97127174011645456</v>
      </c>
      <c r="C125" s="7">
        <v>0.85</v>
      </c>
      <c r="D125" s="7">
        <v>1</v>
      </c>
      <c r="E125" s="7">
        <v>0.3</v>
      </c>
      <c r="F125" s="7">
        <v>0.35</v>
      </c>
    </row>
    <row r="126" spans="1:6" x14ac:dyDescent="0.2">
      <c r="A126" s="31" t="s">
        <v>55</v>
      </c>
      <c r="B126" s="8">
        <f>VLOOKUP($A126,'Exempt Non-managerial'!$A:$J,10,FALSE)+1</f>
        <v>0.97080114229407222</v>
      </c>
      <c r="C126" s="7">
        <v>0.85</v>
      </c>
      <c r="D126" s="7">
        <v>1</v>
      </c>
      <c r="E126" s="7">
        <v>0.3</v>
      </c>
      <c r="F126" s="7">
        <v>0.35</v>
      </c>
    </row>
    <row r="127" spans="1:6" x14ac:dyDescent="0.2">
      <c r="A127" s="31" t="s">
        <v>203</v>
      </c>
      <c r="B127" s="8">
        <f>VLOOKUP($A127,'Exempt Non-managerial'!$A:$J,10,FALSE)+1</f>
        <v>0.97027549420537074</v>
      </c>
      <c r="C127" s="7">
        <v>0.85</v>
      </c>
      <c r="D127" s="7">
        <v>1</v>
      </c>
      <c r="E127" s="7">
        <v>0.3</v>
      </c>
      <c r="F127" s="7">
        <v>0.35</v>
      </c>
    </row>
    <row r="128" spans="1:6" x14ac:dyDescent="0.2">
      <c r="A128" s="31" t="s">
        <v>170</v>
      </c>
      <c r="B128" s="8">
        <f>VLOOKUP($A128,'Exempt Non-managerial'!$A:$J,10,FALSE)+1</f>
        <v>0.97020707627041902</v>
      </c>
      <c r="C128" s="7">
        <v>0.85</v>
      </c>
      <c r="D128" s="7">
        <v>1</v>
      </c>
      <c r="E128" s="7">
        <v>0.3</v>
      </c>
      <c r="F128" s="7">
        <v>0.35</v>
      </c>
    </row>
    <row r="129" spans="1:6" x14ac:dyDescent="0.2">
      <c r="A129" s="31" t="s">
        <v>168</v>
      </c>
      <c r="B129" s="8">
        <f>VLOOKUP($A129,'Exempt Non-managerial'!$A:$J,10,FALSE)+1</f>
        <v>0.96946823514707292</v>
      </c>
      <c r="C129" s="7">
        <v>0.85</v>
      </c>
      <c r="D129" s="7">
        <v>1</v>
      </c>
      <c r="E129" s="7">
        <v>0.3</v>
      </c>
      <c r="F129" s="7">
        <v>0.35</v>
      </c>
    </row>
    <row r="130" spans="1:6" x14ac:dyDescent="0.2">
      <c r="A130" s="31" t="s">
        <v>194</v>
      </c>
      <c r="B130" s="8">
        <f>VLOOKUP($A130,'Exempt Non-managerial'!$A:$J,10,FALSE)+1</f>
        <v>0.96889458628001246</v>
      </c>
      <c r="C130" s="7">
        <v>0.85</v>
      </c>
      <c r="D130" s="7">
        <v>1</v>
      </c>
      <c r="E130" s="7">
        <v>0.3</v>
      </c>
      <c r="F130" s="7">
        <v>0.35</v>
      </c>
    </row>
    <row r="131" spans="1:6" x14ac:dyDescent="0.2">
      <c r="A131" s="31" t="s">
        <v>84</v>
      </c>
      <c r="B131" s="8">
        <f>VLOOKUP($A131,'Exempt Non-managerial'!$A:$J,10,FALSE)+1</f>
        <v>0.96796525039347237</v>
      </c>
      <c r="C131" s="7">
        <v>0.85</v>
      </c>
      <c r="D131" s="7">
        <v>1</v>
      </c>
      <c r="E131" s="7">
        <v>0.3</v>
      </c>
      <c r="F131" s="7">
        <v>0.35</v>
      </c>
    </row>
    <row r="132" spans="1:6" x14ac:dyDescent="0.2">
      <c r="A132" s="2" t="s">
        <v>281</v>
      </c>
      <c r="B132" s="8">
        <f>VLOOKUP($A132,'Exempt Non-managerial'!$A:$J,10,FALSE)+1</f>
        <v>0.9678644727562975</v>
      </c>
      <c r="C132" s="7">
        <v>0.85</v>
      </c>
      <c r="D132" s="7">
        <v>1</v>
      </c>
      <c r="E132" s="7">
        <v>0.3</v>
      </c>
      <c r="F132" s="7">
        <v>0.35</v>
      </c>
    </row>
    <row r="133" spans="1:6" x14ac:dyDescent="0.2">
      <c r="A133" s="31" t="s">
        <v>88</v>
      </c>
      <c r="B133" s="8">
        <f>VLOOKUP($A133,'Exempt Non-managerial'!$A:$J,10,FALSE)+1</f>
        <v>0.9677655429960943</v>
      </c>
      <c r="C133" s="7">
        <v>0.85</v>
      </c>
      <c r="D133" s="7">
        <v>1</v>
      </c>
      <c r="E133" s="7">
        <v>0.3</v>
      </c>
      <c r="F133" s="7">
        <v>0.35</v>
      </c>
    </row>
    <row r="134" spans="1:6" x14ac:dyDescent="0.2">
      <c r="A134" s="31" t="s">
        <v>71</v>
      </c>
      <c r="B134" s="8">
        <f>VLOOKUP($A134,'Exempt Non-managerial'!$A:$J,10,FALSE)+1</f>
        <v>0.9667651052207169</v>
      </c>
      <c r="C134" s="7">
        <v>0.85</v>
      </c>
      <c r="D134" s="7">
        <v>1</v>
      </c>
      <c r="E134" s="7">
        <v>0.3</v>
      </c>
      <c r="F134" s="7">
        <v>0.35</v>
      </c>
    </row>
    <row r="135" spans="1:6" x14ac:dyDescent="0.2">
      <c r="A135" s="31" t="s">
        <v>86</v>
      </c>
      <c r="B135" s="8">
        <f>VLOOKUP($A135,'Exempt Non-managerial'!$A:$J,10,FALSE)+1</f>
        <v>0.96524906437233748</v>
      </c>
      <c r="C135" s="7">
        <v>0.85</v>
      </c>
      <c r="D135" s="7">
        <v>1</v>
      </c>
      <c r="E135" s="7">
        <v>0.3</v>
      </c>
      <c r="F135" s="7">
        <v>0.35</v>
      </c>
    </row>
    <row r="136" spans="1:6" x14ac:dyDescent="0.2">
      <c r="A136" s="31" t="s">
        <v>234</v>
      </c>
      <c r="B136" s="8">
        <f>VLOOKUP($A136,'Exempt Non-managerial'!$A:$J,10,FALSE)+1</f>
        <v>0.96414755446123834</v>
      </c>
      <c r="C136" s="7">
        <v>0.85</v>
      </c>
      <c r="D136" s="7">
        <v>1</v>
      </c>
      <c r="E136" s="7">
        <v>0.3</v>
      </c>
      <c r="F136" s="7">
        <v>0.35</v>
      </c>
    </row>
    <row r="137" spans="1:6" x14ac:dyDescent="0.2">
      <c r="A137" s="2" t="s">
        <v>289</v>
      </c>
      <c r="B137" s="8">
        <f>VLOOKUP($A137,'Exempt Non-managerial'!$A:$J,10,FALSE)+1</f>
        <v>0.96409858024929873</v>
      </c>
      <c r="C137" s="7">
        <v>0.85</v>
      </c>
      <c r="D137" s="7">
        <v>1</v>
      </c>
      <c r="E137" s="7">
        <v>0.3</v>
      </c>
      <c r="F137" s="7">
        <v>0.35</v>
      </c>
    </row>
    <row r="138" spans="1:6" x14ac:dyDescent="0.2">
      <c r="A138" s="2" t="s">
        <v>254</v>
      </c>
      <c r="B138" s="8">
        <f>VLOOKUP($A138,'Exempt Non-managerial'!$A:$J,10,FALSE)+1</f>
        <v>0.96333044111131438</v>
      </c>
      <c r="C138" s="7">
        <v>0.85</v>
      </c>
      <c r="D138" s="7">
        <v>1</v>
      </c>
      <c r="E138" s="7">
        <v>0.3</v>
      </c>
      <c r="F138" s="7">
        <v>0.35</v>
      </c>
    </row>
    <row r="139" spans="1:6" x14ac:dyDescent="0.2">
      <c r="A139" s="31" t="s">
        <v>120</v>
      </c>
      <c r="B139" s="8">
        <f>VLOOKUP($A139,'Exempt Non-managerial'!$A:$J,10,FALSE)+1</f>
        <v>0.96247315087463792</v>
      </c>
      <c r="C139" s="7">
        <v>0.85</v>
      </c>
      <c r="D139" s="7">
        <v>1</v>
      </c>
      <c r="E139" s="7">
        <v>0.3</v>
      </c>
      <c r="F139" s="7">
        <v>0.35</v>
      </c>
    </row>
    <row r="140" spans="1:6" x14ac:dyDescent="0.2">
      <c r="A140" s="2" t="s">
        <v>293</v>
      </c>
      <c r="B140" s="8">
        <f>VLOOKUP($A140,'Exempt Non-managerial'!$A:$J,10,FALSE)+1</f>
        <v>0.96168787526507449</v>
      </c>
      <c r="C140" s="7">
        <v>0.85</v>
      </c>
      <c r="D140" s="7">
        <v>1</v>
      </c>
      <c r="E140" s="7">
        <v>0.3</v>
      </c>
      <c r="F140" s="7">
        <v>0.35</v>
      </c>
    </row>
    <row r="141" spans="1:6" x14ac:dyDescent="0.2">
      <c r="A141" s="2" t="s">
        <v>265</v>
      </c>
      <c r="B141" s="8">
        <f>VLOOKUP($A141,'Exempt Non-managerial'!$A:$J,10,FALSE)+1</f>
        <v>0.96147991368590313</v>
      </c>
      <c r="C141" s="7">
        <v>0.85</v>
      </c>
      <c r="D141" s="7">
        <v>1</v>
      </c>
      <c r="E141" s="7">
        <v>0.3</v>
      </c>
      <c r="F141" s="7">
        <v>0.35</v>
      </c>
    </row>
    <row r="142" spans="1:6" x14ac:dyDescent="0.2">
      <c r="A142" s="31" t="s">
        <v>214</v>
      </c>
      <c r="B142" s="8">
        <f>VLOOKUP($A142,'Exempt Non-managerial'!$A:$J,10,FALSE)+1</f>
        <v>0.95989177271258563</v>
      </c>
      <c r="C142" s="7">
        <v>0.85</v>
      </c>
      <c r="D142" s="7">
        <v>1</v>
      </c>
      <c r="E142" s="7">
        <v>0.3</v>
      </c>
      <c r="F142" s="7">
        <v>0.35</v>
      </c>
    </row>
    <row r="143" spans="1:6" x14ac:dyDescent="0.2">
      <c r="A143" s="31" t="s">
        <v>195</v>
      </c>
      <c r="B143" s="8">
        <f>VLOOKUP($A143,'Exempt Non-managerial'!$A:$J,10,FALSE)+1</f>
        <v>0.95975325348953655</v>
      </c>
      <c r="C143" s="7">
        <v>0.85</v>
      </c>
      <c r="D143" s="7">
        <v>1</v>
      </c>
      <c r="E143" s="7">
        <v>0.3</v>
      </c>
      <c r="F143" s="7">
        <v>0.35</v>
      </c>
    </row>
    <row r="144" spans="1:6" x14ac:dyDescent="0.2">
      <c r="A144" s="31" t="s">
        <v>317</v>
      </c>
      <c r="B144" s="8">
        <f>VLOOKUP($A144,'Exempt Non-managerial'!$A:$J,10,FALSE)+1</f>
        <v>0.95909844110712117</v>
      </c>
      <c r="C144" s="7">
        <v>0.85</v>
      </c>
      <c r="D144" s="7">
        <v>1</v>
      </c>
      <c r="E144" s="7">
        <v>0.3</v>
      </c>
      <c r="F144" s="7">
        <v>0.35</v>
      </c>
    </row>
    <row r="145" spans="1:6" x14ac:dyDescent="0.2">
      <c r="A145" s="31" t="s">
        <v>206</v>
      </c>
      <c r="B145" s="8">
        <f>VLOOKUP($A145,'Exempt Non-managerial'!$A:$J,10,FALSE)+1</f>
        <v>0.95612900116960886</v>
      </c>
      <c r="C145" s="7">
        <v>0.85</v>
      </c>
      <c r="D145" s="7">
        <v>1</v>
      </c>
      <c r="E145" s="7">
        <v>0.3</v>
      </c>
      <c r="F145" s="7">
        <v>0.35</v>
      </c>
    </row>
    <row r="146" spans="1:6" x14ac:dyDescent="0.2">
      <c r="A146" s="31" t="s">
        <v>70</v>
      </c>
      <c r="B146" s="8">
        <f>VLOOKUP($A146,'Exempt Non-managerial'!$A:$J,10,FALSE)+1</f>
        <v>0.95612516390504232</v>
      </c>
      <c r="C146" s="7">
        <v>0.85</v>
      </c>
      <c r="D146" s="7">
        <v>1</v>
      </c>
      <c r="E146" s="7">
        <v>0.3</v>
      </c>
      <c r="F146" s="7">
        <v>0.35</v>
      </c>
    </row>
    <row r="147" spans="1:6" x14ac:dyDescent="0.2">
      <c r="A147" s="31" t="s">
        <v>62</v>
      </c>
      <c r="B147" s="8">
        <f>VLOOKUP($A147,'Exempt Non-managerial'!$A:$J,10,FALSE)+1</f>
        <v>0.95541494022128548</v>
      </c>
      <c r="C147" s="7">
        <v>0.85</v>
      </c>
      <c r="D147" s="7">
        <v>1</v>
      </c>
      <c r="E147" s="7">
        <v>0.3</v>
      </c>
      <c r="F147" s="7">
        <v>0.35</v>
      </c>
    </row>
    <row r="148" spans="1:6" x14ac:dyDescent="0.2">
      <c r="A148" s="31" t="s">
        <v>311</v>
      </c>
      <c r="B148" s="8">
        <f>VLOOKUP($A148,'Exempt Non-managerial'!$A:$J,10,FALSE)+1</f>
        <v>0.95473744231263258</v>
      </c>
      <c r="C148" s="7">
        <v>0.85</v>
      </c>
      <c r="D148" s="7">
        <v>1</v>
      </c>
      <c r="E148" s="7">
        <v>0.3</v>
      </c>
      <c r="F148" s="7">
        <v>0.35</v>
      </c>
    </row>
    <row r="149" spans="1:6" x14ac:dyDescent="0.2">
      <c r="A149" s="31" t="s">
        <v>192</v>
      </c>
      <c r="B149" s="8">
        <f>VLOOKUP($A149,'Exempt Non-managerial'!$A:$J,10,FALSE)+1</f>
        <v>0.9546357913098793</v>
      </c>
      <c r="C149" s="7">
        <v>0.85</v>
      </c>
      <c r="D149" s="7">
        <v>1</v>
      </c>
      <c r="E149" s="7">
        <v>0.3</v>
      </c>
      <c r="F149" s="7">
        <v>0.35</v>
      </c>
    </row>
    <row r="150" spans="1:6" x14ac:dyDescent="0.2">
      <c r="A150" s="31" t="s">
        <v>58</v>
      </c>
      <c r="B150" s="8">
        <f>VLOOKUP($A150,'Exempt Non-managerial'!$A:$J,10,FALSE)+1</f>
        <v>0.95430367860160714</v>
      </c>
      <c r="C150" s="7">
        <v>0.85</v>
      </c>
      <c r="D150" s="7">
        <v>1</v>
      </c>
      <c r="E150" s="7">
        <v>0.3</v>
      </c>
      <c r="F150" s="7">
        <v>0.35</v>
      </c>
    </row>
    <row r="151" spans="1:6" x14ac:dyDescent="0.2">
      <c r="A151" s="2" t="s">
        <v>305</v>
      </c>
      <c r="B151" s="8">
        <f>VLOOKUP($A151,'Exempt Non-managerial'!$A:$J,10,FALSE)+1</f>
        <v>0.95420694752930402</v>
      </c>
      <c r="C151" s="7">
        <v>0.85</v>
      </c>
      <c r="D151" s="7">
        <v>1</v>
      </c>
      <c r="E151" s="7">
        <v>0.3</v>
      </c>
      <c r="F151" s="7">
        <v>0.35</v>
      </c>
    </row>
    <row r="152" spans="1:6" x14ac:dyDescent="0.2">
      <c r="A152" s="31" t="s">
        <v>313</v>
      </c>
      <c r="B152" s="8">
        <f>VLOOKUP($A152,'Exempt Non-managerial'!$A:$J,10,FALSE)+1</f>
        <v>0.95363202471654607</v>
      </c>
      <c r="C152" s="7">
        <v>0.85</v>
      </c>
      <c r="D152" s="7">
        <v>1</v>
      </c>
      <c r="E152" s="7">
        <v>0.3</v>
      </c>
      <c r="F152" s="7">
        <v>0.35</v>
      </c>
    </row>
    <row r="153" spans="1:6" x14ac:dyDescent="0.2">
      <c r="A153" s="31" t="s">
        <v>52</v>
      </c>
      <c r="B153" s="8">
        <f>VLOOKUP($A153,'Exempt Non-managerial'!$A:$J,10,FALSE)+1</f>
        <v>0.95313945431244218</v>
      </c>
      <c r="C153" s="7">
        <v>0.85</v>
      </c>
      <c r="D153" s="7">
        <v>1</v>
      </c>
      <c r="E153" s="7">
        <v>0.3</v>
      </c>
      <c r="F153" s="7">
        <v>0.35</v>
      </c>
    </row>
    <row r="154" spans="1:6" x14ac:dyDescent="0.2">
      <c r="A154" s="2" t="s">
        <v>251</v>
      </c>
      <c r="B154" s="8">
        <f>VLOOKUP($A154,'Exempt Non-managerial'!$A:$J,10,FALSE)+1</f>
        <v>0.95296712728140509</v>
      </c>
      <c r="C154" s="7">
        <v>0.85</v>
      </c>
      <c r="D154" s="7">
        <v>1</v>
      </c>
      <c r="E154" s="7">
        <v>0.3</v>
      </c>
      <c r="F154" s="7">
        <v>0.35</v>
      </c>
    </row>
    <row r="155" spans="1:6" x14ac:dyDescent="0.2">
      <c r="A155" s="31" t="s">
        <v>118</v>
      </c>
      <c r="B155" s="8">
        <f>VLOOKUP($A155,'Exempt Non-managerial'!$A:$J,10,FALSE)+1</f>
        <v>0.95089549312795796</v>
      </c>
      <c r="C155" s="7">
        <v>0.85</v>
      </c>
      <c r="D155" s="7">
        <v>1</v>
      </c>
      <c r="E155" s="7">
        <v>0.3</v>
      </c>
      <c r="F155" s="7">
        <v>0.35</v>
      </c>
    </row>
    <row r="156" spans="1:6" x14ac:dyDescent="0.2">
      <c r="A156" s="31" t="s">
        <v>190</v>
      </c>
      <c r="B156" s="8">
        <f>VLOOKUP($A156,'Exempt Non-managerial'!$A:$J,10,FALSE)+1</f>
        <v>0.95027307100290281</v>
      </c>
      <c r="C156" s="7">
        <v>0.85</v>
      </c>
      <c r="D156" s="7">
        <v>1</v>
      </c>
      <c r="E156" s="7">
        <v>0.3</v>
      </c>
      <c r="F156" s="7">
        <v>0.35</v>
      </c>
    </row>
    <row r="157" spans="1:6" x14ac:dyDescent="0.2">
      <c r="A157" s="31" t="s">
        <v>139</v>
      </c>
      <c r="B157" s="8">
        <f>VLOOKUP($A157,'Exempt Non-managerial'!$A:$J,10,FALSE)+1</f>
        <v>0.95008741196978175</v>
      </c>
      <c r="C157" s="7">
        <v>0.85</v>
      </c>
      <c r="D157" s="7">
        <v>1</v>
      </c>
      <c r="E157" s="7">
        <v>0.3</v>
      </c>
      <c r="F157" s="7">
        <v>0.35</v>
      </c>
    </row>
    <row r="158" spans="1:6" x14ac:dyDescent="0.2">
      <c r="A158" s="31" t="s">
        <v>110</v>
      </c>
      <c r="B158" s="8">
        <f>VLOOKUP($A158,'Exempt Non-managerial'!$A:$J,10,FALSE)+1</f>
        <v>0.94941558923691549</v>
      </c>
      <c r="C158" s="7">
        <v>0.85</v>
      </c>
      <c r="D158" s="7">
        <v>1</v>
      </c>
      <c r="E158" s="7">
        <v>0.3</v>
      </c>
      <c r="F158" s="7">
        <v>0.35</v>
      </c>
    </row>
    <row r="159" spans="1:6" x14ac:dyDescent="0.2">
      <c r="A159" s="31" t="s">
        <v>204</v>
      </c>
      <c r="B159" s="8">
        <f>VLOOKUP($A159,'Exempt Non-managerial'!$A:$J,10,FALSE)+1</f>
        <v>0.94915442257415483</v>
      </c>
      <c r="C159" s="7">
        <v>0.85</v>
      </c>
      <c r="D159" s="7">
        <v>1</v>
      </c>
      <c r="E159" s="7">
        <v>0.3</v>
      </c>
      <c r="F159" s="7">
        <v>0.35</v>
      </c>
    </row>
    <row r="160" spans="1:6" x14ac:dyDescent="0.2">
      <c r="A160" s="31" t="s">
        <v>63</v>
      </c>
      <c r="B160" s="8">
        <f>VLOOKUP($A160,'Exempt Non-managerial'!$A:$J,10,FALSE)+1</f>
        <v>0.94790168674425557</v>
      </c>
      <c r="C160" s="7">
        <v>0.85</v>
      </c>
      <c r="D160" s="7">
        <v>1</v>
      </c>
      <c r="E160" s="7">
        <v>0.3</v>
      </c>
      <c r="F160" s="7">
        <v>0.35</v>
      </c>
    </row>
    <row r="161" spans="1:6" x14ac:dyDescent="0.2">
      <c r="A161" s="31" t="s">
        <v>189</v>
      </c>
      <c r="B161" s="8">
        <f>VLOOKUP($A161,'Exempt Non-managerial'!$A:$J,10,FALSE)+1</f>
        <v>0.94662238679732003</v>
      </c>
      <c r="C161" s="7">
        <v>0.85</v>
      </c>
      <c r="D161" s="7">
        <v>1</v>
      </c>
      <c r="E161" s="7">
        <v>0.3</v>
      </c>
      <c r="F161" s="7">
        <v>0.35</v>
      </c>
    </row>
    <row r="162" spans="1:6" x14ac:dyDescent="0.2">
      <c r="A162" s="31" t="s">
        <v>198</v>
      </c>
      <c r="B162" s="8">
        <f>VLOOKUP($A162,'Exempt Non-managerial'!$A:$J,10,FALSE)+1</f>
        <v>0.94565814069089815</v>
      </c>
      <c r="C162" s="7">
        <v>0.85</v>
      </c>
      <c r="D162" s="7">
        <v>1</v>
      </c>
      <c r="E162" s="7">
        <v>0.3</v>
      </c>
      <c r="F162" s="7">
        <v>0.35</v>
      </c>
    </row>
    <row r="163" spans="1:6" x14ac:dyDescent="0.2">
      <c r="A163" s="31" t="s">
        <v>31</v>
      </c>
      <c r="B163" s="8">
        <f>VLOOKUP($A163,'Exempt Non-managerial'!$A:$J,10,FALSE)+1</f>
        <v>0.9456513948134655</v>
      </c>
      <c r="C163" s="7">
        <v>0.85</v>
      </c>
      <c r="D163" s="7">
        <v>1</v>
      </c>
      <c r="E163" s="7">
        <v>0.3</v>
      </c>
      <c r="F163" s="7">
        <v>0.35</v>
      </c>
    </row>
    <row r="164" spans="1:6" x14ac:dyDescent="0.2">
      <c r="A164" s="31" t="s">
        <v>34</v>
      </c>
      <c r="B164" s="8">
        <f>VLOOKUP($A164,'Exempt Non-managerial'!$A:$J,10,FALSE)+1</f>
        <v>0.94459618863978145</v>
      </c>
      <c r="C164" s="7">
        <v>0.85</v>
      </c>
      <c r="D164" s="7">
        <v>1</v>
      </c>
      <c r="E164" s="7">
        <v>0.3</v>
      </c>
      <c r="F164" s="7">
        <v>0.35</v>
      </c>
    </row>
    <row r="165" spans="1:6" x14ac:dyDescent="0.2">
      <c r="A165" s="31" t="s">
        <v>116</v>
      </c>
      <c r="B165" s="8">
        <f>VLOOKUP($A165,'Exempt Non-managerial'!$A:$J,10,FALSE)+1</f>
        <v>0.94238005419061421</v>
      </c>
      <c r="C165" s="7">
        <v>0.85</v>
      </c>
      <c r="D165" s="7">
        <v>1</v>
      </c>
      <c r="E165" s="7">
        <v>0.3</v>
      </c>
      <c r="F165" s="7">
        <v>0.35</v>
      </c>
    </row>
    <row r="166" spans="1:6" x14ac:dyDescent="0.2">
      <c r="A166" s="31" t="s">
        <v>26</v>
      </c>
      <c r="B166" s="8">
        <f>VLOOKUP($A166,'Exempt Non-managerial'!$A:$J,10,FALSE)+1</f>
        <v>0.9418031210807013</v>
      </c>
      <c r="C166" s="7">
        <v>0.85</v>
      </c>
      <c r="D166" s="7">
        <v>1</v>
      </c>
      <c r="E166" s="7">
        <v>0.3</v>
      </c>
      <c r="F166" s="7">
        <v>0.35</v>
      </c>
    </row>
    <row r="167" spans="1:6" x14ac:dyDescent="0.2">
      <c r="A167" s="31" t="s">
        <v>316</v>
      </c>
      <c r="B167" s="8">
        <f>VLOOKUP($A167,'Exempt Non-managerial'!$A:$J,10,FALSE)+1</f>
        <v>0.94155009247843169</v>
      </c>
      <c r="C167" s="7">
        <v>0.85</v>
      </c>
      <c r="D167" s="7">
        <v>1</v>
      </c>
      <c r="E167" s="7">
        <v>0.3</v>
      </c>
      <c r="F167" s="7">
        <v>0.35</v>
      </c>
    </row>
    <row r="168" spans="1:6" x14ac:dyDescent="0.2">
      <c r="A168" s="31" t="s">
        <v>163</v>
      </c>
      <c r="B168" s="8">
        <f>VLOOKUP($A168,'Exempt Non-managerial'!$A:$J,10,FALSE)+1</f>
        <v>0.94055489172732676</v>
      </c>
      <c r="C168" s="7">
        <v>0.85</v>
      </c>
      <c r="D168" s="7">
        <v>1</v>
      </c>
      <c r="E168" s="7">
        <v>0.3</v>
      </c>
      <c r="F168" s="7">
        <v>0.35</v>
      </c>
    </row>
    <row r="169" spans="1:6" x14ac:dyDescent="0.2">
      <c r="A169" s="2" t="s">
        <v>249</v>
      </c>
      <c r="B169" s="8">
        <f>VLOOKUP($A169,'Exempt Non-managerial'!$A:$J,10,FALSE)+1</f>
        <v>0.93968178221580789</v>
      </c>
      <c r="C169" s="7">
        <v>0.85</v>
      </c>
      <c r="D169" s="7">
        <v>1</v>
      </c>
      <c r="E169" s="7">
        <v>0.3</v>
      </c>
      <c r="F169" s="7">
        <v>0.35</v>
      </c>
    </row>
    <row r="170" spans="1:6" x14ac:dyDescent="0.2">
      <c r="A170" s="31" t="s">
        <v>82</v>
      </c>
      <c r="B170" s="8">
        <f>VLOOKUP($A170,'Exempt Non-managerial'!$A:$J,10,FALSE)+1</f>
        <v>0.93817155166449295</v>
      </c>
      <c r="C170" s="7">
        <v>0.85</v>
      </c>
      <c r="D170" s="7">
        <v>1</v>
      </c>
      <c r="E170" s="7">
        <v>0.3</v>
      </c>
      <c r="F170" s="7">
        <v>0.35</v>
      </c>
    </row>
    <row r="171" spans="1:6" x14ac:dyDescent="0.2">
      <c r="A171" s="31" t="s">
        <v>217</v>
      </c>
      <c r="B171" s="8">
        <f>VLOOKUP($A171,'Exempt Non-managerial'!$A:$J,10,FALSE)+1</f>
        <v>0.93752864111632772</v>
      </c>
      <c r="C171" s="7">
        <v>0.85</v>
      </c>
      <c r="D171" s="7">
        <v>1</v>
      </c>
      <c r="E171" s="7">
        <v>0.3</v>
      </c>
      <c r="F171" s="7">
        <v>0.35</v>
      </c>
    </row>
    <row r="172" spans="1:6" x14ac:dyDescent="0.2">
      <c r="A172" s="2" t="s">
        <v>267</v>
      </c>
      <c r="B172" s="8">
        <f>VLOOKUP($A172,'Exempt Non-managerial'!$A:$J,10,FALSE)+1</f>
        <v>0.93721151938360092</v>
      </c>
      <c r="C172" s="7">
        <v>0.85</v>
      </c>
      <c r="D172" s="7">
        <v>1</v>
      </c>
      <c r="E172" s="7">
        <v>0.3</v>
      </c>
      <c r="F172" s="7">
        <v>0.35</v>
      </c>
    </row>
    <row r="173" spans="1:6" x14ac:dyDescent="0.2">
      <c r="A173" s="31" t="s">
        <v>184</v>
      </c>
      <c r="B173" s="8">
        <f>VLOOKUP($A173,'Exempt Non-managerial'!$A:$J,10,FALSE)+1</f>
        <v>0.93577388920099336</v>
      </c>
      <c r="C173" s="7">
        <v>0.85</v>
      </c>
      <c r="D173" s="7">
        <v>1</v>
      </c>
      <c r="E173" s="7">
        <v>0.3</v>
      </c>
      <c r="F173" s="7">
        <v>0.35</v>
      </c>
    </row>
    <row r="174" spans="1:6" x14ac:dyDescent="0.2">
      <c r="A174" s="31" t="s">
        <v>138</v>
      </c>
      <c r="B174" s="8">
        <f>VLOOKUP($A174,'Exempt Non-managerial'!$A:$J,10,FALSE)+1</f>
        <v>0.93576111233888737</v>
      </c>
      <c r="C174" s="7">
        <v>0.85</v>
      </c>
      <c r="D174" s="7">
        <v>1</v>
      </c>
      <c r="E174" s="7">
        <v>0.3</v>
      </c>
      <c r="F174" s="7">
        <v>0.35</v>
      </c>
    </row>
    <row r="175" spans="1:6" x14ac:dyDescent="0.2">
      <c r="A175" s="31" t="s">
        <v>46</v>
      </c>
      <c r="B175" s="8">
        <f>VLOOKUP($A175,'Exempt Non-managerial'!$A:$J,10,FALSE)+1</f>
        <v>0.93543732593448292</v>
      </c>
      <c r="C175" s="7">
        <v>0.85</v>
      </c>
      <c r="D175" s="7">
        <v>1</v>
      </c>
      <c r="E175" s="7">
        <v>0.3</v>
      </c>
      <c r="F175" s="7">
        <v>0.35</v>
      </c>
    </row>
    <row r="176" spans="1:6" x14ac:dyDescent="0.2">
      <c r="A176" s="31" t="s">
        <v>188</v>
      </c>
      <c r="B176" s="8">
        <f>VLOOKUP($A176,'Exempt Non-managerial'!$A:$J,10,FALSE)+1</f>
        <v>0.93433819028917187</v>
      </c>
      <c r="C176" s="7">
        <v>0.85</v>
      </c>
      <c r="D176" s="7">
        <v>1</v>
      </c>
      <c r="E176" s="7">
        <v>0.3</v>
      </c>
      <c r="F176" s="7">
        <v>0.35</v>
      </c>
    </row>
    <row r="177" spans="1:6" x14ac:dyDescent="0.2">
      <c r="A177" s="31" t="s">
        <v>314</v>
      </c>
      <c r="B177" s="8">
        <f>VLOOKUP($A177,'Exempt Non-managerial'!$A:$J,10,FALSE)+1</f>
        <v>0.93402161860328037</v>
      </c>
      <c r="C177" s="7">
        <v>0.85</v>
      </c>
      <c r="D177" s="7">
        <v>1</v>
      </c>
      <c r="E177" s="7">
        <v>0.3</v>
      </c>
      <c r="F177" s="7">
        <v>0.35</v>
      </c>
    </row>
    <row r="178" spans="1:6" x14ac:dyDescent="0.2">
      <c r="A178" s="31" t="s">
        <v>183</v>
      </c>
      <c r="B178" s="8">
        <f>VLOOKUP($A178,'Exempt Non-managerial'!$A:$J,10,FALSE)+1</f>
        <v>0.93368536066946162</v>
      </c>
      <c r="C178" s="7">
        <v>0.85</v>
      </c>
      <c r="D178" s="7">
        <v>1</v>
      </c>
      <c r="E178" s="7">
        <v>0.3</v>
      </c>
      <c r="F178" s="7">
        <v>0.35</v>
      </c>
    </row>
    <row r="179" spans="1:6" x14ac:dyDescent="0.2">
      <c r="A179" s="2" t="s">
        <v>270</v>
      </c>
      <c r="B179" s="8">
        <f>VLOOKUP($A179,'Exempt Non-managerial'!$A:$J,10,FALSE)+1</f>
        <v>0.93122280137297708</v>
      </c>
      <c r="C179" s="7">
        <v>0.85</v>
      </c>
      <c r="D179" s="7">
        <v>1</v>
      </c>
      <c r="E179" s="7">
        <v>0.3</v>
      </c>
      <c r="F179" s="7">
        <v>0.35</v>
      </c>
    </row>
    <row r="180" spans="1:6" x14ac:dyDescent="0.2">
      <c r="A180" s="31" t="s">
        <v>109</v>
      </c>
      <c r="B180" s="8">
        <f>VLOOKUP($A180,'Exempt Non-managerial'!$A:$J,10,FALSE)+1</f>
        <v>0.93107600985614747</v>
      </c>
      <c r="C180" s="7">
        <v>0.85</v>
      </c>
      <c r="D180" s="7">
        <v>1</v>
      </c>
      <c r="E180" s="7">
        <v>0.3</v>
      </c>
      <c r="F180" s="7">
        <v>0.35</v>
      </c>
    </row>
    <row r="181" spans="1:6" x14ac:dyDescent="0.2">
      <c r="A181" s="31" t="s">
        <v>199</v>
      </c>
      <c r="B181" s="8">
        <f>VLOOKUP($A181,'Exempt Non-managerial'!$A:$J,10,FALSE)+1</f>
        <v>0.92955966505792209</v>
      </c>
      <c r="C181" s="7">
        <v>0.85</v>
      </c>
      <c r="D181" s="7">
        <v>1</v>
      </c>
      <c r="E181" s="7">
        <v>0.3</v>
      </c>
      <c r="F181" s="7">
        <v>0.35</v>
      </c>
    </row>
    <row r="182" spans="1:6" x14ac:dyDescent="0.2">
      <c r="A182" s="31" t="s">
        <v>236</v>
      </c>
      <c r="B182" s="8">
        <f>VLOOKUP($A182,'Exempt Non-managerial'!$A:$J,10,FALSE)+1</f>
        <v>0.92950494270580519</v>
      </c>
      <c r="C182" s="7">
        <v>0.85</v>
      </c>
      <c r="D182" s="7">
        <v>1</v>
      </c>
      <c r="E182" s="7">
        <v>0.3</v>
      </c>
      <c r="F182" s="7">
        <v>0.35</v>
      </c>
    </row>
    <row r="183" spans="1:6" x14ac:dyDescent="0.2">
      <c r="A183" s="31" t="s">
        <v>219</v>
      </c>
      <c r="B183" s="8">
        <f>VLOOKUP($A183,'Exempt Non-managerial'!$A:$J,10,FALSE)+1</f>
        <v>0.92915355661455457</v>
      </c>
      <c r="C183" s="7">
        <v>0.85</v>
      </c>
      <c r="D183" s="7">
        <v>1</v>
      </c>
      <c r="E183" s="7">
        <v>0.3</v>
      </c>
      <c r="F183" s="7">
        <v>0.35</v>
      </c>
    </row>
    <row r="184" spans="1:6" x14ac:dyDescent="0.2">
      <c r="A184" s="31" t="s">
        <v>119</v>
      </c>
      <c r="B184" s="8">
        <f>VLOOKUP($A184,'Exempt Non-managerial'!$A:$J,10,FALSE)+1</f>
        <v>0.92753345247172747</v>
      </c>
      <c r="C184" s="7">
        <v>0.85</v>
      </c>
      <c r="D184" s="7">
        <v>1</v>
      </c>
      <c r="E184" s="7">
        <v>0.3</v>
      </c>
      <c r="F184" s="7">
        <v>0.35</v>
      </c>
    </row>
    <row r="185" spans="1:6" x14ac:dyDescent="0.2">
      <c r="A185" s="31" t="s">
        <v>42</v>
      </c>
      <c r="B185" s="8">
        <f>VLOOKUP($A185,'Exempt Non-managerial'!$A:$J,10,FALSE)+1</f>
        <v>0.92575925226597411</v>
      </c>
      <c r="C185" s="7">
        <v>0.85</v>
      </c>
      <c r="D185" s="7">
        <v>1</v>
      </c>
      <c r="E185" s="7">
        <v>0.3</v>
      </c>
      <c r="F185" s="7">
        <v>0.35</v>
      </c>
    </row>
    <row r="186" spans="1:6" x14ac:dyDescent="0.2">
      <c r="A186" s="31" t="s">
        <v>222</v>
      </c>
      <c r="B186" s="8">
        <f>VLOOKUP($A186,'Exempt Non-managerial'!$A:$J,10,FALSE)+1</f>
        <v>0.92567644139863603</v>
      </c>
      <c r="C186" s="7">
        <v>0.85</v>
      </c>
      <c r="D186" s="7">
        <v>1</v>
      </c>
      <c r="E186" s="7">
        <v>0.3</v>
      </c>
      <c r="F186" s="7">
        <v>0.35</v>
      </c>
    </row>
    <row r="187" spans="1:6" x14ac:dyDescent="0.2">
      <c r="A187" s="2" t="s">
        <v>256</v>
      </c>
      <c r="B187" s="8">
        <f>VLOOKUP($A187,'Exempt Non-managerial'!$A:$J,10,FALSE)+1</f>
        <v>0.92501851792847978</v>
      </c>
      <c r="C187" s="7">
        <v>0.85</v>
      </c>
      <c r="D187" s="7">
        <v>1</v>
      </c>
      <c r="E187" s="7">
        <v>0.3</v>
      </c>
      <c r="F187" s="7">
        <v>0.35</v>
      </c>
    </row>
    <row r="188" spans="1:6" x14ac:dyDescent="0.2">
      <c r="A188" s="31" t="s">
        <v>111</v>
      </c>
      <c r="B188" s="8">
        <f>VLOOKUP($A188,'Exempt Non-managerial'!$A:$J,10,FALSE)+1</f>
        <v>0.92477028398078809</v>
      </c>
      <c r="C188" s="7">
        <v>0.85</v>
      </c>
      <c r="D188" s="7">
        <v>1</v>
      </c>
      <c r="E188" s="7">
        <v>0.3</v>
      </c>
      <c r="F188" s="7">
        <v>0.35</v>
      </c>
    </row>
    <row r="189" spans="1:6" x14ac:dyDescent="0.2">
      <c r="A189" s="2" t="s">
        <v>303</v>
      </c>
      <c r="B189" s="8">
        <f>VLOOKUP($A189,'Exempt Non-managerial'!$A:$J,10,FALSE)+1</f>
        <v>0.92401652390968991</v>
      </c>
      <c r="C189" s="7">
        <v>0.85</v>
      </c>
      <c r="D189" s="7">
        <v>1</v>
      </c>
      <c r="E189" s="7">
        <v>0.3</v>
      </c>
      <c r="F189" s="7">
        <v>0.35</v>
      </c>
    </row>
    <row r="190" spans="1:6" x14ac:dyDescent="0.2">
      <c r="A190" s="31" t="s">
        <v>151</v>
      </c>
      <c r="B190" s="8">
        <f>VLOOKUP($A190,'Exempt Non-managerial'!$A:$J,10,FALSE)+1</f>
        <v>0.9233076469417022</v>
      </c>
      <c r="C190" s="7">
        <v>0.85</v>
      </c>
      <c r="D190" s="7">
        <v>1</v>
      </c>
      <c r="E190" s="7">
        <v>0.3</v>
      </c>
      <c r="F190" s="7">
        <v>0.35</v>
      </c>
    </row>
    <row r="191" spans="1:6" x14ac:dyDescent="0.2">
      <c r="A191" s="31" t="s">
        <v>220</v>
      </c>
      <c r="B191" s="8">
        <f>VLOOKUP($A191,'Exempt Non-managerial'!$A:$J,10,FALSE)+1</f>
        <v>0.92265290672798916</v>
      </c>
      <c r="C191" s="7">
        <v>0.85</v>
      </c>
      <c r="D191" s="7">
        <v>1</v>
      </c>
      <c r="E191" s="7">
        <v>0.3</v>
      </c>
      <c r="F191" s="7">
        <v>0.35</v>
      </c>
    </row>
    <row r="192" spans="1:6" x14ac:dyDescent="0.2">
      <c r="A192" s="31" t="s">
        <v>43</v>
      </c>
      <c r="B192" s="8">
        <f>VLOOKUP($A192,'Exempt Non-managerial'!$A:$J,10,FALSE)+1</f>
        <v>0.92185045151805889</v>
      </c>
      <c r="C192" s="7">
        <v>0.85</v>
      </c>
      <c r="D192" s="7">
        <v>1</v>
      </c>
      <c r="E192" s="7">
        <v>0.3</v>
      </c>
      <c r="F192" s="7">
        <v>0.35</v>
      </c>
    </row>
    <row r="193" spans="1:6" x14ac:dyDescent="0.2">
      <c r="A193" s="31" t="s">
        <v>38</v>
      </c>
      <c r="B193" s="8">
        <f>VLOOKUP($A193,'Exempt Non-managerial'!$A:$J,10,FALSE)+1</f>
        <v>0.92161310522032802</v>
      </c>
      <c r="C193" s="7">
        <v>0.85</v>
      </c>
      <c r="D193" s="7">
        <v>1</v>
      </c>
      <c r="E193" s="7">
        <v>0.3</v>
      </c>
      <c r="F193" s="7">
        <v>0.35</v>
      </c>
    </row>
    <row r="194" spans="1:6" x14ac:dyDescent="0.2">
      <c r="A194" s="31" t="s">
        <v>233</v>
      </c>
      <c r="B194" s="8">
        <f>VLOOKUP($A194,'Exempt Non-managerial'!$A:$J,10,FALSE)+1</f>
        <v>0.92140232967797298</v>
      </c>
      <c r="C194" s="7">
        <v>0.85</v>
      </c>
      <c r="D194" s="7">
        <v>1</v>
      </c>
      <c r="E194" s="7">
        <v>0.3</v>
      </c>
      <c r="F194" s="7">
        <v>0.35</v>
      </c>
    </row>
    <row r="195" spans="1:6" x14ac:dyDescent="0.2">
      <c r="A195" s="2" t="s">
        <v>250</v>
      </c>
      <c r="B195" s="8">
        <f>VLOOKUP($A195,'Exempt Non-managerial'!$A:$J,10,FALSE)+1</f>
        <v>0.92124197672155517</v>
      </c>
      <c r="C195" s="7">
        <v>0.85</v>
      </c>
      <c r="D195" s="7">
        <v>1</v>
      </c>
      <c r="E195" s="7">
        <v>0.3</v>
      </c>
      <c r="F195" s="7">
        <v>0.35</v>
      </c>
    </row>
    <row r="196" spans="1:6" x14ac:dyDescent="0.2">
      <c r="A196" s="31" t="s">
        <v>114</v>
      </c>
      <c r="B196" s="8">
        <f>VLOOKUP($A196,'Exempt Non-managerial'!$A:$J,10,FALSE)+1</f>
        <v>0.9203359146386525</v>
      </c>
      <c r="C196" s="7">
        <v>0.85</v>
      </c>
      <c r="D196" s="7">
        <v>1</v>
      </c>
      <c r="E196" s="7">
        <v>0.3</v>
      </c>
      <c r="F196" s="7">
        <v>0.35</v>
      </c>
    </row>
    <row r="197" spans="1:6" x14ac:dyDescent="0.2">
      <c r="A197" s="2" t="s">
        <v>273</v>
      </c>
      <c r="B197" s="8">
        <f>VLOOKUP($A197,'Exempt Non-managerial'!$A:$J,10,FALSE)+1</f>
        <v>0.91977494899030487</v>
      </c>
      <c r="C197" s="7">
        <v>0.85</v>
      </c>
      <c r="D197" s="7">
        <v>1</v>
      </c>
      <c r="E197" s="7">
        <v>0.3</v>
      </c>
      <c r="F197" s="7">
        <v>0.35</v>
      </c>
    </row>
    <row r="198" spans="1:6" x14ac:dyDescent="0.2">
      <c r="A198" s="31" t="s">
        <v>218</v>
      </c>
      <c r="B198" s="8">
        <f>VLOOKUP($A198,'Exempt Non-managerial'!$A:$J,10,FALSE)+1</f>
        <v>0.91864798487648158</v>
      </c>
      <c r="C198" s="7">
        <v>0.85</v>
      </c>
      <c r="D198" s="7">
        <v>1</v>
      </c>
      <c r="E198" s="7">
        <v>0.3</v>
      </c>
      <c r="F198" s="7">
        <v>0.35</v>
      </c>
    </row>
    <row r="199" spans="1:6" x14ac:dyDescent="0.2">
      <c r="A199" s="31" t="s">
        <v>200</v>
      </c>
      <c r="B199" s="8">
        <f>VLOOKUP($A199,'Exempt Non-managerial'!$A:$J,10,FALSE)+1</f>
        <v>0.91802776765082095</v>
      </c>
      <c r="C199" s="7">
        <v>0.85</v>
      </c>
      <c r="D199" s="7">
        <v>1</v>
      </c>
      <c r="E199" s="7">
        <v>0.3</v>
      </c>
      <c r="F199" s="7">
        <v>0.35</v>
      </c>
    </row>
    <row r="200" spans="1:6" x14ac:dyDescent="0.2">
      <c r="A200" s="31" t="s">
        <v>215</v>
      </c>
      <c r="B200" s="8">
        <f>VLOOKUP($A200,'Exempt Non-managerial'!$A:$J,10,FALSE)+1</f>
        <v>0.91677225951745933</v>
      </c>
      <c r="C200" s="7">
        <v>0.85</v>
      </c>
      <c r="D200" s="7">
        <v>1</v>
      </c>
      <c r="E200" s="7">
        <v>0.3</v>
      </c>
      <c r="F200" s="7">
        <v>0.35</v>
      </c>
    </row>
    <row r="201" spans="1:6" x14ac:dyDescent="0.2">
      <c r="A201" s="31" t="s">
        <v>54</v>
      </c>
      <c r="B201" s="8">
        <f>VLOOKUP($A201,'Exempt Non-managerial'!$A:$J,10,FALSE)+1</f>
        <v>0.91612621083240886</v>
      </c>
      <c r="C201" s="7">
        <v>0.85</v>
      </c>
      <c r="D201" s="7">
        <v>1</v>
      </c>
      <c r="E201" s="7">
        <v>0.3</v>
      </c>
      <c r="F201" s="7">
        <v>0.35</v>
      </c>
    </row>
    <row r="202" spans="1:6" x14ac:dyDescent="0.2">
      <c r="A202" s="31" t="s">
        <v>213</v>
      </c>
      <c r="B202" s="8">
        <f>VLOOKUP($A202,'Exempt Non-managerial'!$A:$J,10,FALSE)+1</f>
        <v>0.91596921744183357</v>
      </c>
      <c r="C202" s="7">
        <v>0.85</v>
      </c>
      <c r="D202" s="7">
        <v>1</v>
      </c>
      <c r="E202" s="7">
        <v>0.3</v>
      </c>
      <c r="F202" s="7">
        <v>0.35</v>
      </c>
    </row>
    <row r="203" spans="1:6" x14ac:dyDescent="0.2">
      <c r="A203" s="2" t="s">
        <v>259</v>
      </c>
      <c r="B203" s="8">
        <f>VLOOKUP($A203,'Exempt Non-managerial'!$A:$J,10,FALSE)+1</f>
        <v>0.91426885856410101</v>
      </c>
      <c r="C203" s="7">
        <v>0.85</v>
      </c>
      <c r="D203" s="7">
        <v>1</v>
      </c>
      <c r="E203" s="7">
        <v>0.3</v>
      </c>
      <c r="F203" s="7">
        <v>0.35</v>
      </c>
    </row>
    <row r="204" spans="1:6" x14ac:dyDescent="0.2">
      <c r="A204" s="31" t="s">
        <v>72</v>
      </c>
      <c r="B204" s="8">
        <f>VLOOKUP($A204,'Exempt Non-managerial'!$A:$J,10,FALSE)+1</f>
        <v>0.91395696814538807</v>
      </c>
      <c r="C204" s="7">
        <v>0.85</v>
      </c>
      <c r="D204" s="7">
        <v>1</v>
      </c>
      <c r="E204" s="7">
        <v>0.3</v>
      </c>
      <c r="F204" s="7">
        <v>0.35</v>
      </c>
    </row>
    <row r="205" spans="1:6" x14ac:dyDescent="0.2">
      <c r="A205" s="31" t="s">
        <v>59</v>
      </c>
      <c r="B205" s="8">
        <f>VLOOKUP($A205,'Exempt Non-managerial'!$A:$J,10,FALSE)+1</f>
        <v>0.91341221868384748</v>
      </c>
      <c r="C205" s="7">
        <v>0.85</v>
      </c>
      <c r="D205" s="7">
        <v>1</v>
      </c>
      <c r="E205" s="7">
        <v>0.3</v>
      </c>
      <c r="F205" s="7">
        <v>0.35</v>
      </c>
    </row>
    <row r="206" spans="1:6" x14ac:dyDescent="0.2">
      <c r="A206" s="31" t="s">
        <v>231</v>
      </c>
      <c r="B206" s="8">
        <f>VLOOKUP($A206,'Exempt Non-managerial'!$A:$J,10,FALSE)+1</f>
        <v>0.91255232951485044</v>
      </c>
      <c r="C206" s="7">
        <v>0.85</v>
      </c>
      <c r="D206" s="7">
        <v>1</v>
      </c>
      <c r="E206" s="7">
        <v>0.3</v>
      </c>
      <c r="F206" s="7">
        <v>0.35</v>
      </c>
    </row>
    <row r="207" spans="1:6" x14ac:dyDescent="0.2">
      <c r="A207" s="31" t="s">
        <v>187</v>
      </c>
      <c r="B207" s="8">
        <f>VLOOKUP($A207,'Exempt Non-managerial'!$A:$J,10,FALSE)+1</f>
        <v>0.91139074445046575</v>
      </c>
      <c r="C207" s="7">
        <v>0.85</v>
      </c>
      <c r="D207" s="7">
        <v>1</v>
      </c>
      <c r="E207" s="7">
        <v>0.3</v>
      </c>
      <c r="F207" s="7">
        <v>0.35</v>
      </c>
    </row>
    <row r="208" spans="1:6" x14ac:dyDescent="0.2">
      <c r="A208" s="31" t="s">
        <v>232</v>
      </c>
      <c r="B208" s="8">
        <f>VLOOKUP($A208,'Exempt Non-managerial'!$A:$J,10,FALSE)+1</f>
        <v>0.91130425240555901</v>
      </c>
      <c r="C208" s="7">
        <v>0.85</v>
      </c>
      <c r="D208" s="7">
        <v>1</v>
      </c>
      <c r="E208" s="7">
        <v>0.3</v>
      </c>
      <c r="F208" s="7">
        <v>0.35</v>
      </c>
    </row>
    <row r="209" spans="1:6" x14ac:dyDescent="0.2">
      <c r="A209" s="31" t="s">
        <v>101</v>
      </c>
      <c r="B209" s="8">
        <f>VLOOKUP($A209,'Exempt Non-managerial'!$A:$J,10,FALSE)+1</f>
        <v>0.91042605294876922</v>
      </c>
      <c r="C209" s="7">
        <v>0.85</v>
      </c>
      <c r="D209" s="7">
        <v>1</v>
      </c>
      <c r="E209" s="7">
        <v>0.3</v>
      </c>
      <c r="F209" s="7">
        <v>0.35</v>
      </c>
    </row>
    <row r="210" spans="1:6" x14ac:dyDescent="0.2">
      <c r="A210" s="31" t="s">
        <v>315</v>
      </c>
      <c r="B210" s="8">
        <f>VLOOKUP($A210,'Exempt Non-managerial'!$A:$J,10,FALSE)+1</f>
        <v>0.90957890891464244</v>
      </c>
      <c r="C210" s="7">
        <v>0.85</v>
      </c>
      <c r="D210" s="7">
        <v>1</v>
      </c>
      <c r="E210" s="7">
        <v>0.3</v>
      </c>
      <c r="F210" s="7">
        <v>0.35</v>
      </c>
    </row>
    <row r="211" spans="1:6" x14ac:dyDescent="0.2">
      <c r="A211" s="31" t="s">
        <v>29</v>
      </c>
      <c r="B211" s="8">
        <f>VLOOKUP($A211,'Exempt Non-managerial'!$A:$J,10,FALSE)+1</f>
        <v>0.90648092432739136</v>
      </c>
      <c r="C211" s="7">
        <v>0.85</v>
      </c>
      <c r="D211" s="7">
        <v>1</v>
      </c>
      <c r="E211" s="7">
        <v>0.3</v>
      </c>
      <c r="F211" s="7">
        <v>0.35</v>
      </c>
    </row>
    <row r="212" spans="1:6" x14ac:dyDescent="0.2">
      <c r="A212" s="31" t="s">
        <v>115</v>
      </c>
      <c r="B212" s="8">
        <f>VLOOKUP($A212,'Exempt Non-managerial'!$A:$J,10,FALSE)+1</f>
        <v>0.90621146513142781</v>
      </c>
      <c r="C212" s="7">
        <v>0.85</v>
      </c>
      <c r="D212" s="7">
        <v>1</v>
      </c>
      <c r="E212" s="7">
        <v>0.3</v>
      </c>
      <c r="F212" s="7">
        <v>0.35</v>
      </c>
    </row>
    <row r="213" spans="1:6" x14ac:dyDescent="0.2">
      <c r="A213" s="2" t="s">
        <v>258</v>
      </c>
      <c r="B213" s="8">
        <f>VLOOKUP($A213,'Exempt Non-managerial'!$A:$J,10,FALSE)+1</f>
        <v>0.90164614243342078</v>
      </c>
      <c r="C213" s="7">
        <v>0.85</v>
      </c>
      <c r="D213" s="7">
        <v>1</v>
      </c>
      <c r="E213" s="7">
        <v>0.3</v>
      </c>
      <c r="F213" s="7">
        <v>0.35</v>
      </c>
    </row>
    <row r="214" spans="1:6" x14ac:dyDescent="0.2">
      <c r="A214" s="31" t="s">
        <v>92</v>
      </c>
      <c r="B214" s="8">
        <f>VLOOKUP($A214,'Exempt Non-managerial'!$A:$J,10,FALSE)+1</f>
        <v>0.90112688537270047</v>
      </c>
      <c r="C214" s="7">
        <v>0.85</v>
      </c>
      <c r="D214" s="7">
        <v>1</v>
      </c>
      <c r="E214" s="7">
        <v>0.3</v>
      </c>
      <c r="F214" s="7">
        <v>0.35</v>
      </c>
    </row>
    <row r="215" spans="1:6" x14ac:dyDescent="0.2">
      <c r="A215" s="31" t="s">
        <v>79</v>
      </c>
      <c r="B215" s="8">
        <f>VLOOKUP($A215,'Exempt Non-managerial'!$A:$J,10,FALSE)+1</f>
        <v>0.90052813185979097</v>
      </c>
      <c r="C215" s="7">
        <v>0.85</v>
      </c>
      <c r="D215" s="7">
        <v>1</v>
      </c>
      <c r="E215" s="7">
        <v>0.3</v>
      </c>
      <c r="F215" s="7">
        <v>0.35</v>
      </c>
    </row>
    <row r="216" spans="1:6" x14ac:dyDescent="0.2">
      <c r="A216" s="31" t="s">
        <v>50</v>
      </c>
      <c r="B216" s="8">
        <f>VLOOKUP($A216,'Exempt Non-managerial'!$A:$J,10,FALSE)+1</f>
        <v>0.90036205758629062</v>
      </c>
      <c r="C216" s="7">
        <v>0.85</v>
      </c>
      <c r="D216" s="7">
        <v>1</v>
      </c>
      <c r="E216" s="7">
        <v>0.3</v>
      </c>
      <c r="F216" s="7">
        <v>0.35</v>
      </c>
    </row>
    <row r="217" spans="1:6" x14ac:dyDescent="0.2">
      <c r="A217" s="31" t="s">
        <v>210</v>
      </c>
      <c r="B217" s="8">
        <f>VLOOKUP($A217,'Exempt Non-managerial'!$A:$J,10,FALSE)+1</f>
        <v>0.89874270460045491</v>
      </c>
      <c r="C217" s="7">
        <v>0.85</v>
      </c>
      <c r="D217" s="7">
        <v>1</v>
      </c>
      <c r="E217" s="7">
        <v>0.3</v>
      </c>
      <c r="F217" s="7">
        <v>0.35</v>
      </c>
    </row>
    <row r="218" spans="1:6" x14ac:dyDescent="0.2">
      <c r="A218" s="31" t="s">
        <v>48</v>
      </c>
      <c r="B218" s="8">
        <f>VLOOKUP($A218,'Exempt Non-managerial'!$A:$J,10,FALSE)+1</f>
        <v>0.89798479148161392</v>
      </c>
      <c r="C218" s="7">
        <v>0.85</v>
      </c>
      <c r="D218" s="7">
        <v>1</v>
      </c>
      <c r="E218" s="7">
        <v>0.3</v>
      </c>
      <c r="F218" s="7">
        <v>0.35</v>
      </c>
    </row>
    <row r="219" spans="1:6" x14ac:dyDescent="0.2">
      <c r="A219" s="31" t="s">
        <v>78</v>
      </c>
      <c r="B219" s="8">
        <f>VLOOKUP($A219,'Exempt Non-managerial'!$A:$J,10,FALSE)+1</f>
        <v>0.89664102061142625</v>
      </c>
      <c r="C219" s="7">
        <v>0.85</v>
      </c>
      <c r="D219" s="7">
        <v>1</v>
      </c>
      <c r="E219" s="7">
        <v>0.3</v>
      </c>
      <c r="F219" s="7">
        <v>0.35</v>
      </c>
    </row>
    <row r="220" spans="1:6" x14ac:dyDescent="0.2">
      <c r="A220" s="2" t="s">
        <v>288</v>
      </c>
      <c r="B220" s="8">
        <f>VLOOKUP($A220,'Exempt Non-managerial'!$A:$J,10,FALSE)+1</f>
        <v>0.89359609736171153</v>
      </c>
      <c r="C220" s="7">
        <v>0.85</v>
      </c>
      <c r="D220" s="7">
        <v>1</v>
      </c>
      <c r="E220" s="7">
        <v>0.3</v>
      </c>
      <c r="F220" s="7">
        <v>0.35</v>
      </c>
    </row>
    <row r="221" spans="1:6" x14ac:dyDescent="0.2">
      <c r="A221" s="2" t="s">
        <v>308</v>
      </c>
      <c r="B221" s="8">
        <f>VLOOKUP($A221,'Exempt Non-managerial'!$A:$J,10,FALSE)+1</f>
        <v>0.89040770977854933</v>
      </c>
      <c r="C221" s="7">
        <v>0.85</v>
      </c>
      <c r="D221" s="7">
        <v>1</v>
      </c>
      <c r="E221" s="7">
        <v>0.3</v>
      </c>
      <c r="F221" s="7">
        <v>0.35</v>
      </c>
    </row>
    <row r="222" spans="1:6" x14ac:dyDescent="0.2">
      <c r="A222" s="2" t="s">
        <v>291</v>
      </c>
      <c r="B222" s="8">
        <f>VLOOKUP($A222,'Exempt Non-managerial'!$A:$J,10,FALSE)+1</f>
        <v>0.88987934362417009</v>
      </c>
      <c r="C222" s="7">
        <v>0.85</v>
      </c>
      <c r="D222" s="7">
        <v>1</v>
      </c>
      <c r="E222" s="7">
        <v>0.3</v>
      </c>
      <c r="F222" s="7">
        <v>0.35</v>
      </c>
    </row>
    <row r="223" spans="1:6" x14ac:dyDescent="0.2">
      <c r="A223" s="31" t="s">
        <v>67</v>
      </c>
      <c r="B223" s="8">
        <f>VLOOKUP($A223,'Exempt Non-managerial'!$A:$J,10,FALSE)+1</f>
        <v>0.88785171030034193</v>
      </c>
      <c r="C223" s="7">
        <v>0.85</v>
      </c>
      <c r="D223" s="7">
        <v>1</v>
      </c>
      <c r="E223" s="7">
        <v>0.3</v>
      </c>
      <c r="F223" s="7">
        <v>0.35</v>
      </c>
    </row>
    <row r="224" spans="1:6" x14ac:dyDescent="0.2">
      <c r="A224" s="2" t="s">
        <v>266</v>
      </c>
      <c r="B224" s="8">
        <f>VLOOKUP($A224,'Exempt Non-managerial'!$A:$J,10,FALSE)+1</f>
        <v>0.88722314962606053</v>
      </c>
      <c r="C224" s="7">
        <v>0.85</v>
      </c>
      <c r="D224" s="7">
        <v>1</v>
      </c>
      <c r="E224" s="7">
        <v>0.3</v>
      </c>
      <c r="F224" s="7">
        <v>0.35</v>
      </c>
    </row>
    <row r="225" spans="1:6" x14ac:dyDescent="0.2">
      <c r="A225" s="2" t="s">
        <v>276</v>
      </c>
      <c r="B225" s="8">
        <f>VLOOKUP($A225,'Exempt Non-managerial'!$A:$J,10,FALSE)+1</f>
        <v>0.88425754965090186</v>
      </c>
      <c r="C225" s="7">
        <v>0.85</v>
      </c>
      <c r="D225" s="7">
        <v>1</v>
      </c>
      <c r="E225" s="7">
        <v>0.3</v>
      </c>
      <c r="F225" s="7">
        <v>0.35</v>
      </c>
    </row>
    <row r="226" spans="1:6" x14ac:dyDescent="0.2">
      <c r="A226" s="31" t="s">
        <v>40</v>
      </c>
      <c r="B226" s="8">
        <f>VLOOKUP($A226,'Exempt Non-managerial'!$A:$J,10,FALSE)+1</f>
        <v>0.88227714239940491</v>
      </c>
      <c r="C226" s="7">
        <v>0.85</v>
      </c>
      <c r="D226" s="7">
        <v>1</v>
      </c>
      <c r="E226" s="7">
        <v>0.3</v>
      </c>
      <c r="F226" s="7">
        <v>0.35</v>
      </c>
    </row>
    <row r="227" spans="1:6" x14ac:dyDescent="0.2">
      <c r="A227" s="2" t="s">
        <v>264</v>
      </c>
      <c r="B227" s="8">
        <f>VLOOKUP($A227,'Exempt Non-managerial'!$A:$J,10,FALSE)+1</f>
        <v>0.88004835664254388</v>
      </c>
      <c r="C227" s="7">
        <v>0.85</v>
      </c>
      <c r="D227" s="7">
        <v>1</v>
      </c>
      <c r="E227" s="7">
        <v>0.3</v>
      </c>
      <c r="F227" s="7">
        <v>0.35</v>
      </c>
    </row>
    <row r="228" spans="1:6" x14ac:dyDescent="0.2">
      <c r="A228" s="31" t="s">
        <v>30</v>
      </c>
      <c r="B228" s="8">
        <f>VLOOKUP($A228,'Exempt Non-managerial'!$A:$J,10,FALSE)+1</f>
        <v>0.87652012263664192</v>
      </c>
      <c r="C228" s="7">
        <v>0.85</v>
      </c>
      <c r="D228" s="7">
        <v>1</v>
      </c>
      <c r="E228" s="7">
        <v>0.3</v>
      </c>
      <c r="F228" s="7">
        <v>0.35</v>
      </c>
    </row>
    <row r="229" spans="1:6" ht="14.25" x14ac:dyDescent="0.2">
      <c r="A229" s="31" t="s">
        <v>310</v>
      </c>
      <c r="B229" s="8">
        <f>VLOOKUP($A229,'Exempt Non-managerial'!$A:$J,10,FALSE)+1</f>
        <v>0.87530805801538403</v>
      </c>
      <c r="C229" s="7">
        <v>0.85</v>
      </c>
      <c r="D229" s="7">
        <v>1</v>
      </c>
      <c r="E229" s="7">
        <v>0.3</v>
      </c>
      <c r="F229" s="7">
        <v>0.35</v>
      </c>
    </row>
    <row r="230" spans="1:6" x14ac:dyDescent="0.2">
      <c r="A230" s="31" t="s">
        <v>321</v>
      </c>
      <c r="B230" s="8">
        <f>VLOOKUP($A230,'Exempt Non-managerial'!$A:$J,10,FALSE)+1</f>
        <v>0.87485812533046747</v>
      </c>
      <c r="C230" s="7">
        <v>0.85</v>
      </c>
      <c r="D230" s="7">
        <v>1</v>
      </c>
      <c r="E230" s="7">
        <v>0.3</v>
      </c>
      <c r="F230" s="7">
        <v>0.35</v>
      </c>
    </row>
    <row r="231" spans="1:6" x14ac:dyDescent="0.2">
      <c r="A231" s="2" t="s">
        <v>252</v>
      </c>
      <c r="B231" s="8">
        <f>VLOOKUP($A231,'Exempt Non-managerial'!$A:$J,10,FALSE)+1</f>
        <v>0.87352781957202097</v>
      </c>
      <c r="C231" s="7">
        <v>0.85</v>
      </c>
      <c r="D231" s="7">
        <v>1</v>
      </c>
      <c r="E231" s="7">
        <v>0.3</v>
      </c>
      <c r="F231" s="7">
        <v>0.35</v>
      </c>
    </row>
    <row r="232" spans="1:6" x14ac:dyDescent="0.2">
      <c r="A232" s="31" t="s">
        <v>51</v>
      </c>
      <c r="B232" s="8">
        <f>VLOOKUP($A232,'Exempt Non-managerial'!$A:$J,10,FALSE)+1</f>
        <v>0.87330744250265069</v>
      </c>
      <c r="C232" s="7">
        <v>0.85</v>
      </c>
      <c r="D232" s="7">
        <v>1</v>
      </c>
      <c r="E232" s="7">
        <v>0.3</v>
      </c>
      <c r="F232" s="7">
        <v>0.35</v>
      </c>
    </row>
    <row r="233" spans="1:6" x14ac:dyDescent="0.2">
      <c r="A233" s="31" t="s">
        <v>175</v>
      </c>
      <c r="B233" s="8">
        <f>VLOOKUP($A233,'Exempt Non-managerial'!$A:$J,10,FALSE)+1</f>
        <v>0.87322162189627861</v>
      </c>
      <c r="C233" s="7">
        <v>0.85</v>
      </c>
      <c r="D233" s="7">
        <v>1</v>
      </c>
      <c r="E233" s="7">
        <v>0.3</v>
      </c>
      <c r="F233" s="7">
        <v>0.35</v>
      </c>
    </row>
    <row r="234" spans="1:6" x14ac:dyDescent="0.2">
      <c r="A234" s="31" t="s">
        <v>209</v>
      </c>
      <c r="B234" s="8">
        <f>VLOOKUP($A234,'Exempt Non-managerial'!$A:$J,10,FALSE)+1</f>
        <v>0.8730164871338213</v>
      </c>
      <c r="C234" s="7">
        <v>0.85</v>
      </c>
      <c r="D234" s="7">
        <v>1</v>
      </c>
      <c r="E234" s="7">
        <v>0.3</v>
      </c>
      <c r="F234" s="7">
        <v>0.35</v>
      </c>
    </row>
    <row r="235" spans="1:6" x14ac:dyDescent="0.2">
      <c r="A235" s="31" t="s">
        <v>61</v>
      </c>
      <c r="B235" s="8">
        <f>VLOOKUP($A235,'Exempt Non-managerial'!$A:$J,10,FALSE)+1</f>
        <v>0.87264115916138152</v>
      </c>
      <c r="C235" s="7">
        <v>0.85</v>
      </c>
      <c r="D235" s="7">
        <v>1</v>
      </c>
      <c r="E235" s="7">
        <v>0.3</v>
      </c>
      <c r="F235" s="7">
        <v>0.35</v>
      </c>
    </row>
    <row r="236" spans="1:6" x14ac:dyDescent="0.2">
      <c r="A236" s="31" t="s">
        <v>164</v>
      </c>
      <c r="B236" s="8">
        <f>VLOOKUP($A236,'Exempt Non-managerial'!$A:$J,10,FALSE)+1</f>
        <v>0.87077670845143385</v>
      </c>
      <c r="C236" s="7">
        <v>0.85</v>
      </c>
      <c r="D236" s="7">
        <v>1</v>
      </c>
      <c r="E236" s="7">
        <v>0.3</v>
      </c>
      <c r="F236" s="7">
        <v>0.35</v>
      </c>
    </row>
    <row r="237" spans="1:6" x14ac:dyDescent="0.2">
      <c r="A237" s="2" t="s">
        <v>248</v>
      </c>
      <c r="B237" s="8">
        <f>VLOOKUP($A237,'Exempt Non-managerial'!$A:$J,10,FALSE)+1</f>
        <v>0.8697585430703858</v>
      </c>
      <c r="C237" s="7">
        <v>0.85</v>
      </c>
      <c r="D237" s="7">
        <v>1</v>
      </c>
      <c r="E237" s="7">
        <v>0.3</v>
      </c>
      <c r="F237" s="7">
        <v>0.35</v>
      </c>
    </row>
    <row r="238" spans="1:6" x14ac:dyDescent="0.2">
      <c r="A238" s="31" t="s">
        <v>166</v>
      </c>
      <c r="B238" s="8">
        <f>VLOOKUP($A238,'Exempt Non-managerial'!$A:$J,10,FALSE)+1</f>
        <v>0.86951829093551081</v>
      </c>
      <c r="C238" s="7">
        <v>0.85</v>
      </c>
      <c r="D238" s="7">
        <v>1</v>
      </c>
      <c r="E238" s="7">
        <v>0.3</v>
      </c>
      <c r="F238" s="7">
        <v>0.35</v>
      </c>
    </row>
    <row r="239" spans="1:6" x14ac:dyDescent="0.2">
      <c r="A239" s="31" t="s">
        <v>108</v>
      </c>
      <c r="B239" s="8">
        <f>VLOOKUP($A239,'Exempt Non-managerial'!$A:$J,10,FALSE)+1</f>
        <v>0.8677532239969904</v>
      </c>
      <c r="C239" s="7">
        <v>0.85</v>
      </c>
      <c r="D239" s="7">
        <v>1</v>
      </c>
      <c r="E239" s="7">
        <v>0.3</v>
      </c>
      <c r="F239" s="7">
        <v>0.35</v>
      </c>
    </row>
    <row r="240" spans="1:6" x14ac:dyDescent="0.2">
      <c r="A240" s="31" t="s">
        <v>75</v>
      </c>
      <c r="B240" s="8">
        <f>VLOOKUP($A240,'Exempt Non-managerial'!$A:$J,10,FALSE)+1</f>
        <v>0.86703656619671166</v>
      </c>
      <c r="C240" s="7">
        <v>0.85</v>
      </c>
      <c r="D240" s="7">
        <v>1</v>
      </c>
      <c r="E240" s="7">
        <v>0.3</v>
      </c>
      <c r="F240" s="7">
        <v>0.35</v>
      </c>
    </row>
    <row r="241" spans="1:6" x14ac:dyDescent="0.2">
      <c r="A241" s="2" t="s">
        <v>272</v>
      </c>
      <c r="B241" s="8">
        <f>VLOOKUP($A241,'Exempt Non-managerial'!$A:$J,10,FALSE)+1</f>
        <v>0.86668616233752771</v>
      </c>
      <c r="C241" s="7">
        <v>0.85</v>
      </c>
      <c r="D241" s="7">
        <v>1</v>
      </c>
      <c r="E241" s="7">
        <v>0.3</v>
      </c>
      <c r="F241" s="7">
        <v>0.35</v>
      </c>
    </row>
    <row r="242" spans="1:6" x14ac:dyDescent="0.2">
      <c r="A242" s="2" t="s">
        <v>269</v>
      </c>
      <c r="B242" s="8">
        <f>VLOOKUP($A242,'Exempt Non-managerial'!$A:$J,10,FALSE)+1</f>
        <v>0.86609154190819648</v>
      </c>
      <c r="C242" s="7">
        <v>0.85</v>
      </c>
      <c r="D242" s="7">
        <v>1</v>
      </c>
      <c r="E242" s="7">
        <v>0.3</v>
      </c>
      <c r="F242" s="7">
        <v>0.35</v>
      </c>
    </row>
    <row r="243" spans="1:6" x14ac:dyDescent="0.2">
      <c r="A243" s="2" t="s">
        <v>286</v>
      </c>
      <c r="B243" s="8">
        <f>VLOOKUP($A243,'Exempt Non-managerial'!$A:$J,10,FALSE)+1</f>
        <v>0.85995662973722187</v>
      </c>
      <c r="C243" s="7">
        <v>0.85</v>
      </c>
      <c r="D243" s="7">
        <v>1</v>
      </c>
      <c r="E243" s="7">
        <v>0.3</v>
      </c>
      <c r="F243" s="7">
        <v>0.35</v>
      </c>
    </row>
    <row r="244" spans="1:6" x14ac:dyDescent="0.2">
      <c r="A244" s="2" t="s">
        <v>261</v>
      </c>
      <c r="B244" s="8">
        <f>VLOOKUP($A244,'Exempt Non-managerial'!$A:$J,10,FALSE)+1</f>
        <v>0.85791075086616586</v>
      </c>
      <c r="C244" s="7">
        <v>0.85</v>
      </c>
      <c r="D244" s="7">
        <v>1</v>
      </c>
      <c r="E244" s="7">
        <v>0.3</v>
      </c>
      <c r="F244" s="7">
        <v>0.35</v>
      </c>
    </row>
    <row r="245" spans="1:6" x14ac:dyDescent="0.2">
      <c r="A245" s="31" t="s">
        <v>228</v>
      </c>
      <c r="B245" s="8">
        <f>VLOOKUP($A245,'Exempt Non-managerial'!$A:$J,10,FALSE)+1</f>
        <v>0.85475241939050983</v>
      </c>
      <c r="C245" s="7">
        <v>0.85</v>
      </c>
      <c r="D245" s="7">
        <v>1</v>
      </c>
      <c r="E245" s="7">
        <v>0.3</v>
      </c>
      <c r="F245" s="7">
        <v>0.35</v>
      </c>
    </row>
    <row r="246" spans="1:6" x14ac:dyDescent="0.2">
      <c r="A246" s="31" t="s">
        <v>238</v>
      </c>
      <c r="B246" s="8">
        <f>VLOOKUP($A246,'Exempt Non-managerial'!$A:$J,10,FALSE)+1</f>
        <v>0.85368558696429253</v>
      </c>
      <c r="C246" s="7">
        <v>0.85</v>
      </c>
      <c r="D246" s="7">
        <v>1</v>
      </c>
      <c r="E246" s="7">
        <v>0.3</v>
      </c>
      <c r="F246" s="7">
        <v>0.35</v>
      </c>
    </row>
    <row r="247" spans="1:6" x14ac:dyDescent="0.2">
      <c r="A247" s="31" t="s">
        <v>178</v>
      </c>
      <c r="B247" s="8">
        <f>VLOOKUP($A247,'Exempt Non-managerial'!$A:$J,10,FALSE)+1</f>
        <v>0.85319767947615632</v>
      </c>
      <c r="C247" s="7">
        <v>0.85</v>
      </c>
      <c r="D247" s="7">
        <v>1</v>
      </c>
      <c r="E247" s="7">
        <v>0.3</v>
      </c>
      <c r="F247" s="7">
        <v>0.35</v>
      </c>
    </row>
    <row r="248" spans="1:6" x14ac:dyDescent="0.2">
      <c r="A248" s="31" t="s">
        <v>239</v>
      </c>
      <c r="B248" s="8">
        <f>VLOOKUP($A248,'Exempt Non-managerial'!$A:$J,10,FALSE)+1</f>
        <v>0.85289848135519986</v>
      </c>
      <c r="C248" s="7">
        <v>0.85</v>
      </c>
      <c r="D248" s="7">
        <v>1</v>
      </c>
      <c r="E248" s="7">
        <v>0.3</v>
      </c>
      <c r="F248" s="7">
        <v>0.35</v>
      </c>
    </row>
    <row r="249" spans="1:6" x14ac:dyDescent="0.2">
      <c r="A249" s="31" t="s">
        <v>229</v>
      </c>
      <c r="B249" s="8">
        <f>VLOOKUP($A249,'Exempt Non-managerial'!$A:$J,10,FALSE)+1</f>
        <v>0.85165950262071699</v>
      </c>
      <c r="C249" s="7">
        <v>0.85</v>
      </c>
      <c r="D249" s="7">
        <v>1</v>
      </c>
      <c r="E249" s="7">
        <v>0.3</v>
      </c>
      <c r="F249" s="7">
        <v>0.35</v>
      </c>
    </row>
    <row r="250" spans="1:6" x14ac:dyDescent="0.2">
      <c r="A250" s="31" t="s">
        <v>221</v>
      </c>
      <c r="B250" s="8">
        <f>VLOOKUP($A250,'Exempt Non-managerial'!$A:$J,10,FALSE)+1</f>
        <v>0.84741611233914005</v>
      </c>
      <c r="C250" s="7">
        <v>0.85</v>
      </c>
      <c r="D250" s="7">
        <v>1</v>
      </c>
      <c r="E250" s="7">
        <v>0.3</v>
      </c>
      <c r="F250" s="7">
        <v>0.35</v>
      </c>
    </row>
    <row r="251" spans="1:6" x14ac:dyDescent="0.2">
      <c r="A251" s="31" t="s">
        <v>165</v>
      </c>
      <c r="B251" s="8">
        <f>VLOOKUP($A251,'Exempt Non-managerial'!$A:$J,10,FALSE)+1</f>
        <v>0.84389323291916918</v>
      </c>
      <c r="C251" s="7">
        <v>0.85</v>
      </c>
      <c r="D251" s="7">
        <v>1</v>
      </c>
      <c r="E251" s="7">
        <v>0.3</v>
      </c>
      <c r="F251" s="7">
        <v>0.35</v>
      </c>
    </row>
    <row r="252" spans="1:6" x14ac:dyDescent="0.2">
      <c r="A252" s="31" t="s">
        <v>25</v>
      </c>
      <c r="B252" s="8">
        <f>VLOOKUP($A252,'Exempt Non-managerial'!$A:$J,10,FALSE)+1</f>
        <v>0.84378758485874872</v>
      </c>
      <c r="C252" s="7">
        <v>0.85</v>
      </c>
      <c r="D252" s="7">
        <v>1</v>
      </c>
      <c r="E252" s="7">
        <v>0.3</v>
      </c>
      <c r="F252" s="7">
        <v>0.35</v>
      </c>
    </row>
    <row r="253" spans="1:6" x14ac:dyDescent="0.2">
      <c r="A253" s="31" t="s">
        <v>83</v>
      </c>
      <c r="B253" s="8">
        <f>VLOOKUP($A253,'Exempt Non-managerial'!$A:$J,10,FALSE)+1</f>
        <v>0.84318559638173851</v>
      </c>
      <c r="C253" s="7">
        <v>0.85</v>
      </c>
      <c r="D253" s="7">
        <v>1</v>
      </c>
      <c r="E253" s="7">
        <v>0.3</v>
      </c>
      <c r="F253" s="7">
        <v>0.35</v>
      </c>
    </row>
    <row r="254" spans="1:6" x14ac:dyDescent="0.2">
      <c r="A254" s="31" t="s">
        <v>87</v>
      </c>
      <c r="B254" s="8">
        <f>VLOOKUP($A254,'Exempt Non-managerial'!$A:$J,10,FALSE)+1</f>
        <v>0.84166311549041828</v>
      </c>
      <c r="C254" s="7">
        <v>0.85</v>
      </c>
      <c r="D254" s="7">
        <v>1</v>
      </c>
      <c r="E254" s="7">
        <v>0.3</v>
      </c>
      <c r="F254" s="7">
        <v>0.35</v>
      </c>
    </row>
    <row r="255" spans="1:6" x14ac:dyDescent="0.2">
      <c r="A255" s="31" t="s">
        <v>98</v>
      </c>
      <c r="B255" s="8">
        <f>VLOOKUP($A255,'Exempt Non-managerial'!$A:$J,10,FALSE)+1</f>
        <v>0.84095355938211613</v>
      </c>
      <c r="C255" s="7">
        <v>0.85</v>
      </c>
      <c r="D255" s="7">
        <v>1</v>
      </c>
      <c r="E255" s="7">
        <v>0.3</v>
      </c>
      <c r="F255" s="7">
        <v>0.35</v>
      </c>
    </row>
    <row r="256" spans="1:6" x14ac:dyDescent="0.2">
      <c r="A256" s="2" t="s">
        <v>280</v>
      </c>
      <c r="B256" s="8">
        <f>VLOOKUP($A256,'Exempt Non-managerial'!$A:$J,10,FALSE)+1</f>
        <v>0.83982753878793859</v>
      </c>
      <c r="C256" s="7">
        <v>0.85</v>
      </c>
      <c r="D256" s="7">
        <v>1</v>
      </c>
      <c r="E256" s="7">
        <v>0.3</v>
      </c>
      <c r="F256" s="7">
        <v>0.35</v>
      </c>
    </row>
    <row r="257" spans="1:6" x14ac:dyDescent="0.2">
      <c r="A257" s="2" t="s">
        <v>302</v>
      </c>
      <c r="B257" s="8">
        <f>VLOOKUP($A257,'Exempt Non-managerial'!$A:$J,10,FALSE)+1</f>
        <v>0.83839329631485016</v>
      </c>
      <c r="C257" s="7">
        <v>0.85</v>
      </c>
      <c r="D257" s="7">
        <v>1</v>
      </c>
      <c r="E257" s="7">
        <v>0.3</v>
      </c>
      <c r="F257" s="7">
        <v>0.35</v>
      </c>
    </row>
    <row r="258" spans="1:6" x14ac:dyDescent="0.2">
      <c r="A258" s="2" t="s">
        <v>287</v>
      </c>
      <c r="B258" s="8">
        <f>VLOOKUP($A258,'Exempt Non-managerial'!$A:$J,10,FALSE)+1</f>
        <v>0.83458146583533699</v>
      </c>
      <c r="C258" s="7">
        <v>0.85</v>
      </c>
      <c r="D258" s="7">
        <v>1</v>
      </c>
      <c r="E258" s="7">
        <v>0.3</v>
      </c>
      <c r="F258" s="7">
        <v>0.35</v>
      </c>
    </row>
    <row r="259" spans="1:6" x14ac:dyDescent="0.2">
      <c r="A259" s="2" t="s">
        <v>301</v>
      </c>
      <c r="B259" s="8">
        <f>VLOOKUP($A259,'Exempt Non-managerial'!$A:$J,10,FALSE)+1</f>
        <v>0.83239002787401173</v>
      </c>
      <c r="C259" s="7">
        <v>0.85</v>
      </c>
      <c r="D259" s="7">
        <v>1</v>
      </c>
      <c r="E259" s="7">
        <v>0.3</v>
      </c>
      <c r="F259" s="7">
        <v>0.35</v>
      </c>
    </row>
    <row r="260" spans="1:6" x14ac:dyDescent="0.2">
      <c r="A260" s="2" t="s">
        <v>268</v>
      </c>
      <c r="B260" s="8">
        <f>VLOOKUP($A260,'Exempt Non-managerial'!$A:$J,10,FALSE)+1</f>
        <v>0.83130001735824999</v>
      </c>
      <c r="C260" s="7">
        <v>0.85</v>
      </c>
      <c r="D260" s="7">
        <v>1</v>
      </c>
      <c r="E260" s="7">
        <v>0.3</v>
      </c>
      <c r="F260" s="7">
        <v>0.35</v>
      </c>
    </row>
    <row r="261" spans="1:6" x14ac:dyDescent="0.2">
      <c r="A261" s="2" t="s">
        <v>271</v>
      </c>
      <c r="B261" s="8">
        <f>VLOOKUP($A261,'Exempt Non-managerial'!$A:$J,10,FALSE)+1</f>
        <v>0.82993122507252237</v>
      </c>
      <c r="C261" s="7">
        <v>0.85</v>
      </c>
      <c r="D261" s="7">
        <v>1</v>
      </c>
      <c r="E261" s="7">
        <v>0.3</v>
      </c>
      <c r="F261" s="7">
        <v>0.35</v>
      </c>
    </row>
    <row r="262" spans="1:6" x14ac:dyDescent="0.2">
      <c r="A262" s="31" t="s">
        <v>27</v>
      </c>
      <c r="B262" s="8">
        <f>VLOOKUP($A262,'Exempt Non-managerial'!$A:$J,10,FALSE)+1</f>
        <v>0.82870634857462111</v>
      </c>
      <c r="C262" s="7">
        <v>0.85</v>
      </c>
      <c r="D262" s="7">
        <v>1</v>
      </c>
      <c r="E262" s="7">
        <v>0.3</v>
      </c>
      <c r="F262" s="7">
        <v>0.35</v>
      </c>
    </row>
    <row r="263" spans="1:6" x14ac:dyDescent="0.2">
      <c r="A263" s="31" t="s">
        <v>205</v>
      </c>
      <c r="B263" s="8">
        <f>VLOOKUP($A263,'Exempt Non-managerial'!$A:$J,10,FALSE)+1</f>
        <v>0.82227448842814921</v>
      </c>
      <c r="C263" s="7">
        <v>0.85</v>
      </c>
      <c r="D263" s="7">
        <v>1</v>
      </c>
      <c r="E263" s="7">
        <v>0.3</v>
      </c>
      <c r="F263" s="7">
        <v>0.35</v>
      </c>
    </row>
    <row r="264" spans="1:6" x14ac:dyDescent="0.2">
      <c r="A264" s="31" t="s">
        <v>157</v>
      </c>
      <c r="B264" s="8">
        <f>VLOOKUP($A264,'Exempt Non-managerial'!$A:$J,10,FALSE)+1</f>
        <v>0.82224423117758516</v>
      </c>
      <c r="C264" s="7">
        <v>0.85</v>
      </c>
      <c r="D264" s="7">
        <v>1</v>
      </c>
      <c r="E264" s="7">
        <v>0.3</v>
      </c>
      <c r="F264" s="7">
        <v>0.35</v>
      </c>
    </row>
    <row r="265" spans="1:6" x14ac:dyDescent="0.2">
      <c r="A265" s="31" t="s">
        <v>41</v>
      </c>
      <c r="B265" s="8">
        <f>VLOOKUP($A265,'Exempt Non-managerial'!$A:$J,10,FALSE)+1</f>
        <v>0.81765377046455734</v>
      </c>
      <c r="C265" s="7">
        <v>0.85</v>
      </c>
      <c r="D265" s="7">
        <v>1</v>
      </c>
      <c r="E265" s="7">
        <v>0.3</v>
      </c>
      <c r="F265" s="7">
        <v>0.35</v>
      </c>
    </row>
    <row r="266" spans="1:6" x14ac:dyDescent="0.2">
      <c r="A266" s="31" t="s">
        <v>32</v>
      </c>
      <c r="B266" s="8">
        <f>VLOOKUP($A266,'Exempt Non-managerial'!$A:$J,10,FALSE)+1</f>
        <v>0.81677733811277808</v>
      </c>
      <c r="C266" s="7">
        <v>0.85</v>
      </c>
      <c r="D266" s="7">
        <v>1</v>
      </c>
      <c r="E266" s="7">
        <v>0.3</v>
      </c>
      <c r="F266" s="7">
        <v>0.35</v>
      </c>
    </row>
    <row r="267" spans="1:6" x14ac:dyDescent="0.2">
      <c r="A267" s="31" t="s">
        <v>147</v>
      </c>
      <c r="B267" s="8">
        <f>VLOOKUP($A267,'Exempt Non-managerial'!$A:$J,10,FALSE)+1</f>
        <v>0.81643031624828777</v>
      </c>
      <c r="C267" s="7">
        <v>0.85</v>
      </c>
      <c r="D267" s="7">
        <v>1</v>
      </c>
      <c r="E267" s="7">
        <v>0.3</v>
      </c>
      <c r="F267" s="7">
        <v>0.35</v>
      </c>
    </row>
    <row r="268" spans="1:6" x14ac:dyDescent="0.2">
      <c r="A268" s="31" t="s">
        <v>124</v>
      </c>
      <c r="B268" s="8">
        <f>VLOOKUP($A268,'Exempt Non-managerial'!$A:$J,10,FALSE)+1</f>
        <v>0.81464793861352558</v>
      </c>
      <c r="C268" s="7">
        <v>0.85</v>
      </c>
      <c r="D268" s="7">
        <v>1</v>
      </c>
      <c r="E268" s="7">
        <v>0.3</v>
      </c>
      <c r="F268" s="7">
        <v>0.35</v>
      </c>
    </row>
    <row r="269" spans="1:6" x14ac:dyDescent="0.2">
      <c r="A269" s="31" t="s">
        <v>131</v>
      </c>
      <c r="B269" s="8">
        <f>VLOOKUP($A269,'Exempt Non-managerial'!$A:$J,10,FALSE)+1</f>
        <v>0.80821311087802949</v>
      </c>
      <c r="C269" s="7">
        <v>0.85</v>
      </c>
      <c r="D269" s="7">
        <v>1</v>
      </c>
      <c r="E269" s="7">
        <v>0.3</v>
      </c>
      <c r="F269" s="7">
        <v>0.35</v>
      </c>
    </row>
    <row r="270" spans="1:6" x14ac:dyDescent="0.2">
      <c r="A270" s="31" t="s">
        <v>149</v>
      </c>
      <c r="B270" s="8">
        <f>VLOOKUP($A270,'Exempt Non-managerial'!$A:$J,10,FALSE)+1</f>
        <v>0.8079349692622978</v>
      </c>
      <c r="C270" s="7">
        <v>0.85</v>
      </c>
      <c r="D270" s="7">
        <v>1</v>
      </c>
      <c r="E270" s="7">
        <v>0.3</v>
      </c>
      <c r="F270" s="7">
        <v>0.35</v>
      </c>
    </row>
    <row r="271" spans="1:6" x14ac:dyDescent="0.2">
      <c r="A271" s="2" t="s">
        <v>257</v>
      </c>
      <c r="B271" s="8">
        <f>VLOOKUP($A271,'Exempt Non-managerial'!$A:$J,10,FALSE)+1</f>
        <v>0.80671067486428394</v>
      </c>
      <c r="C271" s="7">
        <v>0.85</v>
      </c>
      <c r="D271" s="7">
        <v>1</v>
      </c>
      <c r="E271" s="7">
        <v>0.3</v>
      </c>
      <c r="F271" s="7">
        <v>0.35</v>
      </c>
    </row>
    <row r="272" spans="1:6" x14ac:dyDescent="0.2">
      <c r="A272" s="31" t="s">
        <v>127</v>
      </c>
      <c r="B272" s="8">
        <f>VLOOKUP($A272,'Exempt Non-managerial'!$A:$J,10,FALSE)+1</f>
        <v>0.80520625864991313</v>
      </c>
      <c r="C272" s="7">
        <v>0.85</v>
      </c>
      <c r="D272" s="7">
        <v>1</v>
      </c>
      <c r="E272" s="7">
        <v>0.3</v>
      </c>
      <c r="F272" s="7">
        <v>0.35</v>
      </c>
    </row>
    <row r="273" spans="1:6" x14ac:dyDescent="0.2">
      <c r="A273" s="2" t="s">
        <v>260</v>
      </c>
      <c r="B273" s="8">
        <f>VLOOKUP($A273,'Exempt Non-managerial'!$A:$J,10,FALSE)+1</f>
        <v>0.80317027612031366</v>
      </c>
      <c r="C273" s="7">
        <v>0.85</v>
      </c>
      <c r="D273" s="7">
        <v>1</v>
      </c>
      <c r="E273" s="7">
        <v>0.3</v>
      </c>
      <c r="F273" s="7">
        <v>0.35</v>
      </c>
    </row>
    <row r="274" spans="1:6" x14ac:dyDescent="0.2">
      <c r="A274" s="31" t="s">
        <v>179</v>
      </c>
      <c r="B274" s="8">
        <f>VLOOKUP($A274,'Exempt Non-managerial'!$A:$J,10,FALSE)+1</f>
        <v>0.80175237599184979</v>
      </c>
      <c r="C274" s="7">
        <v>0.85</v>
      </c>
      <c r="D274" s="7">
        <v>1</v>
      </c>
      <c r="E274" s="7">
        <v>0.3</v>
      </c>
      <c r="F274" s="7">
        <v>0.35</v>
      </c>
    </row>
    <row r="275" spans="1:6" x14ac:dyDescent="0.2">
      <c r="A275" s="31" t="s">
        <v>106</v>
      </c>
      <c r="B275" s="8">
        <f>VLOOKUP($A275,'Exempt Non-managerial'!$A:$J,10,FALSE)+1</f>
        <v>0.80003571931190465</v>
      </c>
      <c r="C275" s="7">
        <v>0.85</v>
      </c>
      <c r="D275" s="7">
        <v>1</v>
      </c>
      <c r="E275" s="7">
        <v>0.3</v>
      </c>
      <c r="F275" s="7">
        <v>0.35</v>
      </c>
    </row>
    <row r="276" spans="1:6" x14ac:dyDescent="0.2">
      <c r="A276" s="2" t="s">
        <v>306</v>
      </c>
      <c r="B276" s="8">
        <f>VLOOKUP($A276,'Exempt Non-managerial'!$A:$J,10,FALSE)+1</f>
        <v>0.79693719679631814</v>
      </c>
      <c r="C276" s="7">
        <v>0.85</v>
      </c>
      <c r="D276" s="7">
        <v>1</v>
      </c>
      <c r="E276" s="7">
        <v>0.3</v>
      </c>
      <c r="F276" s="7">
        <v>0.35</v>
      </c>
    </row>
    <row r="277" spans="1:6" x14ac:dyDescent="0.2">
      <c r="A277" s="2" t="s">
        <v>284</v>
      </c>
      <c r="B277" s="8">
        <f>VLOOKUP($A277,'Exempt Non-managerial'!$A:$J,10,FALSE)+1</f>
        <v>0.79568162227440731</v>
      </c>
      <c r="C277" s="7">
        <v>0.85</v>
      </c>
      <c r="D277" s="7">
        <v>1</v>
      </c>
      <c r="E277" s="7">
        <v>0.3</v>
      </c>
      <c r="F277" s="7">
        <v>0.35</v>
      </c>
    </row>
    <row r="278" spans="1:6" x14ac:dyDescent="0.2">
      <c r="A278" s="2" t="s">
        <v>283</v>
      </c>
      <c r="B278" s="8">
        <f>VLOOKUP($A278,'Exempt Non-managerial'!$A:$J,10,FALSE)+1</f>
        <v>0.79470770370375243</v>
      </c>
      <c r="C278" s="7">
        <v>0.85</v>
      </c>
      <c r="D278" s="7">
        <v>1</v>
      </c>
      <c r="E278" s="7">
        <v>0.3</v>
      </c>
      <c r="F278" s="7">
        <v>0.35</v>
      </c>
    </row>
    <row r="279" spans="1:6" x14ac:dyDescent="0.2">
      <c r="A279" s="31" t="s">
        <v>144</v>
      </c>
      <c r="B279" s="8">
        <f>VLOOKUP($A279,'Exempt Non-managerial'!$A:$J,10,FALSE)+1</f>
        <v>0.79426522180965942</v>
      </c>
      <c r="C279" s="7">
        <v>0.85</v>
      </c>
      <c r="D279" s="7">
        <v>1</v>
      </c>
      <c r="E279" s="7">
        <v>0.3</v>
      </c>
      <c r="F279" s="7">
        <v>0.35</v>
      </c>
    </row>
    <row r="280" spans="1:6" x14ac:dyDescent="0.2">
      <c r="A280" s="31" t="s">
        <v>319</v>
      </c>
      <c r="B280" s="8">
        <f>VLOOKUP($A280,'Exempt Non-managerial'!$A:$J,10,FALSE)+1</f>
        <v>0.79286665223280073</v>
      </c>
      <c r="C280" s="7">
        <v>0.85</v>
      </c>
      <c r="D280" s="7">
        <v>1</v>
      </c>
      <c r="E280" s="7">
        <v>0.3</v>
      </c>
      <c r="F280" s="7">
        <v>0.35</v>
      </c>
    </row>
    <row r="281" spans="1:6" x14ac:dyDescent="0.2">
      <c r="A281" s="31" t="s">
        <v>103</v>
      </c>
      <c r="B281" s="8">
        <f>VLOOKUP($A281,'Exempt Non-managerial'!$A:$J,10,FALSE)+1</f>
        <v>0.79279848123984098</v>
      </c>
      <c r="C281" s="7">
        <v>0.85</v>
      </c>
      <c r="D281" s="7">
        <v>1</v>
      </c>
      <c r="E281" s="7">
        <v>0.3</v>
      </c>
      <c r="F281" s="7">
        <v>0.35</v>
      </c>
    </row>
    <row r="282" spans="1:6" x14ac:dyDescent="0.2">
      <c r="A282" s="31" t="s">
        <v>100</v>
      </c>
      <c r="B282" s="8">
        <f>VLOOKUP($A282,'Exempt Non-managerial'!$A:$J,10,FALSE)+1</f>
        <v>0.78906844582420976</v>
      </c>
      <c r="C282" s="7">
        <v>0.85</v>
      </c>
      <c r="D282" s="7">
        <v>1</v>
      </c>
      <c r="E282" s="7">
        <v>0.3</v>
      </c>
      <c r="F282" s="7">
        <v>0.35</v>
      </c>
    </row>
    <row r="283" spans="1:6" x14ac:dyDescent="0.2">
      <c r="A283" s="31" t="s">
        <v>146</v>
      </c>
      <c r="B283" s="8">
        <f>VLOOKUP($A283,'Exempt Non-managerial'!$A:$J,10,FALSE)+1</f>
        <v>0.78433370780901301</v>
      </c>
      <c r="C283" s="7">
        <v>0.85</v>
      </c>
      <c r="D283" s="7">
        <v>1</v>
      </c>
      <c r="E283" s="7">
        <v>0.3</v>
      </c>
      <c r="F283" s="7">
        <v>0.35</v>
      </c>
    </row>
    <row r="284" spans="1:6" x14ac:dyDescent="0.2">
      <c r="A284" s="31" t="s">
        <v>81</v>
      </c>
      <c r="B284" s="8">
        <f>VLOOKUP($A284,'Exempt Non-managerial'!$A:$J,10,FALSE)+1</f>
        <v>0.7809286138854532</v>
      </c>
      <c r="C284" s="7">
        <v>0.85</v>
      </c>
      <c r="D284" s="7">
        <v>1</v>
      </c>
      <c r="E284" s="7">
        <v>0.3</v>
      </c>
      <c r="F284" s="7">
        <v>0.35</v>
      </c>
    </row>
    <row r="285" spans="1:6" x14ac:dyDescent="0.2">
      <c r="A285" s="31" t="s">
        <v>177</v>
      </c>
      <c r="B285" s="8">
        <f>VLOOKUP($A285,'Exempt Non-managerial'!$A:$J,10,FALSE)+1</f>
        <v>0.78080399705026993</v>
      </c>
      <c r="C285" s="7">
        <v>0.85</v>
      </c>
      <c r="D285" s="7">
        <v>1</v>
      </c>
      <c r="E285" s="7">
        <v>0.3</v>
      </c>
      <c r="F285" s="7">
        <v>0.35</v>
      </c>
    </row>
    <row r="286" spans="1:6" x14ac:dyDescent="0.2">
      <c r="A286" s="2" t="s">
        <v>274</v>
      </c>
      <c r="B286" s="8">
        <f>VLOOKUP($A286,'Exempt Non-managerial'!$A:$J,10,FALSE)+1</f>
        <v>0.77701435509530581</v>
      </c>
      <c r="C286" s="7">
        <v>0.85</v>
      </c>
      <c r="D286" s="7">
        <v>1</v>
      </c>
      <c r="E286" s="7">
        <v>0.3</v>
      </c>
      <c r="F286" s="7">
        <v>0.35</v>
      </c>
    </row>
    <row r="287" spans="1:6" x14ac:dyDescent="0.2">
      <c r="A287" s="2" t="s">
        <v>285</v>
      </c>
      <c r="B287" s="8">
        <f>VLOOKUP($A287,'Exempt Non-managerial'!$A:$J,10,FALSE)+1</f>
        <v>0.77015977654255785</v>
      </c>
      <c r="C287" s="7">
        <v>0.85</v>
      </c>
      <c r="D287" s="7">
        <v>1</v>
      </c>
      <c r="E287" s="7">
        <v>0.3</v>
      </c>
      <c r="F287" s="7">
        <v>0.35</v>
      </c>
    </row>
    <row r="288" spans="1:6" x14ac:dyDescent="0.2">
      <c r="A288" s="31" t="s">
        <v>80</v>
      </c>
      <c r="B288" s="8">
        <f>VLOOKUP($A288,'Exempt Non-managerial'!$A:$J,10,FALSE)+1</f>
        <v>0.76074859393006011</v>
      </c>
      <c r="C288" s="7">
        <v>0.85</v>
      </c>
      <c r="D288" s="7">
        <v>1</v>
      </c>
      <c r="E288" s="7">
        <v>0.3</v>
      </c>
      <c r="F288" s="7">
        <v>0.35</v>
      </c>
    </row>
    <row r="289" spans="1:6" x14ac:dyDescent="0.2">
      <c r="A289" s="31" t="s">
        <v>323</v>
      </c>
      <c r="B289" s="8">
        <f>VLOOKUP($A289,'Exempt Non-managerial'!$A:$J,10,FALSE)+1</f>
        <v>0.75875235254606721</v>
      </c>
      <c r="C289" s="7">
        <v>0.85</v>
      </c>
      <c r="D289" s="7">
        <v>1</v>
      </c>
      <c r="E289" s="7">
        <v>0.3</v>
      </c>
      <c r="F289" s="7">
        <v>0.35</v>
      </c>
    </row>
    <row r="290" spans="1:6" x14ac:dyDescent="0.2">
      <c r="A290" s="31" t="s">
        <v>145</v>
      </c>
      <c r="B290" s="8">
        <f>VLOOKUP($A290,'Exempt Non-managerial'!$A:$J,10,FALSE)+1</f>
        <v>0.74504576994617855</v>
      </c>
      <c r="C290" s="7">
        <v>0.85</v>
      </c>
      <c r="D290" s="7">
        <v>1</v>
      </c>
      <c r="E290" s="7">
        <v>0.3</v>
      </c>
      <c r="F290" s="7">
        <v>0.35</v>
      </c>
    </row>
    <row r="291" spans="1:6" x14ac:dyDescent="0.2">
      <c r="A291" s="31" t="s">
        <v>76</v>
      </c>
      <c r="B291" s="8">
        <f>VLOOKUP($A291,'Exempt Non-managerial'!$A:$J,10,FALSE)+1</f>
        <v>0.74036349481675012</v>
      </c>
      <c r="C291" s="7">
        <v>0.85</v>
      </c>
      <c r="D291" s="7">
        <v>1</v>
      </c>
      <c r="E291" s="7">
        <v>0.3</v>
      </c>
      <c r="F291" s="7">
        <v>0.35</v>
      </c>
    </row>
    <row r="292" spans="1:6" x14ac:dyDescent="0.2">
      <c r="A292" s="2" t="s">
        <v>262</v>
      </c>
      <c r="B292" s="8">
        <f>VLOOKUP($A292,'Exempt Non-managerial'!$A:$J,10,FALSE)+1</f>
        <v>0.70201954835252833</v>
      </c>
      <c r="C292" s="7">
        <v>0.85</v>
      </c>
      <c r="D292" s="7">
        <v>1</v>
      </c>
      <c r="E292" s="7">
        <v>0.3</v>
      </c>
      <c r="F292" s="7">
        <v>0.35</v>
      </c>
    </row>
    <row r="293" spans="1:6" x14ac:dyDescent="0.2">
      <c r="A293" s="2"/>
    </row>
    <row r="294" spans="1:6" x14ac:dyDescent="0.2">
      <c r="A294" s="2"/>
    </row>
    <row r="295" spans="1:6" x14ac:dyDescent="0.2">
      <c r="A295" s="2"/>
    </row>
    <row r="296" spans="1:6" x14ac:dyDescent="0.2">
      <c r="A296" s="2"/>
    </row>
    <row r="297" spans="1:6" x14ac:dyDescent="0.2">
      <c r="A297" s="2"/>
    </row>
    <row r="298" spans="1:6" x14ac:dyDescent="0.2">
      <c r="A298" s="2"/>
    </row>
    <row r="299" spans="1:6" x14ac:dyDescent="0.2">
      <c r="A299" s="2"/>
    </row>
    <row r="300" spans="1:6" x14ac:dyDescent="0.2">
      <c r="A300" s="2"/>
    </row>
    <row r="301" spans="1:6" x14ac:dyDescent="0.2">
      <c r="A301" s="2"/>
    </row>
    <row r="302" spans="1:6" x14ac:dyDescent="0.2">
      <c r="A302" s="2"/>
    </row>
    <row r="303" spans="1:6" x14ac:dyDescent="0.2">
      <c r="A303" s="2"/>
    </row>
    <row r="304" spans="1:6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</sheetData>
  <autoFilter ref="A3:B117" xr:uid="{00000000-0009-0000-0000-000002000000}">
    <sortState xmlns:xlrd2="http://schemas.microsoft.com/office/spreadsheetml/2017/richdata2" ref="A4:B65">
      <sortCondition descending="1" ref="B3:B65"/>
    </sortState>
  </autoFilter>
  <sortState xmlns:xlrd2="http://schemas.microsoft.com/office/spreadsheetml/2017/richdata2" ref="A4:F292">
    <sortCondition descending="1" ref="B4:B292"/>
  </sortState>
  <pageMargins left="0.7" right="0.7" top="0.75" bottom="0.75" header="0.3" footer="0.3"/>
  <pageSetup orientation="portrait" horizontalDpi="1200" verticalDpi="1200" r:id="rId1"/>
  <headerFooter>
    <oddHeader>&amp;RDocket No. 56165
W/P &amp;F
&amp;A
Page &amp;P of &amp;N</oddHead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+PGVsZW1lbnQgdWlkPSJjNWY4ZWIxMi01YjI3LTQzOWQtYWFhNi0zNDAyYWY2MjZmYTM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+Q09SUFxzMjkxNjc5PC9Vc2VyTmFtZT48RGF0ZVRpbWU+MTAvNC8yMDIyIDM6MDQ6NDMgUE08L0RhdGVUaW1lPjxMYWJlbFN0cmluZz5BRVAgUHVibGljPC9MYWJlbFN0cmluZz48L2l0ZW0+PC9sYWJlbEhpc3Rvcnk+</Value>
</WrappedLabelHistory>
</file>

<file path=customXml/item4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Props1.xml><?xml version="1.0" encoding="utf-8"?>
<ds:datastoreItem xmlns:ds="http://schemas.openxmlformats.org/officeDocument/2006/customXml" ds:itemID="{138CD806-F682-4D38-ADFE-478506C0CD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530B5D-426E-42CC-A942-F16A161EA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BF7A10-E83E-4B66-BE56-FDEBD508C7BD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3B864D23-9163-4746-84A7-B8365AF9951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Exempt Non-managerial</vt:lpstr>
      <vt:lpstr>Exempt Graph Data All</vt:lpstr>
      <vt:lpstr>Exempt Chart1</vt:lpstr>
      <vt:lpstr>'Exempt Non-managerial'!Print_Titles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s291679</dc:creator>
  <cp:keywords/>
  <cp:lastModifiedBy>Stephanie L White</cp:lastModifiedBy>
  <cp:lastPrinted>2019-04-22T18:51:54Z</cp:lastPrinted>
  <dcterms:created xsi:type="dcterms:W3CDTF">2018-12-19T20:55:02Z</dcterms:created>
  <dcterms:modified xsi:type="dcterms:W3CDTF">2024-02-27T21:39:10Z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ddd31a65-1a27-44a8-97dd-ad5cd6ca2963</vt:lpwstr>
  </property>
  <property fmtid="{D5CDD505-2E9C-101B-9397-08002B2CF9AE}" pid="3" name="bjSaver">
    <vt:lpwstr>ymOzOy9TozdO3fPkFt/NYaxMcqEF9d4G</vt:lpwstr>
  </property>
  <property fmtid="{D5CDD505-2E9C-101B-9397-08002B2CF9AE}" pid="4" name="bjDocumentSecurityLabel">
    <vt:lpwstr>AEP Public</vt:lpwstr>
  </property>
  <property fmtid="{D5CDD505-2E9C-101B-9397-08002B2CF9AE}" pid="5" name="Visual Markings Removed">
    <vt:lpwstr>No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8" name="MSIP_Label_5c34e43d-0b77-4b2c-b224-1b46981ccfdb_SiteId">
    <vt:lpwstr>15f3c881-6b03-4ff6-8559-77bf5177818f</vt:lpwstr>
  </property>
  <property fmtid="{D5CDD505-2E9C-101B-9397-08002B2CF9AE}" pid="9" name="MSIP_Label_5c34e43d-0b77-4b2c-b224-1b46981ccfdb_Name">
    <vt:lpwstr>AEP Public</vt:lpwstr>
  </property>
  <property fmtid="{D5CDD505-2E9C-101B-9397-08002B2CF9AE}" pid="10" name="MSIP_Label_5c34e43d-0b77-4b2c-b224-1b46981ccfdb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{1DBF7A10-E83E-4B66-BE56-FDEBD508C7BD}</vt:lpwstr>
  </property>
</Properties>
</file>