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epenergy.sharepoint.com/sites/regsvcs/Regulatory Base Cases/AEP Texas/2024 Base Rate Case/Testimony Drafts/15. Brian Frantz/"/>
    </mc:Choice>
  </mc:AlternateContent>
  <xr:revisionPtr revIDLastSave="4" documentId="13_ncr:40009_{716A73DC-28F9-4A16-97C9-5354EC1D0FF8}" xr6:coauthVersionLast="47" xr6:coauthVersionMax="47" xr10:uidLastSave="{25588D49-04E0-47DE-A115-3C50FCD050F3}"/>
  <bookViews>
    <workbookView xWindow="-108" yWindow="-108" windowWidth="41496" windowHeight="16776" tabRatio="718" activeTab="9" xr2:uid="{00000000-000D-0000-FFFF-FFFF00000000}"/>
  </bookViews>
  <sheets>
    <sheet name="BJF-4" sheetId="1" r:id="rId1"/>
    <sheet name="1" sheetId="3" r:id="rId2"/>
    <sheet name="2" sheetId="4" r:id="rId3"/>
    <sheet name="3" sheetId="21" r:id="rId4"/>
    <sheet name="4" sheetId="6" r:id="rId5"/>
    <sheet name="5" sheetId="8" r:id="rId6"/>
    <sheet name="6" sheetId="9" r:id="rId7"/>
    <sheet name="7" sheetId="10" r:id="rId8"/>
    <sheet name="8" sheetId="14" r:id="rId9"/>
    <sheet name="9" sheetId="20" r:id="rId10"/>
  </sheets>
  <definedNames>
    <definedName name="_xlnm._FilterDatabase" localSheetId="2" hidden="1">'2'!#REF!</definedName>
    <definedName name="_xlnm.Print_Area" localSheetId="0">'BJF-4'!$A$2:$D$28</definedName>
    <definedName name="_xlnm.Print_Titles" localSheetId="3">'3'!$2:$8</definedName>
    <definedName name="_xlnm.Print_Titles" localSheetId="5">'5'!$2:$7</definedName>
    <definedName name="_xlnm.Print_Titles" localSheetId="6">'6'!$2:$7</definedName>
    <definedName name="_xlnm.Print_Titles" localSheetId="7">'7'!$2:$7</definedName>
    <definedName name="_xlnm.Print_Titles" localSheetId="8">'8'!$2:$7</definedName>
    <definedName name="_xlnm.Print_Titles" localSheetId="9">'9'!$2:$7</definedName>
    <definedName name="_xlnm.Print_Titles" localSheetId="0">'BJF-4'!$2:$5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A54" i="8" l="1"/>
  <c r="G52" i="3"/>
  <c r="G37" i="3"/>
  <c r="G63" i="3" l="1"/>
  <c r="A13" i="10"/>
  <c r="K11" i="6"/>
  <c r="K12" i="6"/>
  <c r="D27" i="1"/>
  <c r="G54" i="4"/>
  <c r="G13" i="10"/>
  <c r="G54" i="9"/>
  <c r="A10" i="9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4" i="9" s="1"/>
  <c r="K10" i="6"/>
  <c r="K9" i="6"/>
  <c r="G55" i="21"/>
  <c r="A10" i="2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  <c r="A38" i="21" s="1"/>
  <c r="A39" i="21" s="1"/>
  <c r="A40" i="21" s="1"/>
  <c r="A41" i="21" s="1"/>
  <c r="A42" i="21" s="1"/>
  <c r="A43" i="21" s="1"/>
  <c r="A44" i="21" s="1"/>
  <c r="A45" i="21" s="1"/>
  <c r="A46" i="21" s="1"/>
  <c r="A47" i="21" s="1"/>
  <c r="A48" i="21" s="1"/>
  <c r="A49" i="21" s="1"/>
  <c r="A50" i="21" s="1"/>
  <c r="A51" i="21" s="1"/>
  <c r="A52" i="21" s="1"/>
  <c r="A53" i="21" s="1"/>
  <c r="A55" i="21" s="1"/>
  <c r="A10" i="4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10" i="6"/>
  <c r="A11" i="6" s="1"/>
  <c r="A12" i="6" s="1"/>
  <c r="A14" i="6" s="1"/>
  <c r="I14" i="6"/>
  <c r="G14" i="6"/>
  <c r="A10" i="3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3" i="3" s="1"/>
  <c r="G54" i="8"/>
  <c r="A11" i="1"/>
  <c r="A13" i="1" s="1"/>
  <c r="A15" i="1" s="1"/>
  <c r="A17" i="1" s="1"/>
  <c r="A19" i="1" s="1"/>
  <c r="A21" i="1" s="1"/>
  <c r="A23" i="1" s="1"/>
  <c r="A25" i="1" s="1"/>
  <c r="A47" i="4" l="1"/>
  <c r="A48" i="4" s="1"/>
  <c r="A49" i="4" s="1"/>
  <c r="A50" i="4" s="1"/>
  <c r="A51" i="4" s="1"/>
  <c r="A52" i="4" s="1"/>
  <c r="A54" i="4" s="1"/>
  <c r="K14" i="6"/>
</calcChain>
</file>

<file path=xl/sharedStrings.xml><?xml version="1.0" encoding="utf-8"?>
<sst xmlns="http://schemas.openxmlformats.org/spreadsheetml/2006/main" count="354" uniqueCount="108">
  <si>
    <t>Adjustments to Test Year Expenses</t>
  </si>
  <si>
    <t>Total</t>
  </si>
  <si>
    <t>Remove Miscellaneous Items</t>
  </si>
  <si>
    <t>Remove Corporate Aviation Costs</t>
  </si>
  <si>
    <t>Adjust Test Year Benefit Plan Costs</t>
  </si>
  <si>
    <t>Adjust Headcount to Year-End Level</t>
  </si>
  <si>
    <t>Add Requested AEPSC Donations</t>
  </si>
  <si>
    <t>Pro-Forma No. 1</t>
  </si>
  <si>
    <t>Line No.</t>
  </si>
  <si>
    <t>Description</t>
  </si>
  <si>
    <t>FERC Account Number</t>
  </si>
  <si>
    <t>Pro Forma Adjustment</t>
  </si>
  <si>
    <t>Pro-Forma No. 2</t>
  </si>
  <si>
    <t>Total Company Per Books</t>
  </si>
  <si>
    <t>Total Company Request</t>
  </si>
  <si>
    <t>Pro-Forma No. 3</t>
  </si>
  <si>
    <t>Pro-Forma No. 4</t>
  </si>
  <si>
    <t>Remove Aviation</t>
  </si>
  <si>
    <t>Pro-Forma No. 5</t>
  </si>
  <si>
    <t>Pro-Forma No. 6</t>
  </si>
  <si>
    <t>Pro-Forma No. 7</t>
  </si>
  <si>
    <t>Headcount Adjustment</t>
  </si>
  <si>
    <t>Pro-Forma No. 8</t>
  </si>
  <si>
    <t>Add Donations</t>
  </si>
  <si>
    <t>Pro-Forma No. 9</t>
  </si>
  <si>
    <t>9230  Outside Services Employed</t>
  </si>
  <si>
    <t>Internal Support Adj</t>
  </si>
  <si>
    <t>Affiliate Pro-forma Adjustments:</t>
  </si>
  <si>
    <t>Total Affiliate Pro-forma Adjustments</t>
  </si>
  <si>
    <t>Adjust Internal Support Costs</t>
  </si>
  <si>
    <t>Adjust Umbrella Trust</t>
  </si>
  <si>
    <t>5000 - Oper Supervision &amp; Engineering</t>
  </si>
  <si>
    <t>5010 - Fuel</t>
  </si>
  <si>
    <t>5060 - Misc Steam Power Expenses</t>
  </si>
  <si>
    <t>5100 - Maint Supv &amp; Engineering</t>
  </si>
  <si>
    <t>5110 - Maintenance of Structures</t>
  </si>
  <si>
    <t>5120 - Maintenance of Boiler Plant</t>
  </si>
  <si>
    <t>5130 - Maintenance of Electric Plant</t>
  </si>
  <si>
    <t>5140 - Maintenance of Misc Steam Plt</t>
  </si>
  <si>
    <t>5240 - Misc Nuclear Power Expenses</t>
  </si>
  <si>
    <t>5300 - Maint of Reactor Plant Equip</t>
  </si>
  <si>
    <t>5390 - Misc Hydr Power Generation Exp</t>
  </si>
  <si>
    <t>5560 - Sys Control &amp; Load Dispatching</t>
  </si>
  <si>
    <t>5570 - Other Expenses</t>
  </si>
  <si>
    <t>5600 - Oper Supervision &amp; Engineering</t>
  </si>
  <si>
    <t>5612 - Load Dispatch-Mntr&amp;Op TransSys</t>
  </si>
  <si>
    <t>5620 - Station Expenses</t>
  </si>
  <si>
    <t>5630 - Overhead Line Expenses</t>
  </si>
  <si>
    <t>5660 - Misc Transmission Expenses</t>
  </si>
  <si>
    <t>5680 - Maint Supv &amp; Engineering</t>
  </si>
  <si>
    <t>5690 - Maintenance of Structures</t>
  </si>
  <si>
    <t>5692 - Maint of Computer Software</t>
  </si>
  <si>
    <t>5700 - Maint of Station Equipment</t>
  </si>
  <si>
    <t>5710 - Maintenance of Overhead Lines</t>
  </si>
  <si>
    <t>5730 - Maint of Misc Trnsmssion Plt</t>
  </si>
  <si>
    <t>5800 - Oper Supervision &amp; Engineering</t>
  </si>
  <si>
    <t>5820 - Station Expenses</t>
  </si>
  <si>
    <t>5830 - Overhead Line Expenses</t>
  </si>
  <si>
    <t>5880 - Miscellaneous Distribution Exp</t>
  </si>
  <si>
    <t>5920 - Maint of Station Equipment</t>
  </si>
  <si>
    <t>5930 - Maintenance of Overhead Lines</t>
  </si>
  <si>
    <t>5940 - Maint of Underground Lines</t>
  </si>
  <si>
    <t>9020 - Meter Reading Expenses</t>
  </si>
  <si>
    <t>9030 - Cust Records &amp; Collection Exp</t>
  </si>
  <si>
    <t>9070 - Supervision - Customer Service</t>
  </si>
  <si>
    <t>9080 - Customer Assistance Expenses</t>
  </si>
  <si>
    <t>9100 - Misc Cust Svc&amp;Informational Ex</t>
  </si>
  <si>
    <t>9120 - Demonstrating &amp; Selling Exp</t>
  </si>
  <si>
    <t>9200 - Administrative &amp; Gen Salaries</t>
  </si>
  <si>
    <t>9210 - Office Supplies and Expenses</t>
  </si>
  <si>
    <t>9230 - Outside Services Employed</t>
  </si>
  <si>
    <t>9250 - Injuries and Damages</t>
  </si>
  <si>
    <t>9260 - Employee Pensions &amp; Benefits</t>
  </si>
  <si>
    <t>9280 - Regulatory Commission Exp</t>
  </si>
  <si>
    <t>9301 - General Advertising Expenses</t>
  </si>
  <si>
    <t>9302 - Misc General Expenses</t>
  </si>
  <si>
    <t>9350 - Maintenance of General Plant</t>
  </si>
  <si>
    <t>5615 - Reliability,Plng&amp;Stds Develop</t>
  </si>
  <si>
    <t>5691 - Maint of Computer Hardware</t>
  </si>
  <si>
    <t>5840 - Underground Line Expenses</t>
  </si>
  <si>
    <t>5860 - Meter Expenses</t>
  </si>
  <si>
    <t>5900 - Maint Supv &amp; Engineering</t>
  </si>
  <si>
    <t>5970 - Maintenance of Meters</t>
  </si>
  <si>
    <t>9010 - Supervision - Customer Accts</t>
  </si>
  <si>
    <t>9050 - Misc Customer Accounts Exp</t>
  </si>
  <si>
    <t>9220 - Administrative Exp Trnsf - Cr</t>
  </si>
  <si>
    <t>4261 - Donations</t>
  </si>
  <si>
    <t>4264 - Civic &amp; Political Activities</t>
  </si>
  <si>
    <t>4265 - Other Deductions</t>
  </si>
  <si>
    <t>PUBLIC UTILITY COMMISSION OF TEXAS</t>
  </si>
  <si>
    <t>AEP TEXAS INC</t>
  </si>
  <si>
    <t>For the Test Year Ended September 30, 2023</t>
  </si>
  <si>
    <t>Adjust Annual Incentive Compensation</t>
  </si>
  <si>
    <t>Adjust Long-Term Incentive Compensation</t>
  </si>
  <si>
    <t>Normalize Umbrella Trust</t>
  </si>
  <si>
    <t>5170 - Oper Supervision &amp; Engineering</t>
  </si>
  <si>
    <t>5280 - Maint Supv &amp; Engineering</t>
  </si>
  <si>
    <t>5310 - Maintenance of Electric Plant</t>
  </si>
  <si>
    <t>5320 - Maint of Misc Nuclear Plant</t>
  </si>
  <si>
    <t>5440 - Maintenance of Electric Plant</t>
  </si>
  <si>
    <t>5450 - Maint of Misc Hydraulic Plant</t>
  </si>
  <si>
    <t>5460 - Oper Supervision &amp; Engineering</t>
  </si>
  <si>
    <t>5500 - Rents</t>
  </si>
  <si>
    <t>5530 - Maintenance of Generating Plt</t>
  </si>
  <si>
    <t>5870 - Customer Installations Exp</t>
  </si>
  <si>
    <t>Adjust Annual Incentive</t>
  </si>
  <si>
    <t>Adjust LTIP</t>
  </si>
  <si>
    <t>For the Test Year Ended Septmber 30,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</si>
</sst>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color indexed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mediumGray">
        <fgColor indexed="22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8" fillId="0" borderId="0"/>
    <xf numFmtId="9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>
      <alignment horizontal="left"/>
    </xf>
    <xf numFmtId="15" fontId="3" fillId="0" borderId="0" applyFont="0" applyFill="0" applyBorder="0" applyAlignment="0" applyProtection="0"/>
    <xf numFmtId="4" fontId="3" fillId="0" borderId="0" applyFont="0" applyFill="0" applyBorder="0" applyAlignment="0" applyProtection="0"/>
    <xf numFmtId="0" fontId="4" fillId="0" borderId="1">
      <alignment horizontal="center"/>
    </xf>
    <xf numFmtId="3" fontId="3" fillId="0" borderId="0" applyFont="0" applyFill="0" applyBorder="0" applyAlignment="0" applyProtection="0"/>
    <xf numFmtId="0" fontId="3" fillId="2" borderId="0" applyNumberFormat="0" applyFont="0" applyBorder="0" applyAlignment="0" applyProtection="0"/>
  </cellStyleXfs>
  <cellXfs count="44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ill="1"/>
    <xf numFmtId="0" fontId="0" fillId="0" borderId="0" xfId="0" applyAlignment="1">
      <alignment horizontal="center"/>
    </xf>
    <xf numFmtId="0" fontId="0" fillId="0" borderId="0" xfId="0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0" fillId="0" borderId="0" xfId="0" applyAlignment="1">
      <alignment wrapText="1"/>
    </xf>
    <xf numFmtId="164" fontId="2" fillId="0" borderId="0" xfId="1" applyNumberFormat="1" applyFont="1" applyBorder="1" applyAlignment="1">
      <alignment horizontal="right"/>
    </xf>
    <xf numFmtId="0" fontId="2" fillId="0" borderId="0" xfId="0" applyFont="1" applyBorder="1" applyAlignment="1">
      <alignment horizontal="center"/>
    </xf>
    <xf numFmtId="5" fontId="1" fillId="0" borderId="0" xfId="1" applyNumberFormat="1" applyBorder="1"/>
    <xf numFmtId="37" fontId="1" fillId="0" borderId="0" xfId="1" applyNumberFormat="1" applyBorder="1"/>
    <xf numFmtId="0" fontId="2" fillId="0" borderId="0" xfId="0" applyFont="1" applyAlignment="1">
      <alignment horizontal="left"/>
    </xf>
    <xf numFmtId="0" fontId="2" fillId="0" borderId="0" xfId="0" applyFont="1"/>
    <xf numFmtId="164" fontId="1" fillId="0" borderId="0" xfId="1" applyNumberFormat="1"/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164" fontId="1" fillId="0" borderId="2" xfId="1" applyNumberFormat="1" applyBorder="1" applyAlignment="1">
      <alignment horizontal="center" wrapText="1"/>
    </xf>
    <xf numFmtId="164" fontId="1" fillId="0" borderId="0" xfId="1" applyNumberFormat="1" applyAlignment="1">
      <alignment horizontal="center" wrapText="1"/>
    </xf>
    <xf numFmtId="6" fontId="1" fillId="0" borderId="0" xfId="1" applyNumberFormat="1"/>
    <xf numFmtId="6" fontId="1" fillId="0" borderId="0" xfId="1" applyNumberFormat="1" applyBorder="1"/>
    <xf numFmtId="164" fontId="1" fillId="0" borderId="2" xfId="1" applyNumberFormat="1" applyFont="1" applyBorder="1" applyAlignment="1">
      <alignment horizontal="center" wrapText="1"/>
    </xf>
    <xf numFmtId="164" fontId="1" fillId="0" borderId="0" xfId="1" applyNumberFormat="1" applyBorder="1"/>
    <xf numFmtId="164" fontId="0" fillId="0" borderId="0" xfId="1" applyNumberFormat="1" applyFont="1"/>
    <xf numFmtId="165" fontId="0" fillId="0" borderId="0" xfId="3" applyNumberFormat="1" applyFont="1"/>
    <xf numFmtId="165" fontId="1" fillId="0" borderId="3" xfId="1" applyNumberFormat="1" applyBorder="1"/>
    <xf numFmtId="164" fontId="1" fillId="0" borderId="2" xfId="1" applyNumberFormat="1" applyBorder="1"/>
    <xf numFmtId="164" fontId="0" fillId="0" borderId="2" xfId="1" applyNumberFormat="1" applyFont="1" applyBorder="1"/>
    <xf numFmtId="165" fontId="1" fillId="0" borderId="0" xfId="3" applyNumberFormat="1" applyFont="1"/>
    <xf numFmtId="165" fontId="0" fillId="0" borderId="3" xfId="3" applyNumberFormat="1" applyFont="1" applyBorder="1"/>
    <xf numFmtId="164" fontId="1" fillId="0" borderId="0" xfId="1" applyNumberFormat="1" applyBorder="1" applyAlignment="1">
      <alignment horizontal="center" wrapText="1"/>
    </xf>
    <xf numFmtId="165" fontId="1" fillId="0" borderId="0" xfId="3" applyNumberFormat="1" applyFont="1" applyBorder="1"/>
    <xf numFmtId="165" fontId="1" fillId="0" borderId="3" xfId="3" applyNumberFormat="1" applyFont="1" applyBorder="1"/>
    <xf numFmtId="164" fontId="1" fillId="0" borderId="0" xfId="1" applyNumberFormat="1" applyFont="1"/>
    <xf numFmtId="37" fontId="1" fillId="0" borderId="0" xfId="1" applyNumberFormat="1" applyFill="1" applyBorder="1"/>
    <xf numFmtId="0" fontId="0" fillId="0" borderId="0" xfId="0" applyBorder="1" applyAlignment="1">
      <alignment horizontal="center" wrapText="1"/>
    </xf>
    <xf numFmtId="164" fontId="0" fillId="0" borderId="0" xfId="1" applyNumberFormat="1" applyFont="1" applyBorder="1"/>
    <xf numFmtId="165" fontId="0" fillId="0" borderId="0" xfId="0" applyNumberFormat="1"/>
    <xf numFmtId="0" fontId="7" fillId="0" borderId="0" xfId="0" applyFont="1"/>
    <xf numFmtId="165" fontId="1" fillId="0" borderId="0" xfId="1" applyNumberFormat="1" applyBorder="1"/>
    <xf numFmtId="165" fontId="0" fillId="0" borderId="0" xfId="3" applyNumberFormat="1" applyFont="1" applyBorder="1"/>
    <xf numFmtId="5" fontId="2" fillId="0" borderId="3" xfId="1" applyNumberFormat="1" applyFont="1" applyBorder="1"/>
    <xf numFmtId="0" fontId="1" fillId="0" borderId="0" xfId="0" applyFont="1"/>
    <xf numFmtId="0" fontId="2" fillId="0" borderId="0" xfId="0" applyFont="1" applyAlignment="1">
      <alignment horizontal="center"/>
    </xf>
  </cellXfs>
  <cellStyles count="12">
    <cellStyle name="Comma" xfId="1" builtinId="3"/>
    <cellStyle name="Comma 2" xfId="2" xr:uid="{00000000-0005-0000-0000-000001000000}"/>
    <cellStyle name="Currency" xfId="3" builtinId="4"/>
    <cellStyle name="Normal" xfId="0" builtinId="0"/>
    <cellStyle name="Normal 2" xfId="4" xr:uid="{00000000-0005-0000-0000-000004000000}"/>
    <cellStyle name="Percent 2" xfId="5" xr:uid="{00000000-0005-0000-0000-000005000000}"/>
    <cellStyle name="PSChar" xfId="6" xr:uid="{00000000-0005-0000-0000-000006000000}"/>
    <cellStyle name="PSDate" xfId="7" xr:uid="{00000000-0005-0000-0000-000007000000}"/>
    <cellStyle name="PSDec" xfId="8" xr:uid="{00000000-0005-0000-0000-000008000000}"/>
    <cellStyle name="PSHeading" xfId="9" xr:uid="{00000000-0005-0000-0000-000009000000}"/>
    <cellStyle name="PSInt" xfId="10" xr:uid="{00000000-0005-0000-0000-00000A000000}"/>
    <cellStyle name="PSSpacer" xfId="11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65</xdr:row>
      <xdr:rowOff>19050</xdr:rowOff>
    </xdr:from>
    <xdr:to>
      <xdr:col>5</xdr:col>
      <xdr:colOff>0</xdr:colOff>
      <xdr:row>72</xdr:row>
      <xdr:rowOff>78441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3C042565-4172-15F4-AAD7-2B9201FFF1F6}"/>
            </a:ext>
          </a:extLst>
        </xdr:cNvPr>
        <xdr:cNvSpPr txBox="1">
          <a:spLocks noChangeArrowheads="1"/>
        </xdr:cNvSpPr>
      </xdr:nvSpPr>
      <xdr:spPr bwMode="auto">
        <a:xfrm>
          <a:off x="161925" y="12737726"/>
          <a:ext cx="4600575" cy="115756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PURPOSE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To remove charges that the Company has determined it will not request.  The Company reviewed invoices/costs charged to departments and identified  charges that should be removed from cost of service.  </a:t>
          </a:r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55</xdr:row>
      <xdr:rowOff>1</xdr:rowOff>
    </xdr:from>
    <xdr:to>
      <xdr:col>6</xdr:col>
      <xdr:colOff>0</xdr:colOff>
      <xdr:row>61</xdr:row>
      <xdr:rowOff>1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21390382-5EFF-351A-0546-7DB1A6C55A0E}"/>
            </a:ext>
          </a:extLst>
        </xdr:cNvPr>
        <xdr:cNvSpPr txBox="1">
          <a:spLocks noChangeArrowheads="1"/>
        </xdr:cNvSpPr>
      </xdr:nvSpPr>
      <xdr:spPr bwMode="auto">
        <a:xfrm>
          <a:off x="200025" y="11795126"/>
          <a:ext cx="4546600" cy="952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PURPOSE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To adjust incentive accruals to a target level.  The test year was normalized by taking the per books incentive accrual and reducing to 100% to represent a level 12 months.</a:t>
          </a:r>
          <a:endParaRPr lang="en-US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190499</xdr:colOff>
      <xdr:row>55</xdr:row>
      <xdr:rowOff>111126</xdr:rowOff>
    </xdr:from>
    <xdr:to>
      <xdr:col>6</xdr:col>
      <xdr:colOff>0</xdr:colOff>
      <xdr:row>63</xdr:row>
      <xdr:rowOff>63501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470FB1F9-6871-8BD3-4A71-EEB856BBD689}"/>
            </a:ext>
          </a:extLst>
        </xdr:cNvPr>
        <xdr:cNvSpPr txBox="1">
          <a:spLocks noChangeArrowheads="1"/>
        </xdr:cNvSpPr>
      </xdr:nvSpPr>
      <xdr:spPr bwMode="auto">
        <a:xfrm>
          <a:off x="190499" y="11255376"/>
          <a:ext cx="4937126" cy="1238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PURPOSE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To adjust long-term incentive accruals to target level.  This adjustment normalizes the test year to reflect  the expected future value for the compensation.  </a:t>
          </a:r>
          <a:endParaRPr lang="en-US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16</xdr:row>
      <xdr:rowOff>0</xdr:rowOff>
    </xdr:from>
    <xdr:to>
      <xdr:col>5</xdr:col>
      <xdr:colOff>0</xdr:colOff>
      <xdr:row>20</xdr:row>
      <xdr:rowOff>145677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48F42067-C530-6929-4389-1C72FE9883EB}"/>
            </a:ext>
          </a:extLst>
        </xdr:cNvPr>
        <xdr:cNvSpPr txBox="1">
          <a:spLocks noChangeArrowheads="1"/>
        </xdr:cNvSpPr>
      </xdr:nvSpPr>
      <xdr:spPr bwMode="auto">
        <a:xfrm>
          <a:off x="142875" y="2857500"/>
          <a:ext cx="4059331" cy="77320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PURPOSE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To remove all costs related to operation and maintenance of AEP's aircraft.  </a:t>
          </a:r>
          <a:endParaRPr lang="en-US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179294</xdr:colOff>
      <xdr:row>56</xdr:row>
      <xdr:rowOff>1</xdr:rowOff>
    </xdr:from>
    <xdr:to>
      <xdr:col>6</xdr:col>
      <xdr:colOff>0</xdr:colOff>
      <xdr:row>60</xdr:row>
      <xdr:rowOff>31751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38AD7DA9-AA56-57F3-3BA2-0564CF64F945}"/>
            </a:ext>
          </a:extLst>
        </xdr:cNvPr>
        <xdr:cNvSpPr txBox="1">
          <a:spLocks noChangeArrowheads="1"/>
        </xdr:cNvSpPr>
      </xdr:nvSpPr>
      <xdr:spPr bwMode="auto">
        <a:xfrm>
          <a:off x="179294" y="2413001"/>
          <a:ext cx="3471956" cy="666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PURPOSE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To adjust pension, other post-retirement benefits and SFAS 112 costs based upon current actuarial data.</a:t>
          </a:r>
          <a:endParaRPr lang="en-US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54</xdr:row>
      <xdr:rowOff>158751</xdr:rowOff>
    </xdr:from>
    <xdr:to>
      <xdr:col>6</xdr:col>
      <xdr:colOff>0</xdr:colOff>
      <xdr:row>60</xdr:row>
      <xdr:rowOff>15876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DE19578B-7753-0440-3382-43813532A906}"/>
            </a:ext>
          </a:extLst>
        </xdr:cNvPr>
        <xdr:cNvSpPr txBox="1">
          <a:spLocks noChangeArrowheads="1"/>
        </xdr:cNvSpPr>
      </xdr:nvSpPr>
      <xdr:spPr bwMode="auto">
        <a:xfrm>
          <a:off x="142875" y="11128376"/>
          <a:ext cx="4492625" cy="825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PURPOSE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To adjust test year AEPSC payroll charges to AEP Texas to correspond to test year end salaries and headcount.  Also to include a merit increase for applicable employees.</a:t>
          </a:r>
          <a:endParaRPr lang="en-US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14</xdr:row>
      <xdr:rowOff>1</xdr:rowOff>
    </xdr:from>
    <xdr:to>
      <xdr:col>6</xdr:col>
      <xdr:colOff>0</xdr:colOff>
      <xdr:row>20</xdr:row>
      <xdr:rowOff>47625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9D1B3B0C-4F55-F5FE-CF25-CA7CB1550F44}"/>
            </a:ext>
          </a:extLst>
        </xdr:cNvPr>
        <xdr:cNvSpPr txBox="1">
          <a:spLocks noChangeArrowheads="1"/>
        </xdr:cNvSpPr>
      </xdr:nvSpPr>
      <xdr:spPr bwMode="auto">
        <a:xfrm>
          <a:off x="142875" y="2095501"/>
          <a:ext cx="3460750" cy="100012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PURPOSE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Add AEPSC donations for which the company is requesting recovery.   </a:t>
          </a:r>
          <a:endParaRPr lang="en-US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201706</xdr:colOff>
      <xdr:row>11</xdr:row>
      <xdr:rowOff>19051</xdr:rowOff>
    </xdr:from>
    <xdr:to>
      <xdr:col>5</xdr:col>
      <xdr:colOff>190500</xdr:colOff>
      <xdr:row>18</xdr:row>
      <xdr:rowOff>63500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4BCE93A7-C3B8-4CA1-316A-F36824FFBA34}"/>
            </a:ext>
          </a:extLst>
        </xdr:cNvPr>
        <xdr:cNvSpPr txBox="1">
          <a:spLocks noChangeArrowheads="1"/>
        </xdr:cNvSpPr>
      </xdr:nvSpPr>
      <xdr:spPr bwMode="auto">
        <a:xfrm>
          <a:off x="201706" y="1765301"/>
          <a:ext cx="4021044" cy="115569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PURPOSE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Normalize the test year impact of the AEPSC Umbrella Trust, which primarily has assets related to the cash surrender value of insurance policies, to reflect a five-year trend of the change in the value of these policies</a:t>
          </a:r>
          <a:endParaRPr lang="en-US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168088</xdr:colOff>
      <xdr:row>10</xdr:row>
      <xdr:rowOff>145676</xdr:rowOff>
    </xdr:from>
    <xdr:to>
      <xdr:col>6</xdr:col>
      <xdr:colOff>1</xdr:colOff>
      <xdr:row>16</xdr:row>
      <xdr:rowOff>127000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B187DB4E-8E6D-134D-1080-610D5DE1E78F}"/>
            </a:ext>
          </a:extLst>
        </xdr:cNvPr>
        <xdr:cNvSpPr txBox="1">
          <a:spLocks noChangeArrowheads="1"/>
        </xdr:cNvSpPr>
      </xdr:nvSpPr>
      <xdr:spPr bwMode="auto">
        <a:xfrm>
          <a:off x="168088" y="1733176"/>
          <a:ext cx="4022913" cy="93382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PURPOSE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To adjust AEPSC internal support billed to AEP Texas</a:t>
          </a:r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zoomScale="85" zoomScaleNormal="85" workbookViewId="0">
      <selection activeCell="M50" sqref="M50"/>
    </sheetView>
  </sheetViews>
  <sheetFormatPr defaultRowHeight="13.2" x14ac:dyDescent="0.25"/>
  <cols>
    <col min="1" max="1" width="4.6640625" style="3" customWidth="1"/>
    <col min="2" max="2" width="39.6640625" style="7" bestFit="1" customWidth="1"/>
    <col min="3" max="3" width="1.6640625" customWidth="1"/>
    <col min="4" max="4" width="16.5546875" style="14" bestFit="1" customWidth="1"/>
    <col min="5" max="5" width="9.109375" style="2"/>
  </cols>
  <sheetData>
    <row r="1" spans="1:4" x14ac:dyDescent="0.25">
      <c r="A1" s="43" t="s">
        <v>89</v>
      </c>
      <c r="B1" s="43"/>
      <c r="C1" s="43"/>
      <c r="D1" s="43"/>
    </row>
    <row r="2" spans="1:4" x14ac:dyDescent="0.25">
      <c r="A2" s="43" t="s">
        <v>90</v>
      </c>
      <c r="B2" s="43"/>
      <c r="C2" s="43"/>
      <c r="D2" s="43"/>
    </row>
    <row r="3" spans="1:4" x14ac:dyDescent="0.25">
      <c r="A3" s="43" t="s">
        <v>0</v>
      </c>
      <c r="B3" s="43"/>
      <c r="C3" s="43"/>
      <c r="D3" s="43"/>
    </row>
    <row r="4" spans="1:4" x14ac:dyDescent="0.25">
      <c r="A4" s="43" t="s">
        <v>91</v>
      </c>
      <c r="B4" s="43"/>
      <c r="C4" s="43"/>
      <c r="D4" s="43"/>
    </row>
    <row r="5" spans="1:4" x14ac:dyDescent="0.25">
      <c r="A5" s="1"/>
      <c r="B5" s="1"/>
      <c r="C5" s="1"/>
      <c r="D5" s="1"/>
    </row>
    <row r="6" spans="1:4" ht="13.8" thickBot="1" x14ac:dyDescent="0.3">
      <c r="B6" s="4"/>
      <c r="C6" s="1"/>
      <c r="D6" s="5" t="s">
        <v>1</v>
      </c>
    </row>
    <row r="7" spans="1:4" x14ac:dyDescent="0.25">
      <c r="A7" s="6" t="s">
        <v>27</v>
      </c>
      <c r="D7" s="8"/>
    </row>
    <row r="8" spans="1:4" x14ac:dyDescent="0.25">
      <c r="A8" s="9"/>
      <c r="D8" s="8"/>
    </row>
    <row r="9" spans="1:4" x14ac:dyDescent="0.25">
      <c r="A9" s="1">
        <v>1</v>
      </c>
      <c r="B9" t="s">
        <v>2</v>
      </c>
      <c r="D9" s="10">
        <f>-1589293+70</f>
        <v>-1589223</v>
      </c>
    </row>
    <row r="10" spans="1:4" x14ac:dyDescent="0.25">
      <c r="A10" s="1"/>
      <c r="D10" s="11"/>
    </row>
    <row r="11" spans="1:4" x14ac:dyDescent="0.25">
      <c r="A11" s="1">
        <f>+A9+1</f>
        <v>2</v>
      </c>
      <c r="B11" s="42" t="s">
        <v>92</v>
      </c>
      <c r="D11" s="11">
        <v>-594682</v>
      </c>
    </row>
    <row r="12" spans="1:4" x14ac:dyDescent="0.25">
      <c r="A12" s="1"/>
      <c r="D12" s="11"/>
    </row>
    <row r="13" spans="1:4" x14ac:dyDescent="0.25">
      <c r="A13" s="1">
        <f>+A11+1</f>
        <v>3</v>
      </c>
      <c r="B13" s="42" t="s">
        <v>93</v>
      </c>
      <c r="D13" s="34">
        <v>-281415</v>
      </c>
    </row>
    <row r="14" spans="1:4" x14ac:dyDescent="0.25">
      <c r="A14" s="1"/>
      <c r="D14" s="11"/>
    </row>
    <row r="15" spans="1:4" x14ac:dyDescent="0.25">
      <c r="A15" s="1">
        <f>+A13+1</f>
        <v>4</v>
      </c>
      <c r="B15" t="s">
        <v>3</v>
      </c>
      <c r="D15" s="11">
        <v>-793916</v>
      </c>
    </row>
    <row r="16" spans="1:4" x14ac:dyDescent="0.25">
      <c r="A16" s="1"/>
      <c r="D16" s="11"/>
    </row>
    <row r="17" spans="1:4" x14ac:dyDescent="0.25">
      <c r="A17" s="1">
        <f>+A15+1</f>
        <v>5</v>
      </c>
      <c r="B17" t="s">
        <v>4</v>
      </c>
      <c r="D17" s="11">
        <v>-349013</v>
      </c>
    </row>
    <row r="18" spans="1:4" x14ac:dyDescent="0.25">
      <c r="A18" s="1"/>
      <c r="D18" s="11"/>
    </row>
    <row r="19" spans="1:4" x14ac:dyDescent="0.25">
      <c r="A19" s="1">
        <f>+A17+1</f>
        <v>6</v>
      </c>
      <c r="B19" t="s">
        <v>5</v>
      </c>
      <c r="D19" s="11">
        <v>5911819</v>
      </c>
    </row>
    <row r="20" spans="1:4" x14ac:dyDescent="0.25">
      <c r="A20" s="1"/>
      <c r="D20" s="11"/>
    </row>
    <row r="21" spans="1:4" x14ac:dyDescent="0.25">
      <c r="A21" s="1">
        <f>+A19+1</f>
        <v>7</v>
      </c>
      <c r="B21" t="s">
        <v>6</v>
      </c>
      <c r="D21" s="11">
        <v>160489</v>
      </c>
    </row>
    <row r="22" spans="1:4" x14ac:dyDescent="0.25">
      <c r="A22" s="1"/>
      <c r="D22" s="11"/>
    </row>
    <row r="23" spans="1:4" x14ac:dyDescent="0.25">
      <c r="A23" s="1">
        <f>+A21+1</f>
        <v>8</v>
      </c>
      <c r="B23" t="s">
        <v>94</v>
      </c>
      <c r="D23" s="11">
        <v>1326746</v>
      </c>
    </row>
    <row r="24" spans="1:4" x14ac:dyDescent="0.25">
      <c r="A24" s="1"/>
      <c r="D24" s="11"/>
    </row>
    <row r="25" spans="1:4" x14ac:dyDescent="0.25">
      <c r="A25" s="1">
        <f>+A23+1</f>
        <v>9</v>
      </c>
      <c r="B25" s="42" t="s">
        <v>29</v>
      </c>
      <c r="D25" s="11">
        <v>55074</v>
      </c>
    </row>
    <row r="26" spans="1:4" x14ac:dyDescent="0.25">
      <c r="A26" s="1"/>
      <c r="B26" s="4"/>
      <c r="D26" s="11"/>
    </row>
    <row r="27" spans="1:4" ht="13.8" thickBot="1" x14ac:dyDescent="0.3">
      <c r="A27" s="12" t="s">
        <v>28</v>
      </c>
      <c r="C27" s="13"/>
      <c r="D27" s="41">
        <f>SUM(D9:D26)</f>
        <v>3845879</v>
      </c>
    </row>
    <row r="28" spans="1:4" ht="13.8" thickTop="1" x14ac:dyDescent="0.25"/>
  </sheetData>
  <mergeCells count="4">
    <mergeCell ref="A2:D2"/>
    <mergeCell ref="A3:D3"/>
    <mergeCell ref="A4:D4"/>
    <mergeCell ref="A1:D1"/>
  </mergeCells>
  <phoneticPr fontId="6" type="noConversion"/>
  <printOptions horizontalCentered="1"/>
  <pageMargins left="1" right="0.75" top="1.5" bottom="1" header="0.5" footer="0.5"/>
  <pageSetup scale="53" orientation="portrait" horizontalDpi="1200" verticalDpi="1200" r:id="rId1"/>
  <headerFooter alignWithMargins="0">
    <oddHeader>&amp;RDocket No. 56165
Exhibit BJF-4
Page &amp;P of &amp;N</oddHeader>
    <oddFooter>&amp;C&amp;A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5"/>
  <sheetViews>
    <sheetView tabSelected="1" topLeftCell="A11" zoomScale="85" zoomScaleNormal="85" workbookViewId="0">
      <selection activeCell="M50" sqref="M50"/>
    </sheetView>
  </sheetViews>
  <sheetFormatPr defaultRowHeight="13.2" x14ac:dyDescent="0.25"/>
  <cols>
    <col min="1" max="1" width="4.44140625" style="3" bestFit="1" customWidth="1"/>
    <col min="2" max="2" width="3" customWidth="1"/>
    <col min="3" max="3" width="25.6640625" bestFit="1" customWidth="1"/>
    <col min="4" max="4" width="3" customWidth="1"/>
    <col min="5" max="5" width="35.33203125" bestFit="1" customWidth="1"/>
    <col min="6" max="6" width="3" customWidth="1"/>
    <col min="7" max="7" width="20" style="14" customWidth="1"/>
    <col min="8" max="8" width="3" style="14" customWidth="1"/>
  </cols>
  <sheetData>
    <row r="1" spans="1:8" x14ac:dyDescent="0.25">
      <c r="A1" s="43" t="s">
        <v>89</v>
      </c>
      <c r="B1" s="43"/>
      <c r="C1" s="43"/>
      <c r="D1" s="43"/>
      <c r="E1" s="43"/>
      <c r="F1" s="43"/>
      <c r="G1" s="43"/>
    </row>
    <row r="2" spans="1:8" x14ac:dyDescent="0.25">
      <c r="A2" s="43" t="s">
        <v>90</v>
      </c>
      <c r="B2" s="43"/>
      <c r="C2" s="43"/>
      <c r="D2" s="43"/>
      <c r="E2" s="43"/>
      <c r="F2" s="43"/>
      <c r="G2" s="43"/>
    </row>
    <row r="3" spans="1:8" x14ac:dyDescent="0.25">
      <c r="A3" s="43" t="s">
        <v>0</v>
      </c>
      <c r="B3" s="43"/>
      <c r="C3" s="43"/>
      <c r="D3" s="43"/>
      <c r="E3" s="43"/>
      <c r="F3" s="43"/>
      <c r="G3" s="43"/>
    </row>
    <row r="4" spans="1:8" x14ac:dyDescent="0.25">
      <c r="A4" s="43" t="s">
        <v>91</v>
      </c>
      <c r="B4" s="43"/>
      <c r="C4" s="43"/>
      <c r="D4" s="43"/>
      <c r="E4" s="43"/>
      <c r="F4" s="43"/>
      <c r="G4" s="43"/>
    </row>
    <row r="5" spans="1:8" x14ac:dyDescent="0.25">
      <c r="A5" s="43" t="s">
        <v>7</v>
      </c>
      <c r="B5" s="43"/>
      <c r="C5" s="43"/>
      <c r="D5" s="43"/>
      <c r="E5" s="43"/>
      <c r="F5" s="43"/>
      <c r="G5" s="43"/>
    </row>
    <row r="7" spans="1:8" s="16" customFormat="1" ht="26.4" x14ac:dyDescent="0.25">
      <c r="A7" s="15" t="s">
        <v>8</v>
      </c>
      <c r="C7" s="15" t="s">
        <v>9</v>
      </c>
      <c r="E7" s="15" t="s">
        <v>10</v>
      </c>
      <c r="G7" s="17" t="s">
        <v>11</v>
      </c>
      <c r="H7" s="18"/>
    </row>
    <row r="9" spans="1:8" x14ac:dyDescent="0.25">
      <c r="A9" s="3">
        <v>1</v>
      </c>
      <c r="C9" t="s">
        <v>2</v>
      </c>
      <c r="E9" t="s">
        <v>31</v>
      </c>
      <c r="G9" s="24">
        <v>-454150.11000000103</v>
      </c>
      <c r="H9" s="19"/>
    </row>
    <row r="10" spans="1:8" x14ac:dyDescent="0.25">
      <c r="A10" s="3">
        <f>+A9+1</f>
        <v>2</v>
      </c>
      <c r="E10" t="s">
        <v>32</v>
      </c>
      <c r="G10" s="23">
        <v>1739.41</v>
      </c>
      <c r="H10" s="19"/>
    </row>
    <row r="11" spans="1:8" x14ac:dyDescent="0.25">
      <c r="A11" s="3">
        <f t="shared" ref="A11:A61" si="0">+A10+1</f>
        <v>3</v>
      </c>
      <c r="E11" t="s">
        <v>33</v>
      </c>
      <c r="G11" s="23">
        <v>-72601.550000000061</v>
      </c>
      <c r="H11" s="19"/>
    </row>
    <row r="12" spans="1:8" x14ac:dyDescent="0.25">
      <c r="A12" s="3">
        <f t="shared" si="0"/>
        <v>4</v>
      </c>
      <c r="E12" t="s">
        <v>34</v>
      </c>
      <c r="G12" s="23">
        <v>21.699999999999989</v>
      </c>
      <c r="H12" s="19"/>
    </row>
    <row r="13" spans="1:8" x14ac:dyDescent="0.25">
      <c r="A13" s="3">
        <f t="shared" si="0"/>
        <v>5</v>
      </c>
      <c r="E13" t="s">
        <v>35</v>
      </c>
      <c r="G13" s="23">
        <v>0</v>
      </c>
      <c r="H13" s="19"/>
    </row>
    <row r="14" spans="1:8" x14ac:dyDescent="0.25">
      <c r="A14" s="3">
        <f t="shared" si="0"/>
        <v>6</v>
      </c>
      <c r="E14" t="s">
        <v>36</v>
      </c>
      <c r="G14" s="23">
        <v>-59.360000000000007</v>
      </c>
      <c r="H14" s="19"/>
    </row>
    <row r="15" spans="1:8" x14ac:dyDescent="0.25">
      <c r="A15" s="3">
        <f t="shared" si="0"/>
        <v>7</v>
      </c>
      <c r="E15" t="s">
        <v>37</v>
      </c>
      <c r="G15" s="23">
        <v>164.469999999999</v>
      </c>
      <c r="H15" s="19"/>
    </row>
    <row r="16" spans="1:8" x14ac:dyDescent="0.25">
      <c r="A16" s="3">
        <f t="shared" si="0"/>
        <v>8</v>
      </c>
      <c r="E16" t="s">
        <v>38</v>
      </c>
      <c r="G16" s="23">
        <v>8.7700000000000191</v>
      </c>
      <c r="H16" s="19"/>
    </row>
    <row r="17" spans="1:8" x14ac:dyDescent="0.25">
      <c r="A17" s="3">
        <f t="shared" si="0"/>
        <v>9</v>
      </c>
      <c r="E17" t="s">
        <v>95</v>
      </c>
      <c r="G17" s="23">
        <v>-37.530000000000008</v>
      </c>
      <c r="H17" s="19"/>
    </row>
    <row r="18" spans="1:8" x14ac:dyDescent="0.25">
      <c r="A18" s="3">
        <f>+A17+1</f>
        <v>10</v>
      </c>
      <c r="E18" t="s">
        <v>39</v>
      </c>
      <c r="G18" s="23">
        <v>-1717.8199999999997</v>
      </c>
      <c r="H18" s="19"/>
    </row>
    <row r="19" spans="1:8" x14ac:dyDescent="0.25">
      <c r="A19" s="3">
        <f t="shared" si="0"/>
        <v>11</v>
      </c>
      <c r="E19" t="s">
        <v>96</v>
      </c>
      <c r="G19" s="23">
        <v>1.2545520178264269E-14</v>
      </c>
      <c r="H19" s="19"/>
    </row>
    <row r="20" spans="1:8" x14ac:dyDescent="0.25">
      <c r="A20" s="3">
        <f t="shared" si="0"/>
        <v>12</v>
      </c>
      <c r="E20" t="s">
        <v>40</v>
      </c>
      <c r="G20" s="23">
        <v>-25.310000000000173</v>
      </c>
      <c r="H20" s="19"/>
    </row>
    <row r="21" spans="1:8" x14ac:dyDescent="0.25">
      <c r="A21" s="3">
        <f t="shared" si="0"/>
        <v>13</v>
      </c>
      <c r="E21" t="s">
        <v>97</v>
      </c>
      <c r="G21" s="23">
        <v>0</v>
      </c>
      <c r="H21" s="19"/>
    </row>
    <row r="22" spans="1:8" x14ac:dyDescent="0.25">
      <c r="A22" s="3">
        <f t="shared" si="0"/>
        <v>14</v>
      </c>
      <c r="E22" t="s">
        <v>98</v>
      </c>
      <c r="G22" s="23">
        <v>0</v>
      </c>
      <c r="H22" s="19"/>
    </row>
    <row r="23" spans="1:8" x14ac:dyDescent="0.25">
      <c r="A23" s="3">
        <f t="shared" si="0"/>
        <v>15</v>
      </c>
      <c r="E23" t="s">
        <v>41</v>
      </c>
      <c r="G23" s="23">
        <v>36.849999999999994</v>
      </c>
      <c r="H23" s="19"/>
    </row>
    <row r="24" spans="1:8" x14ac:dyDescent="0.25">
      <c r="A24" s="3">
        <f t="shared" si="0"/>
        <v>16</v>
      </c>
      <c r="E24" t="s">
        <v>99</v>
      </c>
      <c r="G24" s="23">
        <v>-54.609999999999971</v>
      </c>
      <c r="H24" s="19"/>
    </row>
    <row r="25" spans="1:8" x14ac:dyDescent="0.25">
      <c r="A25" s="3">
        <f t="shared" si="0"/>
        <v>17</v>
      </c>
      <c r="E25" t="s">
        <v>100</v>
      </c>
      <c r="G25" s="23">
        <v>-16348.599999999999</v>
      </c>
      <c r="H25" s="19"/>
    </row>
    <row r="26" spans="1:8" x14ac:dyDescent="0.25">
      <c r="A26" s="3">
        <f t="shared" si="0"/>
        <v>18</v>
      </c>
      <c r="E26" t="s">
        <v>101</v>
      </c>
      <c r="G26" s="23">
        <v>0</v>
      </c>
      <c r="H26" s="19"/>
    </row>
    <row r="27" spans="1:8" x14ac:dyDescent="0.25">
      <c r="A27" s="3">
        <f t="shared" si="0"/>
        <v>19</v>
      </c>
      <c r="E27" t="s">
        <v>102</v>
      </c>
      <c r="G27" s="23">
        <v>-95.159999999999854</v>
      </c>
      <c r="H27" s="19"/>
    </row>
    <row r="28" spans="1:8" x14ac:dyDescent="0.25">
      <c r="A28" s="3">
        <f t="shared" si="0"/>
        <v>20</v>
      </c>
      <c r="E28" t="s">
        <v>103</v>
      </c>
      <c r="G28" s="23">
        <v>0</v>
      </c>
      <c r="H28" s="19"/>
    </row>
    <row r="29" spans="1:8" x14ac:dyDescent="0.25">
      <c r="A29" s="3">
        <f t="shared" si="0"/>
        <v>21</v>
      </c>
      <c r="E29" t="s">
        <v>42</v>
      </c>
      <c r="G29" s="23">
        <v>-82.25</v>
      </c>
      <c r="H29" s="19"/>
    </row>
    <row r="30" spans="1:8" x14ac:dyDescent="0.25">
      <c r="A30" s="3">
        <f t="shared" si="0"/>
        <v>22</v>
      </c>
      <c r="E30" t="s">
        <v>43</v>
      </c>
      <c r="G30" s="23">
        <v>-29524.900000000005</v>
      </c>
      <c r="H30" s="19"/>
    </row>
    <row r="31" spans="1:8" x14ac:dyDescent="0.25">
      <c r="A31" s="3">
        <f t="shared" si="0"/>
        <v>23</v>
      </c>
      <c r="E31" t="s">
        <v>44</v>
      </c>
      <c r="G31" s="23">
        <v>-118157.13999999998</v>
      </c>
      <c r="H31" s="19"/>
    </row>
    <row r="32" spans="1:8" x14ac:dyDescent="0.25">
      <c r="A32" s="3">
        <f t="shared" si="0"/>
        <v>24</v>
      </c>
      <c r="E32" t="s">
        <v>45</v>
      </c>
      <c r="G32" s="23">
        <v>-17957.920000000006</v>
      </c>
      <c r="H32" s="19"/>
    </row>
    <row r="33" spans="1:8" x14ac:dyDescent="0.25">
      <c r="A33" s="3">
        <f t="shared" si="0"/>
        <v>25</v>
      </c>
      <c r="E33" t="s">
        <v>77</v>
      </c>
      <c r="G33" s="23">
        <v>-1499.5399999999995</v>
      </c>
      <c r="H33" s="19"/>
    </row>
    <row r="34" spans="1:8" x14ac:dyDescent="0.25">
      <c r="A34" s="3">
        <f t="shared" si="0"/>
        <v>26</v>
      </c>
      <c r="E34" t="s">
        <v>46</v>
      </c>
      <c r="G34" s="23">
        <v>-15.6</v>
      </c>
      <c r="H34" s="19"/>
    </row>
    <row r="35" spans="1:8" x14ac:dyDescent="0.25">
      <c r="A35" s="3">
        <f t="shared" si="0"/>
        <v>27</v>
      </c>
      <c r="E35" t="s">
        <v>47</v>
      </c>
      <c r="G35" s="23">
        <v>-1393.9800000000002</v>
      </c>
      <c r="H35" s="19"/>
    </row>
    <row r="36" spans="1:8" x14ac:dyDescent="0.25">
      <c r="A36" s="3">
        <f t="shared" si="0"/>
        <v>28</v>
      </c>
      <c r="E36" t="s">
        <v>48</v>
      </c>
      <c r="G36" s="23">
        <v>-41105.320000000007</v>
      </c>
      <c r="H36" s="19"/>
    </row>
    <row r="37" spans="1:8" x14ac:dyDescent="0.25">
      <c r="A37" s="3">
        <f t="shared" si="0"/>
        <v>29</v>
      </c>
      <c r="E37" t="s">
        <v>49</v>
      </c>
      <c r="G37" s="23">
        <f>-2.82+0.4</f>
        <v>-2.42</v>
      </c>
      <c r="H37" s="19"/>
    </row>
    <row r="38" spans="1:8" x14ac:dyDescent="0.25">
      <c r="A38" s="3">
        <f t="shared" si="0"/>
        <v>30</v>
      </c>
      <c r="E38" t="s">
        <v>52</v>
      </c>
      <c r="G38" s="23">
        <v>-13586.890000000003</v>
      </c>
      <c r="H38" s="19"/>
    </row>
    <row r="39" spans="1:8" x14ac:dyDescent="0.25">
      <c r="A39" s="3">
        <f t="shared" si="0"/>
        <v>31</v>
      </c>
      <c r="E39" t="s">
        <v>55</v>
      </c>
      <c r="G39" s="23">
        <v>-8498.4499999999989</v>
      </c>
      <c r="H39" s="19"/>
    </row>
    <row r="40" spans="1:8" x14ac:dyDescent="0.25">
      <c r="A40" s="3">
        <f t="shared" si="0"/>
        <v>32</v>
      </c>
      <c r="E40" t="s">
        <v>56</v>
      </c>
      <c r="G40" s="23">
        <v>-1460.1299999999999</v>
      </c>
      <c r="H40" s="19"/>
    </row>
    <row r="41" spans="1:8" x14ac:dyDescent="0.25">
      <c r="A41" s="3">
        <f t="shared" si="0"/>
        <v>33</v>
      </c>
      <c r="E41" t="s">
        <v>80</v>
      </c>
      <c r="G41" s="23">
        <v>-269.87</v>
      </c>
      <c r="H41" s="19"/>
    </row>
    <row r="42" spans="1:8" x14ac:dyDescent="0.25">
      <c r="A42" s="3">
        <f t="shared" si="0"/>
        <v>34</v>
      </c>
      <c r="E42" t="s">
        <v>104</v>
      </c>
      <c r="G42" s="23">
        <v>-84.259999999999991</v>
      </c>
      <c r="H42" s="19"/>
    </row>
    <row r="43" spans="1:8" x14ac:dyDescent="0.25">
      <c r="A43" s="3">
        <f t="shared" si="0"/>
        <v>35</v>
      </c>
      <c r="E43" t="s">
        <v>58</v>
      </c>
      <c r="G43" s="23">
        <v>-59459.319999999971</v>
      </c>
      <c r="H43" s="19"/>
    </row>
    <row r="44" spans="1:8" x14ac:dyDescent="0.25">
      <c r="A44" s="3">
        <f t="shared" si="0"/>
        <v>36</v>
      </c>
      <c r="E44" t="s">
        <v>59</v>
      </c>
      <c r="G44" s="23">
        <v>-30795.510000000006</v>
      </c>
      <c r="H44" s="19"/>
    </row>
    <row r="45" spans="1:8" x14ac:dyDescent="0.25">
      <c r="A45" s="3">
        <f>+A44+1</f>
        <v>37</v>
      </c>
      <c r="E45" t="s">
        <v>62</v>
      </c>
      <c r="G45" s="23">
        <v>-7.65</v>
      </c>
      <c r="H45" s="19"/>
    </row>
    <row r="46" spans="1:8" x14ac:dyDescent="0.25">
      <c r="A46" s="3">
        <f t="shared" si="0"/>
        <v>38</v>
      </c>
      <c r="E46" t="s">
        <v>63</v>
      </c>
      <c r="G46" s="23">
        <v>-2366.7599999999998</v>
      </c>
      <c r="H46" s="19"/>
    </row>
    <row r="47" spans="1:8" x14ac:dyDescent="0.25">
      <c r="A47" s="3">
        <f t="shared" si="0"/>
        <v>39</v>
      </c>
      <c r="E47" t="s">
        <v>84</v>
      </c>
      <c r="G47" s="23">
        <v>-26.4</v>
      </c>
      <c r="H47" s="19"/>
    </row>
    <row r="48" spans="1:8" x14ac:dyDescent="0.25">
      <c r="A48" s="3">
        <f t="shared" si="0"/>
        <v>40</v>
      </c>
      <c r="E48" t="s">
        <v>64</v>
      </c>
      <c r="G48" s="23">
        <v>-5221.38</v>
      </c>
      <c r="H48" s="19"/>
    </row>
    <row r="49" spans="1:8" x14ac:dyDescent="0.25">
      <c r="A49" s="3">
        <f t="shared" si="0"/>
        <v>41</v>
      </c>
      <c r="E49" t="s">
        <v>65</v>
      </c>
      <c r="G49" s="23">
        <v>-143.39000000000001</v>
      </c>
      <c r="H49" s="19"/>
    </row>
    <row r="50" spans="1:8" x14ac:dyDescent="0.25">
      <c r="A50" s="3">
        <f t="shared" si="0"/>
        <v>42</v>
      </c>
      <c r="E50" t="s">
        <v>66</v>
      </c>
      <c r="G50" s="23">
        <v>337.49000000000012</v>
      </c>
      <c r="H50" s="19"/>
    </row>
    <row r="51" spans="1:8" x14ac:dyDescent="0.25">
      <c r="A51" s="3">
        <f t="shared" si="0"/>
        <v>43</v>
      </c>
      <c r="E51" t="s">
        <v>67</v>
      </c>
      <c r="G51" s="23">
        <v>-106850.14999999995</v>
      </c>
      <c r="H51" s="19"/>
    </row>
    <row r="52" spans="1:8" x14ac:dyDescent="0.25">
      <c r="A52" s="3">
        <f t="shared" si="0"/>
        <v>44</v>
      </c>
      <c r="E52" t="s">
        <v>68</v>
      </c>
      <c r="G52" s="23">
        <f>-45632+70</f>
        <v>-45562</v>
      </c>
      <c r="H52" s="19"/>
    </row>
    <row r="53" spans="1:8" x14ac:dyDescent="0.25">
      <c r="A53" s="3">
        <f t="shared" si="0"/>
        <v>45</v>
      </c>
      <c r="E53" t="s">
        <v>69</v>
      </c>
      <c r="G53" s="23">
        <v>-86258.479999999894</v>
      </c>
      <c r="H53" s="19"/>
    </row>
    <row r="54" spans="1:8" x14ac:dyDescent="0.25">
      <c r="A54" s="3">
        <f t="shared" si="0"/>
        <v>46</v>
      </c>
      <c r="E54" t="s">
        <v>85</v>
      </c>
      <c r="G54" s="23">
        <v>-335.39</v>
      </c>
      <c r="H54" s="19"/>
    </row>
    <row r="55" spans="1:8" x14ac:dyDescent="0.25">
      <c r="A55" s="3">
        <f t="shared" si="0"/>
        <v>47</v>
      </c>
      <c r="E55" t="s">
        <v>70</v>
      </c>
      <c r="G55" s="23">
        <v>-140887.72999999998</v>
      </c>
      <c r="H55" s="19"/>
    </row>
    <row r="56" spans="1:8" x14ac:dyDescent="0.25">
      <c r="A56" s="3">
        <f t="shared" si="0"/>
        <v>48</v>
      </c>
      <c r="E56" t="s">
        <v>71</v>
      </c>
      <c r="G56" s="23">
        <v>-1140.8600000000001</v>
      </c>
      <c r="H56" s="19"/>
    </row>
    <row r="57" spans="1:8" x14ac:dyDescent="0.25">
      <c r="A57" s="3">
        <f t="shared" si="0"/>
        <v>49</v>
      </c>
      <c r="E57" t="s">
        <v>72</v>
      </c>
      <c r="G57" s="23">
        <v>-2065.5099999999993</v>
      </c>
      <c r="H57" s="19"/>
    </row>
    <row r="58" spans="1:8" x14ac:dyDescent="0.25">
      <c r="A58" s="3">
        <f t="shared" si="0"/>
        <v>50</v>
      </c>
      <c r="E58" t="s">
        <v>73</v>
      </c>
      <c r="G58" s="36">
        <v>-157845.74000000011</v>
      </c>
      <c r="H58" s="19"/>
    </row>
    <row r="59" spans="1:8" x14ac:dyDescent="0.25">
      <c r="A59" s="3">
        <f t="shared" si="0"/>
        <v>51</v>
      </c>
      <c r="E59" t="s">
        <v>74</v>
      </c>
      <c r="G59" s="36">
        <v>-140.75</v>
      </c>
      <c r="H59" s="19"/>
    </row>
    <row r="60" spans="1:8" x14ac:dyDescent="0.25">
      <c r="A60" s="3">
        <f t="shared" si="0"/>
        <v>52</v>
      </c>
      <c r="E60" t="s">
        <v>75</v>
      </c>
      <c r="G60" s="36">
        <v>-172439.73999999987</v>
      </c>
      <c r="H60" s="19"/>
    </row>
    <row r="61" spans="1:8" x14ac:dyDescent="0.25">
      <c r="A61" s="3">
        <f t="shared" si="0"/>
        <v>53</v>
      </c>
      <c r="E61" t="s">
        <v>76</v>
      </c>
      <c r="G61" s="27">
        <v>-1256.69</v>
      </c>
      <c r="H61" s="19"/>
    </row>
    <row r="62" spans="1:8" ht="12.75" customHeight="1" x14ac:dyDescent="0.25">
      <c r="G62" s="20"/>
      <c r="H62" s="19"/>
    </row>
    <row r="63" spans="1:8" ht="12.75" customHeight="1" thickBot="1" x14ac:dyDescent="0.3">
      <c r="A63" s="3">
        <f>A61+1</f>
        <v>54</v>
      </c>
      <c r="E63" t="s">
        <v>1</v>
      </c>
      <c r="G63" s="25">
        <f>SUM(G9:G62)</f>
        <v>-1589223.4800000009</v>
      </c>
      <c r="H63" s="19"/>
    </row>
    <row r="64" spans="1:8" ht="12.75" customHeight="1" thickTop="1" x14ac:dyDescent="0.25">
      <c r="G64" s="39"/>
      <c r="H64" s="19"/>
    </row>
    <row r="65" spans="7:8" ht="12.75" customHeight="1" x14ac:dyDescent="0.25">
      <c r="G65" s="19"/>
      <c r="H65" s="19"/>
    </row>
  </sheetData>
  <mergeCells count="5">
    <mergeCell ref="A2:G2"/>
    <mergeCell ref="A3:G3"/>
    <mergeCell ref="A4:G4"/>
    <mergeCell ref="A5:G5"/>
    <mergeCell ref="A1:G1"/>
  </mergeCells>
  <phoneticPr fontId="6" type="noConversion"/>
  <printOptions horizontalCentered="1"/>
  <pageMargins left="1" right="0.75" top="1.5" bottom="1" header="0.5" footer="0.5"/>
  <pageSetup scale="53" orientation="portrait" horizontalDpi="1200" verticalDpi="1200" r:id="rId1"/>
  <headerFooter alignWithMargins="0">
    <oddHeader>&amp;RDocket No. 56165
Exhibit BJF-4
Page &amp;P of &amp;N</oddHeader>
    <oddFooter>&amp;C&amp;A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5"/>
  <sheetViews>
    <sheetView tabSelected="1" zoomScale="70" zoomScaleNormal="70" workbookViewId="0">
      <selection activeCell="M50" sqref="M50"/>
    </sheetView>
  </sheetViews>
  <sheetFormatPr defaultRowHeight="13.2" x14ac:dyDescent="0.25"/>
  <cols>
    <col min="1" max="1" width="6.5546875" style="3" customWidth="1"/>
    <col min="2" max="2" width="3" customWidth="1"/>
    <col min="3" max="3" width="24.88671875" bestFit="1" customWidth="1"/>
    <col min="4" max="4" width="3" customWidth="1"/>
    <col min="5" max="5" width="36" customWidth="1"/>
    <col min="6" max="6" width="3" customWidth="1"/>
    <col min="7" max="7" width="13.5546875" style="14" customWidth="1"/>
    <col min="8" max="8" width="3" customWidth="1"/>
  </cols>
  <sheetData>
    <row r="1" spans="1:8" x14ac:dyDescent="0.25">
      <c r="A1" s="43" t="s">
        <v>89</v>
      </c>
      <c r="B1" s="43"/>
      <c r="C1" s="43"/>
      <c r="D1" s="43"/>
      <c r="E1" s="43"/>
      <c r="F1" s="43"/>
      <c r="G1" s="43"/>
    </row>
    <row r="2" spans="1:8" x14ac:dyDescent="0.25">
      <c r="A2" s="43" t="s">
        <v>90</v>
      </c>
      <c r="B2" s="43"/>
      <c r="C2" s="43"/>
      <c r="D2" s="43"/>
      <c r="E2" s="43"/>
      <c r="F2" s="43"/>
      <c r="G2" s="43"/>
    </row>
    <row r="3" spans="1:8" x14ac:dyDescent="0.25">
      <c r="A3" s="43" t="s">
        <v>0</v>
      </c>
      <c r="B3" s="43"/>
      <c r="C3" s="43"/>
      <c r="D3" s="43"/>
      <c r="E3" s="43"/>
      <c r="F3" s="43"/>
      <c r="G3" s="43"/>
    </row>
    <row r="4" spans="1:8" x14ac:dyDescent="0.25">
      <c r="A4" s="43" t="s">
        <v>91</v>
      </c>
      <c r="B4" s="43"/>
      <c r="C4" s="43"/>
      <c r="D4" s="43"/>
      <c r="E4" s="43"/>
      <c r="F4" s="43"/>
      <c r="G4" s="43"/>
    </row>
    <row r="5" spans="1:8" x14ac:dyDescent="0.25">
      <c r="A5" s="43" t="s">
        <v>12</v>
      </c>
      <c r="B5" s="43"/>
      <c r="C5" s="43"/>
      <c r="D5" s="43"/>
      <c r="E5" s="43"/>
      <c r="F5" s="43"/>
      <c r="G5" s="43"/>
    </row>
    <row r="7" spans="1:8" s="16" customFormat="1" ht="26.4" x14ac:dyDescent="0.25">
      <c r="A7" s="15" t="s">
        <v>8</v>
      </c>
      <c r="C7" s="15" t="s">
        <v>9</v>
      </c>
      <c r="E7" s="15" t="s">
        <v>10</v>
      </c>
      <c r="G7" s="17" t="s">
        <v>11</v>
      </c>
    </row>
    <row r="9" spans="1:8" x14ac:dyDescent="0.25">
      <c r="A9" s="3">
        <v>1</v>
      </c>
      <c r="C9" s="42" t="s">
        <v>105</v>
      </c>
      <c r="E9" t="s">
        <v>31</v>
      </c>
      <c r="G9" s="28">
        <v>-3752.1800000000026</v>
      </c>
      <c r="H9" s="19"/>
    </row>
    <row r="10" spans="1:8" x14ac:dyDescent="0.25">
      <c r="A10" s="3">
        <f>+A9+1</f>
        <v>2</v>
      </c>
      <c r="E10" t="s">
        <v>33</v>
      </c>
      <c r="G10" s="14">
        <v>-581.35000000000014</v>
      </c>
      <c r="H10" s="19"/>
    </row>
    <row r="11" spans="1:8" x14ac:dyDescent="0.25">
      <c r="A11" s="3">
        <f t="shared" ref="A11:A52" si="0">+A10+1</f>
        <v>3</v>
      </c>
      <c r="E11" t="s">
        <v>100</v>
      </c>
      <c r="G11" s="14">
        <v>-96.550000000000011</v>
      </c>
      <c r="H11" s="19"/>
    </row>
    <row r="12" spans="1:8" x14ac:dyDescent="0.25">
      <c r="A12" s="3">
        <f t="shared" si="0"/>
        <v>4</v>
      </c>
      <c r="E12" t="s">
        <v>43</v>
      </c>
      <c r="G12" s="14">
        <v>-256.87</v>
      </c>
      <c r="H12" s="19"/>
    </row>
    <row r="13" spans="1:8" x14ac:dyDescent="0.25">
      <c r="A13" s="3">
        <f t="shared" si="0"/>
        <v>5</v>
      </c>
      <c r="E13" t="s">
        <v>44</v>
      </c>
      <c r="G13" s="14">
        <v>-119060.82999999983</v>
      </c>
      <c r="H13" s="19"/>
    </row>
    <row r="14" spans="1:8" x14ac:dyDescent="0.25">
      <c r="A14" s="3">
        <f t="shared" si="0"/>
        <v>6</v>
      </c>
      <c r="E14" t="s">
        <v>45</v>
      </c>
      <c r="G14" s="14">
        <v>-28172.44</v>
      </c>
      <c r="H14" s="19"/>
    </row>
    <row r="15" spans="1:8" x14ac:dyDescent="0.25">
      <c r="A15" s="3">
        <f t="shared" si="0"/>
        <v>7</v>
      </c>
      <c r="E15" t="s">
        <v>77</v>
      </c>
      <c r="G15" s="14">
        <v>-4135.4699999999993</v>
      </c>
      <c r="H15" s="19"/>
    </row>
    <row r="16" spans="1:8" x14ac:dyDescent="0.25">
      <c r="A16" s="3">
        <f t="shared" si="0"/>
        <v>8</v>
      </c>
      <c r="E16" t="s">
        <v>46</v>
      </c>
      <c r="G16" s="14">
        <v>-1044.32</v>
      </c>
      <c r="H16" s="19"/>
    </row>
    <row r="17" spans="1:8" x14ac:dyDescent="0.25">
      <c r="A17" s="3">
        <f t="shared" si="0"/>
        <v>9</v>
      </c>
      <c r="E17" t="s">
        <v>47</v>
      </c>
      <c r="G17" s="14">
        <v>-349.31999999999994</v>
      </c>
      <c r="H17" s="19"/>
    </row>
    <row r="18" spans="1:8" x14ac:dyDescent="0.25">
      <c r="A18" s="3">
        <f t="shared" si="0"/>
        <v>10</v>
      </c>
      <c r="E18" t="s">
        <v>48</v>
      </c>
      <c r="G18" s="14">
        <v>-35487.079999999994</v>
      </c>
      <c r="H18" s="19"/>
    </row>
    <row r="19" spans="1:8" x14ac:dyDescent="0.25">
      <c r="A19" s="3">
        <f t="shared" si="0"/>
        <v>11</v>
      </c>
      <c r="E19" t="s">
        <v>49</v>
      </c>
      <c r="G19" s="14">
        <v>-416.59999999999997</v>
      </c>
      <c r="H19" s="19"/>
    </row>
    <row r="20" spans="1:8" x14ac:dyDescent="0.25">
      <c r="A20" s="3">
        <f t="shared" si="0"/>
        <v>12</v>
      </c>
      <c r="E20" t="s">
        <v>50</v>
      </c>
      <c r="G20" s="14">
        <v>-2.4900000000000002</v>
      </c>
      <c r="H20" s="19"/>
    </row>
    <row r="21" spans="1:8" x14ac:dyDescent="0.25">
      <c r="A21" s="3">
        <f t="shared" si="0"/>
        <v>13</v>
      </c>
      <c r="E21" t="s">
        <v>78</v>
      </c>
      <c r="G21" s="14">
        <v>-138.07000000000002</v>
      </c>
      <c r="H21" s="19"/>
    </row>
    <row r="22" spans="1:8" x14ac:dyDescent="0.25">
      <c r="A22" s="3">
        <f t="shared" si="0"/>
        <v>14</v>
      </c>
      <c r="E22" t="s">
        <v>51</v>
      </c>
      <c r="G22" s="14">
        <v>-524.78000000000009</v>
      </c>
      <c r="H22" s="19"/>
    </row>
    <row r="23" spans="1:8" x14ac:dyDescent="0.25">
      <c r="A23" s="3">
        <f t="shared" si="0"/>
        <v>15</v>
      </c>
      <c r="E23" t="s">
        <v>52</v>
      </c>
      <c r="G23" s="14">
        <v>-5147.8899999999949</v>
      </c>
      <c r="H23" s="19"/>
    </row>
    <row r="24" spans="1:8" x14ac:dyDescent="0.25">
      <c r="A24" s="3">
        <f t="shared" si="0"/>
        <v>16</v>
      </c>
      <c r="E24" t="s">
        <v>53</v>
      </c>
      <c r="G24" s="14">
        <v>-4703.2299999999987</v>
      </c>
      <c r="H24" s="19"/>
    </row>
    <row r="25" spans="1:8" x14ac:dyDescent="0.25">
      <c r="A25" s="3">
        <f t="shared" si="0"/>
        <v>17</v>
      </c>
      <c r="E25" t="s">
        <v>54</v>
      </c>
      <c r="G25" s="14">
        <v>-18.169999999999995</v>
      </c>
      <c r="H25" s="19"/>
    </row>
    <row r="26" spans="1:8" x14ac:dyDescent="0.25">
      <c r="A26" s="3">
        <f>+A25+1</f>
        <v>18</v>
      </c>
      <c r="E26" t="s">
        <v>55</v>
      </c>
      <c r="G26" s="14">
        <v>-13463.469999999985</v>
      </c>
      <c r="H26" s="19"/>
    </row>
    <row r="27" spans="1:8" x14ac:dyDescent="0.25">
      <c r="A27" s="3">
        <f t="shared" si="0"/>
        <v>19</v>
      </c>
      <c r="E27" t="s">
        <v>56</v>
      </c>
      <c r="G27" s="14">
        <v>-5189.2899999999991</v>
      </c>
      <c r="H27" s="19"/>
    </row>
    <row r="28" spans="1:8" x14ac:dyDescent="0.25">
      <c r="A28" s="3">
        <f t="shared" si="0"/>
        <v>20</v>
      </c>
      <c r="E28" t="s">
        <v>57</v>
      </c>
      <c r="G28" s="14">
        <v>-90.680000000000121</v>
      </c>
      <c r="H28" s="19"/>
    </row>
    <row r="29" spans="1:8" x14ac:dyDescent="0.25">
      <c r="A29" s="3">
        <f t="shared" si="0"/>
        <v>21</v>
      </c>
      <c r="E29" t="s">
        <v>79</v>
      </c>
      <c r="G29" s="14">
        <v>-1849.69</v>
      </c>
      <c r="H29" s="19"/>
    </row>
    <row r="30" spans="1:8" x14ac:dyDescent="0.25">
      <c r="A30" s="3">
        <f t="shared" si="0"/>
        <v>22</v>
      </c>
      <c r="E30" t="s">
        <v>80</v>
      </c>
      <c r="G30" s="14">
        <v>-4135.91</v>
      </c>
      <c r="H30" s="19"/>
    </row>
    <row r="31" spans="1:8" x14ac:dyDescent="0.25">
      <c r="A31" s="3">
        <f t="shared" si="0"/>
        <v>23</v>
      </c>
      <c r="E31" t="s">
        <v>104</v>
      </c>
      <c r="G31" s="14">
        <v>-498.24000000000024</v>
      </c>
      <c r="H31" s="19"/>
    </row>
    <row r="32" spans="1:8" x14ac:dyDescent="0.25">
      <c r="A32" s="3">
        <f t="shared" si="0"/>
        <v>24</v>
      </c>
      <c r="E32" t="s">
        <v>58</v>
      </c>
      <c r="G32" s="14">
        <v>-13831.090000000004</v>
      </c>
      <c r="H32" s="19"/>
    </row>
    <row r="33" spans="1:8" x14ac:dyDescent="0.25">
      <c r="A33" s="3">
        <f t="shared" si="0"/>
        <v>25</v>
      </c>
      <c r="E33" t="s">
        <v>81</v>
      </c>
      <c r="G33" s="14">
        <v>-173.82999999999998</v>
      </c>
      <c r="H33" s="19"/>
    </row>
    <row r="34" spans="1:8" x14ac:dyDescent="0.25">
      <c r="A34" s="3">
        <f t="shared" si="0"/>
        <v>26</v>
      </c>
      <c r="E34" t="s">
        <v>59</v>
      </c>
      <c r="G34" s="14">
        <v>-1943.66</v>
      </c>
      <c r="H34" s="19"/>
    </row>
    <row r="35" spans="1:8" x14ac:dyDescent="0.25">
      <c r="A35" s="3">
        <f t="shared" si="0"/>
        <v>27</v>
      </c>
      <c r="E35" t="s">
        <v>60</v>
      </c>
      <c r="G35" s="14">
        <v>-769.74</v>
      </c>
      <c r="H35" s="19"/>
    </row>
    <row r="36" spans="1:8" x14ac:dyDescent="0.25">
      <c r="A36" s="3">
        <f t="shared" si="0"/>
        <v>28</v>
      </c>
      <c r="E36" t="s">
        <v>61</v>
      </c>
      <c r="G36" s="14">
        <v>-2.77</v>
      </c>
      <c r="H36" s="19"/>
    </row>
    <row r="37" spans="1:8" x14ac:dyDescent="0.25">
      <c r="A37" s="3">
        <f t="shared" si="0"/>
        <v>29</v>
      </c>
      <c r="E37" t="s">
        <v>82</v>
      </c>
      <c r="G37" s="14">
        <v>-3.45</v>
      </c>
      <c r="H37" s="19"/>
    </row>
    <row r="38" spans="1:8" x14ac:dyDescent="0.25">
      <c r="A38" s="3">
        <f t="shared" si="0"/>
        <v>30</v>
      </c>
      <c r="E38" t="s">
        <v>83</v>
      </c>
      <c r="G38" s="14">
        <v>-509.78999999999991</v>
      </c>
      <c r="H38" s="19"/>
    </row>
    <row r="39" spans="1:8" x14ac:dyDescent="0.25">
      <c r="A39" s="3">
        <f>+A38+1</f>
        <v>31</v>
      </c>
      <c r="E39" t="s">
        <v>62</v>
      </c>
      <c r="G39" s="14">
        <v>-804.63</v>
      </c>
      <c r="H39" s="19"/>
    </row>
    <row r="40" spans="1:8" x14ac:dyDescent="0.25">
      <c r="A40" s="3">
        <f t="shared" si="0"/>
        <v>32</v>
      </c>
      <c r="E40" t="s">
        <v>63</v>
      </c>
      <c r="G40" s="14">
        <v>-24762.040000000026</v>
      </c>
      <c r="H40" s="19"/>
    </row>
    <row r="41" spans="1:8" x14ac:dyDescent="0.25">
      <c r="A41" s="3">
        <f t="shared" si="0"/>
        <v>33</v>
      </c>
      <c r="E41" t="s">
        <v>84</v>
      </c>
      <c r="G41" s="14">
        <v>-366.97999999999996</v>
      </c>
      <c r="H41" s="19"/>
    </row>
    <row r="42" spans="1:8" x14ac:dyDescent="0.25">
      <c r="A42" s="3">
        <f t="shared" si="0"/>
        <v>34</v>
      </c>
      <c r="E42" t="s">
        <v>64</v>
      </c>
      <c r="G42" s="14">
        <v>-385.56999999999994</v>
      </c>
      <c r="H42" s="19"/>
    </row>
    <row r="43" spans="1:8" x14ac:dyDescent="0.25">
      <c r="A43" s="3">
        <f t="shared" si="0"/>
        <v>35</v>
      </c>
      <c r="E43" t="s">
        <v>65</v>
      </c>
      <c r="G43" s="14">
        <v>-927.24</v>
      </c>
      <c r="H43" s="19"/>
    </row>
    <row r="44" spans="1:8" x14ac:dyDescent="0.25">
      <c r="A44" s="3">
        <f t="shared" si="0"/>
        <v>36</v>
      </c>
      <c r="E44" t="s">
        <v>66</v>
      </c>
      <c r="G44" s="14">
        <v>-204.98999999999998</v>
      </c>
      <c r="H44" s="19"/>
    </row>
    <row r="45" spans="1:8" x14ac:dyDescent="0.25">
      <c r="A45" s="3">
        <f t="shared" si="0"/>
        <v>37</v>
      </c>
      <c r="E45" t="s">
        <v>67</v>
      </c>
      <c r="G45" s="14">
        <v>-463.04</v>
      </c>
      <c r="H45" s="19"/>
    </row>
    <row r="46" spans="1:8" x14ac:dyDescent="0.25">
      <c r="A46" s="3">
        <f t="shared" si="0"/>
        <v>38</v>
      </c>
      <c r="E46" t="s">
        <v>68</v>
      </c>
      <c r="G46" s="14">
        <v>-307091.57999999996</v>
      </c>
      <c r="H46" s="19"/>
    </row>
    <row r="47" spans="1:8" x14ac:dyDescent="0.25">
      <c r="A47" s="3">
        <f t="shared" si="0"/>
        <v>39</v>
      </c>
      <c r="E47" t="s">
        <v>70</v>
      </c>
      <c r="G47" s="14">
        <v>-65.09</v>
      </c>
      <c r="H47" s="19"/>
    </row>
    <row r="48" spans="1:8" x14ac:dyDescent="0.25">
      <c r="A48" s="3">
        <f t="shared" si="0"/>
        <v>40</v>
      </c>
      <c r="E48" t="s">
        <v>71</v>
      </c>
      <c r="G48" s="14">
        <v>-124.1</v>
      </c>
      <c r="H48" s="19"/>
    </row>
    <row r="49" spans="1:8" x14ac:dyDescent="0.25">
      <c r="A49" s="3">
        <f t="shared" si="0"/>
        <v>41</v>
      </c>
      <c r="E49" t="s">
        <v>72</v>
      </c>
      <c r="G49" s="14">
        <v>-57.699999999999989</v>
      </c>
      <c r="H49" s="19"/>
    </row>
    <row r="50" spans="1:8" x14ac:dyDescent="0.25">
      <c r="A50" s="3">
        <f t="shared" si="0"/>
        <v>42</v>
      </c>
      <c r="E50" t="s">
        <v>73</v>
      </c>
      <c r="G50" s="14">
        <v>-3885.8699999999985</v>
      </c>
      <c r="H50" s="19"/>
    </row>
    <row r="51" spans="1:8" x14ac:dyDescent="0.25">
      <c r="A51" s="3">
        <f t="shared" si="0"/>
        <v>43</v>
      </c>
      <c r="E51" t="s">
        <v>75</v>
      </c>
      <c r="G51" s="14">
        <v>-4680.4499999999971</v>
      </c>
      <c r="H51" s="19"/>
    </row>
    <row r="52" spans="1:8" x14ac:dyDescent="0.25">
      <c r="A52" s="3">
        <f t="shared" si="0"/>
        <v>44</v>
      </c>
      <c r="E52" t="s">
        <v>76</v>
      </c>
      <c r="G52" s="14">
        <v>-4513.199999999998</v>
      </c>
      <c r="H52" s="19"/>
    </row>
    <row r="54" spans="1:8" ht="13.8" thickBot="1" x14ac:dyDescent="0.3">
      <c r="A54" s="3">
        <f>A52+1</f>
        <v>45</v>
      </c>
      <c r="E54" t="s">
        <v>1</v>
      </c>
      <c r="G54" s="32">
        <f>SUM(G9:G53)</f>
        <v>-594681.72999999952</v>
      </c>
    </row>
    <row r="55" spans="1:8" ht="13.8" thickTop="1" x14ac:dyDescent="0.25">
      <c r="G55" s="31"/>
    </row>
  </sheetData>
  <mergeCells count="5">
    <mergeCell ref="A2:G2"/>
    <mergeCell ref="A3:G3"/>
    <mergeCell ref="A4:G4"/>
    <mergeCell ref="A5:G5"/>
    <mergeCell ref="A1:G1"/>
  </mergeCells>
  <phoneticPr fontId="6" type="noConversion"/>
  <printOptions horizontalCentered="1"/>
  <pageMargins left="1" right="0.75" top="1.5" bottom="1" header="0.5" footer="0.5"/>
  <pageSetup scale="53" orientation="portrait" horizontalDpi="1200" verticalDpi="1200" r:id="rId1"/>
  <headerFooter alignWithMargins="0">
    <oddHeader>&amp;RDocket No. 56165
Exhibit BJF-4
Page &amp;P of &amp;N</oddHeader>
    <oddFooter>&amp;C&amp;A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6"/>
  <sheetViews>
    <sheetView tabSelected="1" zoomScale="70" zoomScaleNormal="70" workbookViewId="0">
      <selection activeCell="M50" sqref="M50"/>
    </sheetView>
  </sheetViews>
  <sheetFormatPr defaultRowHeight="13.2" x14ac:dyDescent="0.25"/>
  <cols>
    <col min="1" max="1" width="6.5546875" style="3" customWidth="1"/>
    <col min="2" max="2" width="3" customWidth="1"/>
    <col min="3" max="3" width="14.5546875" bestFit="1" customWidth="1"/>
    <col min="4" max="4" width="3" customWidth="1"/>
    <col min="5" max="5" width="36" bestFit="1" customWidth="1"/>
    <col min="6" max="6" width="3" customWidth="1"/>
    <col min="7" max="7" width="13.5546875" style="14" customWidth="1"/>
    <col min="8" max="8" width="3" customWidth="1"/>
  </cols>
  <sheetData>
    <row r="1" spans="1:9" x14ac:dyDescent="0.25">
      <c r="A1" s="43" t="s">
        <v>89</v>
      </c>
      <c r="B1" s="43"/>
      <c r="C1" s="43"/>
      <c r="D1" s="43"/>
      <c r="E1" s="43"/>
      <c r="F1" s="43"/>
      <c r="G1" s="43"/>
    </row>
    <row r="2" spans="1:9" x14ac:dyDescent="0.25">
      <c r="A2" s="43" t="s">
        <v>90</v>
      </c>
      <c r="B2" s="43"/>
      <c r="C2" s="43"/>
      <c r="D2" s="43"/>
      <c r="E2" s="43"/>
      <c r="F2" s="43"/>
      <c r="G2" s="43"/>
    </row>
    <row r="3" spans="1:9" x14ac:dyDescent="0.25">
      <c r="A3" s="43" t="s">
        <v>0</v>
      </c>
      <c r="B3" s="43"/>
      <c r="C3" s="43"/>
      <c r="D3" s="43"/>
      <c r="E3" s="43"/>
      <c r="F3" s="43"/>
      <c r="G3" s="43"/>
    </row>
    <row r="4" spans="1:9" x14ac:dyDescent="0.25">
      <c r="A4" s="43" t="s">
        <v>91</v>
      </c>
      <c r="B4" s="43"/>
      <c r="C4" s="43"/>
      <c r="D4" s="43"/>
      <c r="E4" s="43"/>
      <c r="F4" s="43"/>
      <c r="G4" s="43"/>
    </row>
    <row r="5" spans="1:9" x14ac:dyDescent="0.25">
      <c r="A5" s="43" t="s">
        <v>15</v>
      </c>
      <c r="B5" s="43"/>
      <c r="C5" s="43"/>
      <c r="D5" s="43"/>
      <c r="E5" s="43"/>
      <c r="F5" s="43"/>
      <c r="G5" s="43"/>
    </row>
    <row r="7" spans="1:9" s="16" customFormat="1" ht="26.4" x14ac:dyDescent="0.25">
      <c r="A7" s="15" t="s">
        <v>8</v>
      </c>
      <c r="C7" s="15" t="s">
        <v>9</v>
      </c>
      <c r="E7" s="15" t="s">
        <v>10</v>
      </c>
      <c r="G7" s="17" t="s">
        <v>11</v>
      </c>
      <c r="I7"/>
    </row>
    <row r="8" spans="1:9" s="16" customFormat="1" x14ac:dyDescent="0.25">
      <c r="A8" s="35"/>
      <c r="C8" s="35"/>
      <c r="E8" s="35"/>
      <c r="G8" s="30"/>
      <c r="I8"/>
    </row>
    <row r="9" spans="1:9" x14ac:dyDescent="0.25">
      <c r="A9" s="3">
        <v>1</v>
      </c>
      <c r="C9" s="42" t="s">
        <v>106</v>
      </c>
      <c r="E9" t="s">
        <v>31</v>
      </c>
      <c r="G9" s="28">
        <v>-1164.5399999999997</v>
      </c>
      <c r="H9" s="28"/>
    </row>
    <row r="10" spans="1:9" x14ac:dyDescent="0.25">
      <c r="A10" s="3">
        <f>+A9+1</f>
        <v>2</v>
      </c>
      <c r="E10" t="s">
        <v>33</v>
      </c>
      <c r="G10" s="14">
        <v>-342.87000000000006</v>
      </c>
      <c r="H10" s="14"/>
    </row>
    <row r="11" spans="1:9" x14ac:dyDescent="0.25">
      <c r="A11" s="3">
        <f t="shared" ref="A11:A53" si="0">+A10+1</f>
        <v>3</v>
      </c>
      <c r="E11" t="s">
        <v>100</v>
      </c>
      <c r="G11" s="14">
        <v>-26.91</v>
      </c>
      <c r="H11" s="14"/>
    </row>
    <row r="12" spans="1:9" x14ac:dyDescent="0.25">
      <c r="A12" s="3">
        <f t="shared" si="0"/>
        <v>4</v>
      </c>
      <c r="E12" t="s">
        <v>43</v>
      </c>
      <c r="G12" s="14">
        <v>-218.16</v>
      </c>
      <c r="H12" s="14"/>
    </row>
    <row r="13" spans="1:9" x14ac:dyDescent="0.25">
      <c r="A13" s="3">
        <f t="shared" si="0"/>
        <v>5</v>
      </c>
      <c r="E13" t="s">
        <v>44</v>
      </c>
      <c r="G13" s="14">
        <v>-25500.949999999932</v>
      </c>
      <c r="H13" s="14"/>
    </row>
    <row r="14" spans="1:9" x14ac:dyDescent="0.25">
      <c r="A14" s="3">
        <f t="shared" si="0"/>
        <v>6</v>
      </c>
      <c r="E14" t="s">
        <v>45</v>
      </c>
      <c r="G14" s="14">
        <v>-3449.1000000000004</v>
      </c>
      <c r="H14" s="14"/>
    </row>
    <row r="15" spans="1:9" x14ac:dyDescent="0.25">
      <c r="A15" s="3">
        <f t="shared" si="0"/>
        <v>7</v>
      </c>
      <c r="E15" t="s">
        <v>77</v>
      </c>
      <c r="G15" s="14">
        <v>-486.99000000000007</v>
      </c>
      <c r="H15" s="14"/>
    </row>
    <row r="16" spans="1:9" x14ac:dyDescent="0.25">
      <c r="A16" s="3">
        <f t="shared" si="0"/>
        <v>8</v>
      </c>
      <c r="E16" t="s">
        <v>46</v>
      </c>
      <c r="G16" s="14">
        <v>-125.13999999999999</v>
      </c>
      <c r="H16" s="14"/>
    </row>
    <row r="17" spans="1:8" x14ac:dyDescent="0.25">
      <c r="A17" s="3">
        <f t="shared" si="0"/>
        <v>9</v>
      </c>
      <c r="E17" t="s">
        <v>47</v>
      </c>
      <c r="G17" s="14">
        <v>-40.910000000000004</v>
      </c>
      <c r="H17" s="14"/>
    </row>
    <row r="18" spans="1:8" x14ac:dyDescent="0.25">
      <c r="A18" s="3">
        <f t="shared" si="0"/>
        <v>10</v>
      </c>
      <c r="E18" t="s">
        <v>48</v>
      </c>
      <c r="G18" s="14">
        <v>-16981.250000000022</v>
      </c>
      <c r="H18" s="14"/>
    </row>
    <row r="19" spans="1:8" x14ac:dyDescent="0.25">
      <c r="A19" s="3">
        <f t="shared" si="0"/>
        <v>11</v>
      </c>
      <c r="E19" t="s">
        <v>49</v>
      </c>
      <c r="G19" s="14">
        <v>-40.65</v>
      </c>
      <c r="H19" s="14"/>
    </row>
    <row r="20" spans="1:8" x14ac:dyDescent="0.25">
      <c r="A20" s="3">
        <f t="shared" si="0"/>
        <v>12</v>
      </c>
      <c r="E20" t="s">
        <v>50</v>
      </c>
      <c r="G20" s="14">
        <v>-0.28999999999999998</v>
      </c>
      <c r="H20" s="14"/>
    </row>
    <row r="21" spans="1:8" x14ac:dyDescent="0.25">
      <c r="A21" s="3">
        <f t="shared" si="0"/>
        <v>13</v>
      </c>
      <c r="E21" t="s">
        <v>78</v>
      </c>
      <c r="G21" s="14">
        <v>-15.860000000000001</v>
      </c>
      <c r="H21" s="14"/>
    </row>
    <row r="22" spans="1:8" x14ac:dyDescent="0.25">
      <c r="A22" s="3">
        <f t="shared" si="0"/>
        <v>14</v>
      </c>
      <c r="E22" t="s">
        <v>51</v>
      </c>
      <c r="G22" s="14">
        <v>-64.739999999999995</v>
      </c>
      <c r="H22" s="14"/>
    </row>
    <row r="23" spans="1:8" x14ac:dyDescent="0.25">
      <c r="A23" s="3">
        <f t="shared" si="0"/>
        <v>15</v>
      </c>
      <c r="E23" t="s">
        <v>52</v>
      </c>
      <c r="G23" s="14">
        <v>-676.04000000000019</v>
      </c>
      <c r="H23" s="14"/>
    </row>
    <row r="24" spans="1:8" x14ac:dyDescent="0.25">
      <c r="A24" s="3">
        <f t="shared" si="0"/>
        <v>16</v>
      </c>
      <c r="E24" t="s">
        <v>53</v>
      </c>
      <c r="G24" s="14">
        <v>-681.78</v>
      </c>
      <c r="H24" s="14"/>
    </row>
    <row r="25" spans="1:8" x14ac:dyDescent="0.25">
      <c r="A25" s="3">
        <f t="shared" si="0"/>
        <v>17</v>
      </c>
      <c r="E25" t="s">
        <v>54</v>
      </c>
      <c r="G25" s="14">
        <v>-3.53</v>
      </c>
      <c r="H25" s="14"/>
    </row>
    <row r="26" spans="1:8" x14ac:dyDescent="0.25">
      <c r="A26" s="3">
        <f t="shared" si="0"/>
        <v>18</v>
      </c>
      <c r="E26" t="s">
        <v>55</v>
      </c>
      <c r="G26" s="14">
        <v>-2874.3299999999972</v>
      </c>
      <c r="H26" s="14"/>
    </row>
    <row r="27" spans="1:8" x14ac:dyDescent="0.25">
      <c r="A27" s="3">
        <f t="shared" si="0"/>
        <v>19</v>
      </c>
      <c r="E27" t="s">
        <v>56</v>
      </c>
      <c r="G27" s="14">
        <v>-885.69000000000017</v>
      </c>
      <c r="H27" s="14"/>
    </row>
    <row r="28" spans="1:8" x14ac:dyDescent="0.25">
      <c r="A28" s="3">
        <f t="shared" si="0"/>
        <v>20</v>
      </c>
      <c r="E28" t="s">
        <v>57</v>
      </c>
      <c r="G28" s="14">
        <v>-15.219999999999992</v>
      </c>
      <c r="H28" s="14"/>
    </row>
    <row r="29" spans="1:8" x14ac:dyDescent="0.25">
      <c r="A29" s="3">
        <f t="shared" si="0"/>
        <v>21</v>
      </c>
      <c r="E29" t="s">
        <v>79</v>
      </c>
      <c r="G29" s="14">
        <v>-253.05</v>
      </c>
      <c r="H29" s="14"/>
    </row>
    <row r="30" spans="1:8" x14ac:dyDescent="0.25">
      <c r="A30" s="3">
        <f t="shared" si="0"/>
        <v>22</v>
      </c>
      <c r="E30" t="s">
        <v>80</v>
      </c>
      <c r="G30" s="14">
        <v>-486.55000000000007</v>
      </c>
      <c r="H30" s="14"/>
    </row>
    <row r="31" spans="1:8" x14ac:dyDescent="0.25">
      <c r="A31" s="3">
        <f t="shared" si="0"/>
        <v>23</v>
      </c>
      <c r="E31" t="s">
        <v>104</v>
      </c>
      <c r="G31" s="14">
        <v>-151.15</v>
      </c>
      <c r="H31" s="14"/>
    </row>
    <row r="32" spans="1:8" x14ac:dyDescent="0.25">
      <c r="A32" s="3">
        <f t="shared" si="0"/>
        <v>24</v>
      </c>
      <c r="E32" t="s">
        <v>58</v>
      </c>
      <c r="G32" s="14">
        <v>-3712.9400000000014</v>
      </c>
      <c r="H32" s="14"/>
    </row>
    <row r="33" spans="1:8" x14ac:dyDescent="0.25">
      <c r="A33" s="3">
        <f t="shared" si="0"/>
        <v>25</v>
      </c>
      <c r="E33" t="s">
        <v>81</v>
      </c>
      <c r="G33" s="14">
        <v>-20.32</v>
      </c>
      <c r="H33" s="14"/>
    </row>
    <row r="34" spans="1:8" x14ac:dyDescent="0.25">
      <c r="A34" s="3">
        <f t="shared" si="0"/>
        <v>26</v>
      </c>
      <c r="E34" t="s">
        <v>59</v>
      </c>
      <c r="G34" s="14">
        <v>-278.26000000000005</v>
      </c>
      <c r="H34" s="14"/>
    </row>
    <row r="35" spans="1:8" x14ac:dyDescent="0.25">
      <c r="A35" s="3">
        <f t="shared" si="0"/>
        <v>27</v>
      </c>
      <c r="E35" t="s">
        <v>60</v>
      </c>
      <c r="G35" s="14">
        <v>-183.44</v>
      </c>
      <c r="H35" s="14"/>
    </row>
    <row r="36" spans="1:8" x14ac:dyDescent="0.25">
      <c r="A36" s="3">
        <f t="shared" si="0"/>
        <v>28</v>
      </c>
      <c r="E36" t="s">
        <v>61</v>
      </c>
      <c r="G36" s="14">
        <v>-0.88</v>
      </c>
      <c r="H36" s="14"/>
    </row>
    <row r="37" spans="1:8" x14ac:dyDescent="0.25">
      <c r="A37" s="3">
        <f t="shared" si="0"/>
        <v>29</v>
      </c>
      <c r="E37" t="s">
        <v>82</v>
      </c>
      <c r="G37" s="14">
        <v>-0.36</v>
      </c>
      <c r="H37" s="14"/>
    </row>
    <row r="38" spans="1:8" x14ac:dyDescent="0.25">
      <c r="A38" s="3">
        <f t="shared" si="0"/>
        <v>30</v>
      </c>
      <c r="E38" t="s">
        <v>83</v>
      </c>
      <c r="G38" s="14">
        <v>-50.310000000000009</v>
      </c>
      <c r="H38" s="14"/>
    </row>
    <row r="39" spans="1:8" x14ac:dyDescent="0.25">
      <c r="A39" s="3">
        <f t="shared" si="0"/>
        <v>31</v>
      </c>
      <c r="E39" t="s">
        <v>62</v>
      </c>
      <c r="G39" s="14">
        <v>-86.380000000000024</v>
      </c>
      <c r="H39" s="14"/>
    </row>
    <row r="40" spans="1:8" x14ac:dyDescent="0.25">
      <c r="A40" s="3">
        <f t="shared" si="0"/>
        <v>32</v>
      </c>
      <c r="E40" t="s">
        <v>63</v>
      </c>
      <c r="G40" s="14">
        <v>-3140.2600000000016</v>
      </c>
      <c r="H40" s="14"/>
    </row>
    <row r="41" spans="1:8" x14ac:dyDescent="0.25">
      <c r="A41" s="3">
        <f t="shared" si="0"/>
        <v>33</v>
      </c>
      <c r="E41" t="s">
        <v>84</v>
      </c>
      <c r="G41" s="14">
        <v>-32.96</v>
      </c>
      <c r="H41" s="14"/>
    </row>
    <row r="42" spans="1:8" x14ac:dyDescent="0.25">
      <c r="A42" s="3">
        <f t="shared" si="0"/>
        <v>34</v>
      </c>
      <c r="E42" t="s">
        <v>64</v>
      </c>
      <c r="G42" s="14">
        <v>-38.019999999999996</v>
      </c>
      <c r="H42" s="14"/>
    </row>
    <row r="43" spans="1:8" x14ac:dyDescent="0.25">
      <c r="A43" s="3">
        <f t="shared" si="0"/>
        <v>35</v>
      </c>
      <c r="E43" t="s">
        <v>65</v>
      </c>
      <c r="G43" s="14">
        <v>-360.45999999999992</v>
      </c>
      <c r="H43" s="14"/>
    </row>
    <row r="44" spans="1:8" x14ac:dyDescent="0.25">
      <c r="A44" s="3">
        <f t="shared" si="0"/>
        <v>36</v>
      </c>
      <c r="E44" t="s">
        <v>66</v>
      </c>
      <c r="G44" s="14">
        <v>-34.650000000000006</v>
      </c>
      <c r="H44" s="14"/>
    </row>
    <row r="45" spans="1:8" x14ac:dyDescent="0.25">
      <c r="A45" s="3">
        <f t="shared" si="0"/>
        <v>37</v>
      </c>
      <c r="E45" t="s">
        <v>67</v>
      </c>
      <c r="G45" s="14">
        <v>-74.42</v>
      </c>
      <c r="H45" s="14"/>
    </row>
    <row r="46" spans="1:8" x14ac:dyDescent="0.25">
      <c r="A46" s="3">
        <f t="shared" si="0"/>
        <v>38</v>
      </c>
      <c r="E46" t="s">
        <v>68</v>
      </c>
      <c r="G46" s="14">
        <v>-208210.54000000129</v>
      </c>
      <c r="H46" s="14"/>
    </row>
    <row r="47" spans="1:8" x14ac:dyDescent="0.25">
      <c r="A47" s="3">
        <f t="shared" si="0"/>
        <v>39</v>
      </c>
      <c r="E47" t="s">
        <v>69</v>
      </c>
      <c r="G47" s="14">
        <v>0.01</v>
      </c>
      <c r="H47" s="14"/>
    </row>
    <row r="48" spans="1:8" x14ac:dyDescent="0.25">
      <c r="A48" s="3">
        <f t="shared" si="0"/>
        <v>40</v>
      </c>
      <c r="E48" t="s">
        <v>70</v>
      </c>
      <c r="G48" s="14">
        <v>-13.31</v>
      </c>
      <c r="H48" s="14"/>
    </row>
    <row r="49" spans="1:8" x14ac:dyDescent="0.25">
      <c r="A49" s="3">
        <f t="shared" si="0"/>
        <v>41</v>
      </c>
      <c r="E49" t="s">
        <v>71</v>
      </c>
      <c r="G49" s="14">
        <v>-51.04</v>
      </c>
      <c r="H49" s="14"/>
    </row>
    <row r="50" spans="1:8" x14ac:dyDescent="0.25">
      <c r="A50" s="3">
        <f t="shared" si="0"/>
        <v>42</v>
      </c>
      <c r="E50" t="s">
        <v>72</v>
      </c>
      <c r="G50" s="14">
        <v>-14.51</v>
      </c>
      <c r="H50" s="14"/>
    </row>
    <row r="51" spans="1:8" x14ac:dyDescent="0.25">
      <c r="A51" s="3">
        <f t="shared" si="0"/>
        <v>43</v>
      </c>
      <c r="E51" t="s">
        <v>73</v>
      </c>
      <c r="G51" s="14">
        <v>-2503.7799999999997</v>
      </c>
      <c r="H51" s="14"/>
    </row>
    <row r="52" spans="1:8" x14ac:dyDescent="0.25">
      <c r="A52" s="3">
        <f t="shared" si="0"/>
        <v>44</v>
      </c>
      <c r="E52" t="s">
        <v>75</v>
      </c>
      <c r="G52" s="14">
        <v>-7350.4700000000012</v>
      </c>
      <c r="H52" s="14"/>
    </row>
    <row r="53" spans="1:8" x14ac:dyDescent="0.25">
      <c r="A53" s="3">
        <f t="shared" si="0"/>
        <v>45</v>
      </c>
      <c r="E53" t="s">
        <v>76</v>
      </c>
      <c r="G53" s="14">
        <v>-772.28</v>
      </c>
      <c r="H53" s="14"/>
    </row>
    <row r="54" spans="1:8" x14ac:dyDescent="0.25">
      <c r="G54" s="19"/>
    </row>
    <row r="55" spans="1:8" ht="13.8" thickBot="1" x14ac:dyDescent="0.3">
      <c r="A55" s="3">
        <f>A53+1</f>
        <v>46</v>
      </c>
      <c r="E55" t="s">
        <v>1</v>
      </c>
      <c r="G55" s="32">
        <f>SUM(G9:G53)</f>
        <v>-281415.28000000131</v>
      </c>
    </row>
    <row r="56" spans="1:8" ht="13.8" thickTop="1" x14ac:dyDescent="0.25"/>
  </sheetData>
  <mergeCells count="5">
    <mergeCell ref="A2:G2"/>
    <mergeCell ref="A3:G3"/>
    <mergeCell ref="A4:G4"/>
    <mergeCell ref="A5:G5"/>
    <mergeCell ref="A1:G1"/>
  </mergeCells>
  <phoneticPr fontId="6" type="noConversion"/>
  <printOptions horizontalCentered="1"/>
  <pageMargins left="1" right="0.75" top="1.5" bottom="1" header="0.5" footer="0.5"/>
  <pageSetup scale="53" orientation="portrait" horizontalDpi="1200" verticalDpi="1200" r:id="rId1"/>
  <headerFooter alignWithMargins="0">
    <oddHeader>&amp;RDocket No. 56165
Exhibit BJF-4
Page &amp;P of &amp;N</oddHeader>
    <oddFooter>&amp;C&amp;A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5"/>
  <sheetViews>
    <sheetView tabSelected="1" zoomScale="85" zoomScaleNormal="85" workbookViewId="0">
      <selection activeCell="M50" sqref="M50"/>
    </sheetView>
  </sheetViews>
  <sheetFormatPr defaultRowHeight="13.2" x14ac:dyDescent="0.25"/>
  <cols>
    <col min="1" max="1" width="5.44140625" style="3" customWidth="1"/>
    <col min="2" max="2" width="3" customWidth="1"/>
    <col min="3" max="3" width="18.6640625" customWidth="1"/>
    <col min="4" max="4" width="3" customWidth="1"/>
    <col min="5" max="5" width="33" bestFit="1" customWidth="1"/>
    <col min="6" max="6" width="3" customWidth="1"/>
    <col min="7" max="7" width="13.44140625" style="14" customWidth="1"/>
    <col min="8" max="8" width="3" style="14" customWidth="1"/>
    <col min="9" max="9" width="13.6640625" style="14" customWidth="1"/>
    <col min="10" max="10" width="3" style="14" customWidth="1"/>
    <col min="11" max="11" width="13.6640625" style="14" customWidth="1"/>
    <col min="12" max="12" width="3" customWidth="1"/>
  </cols>
  <sheetData>
    <row r="1" spans="1:11" x14ac:dyDescent="0.25">
      <c r="A1" s="43" t="s">
        <v>89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1" x14ac:dyDescent="0.25">
      <c r="A2" s="43" t="s">
        <v>90</v>
      </c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x14ac:dyDescent="0.25">
      <c r="A3" s="43" t="s">
        <v>0</v>
      </c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1" x14ac:dyDescent="0.25">
      <c r="A4" s="43" t="s">
        <v>91</v>
      </c>
      <c r="B4" s="43"/>
      <c r="C4" s="43"/>
      <c r="D4" s="43"/>
      <c r="E4" s="43"/>
      <c r="F4" s="43"/>
      <c r="G4" s="43"/>
      <c r="H4" s="43"/>
      <c r="I4" s="43"/>
      <c r="J4" s="43"/>
      <c r="K4" s="43"/>
    </row>
    <row r="5" spans="1:11" x14ac:dyDescent="0.25">
      <c r="A5" s="43" t="s">
        <v>16</v>
      </c>
      <c r="B5" s="43"/>
      <c r="C5" s="43"/>
      <c r="D5" s="43"/>
      <c r="E5" s="43"/>
      <c r="F5" s="43"/>
      <c r="G5" s="43"/>
      <c r="H5" s="43"/>
      <c r="I5" s="43"/>
      <c r="J5" s="43"/>
      <c r="K5" s="43"/>
    </row>
    <row r="7" spans="1:11" s="16" customFormat="1" ht="39.6" x14ac:dyDescent="0.25">
      <c r="A7" s="15" t="s">
        <v>8</v>
      </c>
      <c r="C7" s="15" t="s">
        <v>9</v>
      </c>
      <c r="E7" s="15" t="s">
        <v>10</v>
      </c>
      <c r="G7" s="17" t="s">
        <v>13</v>
      </c>
      <c r="H7" s="18"/>
      <c r="I7" s="17" t="s">
        <v>11</v>
      </c>
      <c r="J7" s="18"/>
      <c r="K7" s="21" t="s">
        <v>14</v>
      </c>
    </row>
    <row r="9" spans="1:11" x14ac:dyDescent="0.25">
      <c r="A9" s="3">
        <v>1</v>
      </c>
      <c r="C9" t="s">
        <v>17</v>
      </c>
      <c r="E9" t="s">
        <v>44</v>
      </c>
      <c r="G9" s="28">
        <v>131015.12999999999</v>
      </c>
      <c r="H9" s="31"/>
      <c r="I9" s="28">
        <v>-131015.12999999999</v>
      </c>
      <c r="J9" s="24"/>
      <c r="K9" s="28">
        <f t="shared" ref="K9:K12" si="0">G9+I9</f>
        <v>0</v>
      </c>
    </row>
    <row r="10" spans="1:11" x14ac:dyDescent="0.25">
      <c r="A10" s="3">
        <f>+A9+1</f>
        <v>2</v>
      </c>
      <c r="E10" t="s">
        <v>69</v>
      </c>
      <c r="G10" s="14">
        <v>469777.05999999994</v>
      </c>
      <c r="H10" s="22"/>
      <c r="I10" s="14">
        <v>-469777.05999999994</v>
      </c>
      <c r="J10"/>
      <c r="K10" s="33">
        <f t="shared" si="0"/>
        <v>0</v>
      </c>
    </row>
    <row r="11" spans="1:11" x14ac:dyDescent="0.25">
      <c r="A11" s="3">
        <f t="shared" ref="A11:A12" si="1">+A10+1</f>
        <v>3</v>
      </c>
      <c r="E11" t="s">
        <v>70</v>
      </c>
      <c r="G11" s="14">
        <v>135009</v>
      </c>
      <c r="H11" s="22"/>
      <c r="I11" s="14">
        <v>-135009</v>
      </c>
      <c r="J11"/>
      <c r="K11" s="33">
        <f t="shared" si="0"/>
        <v>0</v>
      </c>
    </row>
    <row r="12" spans="1:11" x14ac:dyDescent="0.25">
      <c r="A12" s="3">
        <f t="shared" si="1"/>
        <v>4</v>
      </c>
      <c r="E12" t="s">
        <v>75</v>
      </c>
      <c r="G12" s="14">
        <v>58115.21</v>
      </c>
      <c r="H12" s="22"/>
      <c r="I12" s="14">
        <v>-58115.21</v>
      </c>
      <c r="J12"/>
      <c r="K12" s="33">
        <f t="shared" si="0"/>
        <v>0</v>
      </c>
    </row>
    <row r="13" spans="1:11" x14ac:dyDescent="0.25">
      <c r="G13" s="19"/>
      <c r="H13" s="19"/>
      <c r="I13" s="19"/>
      <c r="J13" s="19"/>
      <c r="K13" s="19"/>
    </row>
    <row r="14" spans="1:11" ht="13.8" thickBot="1" x14ac:dyDescent="0.3">
      <c r="A14" s="3">
        <f>A12+1</f>
        <v>5</v>
      </c>
      <c r="E14" t="s">
        <v>1</v>
      </c>
      <c r="G14" s="32">
        <f>SUM(G9:G13)</f>
        <v>793916.39999999991</v>
      </c>
      <c r="H14" s="31"/>
      <c r="I14" s="32">
        <f>SUM(I9:I13)</f>
        <v>-793916.39999999991</v>
      </c>
      <c r="J14" s="28"/>
      <c r="K14" s="32">
        <f>SUM(K9:K13)</f>
        <v>0</v>
      </c>
    </row>
    <row r="15" spans="1:11" ht="13.8" thickTop="1" x14ac:dyDescent="0.25"/>
  </sheetData>
  <mergeCells count="5">
    <mergeCell ref="A2:K2"/>
    <mergeCell ref="A3:K3"/>
    <mergeCell ref="A4:K4"/>
    <mergeCell ref="A5:K5"/>
    <mergeCell ref="A1:K1"/>
  </mergeCells>
  <phoneticPr fontId="6" type="noConversion"/>
  <printOptions horizontalCentered="1"/>
  <pageMargins left="1" right="0.75" top="1.5" bottom="1" header="0.5" footer="0.5"/>
  <pageSetup scale="53" orientation="portrait" horizontalDpi="1200" verticalDpi="1200" r:id="rId1"/>
  <headerFooter alignWithMargins="0">
    <oddHeader>&amp;RDocket No. 56165
Exhibit BJF-4
Page &amp;P of &amp;N</oddHeader>
    <oddFooter>&amp;C&amp;A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6"/>
  <sheetViews>
    <sheetView tabSelected="1" topLeftCell="A14" zoomScale="85" zoomScaleNormal="85" workbookViewId="0">
      <selection activeCell="M50" sqref="M50"/>
    </sheetView>
  </sheetViews>
  <sheetFormatPr defaultRowHeight="13.2" x14ac:dyDescent="0.25"/>
  <cols>
    <col min="1" max="1" width="5.5546875" customWidth="1"/>
    <col min="2" max="2" width="3" customWidth="1"/>
    <col min="3" max="3" width="31.5546875" bestFit="1" customWidth="1"/>
    <col min="4" max="4" width="3" customWidth="1"/>
    <col min="5" max="5" width="35.88671875" bestFit="1" customWidth="1"/>
    <col min="6" max="6" width="3" customWidth="1"/>
    <col min="7" max="7" width="14.109375" style="14" customWidth="1"/>
    <col min="8" max="8" width="3" style="14" customWidth="1"/>
    <col min="9" max="9" width="10.33203125" bestFit="1" customWidth="1"/>
  </cols>
  <sheetData>
    <row r="1" spans="1:9" x14ac:dyDescent="0.25">
      <c r="A1" s="43" t="s">
        <v>89</v>
      </c>
      <c r="B1" s="43"/>
      <c r="C1" s="43"/>
      <c r="D1" s="43"/>
      <c r="E1" s="43"/>
      <c r="F1" s="43"/>
      <c r="G1" s="43"/>
      <c r="H1" s="43"/>
    </row>
    <row r="2" spans="1:9" x14ac:dyDescent="0.25">
      <c r="A2" s="43" t="s">
        <v>90</v>
      </c>
      <c r="B2" s="43"/>
      <c r="C2" s="43"/>
      <c r="D2" s="43"/>
      <c r="E2" s="43"/>
      <c r="F2" s="43"/>
      <c r="G2" s="43"/>
      <c r="H2" s="43"/>
    </row>
    <row r="3" spans="1:9" x14ac:dyDescent="0.25">
      <c r="A3" s="43" t="s">
        <v>0</v>
      </c>
      <c r="B3" s="43"/>
      <c r="C3" s="43"/>
      <c r="D3" s="43"/>
      <c r="E3" s="43"/>
      <c r="F3" s="43"/>
      <c r="G3" s="43"/>
      <c r="H3" s="43"/>
    </row>
    <row r="4" spans="1:9" x14ac:dyDescent="0.25">
      <c r="A4" s="43" t="s">
        <v>91</v>
      </c>
      <c r="B4" s="43"/>
      <c r="C4" s="43"/>
      <c r="D4" s="43"/>
      <c r="E4" s="43"/>
      <c r="F4" s="43"/>
      <c r="G4" s="43"/>
      <c r="H4" s="43"/>
    </row>
    <row r="5" spans="1:9" x14ac:dyDescent="0.25">
      <c r="A5" s="43" t="s">
        <v>18</v>
      </c>
      <c r="B5" s="43"/>
      <c r="C5" s="43"/>
      <c r="D5" s="43"/>
      <c r="E5" s="43"/>
      <c r="F5" s="43"/>
      <c r="G5" s="43"/>
      <c r="H5" s="43"/>
    </row>
    <row r="7" spans="1:9" s="16" customFormat="1" ht="26.4" x14ac:dyDescent="0.25">
      <c r="A7" s="15" t="s">
        <v>8</v>
      </c>
      <c r="C7" s="15" t="s">
        <v>9</v>
      </c>
      <c r="E7" s="15" t="s">
        <v>10</v>
      </c>
      <c r="G7" s="17" t="s">
        <v>11</v>
      </c>
      <c r="H7" s="18"/>
    </row>
    <row r="8" spans="1:9" x14ac:dyDescent="0.25">
      <c r="A8" s="3"/>
    </row>
    <row r="9" spans="1:9" x14ac:dyDescent="0.25">
      <c r="A9" s="3">
        <v>1</v>
      </c>
      <c r="C9" t="s">
        <v>4</v>
      </c>
      <c r="E9" t="s">
        <v>31</v>
      </c>
      <c r="G9" s="24">
        <v>-723.49</v>
      </c>
      <c r="H9" s="19"/>
      <c r="I9" s="37"/>
    </row>
    <row r="10" spans="1:9" x14ac:dyDescent="0.25">
      <c r="A10" s="3">
        <v>2</v>
      </c>
      <c r="E10" t="s">
        <v>33</v>
      </c>
      <c r="G10" s="23">
        <v>-108.02000000000001</v>
      </c>
      <c r="H10" s="19"/>
      <c r="I10" s="37"/>
    </row>
    <row r="11" spans="1:9" x14ac:dyDescent="0.25">
      <c r="A11" s="3">
        <v>3</v>
      </c>
      <c r="E11" t="s">
        <v>100</v>
      </c>
      <c r="G11" s="23">
        <v>-26.39</v>
      </c>
      <c r="H11" s="19"/>
      <c r="I11" s="37"/>
    </row>
    <row r="12" spans="1:9" x14ac:dyDescent="0.25">
      <c r="A12" s="3">
        <v>4</v>
      </c>
      <c r="E12" t="s">
        <v>43</v>
      </c>
      <c r="G12" s="23">
        <v>-39.17</v>
      </c>
      <c r="H12" s="19"/>
      <c r="I12" s="37"/>
    </row>
    <row r="13" spans="1:9" x14ac:dyDescent="0.25">
      <c r="A13" s="3">
        <v>5</v>
      </c>
      <c r="E13" t="s">
        <v>44</v>
      </c>
      <c r="G13" s="23">
        <v>-29132.05</v>
      </c>
      <c r="H13" s="19"/>
      <c r="I13" s="37"/>
    </row>
    <row r="14" spans="1:9" x14ac:dyDescent="0.25">
      <c r="A14" s="3">
        <v>6</v>
      </c>
      <c r="E14" t="s">
        <v>45</v>
      </c>
      <c r="G14" s="23">
        <v>-8113.41</v>
      </c>
      <c r="H14" s="19"/>
      <c r="I14" s="37"/>
    </row>
    <row r="15" spans="1:9" x14ac:dyDescent="0.25">
      <c r="A15" s="3">
        <v>7</v>
      </c>
      <c r="E15" t="s">
        <v>77</v>
      </c>
      <c r="G15" s="23">
        <v>-1192.55</v>
      </c>
      <c r="H15" s="19"/>
      <c r="I15" s="37"/>
    </row>
    <row r="16" spans="1:9" x14ac:dyDescent="0.25">
      <c r="A16" s="3">
        <v>8</v>
      </c>
      <c r="E16" t="s">
        <v>46</v>
      </c>
      <c r="G16" s="23">
        <v>-305.75</v>
      </c>
      <c r="H16" s="19"/>
      <c r="I16" s="37"/>
    </row>
    <row r="17" spans="1:9" x14ac:dyDescent="0.25">
      <c r="A17" s="3">
        <v>9</v>
      </c>
      <c r="E17" t="s">
        <v>47</v>
      </c>
      <c r="G17" s="23">
        <v>-98.42</v>
      </c>
      <c r="H17" s="19"/>
      <c r="I17" s="37"/>
    </row>
    <row r="18" spans="1:9" x14ac:dyDescent="0.25">
      <c r="A18" s="3">
        <v>10</v>
      </c>
      <c r="E18" t="s">
        <v>48</v>
      </c>
      <c r="G18" s="23">
        <v>-7420.7999999999993</v>
      </c>
      <c r="H18" s="19"/>
      <c r="I18" s="37"/>
    </row>
    <row r="19" spans="1:9" x14ac:dyDescent="0.25">
      <c r="A19" s="3">
        <v>11</v>
      </c>
      <c r="E19" t="s">
        <v>49</v>
      </c>
      <c r="G19" s="23">
        <v>-94.210000000000008</v>
      </c>
      <c r="H19" s="19"/>
      <c r="I19" s="37"/>
    </row>
    <row r="20" spans="1:9" x14ac:dyDescent="0.25">
      <c r="A20" s="3">
        <v>12</v>
      </c>
      <c r="E20" t="s">
        <v>50</v>
      </c>
      <c r="G20" s="23">
        <v>-0.7</v>
      </c>
      <c r="H20" s="19"/>
      <c r="I20" s="37"/>
    </row>
    <row r="21" spans="1:9" x14ac:dyDescent="0.25">
      <c r="A21" s="3">
        <v>13</v>
      </c>
      <c r="E21" t="s">
        <v>78</v>
      </c>
      <c r="G21" s="23">
        <v>-37.209999999999994</v>
      </c>
      <c r="H21" s="19"/>
      <c r="I21" s="37"/>
    </row>
    <row r="22" spans="1:9" x14ac:dyDescent="0.25">
      <c r="A22" s="3">
        <v>14</v>
      </c>
      <c r="E22" t="s">
        <v>51</v>
      </c>
      <c r="G22" s="23">
        <v>-156.26</v>
      </c>
      <c r="H22" s="19"/>
      <c r="I22" s="37"/>
    </row>
    <row r="23" spans="1:9" x14ac:dyDescent="0.25">
      <c r="A23" s="3">
        <v>15</v>
      </c>
      <c r="E23" t="s">
        <v>52</v>
      </c>
      <c r="G23" s="23">
        <v>-1380.78</v>
      </c>
      <c r="H23" s="19"/>
      <c r="I23" s="37"/>
    </row>
    <row r="24" spans="1:9" x14ac:dyDescent="0.25">
      <c r="A24" s="3">
        <v>16</v>
      </c>
      <c r="E24" t="s">
        <v>53</v>
      </c>
      <c r="G24" s="23">
        <v>-1323.54</v>
      </c>
      <c r="H24" s="19"/>
      <c r="I24" s="37"/>
    </row>
    <row r="25" spans="1:9" x14ac:dyDescent="0.25">
      <c r="A25" s="3">
        <v>17</v>
      </c>
      <c r="E25" t="s">
        <v>54</v>
      </c>
      <c r="G25" s="23">
        <v>-5.39</v>
      </c>
      <c r="H25" s="19"/>
      <c r="I25" s="37"/>
    </row>
    <row r="26" spans="1:9" x14ac:dyDescent="0.25">
      <c r="A26" s="3">
        <v>18</v>
      </c>
      <c r="E26" t="s">
        <v>55</v>
      </c>
      <c r="G26" s="23">
        <v>-3109.46</v>
      </c>
      <c r="H26" s="19"/>
      <c r="I26" s="37"/>
    </row>
    <row r="27" spans="1:9" x14ac:dyDescent="0.25">
      <c r="A27" s="3">
        <v>19</v>
      </c>
      <c r="E27" t="s">
        <v>56</v>
      </c>
      <c r="G27" s="23">
        <v>-1317.28</v>
      </c>
      <c r="H27" s="19"/>
      <c r="I27" s="37"/>
    </row>
    <row r="28" spans="1:9" x14ac:dyDescent="0.25">
      <c r="A28" s="3">
        <v>20</v>
      </c>
      <c r="E28" t="s">
        <v>57</v>
      </c>
      <c r="G28" s="23">
        <v>-18.93</v>
      </c>
      <c r="H28" s="19"/>
      <c r="I28" s="37"/>
    </row>
    <row r="29" spans="1:9" x14ac:dyDescent="0.25">
      <c r="A29" s="3">
        <v>21</v>
      </c>
      <c r="E29" t="s">
        <v>79</v>
      </c>
      <c r="G29" s="23">
        <v>-479.35</v>
      </c>
      <c r="H29" s="19"/>
      <c r="I29" s="37"/>
    </row>
    <row r="30" spans="1:9" x14ac:dyDescent="0.25">
      <c r="A30" s="3">
        <v>22</v>
      </c>
      <c r="E30" t="s">
        <v>80</v>
      </c>
      <c r="G30" s="23">
        <v>-1237.6000000000001</v>
      </c>
      <c r="H30" s="19"/>
      <c r="I30" s="37"/>
    </row>
    <row r="31" spans="1:9" x14ac:dyDescent="0.25">
      <c r="A31" s="3">
        <v>23</v>
      </c>
      <c r="E31" t="s">
        <v>104</v>
      </c>
      <c r="G31" s="23">
        <v>-94.990000000000009</v>
      </c>
      <c r="H31" s="19"/>
      <c r="I31" s="37"/>
    </row>
    <row r="32" spans="1:9" x14ac:dyDescent="0.25">
      <c r="A32" s="3">
        <v>24</v>
      </c>
      <c r="E32" t="s">
        <v>58</v>
      </c>
      <c r="G32" s="23">
        <v>-3166.57</v>
      </c>
      <c r="H32" s="19"/>
      <c r="I32" s="37"/>
    </row>
    <row r="33" spans="1:9" x14ac:dyDescent="0.25">
      <c r="A33" s="3">
        <v>25</v>
      </c>
      <c r="E33" t="s">
        <v>81</v>
      </c>
      <c r="G33" s="23">
        <v>-46.82</v>
      </c>
      <c r="H33" s="19"/>
      <c r="I33" s="37"/>
    </row>
    <row r="34" spans="1:9" x14ac:dyDescent="0.25">
      <c r="A34" s="3">
        <v>26</v>
      </c>
      <c r="E34" t="s">
        <v>59</v>
      </c>
      <c r="G34" s="23">
        <v>-510</v>
      </c>
      <c r="H34" s="19"/>
      <c r="I34" s="37"/>
    </row>
    <row r="35" spans="1:9" x14ac:dyDescent="0.25">
      <c r="A35" s="3">
        <v>27</v>
      </c>
      <c r="E35" t="s">
        <v>60</v>
      </c>
      <c r="G35" s="23">
        <v>-134.4</v>
      </c>
      <c r="H35" s="19"/>
      <c r="I35" s="37"/>
    </row>
    <row r="36" spans="1:9" x14ac:dyDescent="0.25">
      <c r="A36" s="3">
        <v>28</v>
      </c>
      <c r="E36" t="s">
        <v>61</v>
      </c>
      <c r="G36" s="23">
        <v>-0.82000000000000006</v>
      </c>
      <c r="H36" s="19"/>
      <c r="I36" s="37"/>
    </row>
    <row r="37" spans="1:9" x14ac:dyDescent="0.25">
      <c r="A37" s="3">
        <v>29</v>
      </c>
      <c r="E37" t="s">
        <v>82</v>
      </c>
      <c r="G37" s="23">
        <v>-1.4300000000000002</v>
      </c>
      <c r="H37" s="19"/>
      <c r="I37" s="37"/>
    </row>
    <row r="38" spans="1:9" x14ac:dyDescent="0.25">
      <c r="A38" s="3">
        <v>30</v>
      </c>
      <c r="E38" t="s">
        <v>83</v>
      </c>
      <c r="G38" s="23">
        <v>-208.16</v>
      </c>
      <c r="H38" s="19"/>
      <c r="I38" s="37"/>
    </row>
    <row r="39" spans="1:9" x14ac:dyDescent="0.25">
      <c r="A39" s="3">
        <v>31</v>
      </c>
      <c r="E39" t="s">
        <v>62</v>
      </c>
      <c r="G39" s="23">
        <v>-359.01</v>
      </c>
      <c r="H39" s="19"/>
      <c r="I39" s="37"/>
    </row>
    <row r="40" spans="1:9" x14ac:dyDescent="0.25">
      <c r="A40" s="3">
        <v>32</v>
      </c>
      <c r="E40" t="s">
        <v>63</v>
      </c>
      <c r="G40" s="23">
        <v>-8832.01</v>
      </c>
      <c r="H40" s="19"/>
      <c r="I40" s="37"/>
    </row>
    <row r="41" spans="1:9" x14ac:dyDescent="0.25">
      <c r="A41" s="3">
        <v>33</v>
      </c>
      <c r="E41" t="s">
        <v>84</v>
      </c>
      <c r="G41" s="23">
        <v>-173.54</v>
      </c>
      <c r="H41" s="19"/>
      <c r="I41" s="37"/>
    </row>
    <row r="42" spans="1:9" x14ac:dyDescent="0.25">
      <c r="A42" s="3">
        <v>34</v>
      </c>
      <c r="E42" t="s">
        <v>64</v>
      </c>
      <c r="G42" s="23">
        <v>-175.29</v>
      </c>
      <c r="H42" s="19"/>
      <c r="I42" s="37"/>
    </row>
    <row r="43" spans="1:9" x14ac:dyDescent="0.25">
      <c r="A43" s="3">
        <v>35</v>
      </c>
      <c r="E43" t="s">
        <v>65</v>
      </c>
      <c r="G43" s="23">
        <v>-122.17</v>
      </c>
      <c r="H43" s="19"/>
      <c r="I43" s="37"/>
    </row>
    <row r="44" spans="1:9" x14ac:dyDescent="0.25">
      <c r="A44" s="3">
        <v>36</v>
      </c>
      <c r="E44" t="s">
        <v>66</v>
      </c>
      <c r="G44" s="23">
        <v>-38.369999999999997</v>
      </c>
      <c r="H44" s="19"/>
      <c r="I44" s="37"/>
    </row>
    <row r="45" spans="1:9" x14ac:dyDescent="0.25">
      <c r="A45" s="3">
        <v>37</v>
      </c>
      <c r="E45" t="s">
        <v>67</v>
      </c>
      <c r="G45" s="23">
        <v>-14.39</v>
      </c>
      <c r="H45" s="19"/>
      <c r="I45" s="37"/>
    </row>
    <row r="46" spans="1:9" x14ac:dyDescent="0.25">
      <c r="A46" s="3">
        <v>38</v>
      </c>
      <c r="E46" t="s">
        <v>68</v>
      </c>
      <c r="G46" s="23">
        <v>-48181.03</v>
      </c>
      <c r="H46" s="19"/>
      <c r="I46" s="37"/>
    </row>
    <row r="47" spans="1:9" x14ac:dyDescent="0.25">
      <c r="A47" s="3">
        <v>39</v>
      </c>
      <c r="E47" t="s">
        <v>70</v>
      </c>
      <c r="G47" s="23">
        <v>-228237.43999999994</v>
      </c>
      <c r="H47" s="19"/>
      <c r="I47" s="37"/>
    </row>
    <row r="48" spans="1:9" x14ac:dyDescent="0.25">
      <c r="A48" s="3">
        <v>40</v>
      </c>
      <c r="E48" t="s">
        <v>71</v>
      </c>
      <c r="G48" s="23">
        <v>-39.54</v>
      </c>
      <c r="H48" s="19"/>
      <c r="I48" s="37"/>
    </row>
    <row r="49" spans="1:9" x14ac:dyDescent="0.25">
      <c r="A49" s="3">
        <v>41</v>
      </c>
      <c r="E49" t="s">
        <v>72</v>
      </c>
      <c r="G49" s="23">
        <v>-13.959999999999999</v>
      </c>
      <c r="H49" s="19"/>
      <c r="I49" s="37"/>
    </row>
    <row r="50" spans="1:9" x14ac:dyDescent="0.25">
      <c r="A50" s="3">
        <v>42</v>
      </c>
      <c r="E50" t="s">
        <v>73</v>
      </c>
      <c r="G50" s="23">
        <v>-1135.31</v>
      </c>
      <c r="H50" s="19"/>
      <c r="I50" s="37"/>
    </row>
    <row r="51" spans="1:9" x14ac:dyDescent="0.25">
      <c r="A51" s="3">
        <v>43</v>
      </c>
      <c r="E51" t="s">
        <v>75</v>
      </c>
      <c r="G51" s="23">
        <v>-412.83</v>
      </c>
      <c r="H51" s="19"/>
      <c r="I51" s="37"/>
    </row>
    <row r="52" spans="1:9" x14ac:dyDescent="0.25">
      <c r="A52" s="3">
        <v>44</v>
      </c>
      <c r="E52" t="s">
        <v>76</v>
      </c>
      <c r="G52" s="23">
        <v>-794.32</v>
      </c>
      <c r="H52" s="19"/>
      <c r="I52" s="37"/>
    </row>
    <row r="53" spans="1:9" x14ac:dyDescent="0.25">
      <c r="A53" s="3"/>
    </row>
    <row r="54" spans="1:9" ht="13.8" thickBot="1" x14ac:dyDescent="0.3">
      <c r="A54" s="3">
        <f>A52+1</f>
        <v>45</v>
      </c>
      <c r="E54" t="s">
        <v>1</v>
      </c>
      <c r="G54" s="29">
        <f>SUM(G9:G53)</f>
        <v>-349013.16</v>
      </c>
    </row>
    <row r="55" spans="1:9" ht="13.8" thickTop="1" x14ac:dyDescent="0.25">
      <c r="A55" s="3"/>
      <c r="G55" s="40"/>
    </row>
    <row r="56" spans="1:9" x14ac:dyDescent="0.25">
      <c r="A56" s="3"/>
    </row>
  </sheetData>
  <mergeCells count="5">
    <mergeCell ref="A2:H2"/>
    <mergeCell ref="A3:H3"/>
    <mergeCell ref="A4:H4"/>
    <mergeCell ref="A5:H5"/>
    <mergeCell ref="A1:H1"/>
  </mergeCells>
  <phoneticPr fontId="6" type="noConversion"/>
  <printOptions horizontalCentered="1"/>
  <pageMargins left="1" right="0.75" top="1.5" bottom="1" header="0.5" footer="0.5"/>
  <pageSetup scale="53" orientation="portrait" horizontalDpi="1200" verticalDpi="1200" r:id="rId1"/>
  <headerFooter alignWithMargins="0">
    <oddHeader>&amp;RDocket No. 56165
Exhibit BJF-4
Page &amp;P of &amp;N</oddHeader>
    <oddFooter>&amp;C&amp;A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5"/>
  <sheetViews>
    <sheetView tabSelected="1" zoomScale="85" zoomScaleNormal="85" workbookViewId="0">
      <selection activeCell="M50" sqref="M50"/>
    </sheetView>
  </sheetViews>
  <sheetFormatPr defaultRowHeight="13.2" x14ac:dyDescent="0.25"/>
  <cols>
    <col min="1" max="1" width="6.109375" style="3" bestFit="1" customWidth="1"/>
    <col min="2" max="2" width="3" customWidth="1"/>
    <col min="3" max="3" width="20.109375" bestFit="1" customWidth="1"/>
    <col min="4" max="4" width="3" customWidth="1"/>
    <col min="5" max="5" width="35.33203125" bestFit="1" customWidth="1"/>
    <col min="6" max="6" width="3" customWidth="1"/>
    <col min="7" max="7" width="13.6640625" style="14" customWidth="1"/>
    <col min="8" max="8" width="3" style="14" customWidth="1"/>
    <col min="9" max="9" width="13.44140625" customWidth="1"/>
  </cols>
  <sheetData>
    <row r="1" spans="1:8" x14ac:dyDescent="0.25">
      <c r="A1" s="43" t="s">
        <v>89</v>
      </c>
      <c r="B1" s="43"/>
      <c r="C1" s="43"/>
      <c r="D1" s="43"/>
      <c r="E1" s="43"/>
      <c r="F1" s="43"/>
      <c r="G1" s="43"/>
      <c r="H1" s="43"/>
    </row>
    <row r="2" spans="1:8" x14ac:dyDescent="0.25">
      <c r="A2" s="43" t="s">
        <v>90</v>
      </c>
      <c r="B2" s="43"/>
      <c r="C2" s="43"/>
      <c r="D2" s="43"/>
      <c r="E2" s="43"/>
      <c r="F2" s="43"/>
      <c r="G2" s="43"/>
      <c r="H2" s="43"/>
    </row>
    <row r="3" spans="1:8" x14ac:dyDescent="0.25">
      <c r="A3" s="43" t="s">
        <v>0</v>
      </c>
      <c r="B3" s="43"/>
      <c r="C3" s="43"/>
      <c r="D3" s="43"/>
      <c r="E3" s="43"/>
      <c r="F3" s="43"/>
      <c r="G3" s="43"/>
      <c r="H3" s="43"/>
    </row>
    <row r="4" spans="1:8" x14ac:dyDescent="0.25">
      <c r="A4" s="43" t="s">
        <v>107</v>
      </c>
      <c r="B4" s="43"/>
      <c r="C4" s="43"/>
      <c r="D4" s="43"/>
      <c r="E4" s="43"/>
      <c r="F4" s="43"/>
      <c r="G4" s="43"/>
      <c r="H4" s="43"/>
    </row>
    <row r="5" spans="1:8" x14ac:dyDescent="0.25">
      <c r="A5" s="43" t="s">
        <v>19</v>
      </c>
      <c r="B5" s="43"/>
      <c r="C5" s="43"/>
      <c r="D5" s="43"/>
      <c r="E5" s="43"/>
      <c r="F5" s="43"/>
      <c r="G5" s="43"/>
      <c r="H5" s="43"/>
    </row>
    <row r="7" spans="1:8" s="16" customFormat="1" ht="26.4" x14ac:dyDescent="0.25">
      <c r="A7" s="15" t="s">
        <v>8</v>
      </c>
      <c r="C7" s="15" t="s">
        <v>9</v>
      </c>
      <c r="E7" s="15" t="s">
        <v>10</v>
      </c>
      <c r="G7" s="17" t="s">
        <v>11</v>
      </c>
      <c r="H7" s="18"/>
    </row>
    <row r="9" spans="1:8" x14ac:dyDescent="0.25">
      <c r="A9" s="3">
        <v>1</v>
      </c>
      <c r="C9" t="s">
        <v>21</v>
      </c>
      <c r="E9" t="s">
        <v>31</v>
      </c>
      <c r="G9" s="24">
        <v>33475.61</v>
      </c>
      <c r="H9" s="19"/>
    </row>
    <row r="10" spans="1:8" x14ac:dyDescent="0.25">
      <c r="A10" s="3">
        <f>+A9+1</f>
        <v>2</v>
      </c>
      <c r="E10" t="s">
        <v>33</v>
      </c>
      <c r="G10" s="23">
        <v>5663.3</v>
      </c>
    </row>
    <row r="11" spans="1:8" x14ac:dyDescent="0.25">
      <c r="A11" s="3">
        <f t="shared" ref="A11:A52" si="0">+A10+1</f>
        <v>3</v>
      </c>
      <c r="E11" t="s">
        <v>100</v>
      </c>
      <c r="G11" s="23">
        <v>1343.46</v>
      </c>
    </row>
    <row r="12" spans="1:8" x14ac:dyDescent="0.25">
      <c r="A12" s="3">
        <f t="shared" si="0"/>
        <v>4</v>
      </c>
      <c r="E12" t="s">
        <v>43</v>
      </c>
      <c r="G12" s="23">
        <v>1726.45</v>
      </c>
    </row>
    <row r="13" spans="1:8" x14ac:dyDescent="0.25">
      <c r="A13" s="3">
        <f t="shared" si="0"/>
        <v>5</v>
      </c>
      <c r="E13" t="s">
        <v>44</v>
      </c>
      <c r="G13" s="23">
        <v>1348644.64</v>
      </c>
    </row>
    <row r="14" spans="1:8" x14ac:dyDescent="0.25">
      <c r="A14" s="3">
        <f t="shared" si="0"/>
        <v>6</v>
      </c>
      <c r="E14" t="s">
        <v>45</v>
      </c>
      <c r="G14" s="23">
        <v>371564.58</v>
      </c>
    </row>
    <row r="15" spans="1:8" x14ac:dyDescent="0.25">
      <c r="A15" s="3">
        <f t="shared" si="0"/>
        <v>7</v>
      </c>
      <c r="E15" t="s">
        <v>77</v>
      </c>
      <c r="G15" s="23">
        <v>54366.98</v>
      </c>
    </row>
    <row r="16" spans="1:8" x14ac:dyDescent="0.25">
      <c r="A16" s="3">
        <f t="shared" si="0"/>
        <v>8</v>
      </c>
      <c r="E16" t="s">
        <v>46</v>
      </c>
      <c r="G16" s="23">
        <v>14275.38</v>
      </c>
    </row>
    <row r="17" spans="1:7" x14ac:dyDescent="0.25">
      <c r="A17" s="3">
        <f t="shared" si="0"/>
        <v>9</v>
      </c>
      <c r="E17" t="s">
        <v>47</v>
      </c>
      <c r="G17" s="23">
        <v>4531.76</v>
      </c>
    </row>
    <row r="18" spans="1:7" x14ac:dyDescent="0.25">
      <c r="A18" s="3">
        <f t="shared" si="0"/>
        <v>10</v>
      </c>
      <c r="E18" t="s">
        <v>48</v>
      </c>
      <c r="G18" s="23">
        <v>340267.62</v>
      </c>
    </row>
    <row r="19" spans="1:7" x14ac:dyDescent="0.25">
      <c r="A19" s="3">
        <f t="shared" si="0"/>
        <v>11</v>
      </c>
      <c r="E19" t="s">
        <v>49</v>
      </c>
      <c r="G19" s="23">
        <v>4316.26</v>
      </c>
    </row>
    <row r="20" spans="1:7" x14ac:dyDescent="0.25">
      <c r="A20" s="3">
        <f t="shared" si="0"/>
        <v>12</v>
      </c>
      <c r="E20" t="s">
        <v>50</v>
      </c>
      <c r="G20" s="23">
        <v>32.58</v>
      </c>
    </row>
    <row r="21" spans="1:7" x14ac:dyDescent="0.25">
      <c r="A21" s="3">
        <f t="shared" si="0"/>
        <v>13</v>
      </c>
      <c r="E21" t="s">
        <v>78</v>
      </c>
      <c r="G21" s="23">
        <v>1732.97</v>
      </c>
    </row>
    <row r="22" spans="1:7" x14ac:dyDescent="0.25">
      <c r="A22" s="3">
        <f t="shared" si="0"/>
        <v>14</v>
      </c>
      <c r="E22" t="s">
        <v>51</v>
      </c>
      <c r="G22" s="23">
        <v>7279.23</v>
      </c>
    </row>
    <row r="23" spans="1:7" x14ac:dyDescent="0.25">
      <c r="A23" s="3">
        <f t="shared" si="0"/>
        <v>15</v>
      </c>
      <c r="E23" t="s">
        <v>52</v>
      </c>
      <c r="G23" s="23">
        <v>65017.2</v>
      </c>
    </row>
    <row r="24" spans="1:7" x14ac:dyDescent="0.25">
      <c r="A24" s="3">
        <f t="shared" si="0"/>
        <v>16</v>
      </c>
      <c r="E24" t="s">
        <v>53</v>
      </c>
      <c r="G24" s="23">
        <v>62206.65</v>
      </c>
    </row>
    <row r="25" spans="1:7" x14ac:dyDescent="0.25">
      <c r="A25" s="3">
        <f t="shared" si="0"/>
        <v>17</v>
      </c>
      <c r="E25" t="s">
        <v>54</v>
      </c>
      <c r="G25" s="23">
        <v>248.56</v>
      </c>
    </row>
    <row r="26" spans="1:7" x14ac:dyDescent="0.25">
      <c r="A26" s="3">
        <f t="shared" si="0"/>
        <v>18</v>
      </c>
      <c r="E26" t="s">
        <v>55</v>
      </c>
      <c r="G26" s="23">
        <v>146083.96</v>
      </c>
    </row>
    <row r="27" spans="1:7" x14ac:dyDescent="0.25">
      <c r="A27" s="3">
        <f t="shared" si="0"/>
        <v>19</v>
      </c>
      <c r="E27" t="s">
        <v>56</v>
      </c>
      <c r="G27" s="23">
        <v>61466.36</v>
      </c>
    </row>
    <row r="28" spans="1:7" x14ac:dyDescent="0.25">
      <c r="A28" s="3">
        <f t="shared" si="0"/>
        <v>20</v>
      </c>
      <c r="E28" t="s">
        <v>57</v>
      </c>
      <c r="G28" s="23">
        <v>882.69</v>
      </c>
    </row>
    <row r="29" spans="1:7" x14ac:dyDescent="0.25">
      <c r="A29" s="3">
        <f t="shared" si="0"/>
        <v>21</v>
      </c>
      <c r="E29" t="s">
        <v>79</v>
      </c>
      <c r="G29" s="23">
        <v>22617.85</v>
      </c>
    </row>
    <row r="30" spans="1:7" x14ac:dyDescent="0.25">
      <c r="A30" s="3">
        <f t="shared" si="0"/>
        <v>22</v>
      </c>
      <c r="E30" t="s">
        <v>80</v>
      </c>
      <c r="G30" s="23">
        <v>64895.69</v>
      </c>
    </row>
    <row r="31" spans="1:7" x14ac:dyDescent="0.25">
      <c r="A31" s="3">
        <f t="shared" si="0"/>
        <v>23</v>
      </c>
      <c r="E31" t="s">
        <v>104</v>
      </c>
      <c r="G31" s="23">
        <v>4380.53</v>
      </c>
    </row>
    <row r="32" spans="1:7" x14ac:dyDescent="0.25">
      <c r="A32" s="3">
        <f t="shared" si="0"/>
        <v>24</v>
      </c>
      <c r="E32" t="s">
        <v>58</v>
      </c>
      <c r="G32" s="23">
        <v>155682.32999999999</v>
      </c>
    </row>
    <row r="33" spans="1:7" x14ac:dyDescent="0.25">
      <c r="A33" s="3">
        <f t="shared" si="0"/>
        <v>25</v>
      </c>
      <c r="E33" t="s">
        <v>81</v>
      </c>
      <c r="G33" s="23">
        <v>2206.61</v>
      </c>
    </row>
    <row r="34" spans="1:7" x14ac:dyDescent="0.25">
      <c r="A34" s="3">
        <f t="shared" si="0"/>
        <v>26</v>
      </c>
      <c r="E34" t="s">
        <v>59</v>
      </c>
      <c r="G34" s="23">
        <v>23949.3</v>
      </c>
    </row>
    <row r="35" spans="1:7" x14ac:dyDescent="0.25">
      <c r="A35" s="3">
        <f t="shared" si="0"/>
        <v>27</v>
      </c>
      <c r="E35" t="s">
        <v>60</v>
      </c>
      <c r="G35" s="23">
        <v>6633.54</v>
      </c>
    </row>
    <row r="36" spans="1:7" x14ac:dyDescent="0.25">
      <c r="A36" s="3">
        <f t="shared" si="0"/>
        <v>28</v>
      </c>
      <c r="E36" t="s">
        <v>61</v>
      </c>
      <c r="G36" s="23">
        <v>37.49</v>
      </c>
    </row>
    <row r="37" spans="1:7" x14ac:dyDescent="0.25">
      <c r="A37" s="3">
        <f t="shared" si="0"/>
        <v>29</v>
      </c>
      <c r="E37" t="s">
        <v>82</v>
      </c>
      <c r="G37" s="23">
        <v>71.41</v>
      </c>
    </row>
    <row r="38" spans="1:7" x14ac:dyDescent="0.25">
      <c r="A38" s="3">
        <f t="shared" si="0"/>
        <v>30</v>
      </c>
      <c r="E38" t="s">
        <v>83</v>
      </c>
      <c r="G38" s="23">
        <v>10374.59</v>
      </c>
    </row>
    <row r="39" spans="1:7" x14ac:dyDescent="0.25">
      <c r="A39" s="3">
        <f t="shared" si="0"/>
        <v>31</v>
      </c>
      <c r="E39" t="s">
        <v>62</v>
      </c>
      <c r="G39" s="23">
        <v>17918.98</v>
      </c>
    </row>
    <row r="40" spans="1:7" x14ac:dyDescent="0.25">
      <c r="A40" s="3">
        <f t="shared" si="0"/>
        <v>32</v>
      </c>
      <c r="E40" t="s">
        <v>63</v>
      </c>
      <c r="G40" s="23">
        <v>475869.27</v>
      </c>
    </row>
    <row r="41" spans="1:7" x14ac:dyDescent="0.25">
      <c r="A41" s="3">
        <f t="shared" si="0"/>
        <v>33</v>
      </c>
      <c r="E41" t="s">
        <v>84</v>
      </c>
      <c r="G41" s="23">
        <v>8055.82</v>
      </c>
    </row>
    <row r="42" spans="1:7" x14ac:dyDescent="0.25">
      <c r="A42" s="3">
        <f t="shared" si="0"/>
        <v>34</v>
      </c>
      <c r="E42" t="s">
        <v>64</v>
      </c>
      <c r="G42" s="23">
        <v>8230.23</v>
      </c>
    </row>
    <row r="43" spans="1:7" x14ac:dyDescent="0.25">
      <c r="A43" s="3">
        <f t="shared" si="0"/>
        <v>35</v>
      </c>
      <c r="E43" t="s">
        <v>65</v>
      </c>
      <c r="G43" s="23">
        <v>5549.01</v>
      </c>
    </row>
    <row r="44" spans="1:7" x14ac:dyDescent="0.25">
      <c r="A44" s="3">
        <f t="shared" si="0"/>
        <v>36</v>
      </c>
      <c r="E44" t="s">
        <v>66</v>
      </c>
      <c r="G44" s="23">
        <v>2376.54</v>
      </c>
    </row>
    <row r="45" spans="1:7" x14ac:dyDescent="0.25">
      <c r="A45" s="3">
        <f t="shared" si="0"/>
        <v>37</v>
      </c>
      <c r="E45" t="s">
        <v>67</v>
      </c>
      <c r="G45" s="23">
        <v>653.5</v>
      </c>
    </row>
    <row r="46" spans="1:7" x14ac:dyDescent="0.25">
      <c r="A46" s="3">
        <f t="shared" si="0"/>
        <v>38</v>
      </c>
      <c r="E46" t="s">
        <v>68</v>
      </c>
      <c r="G46" s="23">
        <v>2449207.29</v>
      </c>
    </row>
    <row r="47" spans="1:7" x14ac:dyDescent="0.25">
      <c r="A47" s="3">
        <f t="shared" si="0"/>
        <v>39</v>
      </c>
      <c r="E47" t="s">
        <v>70</v>
      </c>
      <c r="G47" s="23">
        <v>708.23</v>
      </c>
    </row>
    <row r="48" spans="1:7" x14ac:dyDescent="0.25">
      <c r="A48" s="3">
        <f t="shared" si="0"/>
        <v>40</v>
      </c>
      <c r="E48" t="s">
        <v>71</v>
      </c>
      <c r="G48" s="23">
        <v>1824.09</v>
      </c>
    </row>
    <row r="49" spans="1:7" x14ac:dyDescent="0.25">
      <c r="A49" s="3">
        <f t="shared" si="0"/>
        <v>41</v>
      </c>
      <c r="E49" t="s">
        <v>72</v>
      </c>
      <c r="G49" s="23">
        <v>672.23</v>
      </c>
    </row>
    <row r="50" spans="1:7" x14ac:dyDescent="0.25">
      <c r="A50" s="3">
        <f t="shared" si="0"/>
        <v>42</v>
      </c>
      <c r="E50" t="s">
        <v>73</v>
      </c>
      <c r="G50" s="23">
        <v>52201.7</v>
      </c>
    </row>
    <row r="51" spans="1:7" x14ac:dyDescent="0.25">
      <c r="A51" s="3">
        <f t="shared" si="0"/>
        <v>43</v>
      </c>
      <c r="E51" t="s">
        <v>75</v>
      </c>
      <c r="G51" s="23">
        <v>22078.080000000002</v>
      </c>
    </row>
    <row r="52" spans="1:7" x14ac:dyDescent="0.25">
      <c r="A52" s="3">
        <f t="shared" si="0"/>
        <v>44</v>
      </c>
      <c r="E52" t="s">
        <v>76</v>
      </c>
      <c r="G52" s="23">
        <v>50498.5</v>
      </c>
    </row>
    <row r="53" spans="1:7" x14ac:dyDescent="0.25">
      <c r="G53" s="19"/>
    </row>
    <row r="54" spans="1:7" ht="13.8" thickBot="1" x14ac:dyDescent="0.3">
      <c r="A54" s="3">
        <f>A52+1</f>
        <v>45</v>
      </c>
      <c r="E54" s="38" t="s">
        <v>1</v>
      </c>
      <c r="G54" s="29">
        <f>SUM(G9:G53)</f>
        <v>5911819.0499999998</v>
      </c>
    </row>
    <row r="55" spans="1:7" ht="13.8" thickTop="1" x14ac:dyDescent="0.25">
      <c r="E55" s="38"/>
      <c r="G55" s="20"/>
    </row>
  </sheetData>
  <mergeCells count="5">
    <mergeCell ref="A2:H2"/>
    <mergeCell ref="A3:H3"/>
    <mergeCell ref="A4:H4"/>
    <mergeCell ref="A5:H5"/>
    <mergeCell ref="A1:H1"/>
  </mergeCells>
  <phoneticPr fontId="6" type="noConversion"/>
  <printOptions horizontalCentered="1"/>
  <pageMargins left="1" right="0.75" top="1.5" bottom="1" header="0.5" footer="0.5"/>
  <pageSetup scale="53" orientation="portrait" horizontalDpi="1200" verticalDpi="1200" r:id="rId1"/>
  <headerFooter alignWithMargins="0">
    <oddHeader>&amp;RDocket No. 56165
Exhibit BJF-4
Page &amp;P of &amp;N</oddHeader>
    <oddFooter>&amp;C&amp;A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4"/>
  <sheetViews>
    <sheetView tabSelected="1" zoomScale="85" zoomScaleNormal="85" workbookViewId="0">
      <selection activeCell="M50" sqref="M50"/>
    </sheetView>
  </sheetViews>
  <sheetFormatPr defaultRowHeight="13.2" x14ac:dyDescent="0.25"/>
  <cols>
    <col min="1" max="1" width="5" style="3" customWidth="1"/>
    <col min="2" max="2" width="3" customWidth="1"/>
    <col min="3" max="3" width="18.6640625" customWidth="1"/>
    <col min="4" max="4" width="3" customWidth="1"/>
    <col min="5" max="5" width="28.109375" bestFit="1" customWidth="1"/>
    <col min="6" max="6" width="3" customWidth="1"/>
    <col min="7" max="7" width="13.6640625" style="14" customWidth="1"/>
    <col min="8" max="8" width="3" style="14" customWidth="1"/>
  </cols>
  <sheetData>
    <row r="1" spans="1:8" x14ac:dyDescent="0.25">
      <c r="A1" s="43" t="s">
        <v>89</v>
      </c>
      <c r="B1" s="43"/>
      <c r="C1" s="43"/>
      <c r="D1" s="43"/>
      <c r="E1" s="43"/>
      <c r="F1" s="43"/>
      <c r="G1" s="43"/>
      <c r="H1" s="43"/>
    </row>
    <row r="2" spans="1:8" x14ac:dyDescent="0.25">
      <c r="A2" s="43" t="s">
        <v>90</v>
      </c>
      <c r="B2" s="43"/>
      <c r="C2" s="43"/>
      <c r="D2" s="43"/>
      <c r="E2" s="43"/>
      <c r="F2" s="43"/>
      <c r="G2" s="43"/>
      <c r="H2" s="43"/>
    </row>
    <row r="3" spans="1:8" x14ac:dyDescent="0.25">
      <c r="A3" s="43" t="s">
        <v>0</v>
      </c>
      <c r="B3" s="43"/>
      <c r="C3" s="43"/>
      <c r="D3" s="43"/>
      <c r="E3" s="43"/>
      <c r="F3" s="43"/>
      <c r="G3" s="43"/>
      <c r="H3" s="43"/>
    </row>
    <row r="4" spans="1:8" x14ac:dyDescent="0.25">
      <c r="A4" s="43" t="s">
        <v>91</v>
      </c>
      <c r="B4" s="43"/>
      <c r="C4" s="43"/>
      <c r="D4" s="43"/>
      <c r="E4" s="43"/>
      <c r="F4" s="43"/>
      <c r="G4" s="43"/>
      <c r="H4" s="43"/>
    </row>
    <row r="5" spans="1:8" x14ac:dyDescent="0.25">
      <c r="A5" s="43" t="s">
        <v>20</v>
      </c>
      <c r="B5" s="43"/>
      <c r="C5" s="43"/>
      <c r="D5" s="43"/>
      <c r="E5" s="43"/>
      <c r="F5" s="43"/>
      <c r="G5" s="43"/>
      <c r="H5" s="43"/>
    </row>
    <row r="7" spans="1:8" s="16" customFormat="1" ht="26.4" x14ac:dyDescent="0.25">
      <c r="A7" s="15" t="s">
        <v>8</v>
      </c>
      <c r="C7" s="15" t="s">
        <v>9</v>
      </c>
      <c r="E7" s="15" t="s">
        <v>10</v>
      </c>
      <c r="G7" s="17" t="s">
        <v>11</v>
      </c>
      <c r="H7" s="18"/>
    </row>
    <row r="9" spans="1:8" x14ac:dyDescent="0.25">
      <c r="A9" s="3">
        <v>1</v>
      </c>
      <c r="C9" t="s">
        <v>23</v>
      </c>
      <c r="E9" t="s">
        <v>86</v>
      </c>
      <c r="G9" s="24">
        <v>150399.45000000004</v>
      </c>
      <c r="H9" s="19"/>
    </row>
    <row r="10" spans="1:8" x14ac:dyDescent="0.25">
      <c r="A10" s="3">
        <v>2</v>
      </c>
      <c r="E10" t="s">
        <v>87</v>
      </c>
      <c r="G10" s="24">
        <v>2155.8200000000002</v>
      </c>
      <c r="H10" s="19"/>
    </row>
    <row r="11" spans="1:8" x14ac:dyDescent="0.25">
      <c r="A11" s="3">
        <v>3</v>
      </c>
      <c r="E11" t="s">
        <v>88</v>
      </c>
      <c r="G11" s="26">
        <v>7933.9699999999993</v>
      </c>
    </row>
    <row r="12" spans="1:8" x14ac:dyDescent="0.25">
      <c r="G12" s="22"/>
    </row>
    <row r="13" spans="1:8" ht="13.8" thickBot="1" x14ac:dyDescent="0.3">
      <c r="A13" s="3">
        <f>A11+1</f>
        <v>4</v>
      </c>
      <c r="E13" s="38" t="s">
        <v>1</v>
      </c>
      <c r="G13" s="29">
        <f>SUM(G9:G12)</f>
        <v>160489.24000000005</v>
      </c>
    </row>
    <row r="14" spans="1:8" ht="13.8" thickTop="1" x14ac:dyDescent="0.25">
      <c r="G14" s="22"/>
    </row>
  </sheetData>
  <mergeCells count="5">
    <mergeCell ref="A2:H2"/>
    <mergeCell ref="A3:H3"/>
    <mergeCell ref="A4:H4"/>
    <mergeCell ref="A5:H5"/>
    <mergeCell ref="A1:H1"/>
  </mergeCells>
  <phoneticPr fontId="6" type="noConversion"/>
  <printOptions horizontalCentered="1"/>
  <pageMargins left="1" right="0.75" top="1.5" bottom="1" header="0.5" footer="0.5"/>
  <pageSetup scale="53" orientation="portrait" horizontalDpi="1200" verticalDpi="1200" r:id="rId1"/>
  <headerFooter alignWithMargins="0">
    <oddHeader>&amp;RDocket No. 56165
Exhibit BJF-4
Page &amp;P of &amp;N</oddHeader>
    <oddFooter>&amp;C&amp;A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2"/>
  <sheetViews>
    <sheetView tabSelected="1" zoomScale="85" zoomScaleNormal="85" workbookViewId="0">
      <selection activeCell="M50" sqref="M50"/>
    </sheetView>
  </sheetViews>
  <sheetFormatPr defaultRowHeight="13.2" x14ac:dyDescent="0.25"/>
  <cols>
    <col min="1" max="1" width="5.6640625" style="3" customWidth="1"/>
    <col min="2" max="2" width="3" customWidth="1"/>
    <col min="3" max="3" width="18.6640625" customWidth="1"/>
    <col min="4" max="4" width="3" customWidth="1"/>
    <col min="5" max="5" width="29.6640625" bestFit="1" customWidth="1"/>
    <col min="6" max="6" width="3" customWidth="1"/>
    <col min="7" max="7" width="13.6640625" style="14" customWidth="1"/>
    <col min="8" max="8" width="3" style="14" customWidth="1"/>
  </cols>
  <sheetData>
    <row r="1" spans="1:8" x14ac:dyDescent="0.25">
      <c r="A1" s="43" t="s">
        <v>89</v>
      </c>
      <c r="B1" s="43"/>
      <c r="C1" s="43"/>
      <c r="D1" s="43"/>
      <c r="E1" s="43"/>
      <c r="F1" s="43"/>
      <c r="G1" s="43"/>
      <c r="H1" s="43"/>
    </row>
    <row r="2" spans="1:8" x14ac:dyDescent="0.25">
      <c r="A2" s="43" t="s">
        <v>90</v>
      </c>
      <c r="B2" s="43"/>
      <c r="C2" s="43"/>
      <c r="D2" s="43"/>
      <c r="E2" s="43"/>
      <c r="F2" s="43"/>
      <c r="G2" s="43"/>
      <c r="H2" s="43"/>
    </row>
    <row r="3" spans="1:8" x14ac:dyDescent="0.25">
      <c r="A3" s="43" t="s">
        <v>0</v>
      </c>
      <c r="B3" s="43"/>
      <c r="C3" s="43"/>
      <c r="D3" s="43"/>
      <c r="E3" s="43"/>
      <c r="F3" s="43"/>
      <c r="G3" s="43"/>
      <c r="H3" s="43"/>
    </row>
    <row r="4" spans="1:8" x14ac:dyDescent="0.25">
      <c r="A4" s="43" t="s">
        <v>91</v>
      </c>
      <c r="B4" s="43"/>
      <c r="C4" s="43"/>
      <c r="D4" s="43"/>
      <c r="E4" s="43"/>
      <c r="F4" s="43"/>
      <c r="G4" s="43"/>
      <c r="H4" s="43"/>
    </row>
    <row r="5" spans="1:8" x14ac:dyDescent="0.25">
      <c r="A5" s="43" t="s">
        <v>22</v>
      </c>
      <c r="B5" s="43"/>
      <c r="C5" s="43"/>
      <c r="D5" s="43"/>
      <c r="E5" s="43"/>
      <c r="F5" s="43"/>
      <c r="G5" s="43"/>
      <c r="H5" s="43"/>
    </row>
    <row r="7" spans="1:8" s="16" customFormat="1" ht="26.4" x14ac:dyDescent="0.25">
      <c r="A7" s="15" t="s">
        <v>8</v>
      </c>
      <c r="C7" s="15" t="s">
        <v>9</v>
      </c>
      <c r="E7" s="15" t="s">
        <v>10</v>
      </c>
      <c r="G7" s="17" t="s">
        <v>11</v>
      </c>
      <c r="H7" s="18"/>
    </row>
    <row r="9" spans="1:8" x14ac:dyDescent="0.25">
      <c r="A9" s="3">
        <v>1</v>
      </c>
      <c r="C9" t="s">
        <v>30</v>
      </c>
      <c r="E9" t="s">
        <v>25</v>
      </c>
      <c r="G9" s="24">
        <v>1326746.24</v>
      </c>
      <c r="H9" s="19"/>
    </row>
    <row r="10" spans="1:8" x14ac:dyDescent="0.25">
      <c r="G10" s="24"/>
      <c r="H10" s="19"/>
    </row>
    <row r="12" spans="1:8" x14ac:dyDescent="0.25">
      <c r="G12" s="22"/>
    </row>
  </sheetData>
  <mergeCells count="5">
    <mergeCell ref="A2:H2"/>
    <mergeCell ref="A3:H3"/>
    <mergeCell ref="A4:H4"/>
    <mergeCell ref="A5:H5"/>
    <mergeCell ref="A1:H1"/>
  </mergeCells>
  <phoneticPr fontId="6" type="noConversion"/>
  <printOptions horizontalCentered="1"/>
  <pageMargins left="1" right="0.75" top="1.5" bottom="1" header="0.5" footer="0.5"/>
  <pageSetup scale="53" orientation="portrait" horizontalDpi="1200" verticalDpi="1200" r:id="rId1"/>
  <headerFooter alignWithMargins="0">
    <oddHeader>&amp;RDocket No. 56165
Exhibit BJF-4
Page &amp;P of &amp;N</oddHeader>
    <oddFooter>&amp;C&amp;A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9"/>
  <sheetViews>
    <sheetView tabSelected="1" zoomScale="85" zoomScaleNormal="85" workbookViewId="0">
      <selection activeCell="M50" sqref="M50"/>
    </sheetView>
  </sheetViews>
  <sheetFormatPr defaultRowHeight="13.2" x14ac:dyDescent="0.25"/>
  <cols>
    <col min="1" max="1" width="4.88671875" style="3" customWidth="1"/>
    <col min="2" max="2" width="3" customWidth="1"/>
    <col min="3" max="3" width="18.6640625" customWidth="1"/>
    <col min="4" max="4" width="3" customWidth="1"/>
    <col min="5" max="5" width="29.6640625" bestFit="1" customWidth="1"/>
    <col min="6" max="6" width="3.33203125" customWidth="1"/>
    <col min="7" max="7" width="13.6640625" style="14" customWidth="1"/>
    <col min="8" max="8" width="3" style="14" customWidth="1"/>
  </cols>
  <sheetData>
    <row r="1" spans="1:8" x14ac:dyDescent="0.25">
      <c r="A1" s="43" t="s">
        <v>89</v>
      </c>
      <c r="B1" s="43"/>
      <c r="C1" s="43"/>
      <c r="D1" s="43"/>
      <c r="E1" s="43"/>
      <c r="F1" s="43"/>
      <c r="G1" s="43"/>
      <c r="H1" s="43"/>
    </row>
    <row r="2" spans="1:8" x14ac:dyDescent="0.25">
      <c r="A2" s="43" t="s">
        <v>90</v>
      </c>
      <c r="B2" s="43"/>
      <c r="C2" s="43"/>
      <c r="D2" s="43"/>
      <c r="E2" s="43"/>
      <c r="F2" s="43"/>
      <c r="G2" s="43"/>
      <c r="H2" s="43"/>
    </row>
    <row r="3" spans="1:8" x14ac:dyDescent="0.25">
      <c r="A3" s="43" t="s">
        <v>0</v>
      </c>
      <c r="B3" s="43"/>
      <c r="C3" s="43"/>
      <c r="D3" s="43"/>
      <c r="E3" s="43"/>
      <c r="F3" s="43"/>
      <c r="G3" s="43"/>
      <c r="H3" s="43"/>
    </row>
    <row r="4" spans="1:8" x14ac:dyDescent="0.25">
      <c r="A4" s="43" t="s">
        <v>91</v>
      </c>
      <c r="B4" s="43"/>
      <c r="C4" s="43"/>
      <c r="D4" s="43"/>
      <c r="E4" s="43"/>
      <c r="F4" s="43"/>
      <c r="G4" s="43"/>
      <c r="H4" s="43"/>
    </row>
    <row r="5" spans="1:8" x14ac:dyDescent="0.25">
      <c r="A5" s="43" t="s">
        <v>24</v>
      </c>
      <c r="B5" s="43"/>
      <c r="C5" s="43"/>
      <c r="D5" s="43"/>
      <c r="E5" s="43"/>
      <c r="F5" s="43"/>
      <c r="G5" s="43"/>
      <c r="H5" s="43"/>
    </row>
    <row r="7" spans="1:8" s="16" customFormat="1" ht="26.4" x14ac:dyDescent="0.25">
      <c r="A7" s="15" t="s">
        <v>8</v>
      </c>
      <c r="C7" s="15" t="s">
        <v>9</v>
      </c>
      <c r="E7" s="15" t="s">
        <v>10</v>
      </c>
      <c r="G7" s="17" t="s">
        <v>11</v>
      </c>
      <c r="H7" s="18"/>
    </row>
    <row r="9" spans="1:8" x14ac:dyDescent="0.25">
      <c r="A9" s="3">
        <v>1</v>
      </c>
      <c r="C9" t="s">
        <v>26</v>
      </c>
      <c r="E9" t="s">
        <v>25</v>
      </c>
      <c r="G9" s="24">
        <v>55074.04</v>
      </c>
      <c r="H9" s="19"/>
    </row>
  </sheetData>
  <mergeCells count="5">
    <mergeCell ref="A2:H2"/>
    <mergeCell ref="A3:H3"/>
    <mergeCell ref="A4:H4"/>
    <mergeCell ref="A5:H5"/>
    <mergeCell ref="A1:H1"/>
  </mergeCells>
  <phoneticPr fontId="6" type="noConversion"/>
  <printOptions horizontalCentered="1"/>
  <pageMargins left="1" right="0.75" top="1.5" bottom="1" header="0.5" footer="0.5"/>
  <pageSetup scale="53" orientation="portrait" horizontalDpi="1200" verticalDpi="1200" r:id="rId1"/>
  <headerFooter alignWithMargins="0">
    <oddHeader>&amp;RDocket No. 56165
Exhibit BJF-4
Page &amp;P of &amp;N</oddHeader>
    <oddFooter>&amp;C&amp;A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136CE24ED5F449BD16740FFC7FAF6F" ma:contentTypeVersion="34" ma:contentTypeDescription="Create a new document." ma:contentTypeScope="" ma:versionID="0a99a1cdd4ca07724118b4aa0f80c874">
  <xsd:schema xmlns:xsd="http://www.w3.org/2001/XMLSchema" xmlns:xs="http://www.w3.org/2001/XMLSchema" xmlns:p="http://schemas.microsoft.com/office/2006/metadata/properties" xmlns:ns1="http://schemas.microsoft.com/sharepoint/v3" xmlns:ns2="a1040523-5304-4b09-b6d4-64a124c994e2" xmlns:ns3="5b640fb8-5a34-41c1-9307-1b790ff29a8b" xmlns:ns4="51831b8d-857f-44dd-949b-652450d1a5df" targetNamespace="http://schemas.microsoft.com/office/2006/metadata/properties" ma:root="true" ma:fieldsID="0bd3e32b2c584a0e837a10f45775a766" ns1:_="" ns2:_="" ns3:_="" ns4:_="">
    <xsd:import namespace="http://schemas.microsoft.com/sharepoint/v3"/>
    <xsd:import namespace="a1040523-5304-4b09-b6d4-64a124c994e2"/>
    <xsd:import namespace="5b640fb8-5a34-41c1-9307-1b790ff29a8b"/>
    <xsd:import namespace="51831b8d-857f-44dd-949b-652450d1a5df"/>
    <xsd:element name="properties">
      <xsd:complexType>
        <xsd:sequence>
          <xsd:element name="documentManagement">
            <xsd:complexType>
              <xsd:all>
                <xsd:element ref="ns2:Operating_x0020_Company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lcf76f155ced4ddcb4097134ff3c332f" minOccurs="0"/>
                <xsd:element ref="ns4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ObjectDetectorVersions" minOccurs="0"/>
                <xsd:element ref="ns3:_Flow_SignoffStatus" minOccurs="0"/>
                <xsd:element ref="ns1:_ip_UnifiedCompliancePolicyProperties" minOccurs="0"/>
                <xsd:element ref="ns1:_ip_UnifiedCompliancePolicyUIAction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040523-5304-4b09-b6d4-64a124c994e2" elementFormDefault="qualified">
    <xsd:import namespace="http://schemas.microsoft.com/office/2006/documentManagement/types"/>
    <xsd:import namespace="http://schemas.microsoft.com/office/infopath/2007/PartnerControls"/>
    <xsd:element name="Operating_x0020_Company" ma:index="8" ma:displayName="Operating Company" ma:default="AEP Ohio" ma:format="Dropdown" ma:internalName="Operating_x0020_Company" ma:readOnly="false">
      <xsd:simpleType>
        <xsd:restriction base="dms:Choice">
          <xsd:enumeration value="AEP Ohio"/>
          <xsd:enumeration value="AEP Texas"/>
          <xsd:enumeration value="Appalachian Power - Tennessee"/>
          <xsd:enumeration value="Appalachian Power - Virginia"/>
          <xsd:enumeration value="Appalachian Power - West Virginia"/>
          <xsd:enumeration value="FERC"/>
          <xsd:enumeration value="Indiana &amp; Michigan Power - Indiana"/>
          <xsd:enumeration value="Indiana &amp; Michigan Power - Michigan"/>
          <xsd:enumeration value="Kentucky Power"/>
          <xsd:enumeration value="PSO"/>
          <xsd:enumeration value="SWEPCO - Arkansas"/>
          <xsd:enumeration value="SWEPCO - Louisiana"/>
          <xsd:enumeration value="SWEPCO - TEXAS"/>
          <xsd:enumeration value="SWEPCO - Peine"/>
          <xsd:enumeration value="ETT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40fb8-5a34-41c1-9307-1b790ff29a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fa54f2-5b03-49c6-9483-51c08a9736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831b8d-857f-44dd-949b-652450d1a5d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3b4476ce-ac5c-42b1-bccc-28ba47756ae8}" ma:internalName="TaxCatchAll" ma:showField="CatchAllData" ma:web="51831b8d-857f-44dd-949b-652450d1a5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5b640fb8-5a34-41c1-9307-1b790ff29a8b">
      <Terms xmlns="http://schemas.microsoft.com/office/infopath/2007/PartnerControls"/>
    </lcf76f155ced4ddcb4097134ff3c332f>
    <_Flow_SignoffStatus xmlns="5b640fb8-5a34-41c1-9307-1b790ff29a8b" xsi:nil="true"/>
    <_ip_UnifiedCompliancePolicyProperties xmlns="http://schemas.microsoft.com/sharepoint/v3" xsi:nil="true"/>
    <TaxCatchAll xmlns="51831b8d-857f-44dd-949b-652450d1a5df" xsi:nil="true"/>
    <Operating_x0020_Company xmlns="a1040523-5304-4b09-b6d4-64a124c994e2">AEP Ohio</Operating_x0020_Company>
  </documentManagement>
</p:properties>
</file>

<file path=customXml/item3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lOWMwYjhkNy1iZGI0LTRmZDMtYjYyYS1mNTAzMjdhYWVmY2UiIG9yaWdpbj0idXNlclNlbGVjdGVkIj48ZWxlbWVudCB1aWQ9ImM1ZjhlYjEyLTViMjctNDM5ZC1hYWE2LTM0MDJhZjYyNmZhMyIgdmFsdWU9IiIgeG1sbnM9Imh0dHA6Ly93d3cuYm9sZG9uamFtZXMuY29tLzIwMDgvMDEvc2llL2ludGVybmFsL2xhYmVsIiAvPjwvc2lzbD48VXNlck5hbWU+Q09SUFxkdHNvNTE0PC9Vc2VyTmFtZT48RGF0ZVRpbWU+Mi83LzIwMjQgMTA6MjM6MDMgUE08L0RhdGVUaW1lPjxMYWJlbFN0cmluZz5BRVAgUHVibGljPC9MYWJlbFN0cmluZz48L2l0ZW0+PC9sYWJlbEhpc3Rvcnk+</Value>
</WrappedLabelHistory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sisl xmlns:xsd="http://www.w3.org/2001/XMLSchema" xmlns:xsi="http://www.w3.org/2001/XMLSchema-instance" xmlns="http://www.boldonjames.com/2008/01/sie/internal/label" sislVersion="0" policy="e9c0b8d7-bdb4-4fd3-b62a-f50327aaefce" origin="userSelected">
  <element uid="c5f8eb12-5b27-439d-aaa6-3402af626fa3" value=""/>
</sisl>
</file>

<file path=customXml/itemProps1.xml><?xml version="1.0" encoding="utf-8"?>
<ds:datastoreItem xmlns:ds="http://schemas.openxmlformats.org/officeDocument/2006/customXml" ds:itemID="{93D6136E-7B04-47B9-90C4-0300BBA63AA9}"/>
</file>

<file path=customXml/itemProps2.xml><?xml version="1.0" encoding="utf-8"?>
<ds:datastoreItem xmlns:ds="http://schemas.openxmlformats.org/officeDocument/2006/customXml" ds:itemID="{80C41F45-54F4-42E7-9A9C-02A7CC162BD6}">
  <ds:schemaRefs>
    <ds:schemaRef ds:uri="http://schemas.microsoft.com/office/infopath/2007/PartnerControls"/>
    <ds:schemaRef ds:uri="http://purl.org/dc/elements/1.1/"/>
    <ds:schemaRef ds:uri="http://www.w3.org/XML/1998/namespace"/>
    <ds:schemaRef ds:uri="51831b8d-857f-44dd-949b-652450d1a5df"/>
    <ds:schemaRef ds:uri="http://schemas.microsoft.com/office/2006/metadata/properties"/>
    <ds:schemaRef ds:uri="http://schemas.microsoft.com/sharepoint/v3"/>
    <ds:schemaRef ds:uri="http://purl.org/dc/terms/"/>
    <ds:schemaRef ds:uri="5b640fb8-5a34-41c1-9307-1b790ff29a8b"/>
    <ds:schemaRef ds:uri="http://schemas.microsoft.com/office/2006/documentManagement/types"/>
    <ds:schemaRef ds:uri="http://schemas.openxmlformats.org/package/2006/metadata/core-properties"/>
    <ds:schemaRef ds:uri="a1040523-5304-4b09-b6d4-64a124c994e2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45C90F8-1FD1-4494-9E7B-EA6121EE6B9A}">
  <ds:schemaRefs>
    <ds:schemaRef ds:uri="http://www.w3.org/2001/XMLSchema"/>
    <ds:schemaRef ds:uri="http://www.boldonjames.com/2016/02/Classifier/internal/wrappedLabelHistory"/>
  </ds:schemaRefs>
</ds:datastoreItem>
</file>

<file path=customXml/itemProps4.xml><?xml version="1.0" encoding="utf-8"?>
<ds:datastoreItem xmlns:ds="http://schemas.openxmlformats.org/officeDocument/2006/customXml" ds:itemID="{4103CFD2-33CA-4140-A999-648B83056046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3A549B45-39AF-4AD9-9D06-3578D6DEA672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</vt:i4>
      </vt:variant>
    </vt:vector>
  </HeadingPairs>
  <TitlesOfParts>
    <vt:vector size="18" baseType="lpstr">
      <vt:lpstr>BJF-4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'BJF-4'!Print_Area</vt:lpstr>
      <vt:lpstr>'3'!Print_Titles</vt:lpstr>
      <vt:lpstr>'5'!Print_Titles</vt:lpstr>
      <vt:lpstr>'6'!Print_Titles</vt:lpstr>
      <vt:lpstr>'7'!Print_Titles</vt:lpstr>
      <vt:lpstr>'8'!Print_Titles</vt:lpstr>
      <vt:lpstr>'9'!Print_Titles</vt:lpstr>
      <vt:lpstr>'BJF-4'!Print_Titles</vt:lpstr>
    </vt:vector>
  </TitlesOfParts>
  <Company>American Electric Power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Fraley</dc:creator>
  <cp:keywords>AEP Public</cp:keywords>
  <cp:lastModifiedBy>d000298</cp:lastModifiedBy>
  <cp:lastPrinted>2024-02-13T13:51:40Z</cp:lastPrinted>
  <dcterms:created xsi:type="dcterms:W3CDTF">2012-05-14T20:17:21Z</dcterms:created>
  <dcterms:modified xsi:type="dcterms:W3CDTF">2024-02-13T13:51:54Z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261205bd-2d98-4dca-889e-59346479c261</vt:lpwstr>
  </property>
  <property fmtid="{D5CDD505-2E9C-101B-9397-08002B2CF9AE}" pid="3" name="bjSaver">
    <vt:lpwstr>i5lfAags2z4Y8Fsh08PLxCGFvRlu448e</vt:lpwstr>
  </property>
  <property fmtid="{D5CDD505-2E9C-101B-9397-08002B2CF9AE}" pid="4" name="bjDocumentSecurityLabel">
    <vt:lpwstr>AEP Public</vt:lpwstr>
  </property>
  <property fmtid="{D5CDD505-2E9C-101B-9397-08002B2CF9AE}" pid="5" name="ContentTypeId">
    <vt:lpwstr>0x01010001136CE24ED5F449BD16740FFC7FAF6F</vt:lpwstr>
  </property>
  <property fmtid="{D5CDD505-2E9C-101B-9397-08002B2CF9AE}" pid="6" name="bjDocumentLabelXML">
    <vt:lpwstr>&lt;?xml version="1.0" encoding="us-ascii"?&gt;&lt;sisl xmlns:xsd="http://www.w3.org/2001/XMLSchema" xmlns:xsi="http://www.w3.org/2001/XMLSchema-instance" sislVersion="0" policy="e9c0b8d7-bdb4-4fd3-b62a-f50327aaefce" origin="userSelected" xmlns="http://www.boldonj</vt:lpwstr>
  </property>
  <property fmtid="{D5CDD505-2E9C-101B-9397-08002B2CF9AE}" pid="7" name="bjDocumentLabelXML-0">
    <vt:lpwstr>ames.com/2008/01/sie/internal/label"&gt;&lt;element uid="c5f8eb12-5b27-439d-aaa6-3402af626fa3" value="" /&gt;&lt;/sisl&gt;</vt:lpwstr>
  </property>
  <property fmtid="{D5CDD505-2E9C-101B-9397-08002B2CF9AE}" pid="8" name="MSIP_Label_5c34e43d-0b77-4b2c-b224-1b46981ccfdb_SiteId">
    <vt:lpwstr>15f3c881-6b03-4ff6-8559-77bf5177818f</vt:lpwstr>
  </property>
  <property fmtid="{D5CDD505-2E9C-101B-9397-08002B2CF9AE}" pid="9" name="MSIP_Label_5c34e43d-0b77-4b2c-b224-1b46981ccfdb_Name">
    <vt:lpwstr>AEP Public</vt:lpwstr>
  </property>
  <property fmtid="{D5CDD505-2E9C-101B-9397-08002B2CF9AE}" pid="10" name="MSIP_Label_5c34e43d-0b77-4b2c-b224-1b46981ccfdb_Enabled">
    <vt:lpwstr>true</vt:lpwstr>
  </property>
  <property fmtid="{D5CDD505-2E9C-101B-9397-08002B2CF9AE}" pid="11" name="bjClsUserRVM">
    <vt:lpwstr>[]</vt:lpwstr>
  </property>
  <property fmtid="{D5CDD505-2E9C-101B-9397-08002B2CF9AE}" pid="12" name="bjLabelHistoryID">
    <vt:lpwstr>{F45C90F8-1FD1-4494-9E7B-EA6121EE6B9A}</vt:lpwstr>
  </property>
  <property fmtid="{D5CDD505-2E9C-101B-9397-08002B2CF9AE}" pid="13" name="MediaServiceImageTags">
    <vt:lpwstr/>
  </property>
</Properties>
</file>