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ThisWorkbook"/>
  <xr:revisionPtr revIDLastSave="5" documentId="8_{15E5354D-8174-4A86-9FB8-F8E1A5A34308}" xr6:coauthVersionLast="47" xr6:coauthVersionMax="47" xr10:uidLastSave="{DCB0F58B-8531-4033-9F83-07C2C06071C3}"/>
  <bookViews>
    <workbookView xWindow="22932" yWindow="-108" windowWidth="23256" windowHeight="12456" tabRatio="840" xr2:uid="{00000000-000D-0000-FFFF-FFFF00000000}"/>
  </bookViews>
  <sheets>
    <sheet name="AEB-2 Summary" sheetId="17" r:id="rId1"/>
    <sheet name="AEB-3 Proxy Selection" sheetId="18" r:id="rId2"/>
    <sheet name="AEB-4 CGDCF" sheetId="19" r:id="rId3"/>
    <sheet name="AEB-5 CAPM" sheetId="20" r:id="rId4"/>
    <sheet name="AEB-6 LT Beta" sheetId="21" r:id="rId5"/>
    <sheet name="AEB-7 Market Return" sheetId="22" r:id="rId6"/>
    <sheet name="AEB-8 Risk Premium" sheetId="23" r:id="rId7"/>
    <sheet name="AEB-9 Flotation Cost" sheetId="30" r:id="rId8"/>
    <sheet name="AEB-10 Reg Risk" sheetId="26" r:id="rId9"/>
    <sheet name="AEB-11 RegEnv" sheetId="27" r:id="rId10"/>
    <sheet name="AEB-12 S&amp;P Cred Sup" sheetId="29" r:id="rId11"/>
    <sheet name="AEB-13 Capital Structure" sheetId="28" r:id="rId1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86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44798.0889351852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5">'AEB-7 Market Return'!$1:$17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8" l="1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D26" i="28"/>
  <c r="E26" i="28"/>
  <c r="F26" i="28"/>
  <c r="D27" i="28"/>
  <c r="E27" i="28"/>
  <c r="F27" i="28"/>
  <c r="D28" i="28"/>
  <c r="E28" i="28"/>
  <c r="F28" i="28"/>
  <c r="D29" i="28"/>
  <c r="E29" i="28"/>
  <c r="F29" i="28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53" i="29" s="1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D53" i="29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D53" i="27"/>
  <c r="E53" i="27"/>
  <c r="R8" i="26"/>
  <c r="AC8" i="26"/>
  <c r="R9" i="26"/>
  <c r="AC9" i="26"/>
  <c r="R10" i="26"/>
  <c r="AC10" i="26"/>
  <c r="R11" i="26"/>
  <c r="AC11" i="26"/>
  <c r="R12" i="26"/>
  <c r="AC12" i="26"/>
  <c r="R13" i="26"/>
  <c r="AC13" i="26"/>
  <c r="R14" i="26"/>
  <c r="AC14" i="26"/>
  <c r="R15" i="26"/>
  <c r="AC15" i="26"/>
  <c r="R16" i="26"/>
  <c r="AC16" i="26"/>
  <c r="R17" i="26"/>
  <c r="AC17" i="26"/>
  <c r="R18" i="26"/>
  <c r="AC18" i="26"/>
  <c r="R19" i="26"/>
  <c r="AC19" i="26"/>
  <c r="R20" i="26"/>
  <c r="AC20" i="26"/>
  <c r="R21" i="26"/>
  <c r="AC21" i="26"/>
  <c r="R22" i="26"/>
  <c r="AC22" i="26"/>
  <c r="R23" i="26"/>
  <c r="AC23" i="26"/>
  <c r="R24" i="26"/>
  <c r="AC24" i="26"/>
  <c r="R25" i="26"/>
  <c r="AC25" i="26"/>
  <c r="R26" i="26"/>
  <c r="AC26" i="26"/>
  <c r="R27" i="26"/>
  <c r="AC27" i="26"/>
  <c r="R28" i="26"/>
  <c r="AC28" i="26"/>
  <c r="R29" i="26"/>
  <c r="AC29" i="26"/>
  <c r="R30" i="26"/>
  <c r="AC30" i="26"/>
  <c r="R31" i="26"/>
  <c r="AC31" i="26"/>
  <c r="R32" i="26"/>
  <c r="AC32" i="26"/>
  <c r="R33" i="26"/>
  <c r="AC33" i="26"/>
  <c r="R34" i="26"/>
  <c r="AC34" i="26"/>
  <c r="R35" i="26"/>
  <c r="AC35" i="26"/>
  <c r="R36" i="26"/>
  <c r="AC36" i="26"/>
  <c r="R37" i="26"/>
  <c r="AC37" i="26"/>
  <c r="R38" i="26"/>
  <c r="AC38" i="26"/>
  <c r="R39" i="26"/>
  <c r="AC39" i="26"/>
  <c r="R40" i="26"/>
  <c r="AC40" i="26"/>
  <c r="R41" i="26"/>
  <c r="AC41" i="26"/>
  <c r="R42" i="26"/>
  <c r="AC42" i="26"/>
  <c r="R43" i="26"/>
  <c r="AC43" i="26"/>
  <c r="R44" i="26"/>
  <c r="AC44" i="26"/>
  <c r="R45" i="26"/>
  <c r="AC45" i="26"/>
  <c r="R46" i="26"/>
  <c r="AC46" i="26"/>
  <c r="R47" i="26"/>
  <c r="AC47" i="26"/>
  <c r="R48" i="26"/>
  <c r="AC48" i="26"/>
  <c r="R49" i="26"/>
  <c r="AC49" i="26"/>
  <c r="R50" i="26"/>
  <c r="AC50" i="26"/>
  <c r="R51" i="26"/>
  <c r="AC51" i="26"/>
  <c r="R52" i="26"/>
  <c r="AC52" i="26"/>
  <c r="R53" i="26"/>
  <c r="AC53" i="26"/>
  <c r="R54" i="26"/>
  <c r="AC54" i="26"/>
  <c r="R55" i="26"/>
  <c r="AC55" i="26"/>
  <c r="R56" i="26"/>
  <c r="AC56" i="26"/>
  <c r="R57" i="26"/>
  <c r="AC57" i="26"/>
  <c r="R58" i="26"/>
  <c r="AC58" i="26"/>
  <c r="R59" i="26"/>
  <c r="AC59" i="26"/>
  <c r="R60" i="26"/>
  <c r="AC60" i="26"/>
  <c r="R61" i="26"/>
  <c r="AC61" i="26"/>
  <c r="R62" i="26"/>
  <c r="AC62" i="26"/>
  <c r="R63" i="26"/>
  <c r="AC63" i="26"/>
  <c r="R64" i="26"/>
  <c r="AC64" i="26"/>
  <c r="R65" i="26"/>
  <c r="AC65" i="26"/>
  <c r="R66" i="26"/>
  <c r="AC66" i="26"/>
  <c r="R67" i="26"/>
  <c r="AC67" i="26"/>
  <c r="R68" i="26"/>
  <c r="AC68" i="26"/>
  <c r="R69" i="26"/>
  <c r="AC69" i="26"/>
  <c r="R70" i="26"/>
  <c r="AC70" i="26"/>
  <c r="G73" i="26"/>
  <c r="G78" i="26" s="1"/>
  <c r="I73" i="26"/>
  <c r="G74" i="26"/>
  <c r="I74" i="26"/>
  <c r="G75" i="26"/>
  <c r="I75" i="26"/>
  <c r="G76" i="26"/>
  <c r="AC80" i="26"/>
  <c r="J7" i="30"/>
  <c r="I7" i="30"/>
  <c r="J8" i="30"/>
  <c r="K8" i="30" s="1"/>
  <c r="H8" i="30" s="1"/>
  <c r="I8" i="30"/>
  <c r="C26" i="30"/>
  <c r="E26" i="30" s="1"/>
  <c r="D26" i="30"/>
  <c r="H26" i="30"/>
  <c r="I26" i="30"/>
  <c r="J26" i="30"/>
  <c r="C27" i="30"/>
  <c r="E27" i="30" s="1"/>
  <c r="F27" i="30" s="1"/>
  <c r="D27" i="30"/>
  <c r="H27" i="30"/>
  <c r="K27" i="30" s="1"/>
  <c r="I27" i="30"/>
  <c r="J27" i="30"/>
  <c r="C28" i="30"/>
  <c r="D28" i="30"/>
  <c r="E28" i="30" s="1"/>
  <c r="H28" i="30"/>
  <c r="I28" i="30"/>
  <c r="K28" i="30" s="1"/>
  <c r="J28" i="30"/>
  <c r="C29" i="30"/>
  <c r="D29" i="30"/>
  <c r="H29" i="30"/>
  <c r="I29" i="30"/>
  <c r="J29" i="30"/>
  <c r="C30" i="30"/>
  <c r="E30" i="30" s="1"/>
  <c r="D30" i="30"/>
  <c r="H30" i="30"/>
  <c r="I30" i="30"/>
  <c r="J30" i="30"/>
  <c r="C31" i="30"/>
  <c r="E31" i="30" s="1"/>
  <c r="D31" i="30"/>
  <c r="H31" i="30"/>
  <c r="I31" i="30"/>
  <c r="J31" i="30"/>
  <c r="C32" i="30"/>
  <c r="E32" i="30" s="1"/>
  <c r="D32" i="30"/>
  <c r="H32" i="30"/>
  <c r="I32" i="30"/>
  <c r="J32" i="30"/>
  <c r="K32" i="30"/>
  <c r="C33" i="30"/>
  <c r="D33" i="30"/>
  <c r="H33" i="30"/>
  <c r="I33" i="30"/>
  <c r="J33" i="30"/>
  <c r="C34" i="30"/>
  <c r="D34" i="30"/>
  <c r="H34" i="30"/>
  <c r="K34" i="30" s="1"/>
  <c r="I34" i="30"/>
  <c r="J34" i="30"/>
  <c r="C35" i="30"/>
  <c r="D35" i="30"/>
  <c r="E35" i="30"/>
  <c r="H35" i="30"/>
  <c r="I35" i="30"/>
  <c r="J35" i="30"/>
  <c r="C36" i="30"/>
  <c r="D36" i="30"/>
  <c r="E36" i="30"/>
  <c r="H36" i="30"/>
  <c r="I36" i="30"/>
  <c r="J36" i="30"/>
  <c r="K36" i="30"/>
  <c r="C37" i="30"/>
  <c r="E37" i="30" s="1"/>
  <c r="D37" i="30"/>
  <c r="H37" i="30"/>
  <c r="I37" i="30"/>
  <c r="J37" i="30"/>
  <c r="C38" i="30"/>
  <c r="E38" i="30" s="1"/>
  <c r="D38" i="30"/>
  <c r="H38" i="30"/>
  <c r="K38" i="30" s="1"/>
  <c r="I38" i="30"/>
  <c r="J38" i="30"/>
  <c r="C39" i="30"/>
  <c r="D39" i="30"/>
  <c r="H39" i="30"/>
  <c r="K39" i="30" s="1"/>
  <c r="I39" i="30"/>
  <c r="J39" i="30"/>
  <c r="C40" i="30"/>
  <c r="E40" i="30" s="1"/>
  <c r="F40" i="30" s="1"/>
  <c r="D40" i="30"/>
  <c r="H40" i="30"/>
  <c r="I40" i="30"/>
  <c r="K40" i="30" s="1"/>
  <c r="J40" i="30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K47" i="23"/>
  <c r="L47" i="23" s="1"/>
  <c r="E48" i="23"/>
  <c r="K48" i="23"/>
  <c r="L48" i="23" s="1"/>
  <c r="E49" i="23"/>
  <c r="K49" i="23"/>
  <c r="L49" i="23" s="1"/>
  <c r="E50" i="23"/>
  <c r="E51" i="23"/>
  <c r="E52" i="23"/>
  <c r="E53" i="23"/>
  <c r="E54" i="23"/>
  <c r="E55" i="23"/>
  <c r="E56" i="23"/>
  <c r="E57" i="23"/>
  <c r="E58" i="23"/>
  <c r="E59" i="23"/>
  <c r="E60" i="23"/>
  <c r="G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C183" i="23"/>
  <c r="D183" i="23"/>
  <c r="C184" i="23"/>
  <c r="D184" i="23"/>
  <c r="E19" i="22"/>
  <c r="E20" i="22"/>
  <c r="E22" i="22"/>
  <c r="E24" i="22"/>
  <c r="E21" i="22"/>
  <c r="E23" i="22"/>
  <c r="E25" i="22"/>
  <c r="E26" i="22"/>
  <c r="E27" i="22"/>
  <c r="E28" i="22"/>
  <c r="E29" i="22"/>
  <c r="E30" i="22"/>
  <c r="E31" i="22"/>
  <c r="F43" i="22" s="1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F119" i="22" s="1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F247" i="22" s="1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F423" i="22" s="1"/>
  <c r="E424" i="22"/>
  <c r="E425" i="22"/>
  <c r="E426" i="22"/>
  <c r="E427" i="22"/>
  <c r="E428" i="22"/>
  <c r="E429" i="22"/>
  <c r="E430" i="22"/>
  <c r="E431" i="22"/>
  <c r="F431" i="22" s="1"/>
  <c r="H431" i="22" s="1"/>
  <c r="E432" i="22"/>
  <c r="E433" i="22"/>
  <c r="E434" i="22"/>
  <c r="E435" i="22"/>
  <c r="E436" i="22"/>
  <c r="E437" i="22"/>
  <c r="E438" i="22"/>
  <c r="E439" i="22"/>
  <c r="F439" i="22" s="1"/>
  <c r="H439" i="22" s="1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F471" i="22" s="1"/>
  <c r="J471" i="22" s="1"/>
  <c r="E472" i="22"/>
  <c r="E473" i="22"/>
  <c r="E474" i="22"/>
  <c r="E475" i="22"/>
  <c r="E476" i="22"/>
  <c r="E477" i="22"/>
  <c r="E478" i="22"/>
  <c r="E479" i="22"/>
  <c r="F479" i="22" s="1"/>
  <c r="E480" i="22"/>
  <c r="E481" i="22"/>
  <c r="E482" i="22"/>
  <c r="F482" i="22" s="1"/>
  <c r="E483" i="22"/>
  <c r="E484" i="22"/>
  <c r="E485" i="22"/>
  <c r="E486" i="22"/>
  <c r="E487" i="22"/>
  <c r="F487" i="22" s="1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F511" i="22" s="1"/>
  <c r="E512" i="22"/>
  <c r="E513" i="22"/>
  <c r="E514" i="22"/>
  <c r="E515" i="22"/>
  <c r="E516" i="22"/>
  <c r="E517" i="22"/>
  <c r="E518" i="22"/>
  <c r="E519" i="22"/>
  <c r="F519" i="22" s="1"/>
  <c r="E520" i="22"/>
  <c r="E521" i="22"/>
  <c r="F21" i="22"/>
  <c r="F23" i="22"/>
  <c r="H23" i="22" s="1"/>
  <c r="F33" i="22"/>
  <c r="H33" i="22" s="1"/>
  <c r="F45" i="22"/>
  <c r="H45" i="22" s="1"/>
  <c r="F46" i="22"/>
  <c r="H46" i="22" s="1"/>
  <c r="F48" i="22"/>
  <c r="H48" i="22" s="1"/>
  <c r="F54" i="22"/>
  <c r="H54" i="22"/>
  <c r="F57" i="22"/>
  <c r="H57" i="22" s="1"/>
  <c r="F60" i="22"/>
  <c r="H60" i="22"/>
  <c r="F64" i="22"/>
  <c r="H64" i="22" s="1"/>
  <c r="F69" i="22"/>
  <c r="H69" i="22" s="1"/>
  <c r="F71" i="22"/>
  <c r="F77" i="22"/>
  <c r="H77" i="22" s="1"/>
  <c r="F80" i="22"/>
  <c r="H80" i="22" s="1"/>
  <c r="F81" i="22"/>
  <c r="H81" i="22" s="1"/>
  <c r="F85" i="22"/>
  <c r="H85" i="22" s="1"/>
  <c r="F86" i="22"/>
  <c r="H86" i="22" s="1"/>
  <c r="F87" i="22"/>
  <c r="H87" i="22" s="1"/>
  <c r="F92" i="22"/>
  <c r="H92" i="22" s="1"/>
  <c r="F95" i="22"/>
  <c r="H95" i="22" s="1"/>
  <c r="F97" i="22"/>
  <c r="H97" i="22" s="1"/>
  <c r="F103" i="22"/>
  <c r="F104" i="22"/>
  <c r="H104" i="22"/>
  <c r="F110" i="22"/>
  <c r="F117" i="22"/>
  <c r="H117" i="22" s="1"/>
  <c r="F122" i="22"/>
  <c r="H122" i="22" s="1"/>
  <c r="F126" i="22"/>
  <c r="F128" i="22"/>
  <c r="H128" i="22" s="1"/>
  <c r="F132" i="22"/>
  <c r="H132" i="22" s="1"/>
  <c r="F134" i="22"/>
  <c r="F136" i="22"/>
  <c r="H136" i="22" s="1"/>
  <c r="F138" i="22"/>
  <c r="H138" i="22" s="1"/>
  <c r="F139" i="22"/>
  <c r="H139" i="22" s="1"/>
  <c r="F140" i="22"/>
  <c r="F144" i="22"/>
  <c r="H144" i="22"/>
  <c r="F148" i="22"/>
  <c r="H148" i="22"/>
  <c r="F149" i="22"/>
  <c r="H149" i="22" s="1"/>
  <c r="F152" i="22"/>
  <c r="H152" i="22"/>
  <c r="F157" i="22"/>
  <c r="H157" i="22" s="1"/>
  <c r="F165" i="22"/>
  <c r="H165" i="22" s="1"/>
  <c r="F166" i="22"/>
  <c r="F167" i="22"/>
  <c r="H167" i="22" s="1"/>
  <c r="F173" i="22"/>
  <c r="H173" i="22" s="1"/>
  <c r="F176" i="22"/>
  <c r="H176" i="22"/>
  <c r="F184" i="22"/>
  <c r="H184" i="22"/>
  <c r="F187" i="22"/>
  <c r="H187" i="22" s="1"/>
  <c r="F190" i="22"/>
  <c r="H190" i="22" s="1"/>
  <c r="F199" i="22"/>
  <c r="H199" i="22" s="1"/>
  <c r="F200" i="22"/>
  <c r="H200" i="22" s="1"/>
  <c r="F213" i="22"/>
  <c r="H213" i="22" s="1"/>
  <c r="F214" i="22"/>
  <c r="H214" i="22" s="1"/>
  <c r="F216" i="22"/>
  <c r="H216" i="22"/>
  <c r="F219" i="22"/>
  <c r="H219" i="22" s="1"/>
  <c r="F220" i="22"/>
  <c r="H220" i="22" s="1"/>
  <c r="F226" i="22"/>
  <c r="H226" i="22" s="1"/>
  <c r="F237" i="22"/>
  <c r="H237" i="22" s="1"/>
  <c r="F238" i="22"/>
  <c r="F240" i="22"/>
  <c r="H240" i="22" s="1"/>
  <c r="F248" i="22"/>
  <c r="H248" i="22"/>
  <c r="F251" i="22"/>
  <c r="H251" i="22" s="1"/>
  <c r="F252" i="22"/>
  <c r="H252" i="22" s="1"/>
  <c r="F253" i="22"/>
  <c r="H253" i="22" s="1"/>
  <c r="F255" i="22"/>
  <c r="H255" i="22" s="1"/>
  <c r="F259" i="22"/>
  <c r="H259" i="22" s="1"/>
  <c r="F273" i="22"/>
  <c r="H273" i="22" s="1"/>
  <c r="F276" i="22"/>
  <c r="H276" i="22" s="1"/>
  <c r="F279" i="22"/>
  <c r="H279" i="22" s="1"/>
  <c r="F282" i="22"/>
  <c r="H282" i="22"/>
  <c r="F283" i="22"/>
  <c r="H283" i="22" s="1"/>
  <c r="F286" i="22"/>
  <c r="H286" i="22"/>
  <c r="F288" i="22"/>
  <c r="H288" i="22"/>
  <c r="F289" i="22"/>
  <c r="H289" i="22" s="1"/>
  <c r="F299" i="22"/>
  <c r="H299" i="22" s="1"/>
  <c r="F303" i="22"/>
  <c r="H303" i="22" s="1"/>
  <c r="F305" i="22"/>
  <c r="H305" i="22" s="1"/>
  <c r="F306" i="22"/>
  <c r="F307" i="22"/>
  <c r="H307" i="22" s="1"/>
  <c r="F311" i="22"/>
  <c r="H311" i="22" s="1"/>
  <c r="F315" i="22"/>
  <c r="H315" i="22" s="1"/>
  <c r="F318" i="22"/>
  <c r="H318" i="22"/>
  <c r="F321" i="22"/>
  <c r="H321" i="22" s="1"/>
  <c r="F325" i="22"/>
  <c r="H325" i="22" s="1"/>
  <c r="F326" i="22"/>
  <c r="H326" i="22" s="1"/>
  <c r="F331" i="22"/>
  <c r="H331" i="22" s="1"/>
  <c r="F333" i="22"/>
  <c r="H333" i="22" s="1"/>
  <c r="F337" i="22"/>
  <c r="F339" i="22"/>
  <c r="H339" i="22" s="1"/>
  <c r="F343" i="22"/>
  <c r="H343" i="22" s="1"/>
  <c r="F344" i="22"/>
  <c r="H344" i="22" s="1"/>
  <c r="F353" i="22"/>
  <c r="H353" i="22" s="1"/>
  <c r="F356" i="22"/>
  <c r="H356" i="22" s="1"/>
  <c r="F361" i="22"/>
  <c r="H361" i="22" s="1"/>
  <c r="F364" i="22"/>
  <c r="H364" i="22" s="1"/>
  <c r="F366" i="22"/>
  <c r="H366" i="22" s="1"/>
  <c r="F367" i="22"/>
  <c r="H367" i="22" s="1"/>
  <c r="F371" i="22"/>
  <c r="H371" i="22" s="1"/>
  <c r="F376" i="22"/>
  <c r="H376" i="22" s="1"/>
  <c r="F383" i="22"/>
  <c r="H383" i="22" s="1"/>
  <c r="F386" i="22"/>
  <c r="F398" i="22"/>
  <c r="H398" i="22"/>
  <c r="F399" i="22"/>
  <c r="H399" i="22" s="1"/>
  <c r="F404" i="22"/>
  <c r="H404" i="22" s="1"/>
  <c r="F405" i="22"/>
  <c r="H405" i="22" s="1"/>
  <c r="F406" i="22"/>
  <c r="H406" i="22" s="1"/>
  <c r="F407" i="22"/>
  <c r="H407" i="22" s="1"/>
  <c r="F417" i="22"/>
  <c r="H417" i="22" s="1"/>
  <c r="F419" i="22"/>
  <c r="H419" i="22" s="1"/>
  <c r="F424" i="22"/>
  <c r="H424" i="22" s="1"/>
  <c r="F425" i="22"/>
  <c r="H425" i="22" s="1"/>
  <c r="F428" i="22"/>
  <c r="H428" i="22" s="1"/>
  <c r="F430" i="22"/>
  <c r="H430" i="22" s="1"/>
  <c r="F433" i="22"/>
  <c r="H433" i="22" s="1"/>
  <c r="F434" i="22"/>
  <c r="F435" i="22"/>
  <c r="H435" i="22" s="1"/>
  <c r="F441" i="22"/>
  <c r="H441" i="22" s="1"/>
  <c r="F443" i="22"/>
  <c r="H443" i="22" s="1"/>
  <c r="F447" i="22"/>
  <c r="H447" i="22" s="1"/>
  <c r="F452" i="22"/>
  <c r="H452" i="22" s="1"/>
  <c r="F453" i="22"/>
  <c r="H453" i="22" s="1"/>
  <c r="F455" i="22"/>
  <c r="H455" i="22"/>
  <c r="F459" i="22"/>
  <c r="H459" i="22" s="1"/>
  <c r="F461" i="22"/>
  <c r="H461" i="22" s="1"/>
  <c r="F463" i="22"/>
  <c r="J463" i="22" s="1"/>
  <c r="F469" i="22"/>
  <c r="H469" i="22" s="1"/>
  <c r="F470" i="22"/>
  <c r="H470" i="22"/>
  <c r="F473" i="22"/>
  <c r="H473" i="22" s="1"/>
  <c r="F474" i="22"/>
  <c r="H474" i="22" s="1"/>
  <c r="F477" i="22"/>
  <c r="H477" i="22" s="1"/>
  <c r="F483" i="22"/>
  <c r="H483" i="22" s="1"/>
  <c r="F488" i="22"/>
  <c r="H488" i="22"/>
  <c r="F492" i="22"/>
  <c r="F494" i="22"/>
  <c r="H494" i="22" s="1"/>
  <c r="F495" i="22"/>
  <c r="F496" i="22"/>
  <c r="H496" i="22"/>
  <c r="F498" i="22"/>
  <c r="H498" i="22" s="1"/>
  <c r="F503" i="22"/>
  <c r="J503" i="22" s="1"/>
  <c r="H503" i="22"/>
  <c r="F504" i="22"/>
  <c r="H504" i="22"/>
  <c r="F506" i="22"/>
  <c r="F512" i="22"/>
  <c r="H512" i="22" s="1"/>
  <c r="F513" i="22"/>
  <c r="H513" i="22" s="1"/>
  <c r="F515" i="22"/>
  <c r="H515" i="22" s="1"/>
  <c r="F521" i="22"/>
  <c r="J23" i="22"/>
  <c r="J33" i="22"/>
  <c r="J45" i="22"/>
  <c r="J46" i="22"/>
  <c r="J48" i="22"/>
  <c r="J54" i="22"/>
  <c r="J57" i="22"/>
  <c r="J60" i="22"/>
  <c r="J64" i="22"/>
  <c r="J69" i="22"/>
  <c r="J77" i="22"/>
  <c r="J80" i="22"/>
  <c r="J81" i="22"/>
  <c r="J85" i="22"/>
  <c r="J86" i="22"/>
  <c r="J87" i="22"/>
  <c r="J92" i="22"/>
  <c r="J95" i="22"/>
  <c r="J97" i="22"/>
  <c r="J104" i="22"/>
  <c r="J117" i="22"/>
  <c r="J122" i="22"/>
  <c r="J128" i="22"/>
  <c r="J132" i="22"/>
  <c r="J136" i="22"/>
  <c r="J138" i="22"/>
  <c r="J139" i="22"/>
  <c r="J144" i="22"/>
  <c r="J148" i="22"/>
  <c r="J149" i="22"/>
  <c r="J152" i="22"/>
  <c r="J157" i="22"/>
  <c r="J165" i="22"/>
  <c r="J167" i="22"/>
  <c r="J173" i="22"/>
  <c r="J176" i="22"/>
  <c r="J184" i="22"/>
  <c r="J187" i="22"/>
  <c r="J190" i="22"/>
  <c r="J199" i="22"/>
  <c r="J200" i="22"/>
  <c r="J213" i="22"/>
  <c r="J214" i="22"/>
  <c r="J216" i="22"/>
  <c r="J219" i="22"/>
  <c r="J220" i="22"/>
  <c r="J226" i="22"/>
  <c r="J237" i="22"/>
  <c r="J240" i="22"/>
  <c r="J248" i="22"/>
  <c r="J251" i="22"/>
  <c r="J252" i="22"/>
  <c r="J253" i="22"/>
  <c r="J255" i="22"/>
  <c r="J259" i="22"/>
  <c r="J273" i="22"/>
  <c r="J276" i="22"/>
  <c r="J279" i="22"/>
  <c r="J282" i="22"/>
  <c r="J283" i="22"/>
  <c r="J286" i="22"/>
  <c r="J288" i="22"/>
  <c r="J289" i="22"/>
  <c r="J299" i="22"/>
  <c r="J303" i="22"/>
  <c r="J305" i="22"/>
  <c r="J307" i="22"/>
  <c r="J311" i="22"/>
  <c r="J315" i="22"/>
  <c r="J318" i="22"/>
  <c r="J321" i="22"/>
  <c r="J325" i="22"/>
  <c r="J326" i="22"/>
  <c r="J331" i="22"/>
  <c r="J333" i="22"/>
  <c r="J339" i="22"/>
  <c r="J343" i="22"/>
  <c r="J353" i="22"/>
  <c r="J356" i="22"/>
  <c r="J361" i="22"/>
  <c r="J364" i="22"/>
  <c r="J366" i="22"/>
  <c r="J371" i="22"/>
  <c r="J376" i="22"/>
  <c r="J383" i="22"/>
  <c r="J398" i="22"/>
  <c r="J399" i="22"/>
  <c r="J404" i="22"/>
  <c r="J405" i="22"/>
  <c r="J406" i="22"/>
  <c r="J407" i="22"/>
  <c r="J417" i="22"/>
  <c r="J419" i="22"/>
  <c r="J425" i="22"/>
  <c r="J428" i="22"/>
  <c r="J430" i="22"/>
  <c r="J433" i="22"/>
  <c r="J435" i="22"/>
  <c r="J441" i="22"/>
  <c r="J443" i="22"/>
  <c r="J447" i="22"/>
  <c r="J452" i="22"/>
  <c r="J453" i="22"/>
  <c r="J455" i="22"/>
  <c r="J459" i="22"/>
  <c r="J461" i="22"/>
  <c r="J469" i="22"/>
  <c r="J470" i="22"/>
  <c r="J473" i="22"/>
  <c r="J474" i="22"/>
  <c r="J483" i="22"/>
  <c r="J488" i="22"/>
  <c r="J494" i="22"/>
  <c r="J496" i="22"/>
  <c r="J498" i="22"/>
  <c r="J504" i="22"/>
  <c r="J512" i="22"/>
  <c r="N6" i="21"/>
  <c r="N7" i="21"/>
  <c r="A8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C21" i="21"/>
  <c r="D21" i="21"/>
  <c r="E21" i="21"/>
  <c r="F21" i="21"/>
  <c r="G21" i="21"/>
  <c r="H21" i="21"/>
  <c r="I21" i="21"/>
  <c r="J21" i="21"/>
  <c r="K21" i="21"/>
  <c r="L21" i="21"/>
  <c r="M21" i="21"/>
  <c r="D9" i="20"/>
  <c r="D10" i="20" s="1"/>
  <c r="D11" i="20"/>
  <c r="D113" i="20" s="1"/>
  <c r="D12" i="20"/>
  <c r="D114" i="20" s="1"/>
  <c r="D13" i="20"/>
  <c r="D115" i="20" s="1"/>
  <c r="D14" i="20"/>
  <c r="D116" i="20" s="1"/>
  <c r="D218" i="20" s="1"/>
  <c r="D15" i="20"/>
  <c r="D16" i="20"/>
  <c r="D118" i="20" s="1"/>
  <c r="D220" i="20" s="1"/>
  <c r="D18" i="20"/>
  <c r="D120" i="20" s="1"/>
  <c r="D222" i="20" s="1"/>
  <c r="D19" i="20"/>
  <c r="D121" i="20" s="1"/>
  <c r="D223" i="20" s="1"/>
  <c r="D20" i="20"/>
  <c r="D122" i="20" s="1"/>
  <c r="D224" i="20" s="1"/>
  <c r="D22" i="20"/>
  <c r="D124" i="20" s="1"/>
  <c r="D226" i="20" s="1"/>
  <c r="D23" i="20"/>
  <c r="D43" i="20"/>
  <c r="E43" i="20"/>
  <c r="E44" i="20"/>
  <c r="E78" i="20" s="1"/>
  <c r="E45" i="20"/>
  <c r="E79" i="20" s="1"/>
  <c r="E46" i="20"/>
  <c r="E47" i="20"/>
  <c r="E48" i="20"/>
  <c r="E82" i="20" s="1"/>
  <c r="E49" i="20"/>
  <c r="E83" i="20" s="1"/>
  <c r="E50" i="20"/>
  <c r="E84" i="20" s="1"/>
  <c r="E51" i="20"/>
  <c r="E85" i="20" s="1"/>
  <c r="E52" i="20"/>
  <c r="E86" i="20" s="1"/>
  <c r="D53" i="20"/>
  <c r="D155" i="20" s="1"/>
  <c r="E53" i="20"/>
  <c r="E54" i="20"/>
  <c r="E88" i="20" s="1"/>
  <c r="D55" i="20"/>
  <c r="D157" i="20" s="1"/>
  <c r="D259" i="20" s="1"/>
  <c r="E55" i="20"/>
  <c r="E89" i="20" s="1"/>
  <c r="E56" i="20"/>
  <c r="E90" i="20" s="1"/>
  <c r="D57" i="20"/>
  <c r="D159" i="20" s="1"/>
  <c r="E57" i="20"/>
  <c r="E91" i="20" s="1"/>
  <c r="B64" i="20"/>
  <c r="D77" i="20"/>
  <c r="D79" i="20" s="1"/>
  <c r="E77" i="20"/>
  <c r="D78" i="20"/>
  <c r="D180" i="20" s="1"/>
  <c r="D282" i="20" s="1"/>
  <c r="D80" i="20"/>
  <c r="E80" i="20"/>
  <c r="D81" i="20"/>
  <c r="E81" i="20"/>
  <c r="D82" i="20"/>
  <c r="D184" i="20" s="1"/>
  <c r="D84" i="20"/>
  <c r="D186" i="20" s="1"/>
  <c r="D288" i="20" s="1"/>
  <c r="D85" i="20"/>
  <c r="D187" i="20" s="1"/>
  <c r="D86" i="20"/>
  <c r="D87" i="20"/>
  <c r="D189" i="20" s="1"/>
  <c r="E87" i="20"/>
  <c r="D88" i="20"/>
  <c r="D89" i="20"/>
  <c r="D191" i="20" s="1"/>
  <c r="D293" i="20" s="1"/>
  <c r="D90" i="20"/>
  <c r="B98" i="20"/>
  <c r="D110" i="20"/>
  <c r="D212" i="20" s="1"/>
  <c r="D111" i="20"/>
  <c r="D213" i="20" s="1"/>
  <c r="D112" i="20"/>
  <c r="D214" i="20" s="1"/>
  <c r="D117" i="20"/>
  <c r="D219" i="20" s="1"/>
  <c r="D125" i="20"/>
  <c r="D227" i="20" s="1"/>
  <c r="B130" i="20"/>
  <c r="B132" i="20"/>
  <c r="D144" i="20"/>
  <c r="D145" i="20"/>
  <c r="D247" i="20" s="1"/>
  <c r="E145" i="20"/>
  <c r="E146" i="20"/>
  <c r="E180" i="20" s="1"/>
  <c r="E147" i="20"/>
  <c r="E181" i="20" s="1"/>
  <c r="E148" i="20"/>
  <c r="E182" i="20" s="1"/>
  <c r="E149" i="20"/>
  <c r="E183" i="20" s="1"/>
  <c r="E150" i="20"/>
  <c r="E184" i="20" s="1"/>
  <c r="E151" i="20"/>
  <c r="E185" i="20" s="1"/>
  <c r="E152" i="20"/>
  <c r="E153" i="20"/>
  <c r="E154" i="20"/>
  <c r="E188" i="20" s="1"/>
  <c r="E155" i="20"/>
  <c r="E189" i="20" s="1"/>
  <c r="E156" i="20"/>
  <c r="E157" i="20"/>
  <c r="E191" i="20" s="1"/>
  <c r="E158" i="20"/>
  <c r="E159" i="20"/>
  <c r="B164" i="20"/>
  <c r="B266" i="20" s="1"/>
  <c r="B165" i="20"/>
  <c r="B166" i="20"/>
  <c r="D178" i="20"/>
  <c r="D179" i="20"/>
  <c r="E179" i="20"/>
  <c r="D181" i="20"/>
  <c r="D283" i="20" s="1"/>
  <c r="D182" i="20"/>
  <c r="D284" i="20" s="1"/>
  <c r="D183" i="20"/>
  <c r="E186" i="20"/>
  <c r="E187" i="20"/>
  <c r="D188" i="20"/>
  <c r="D190" i="20"/>
  <c r="D292" i="20" s="1"/>
  <c r="E190" i="20"/>
  <c r="D192" i="20"/>
  <c r="D294" i="20" s="1"/>
  <c r="E192" i="20"/>
  <c r="E193" i="20"/>
  <c r="B198" i="20"/>
  <c r="B199" i="20"/>
  <c r="B200" i="20"/>
  <c r="D215" i="20"/>
  <c r="D216" i="20"/>
  <c r="D217" i="20"/>
  <c r="B232" i="20"/>
  <c r="B234" i="20"/>
  <c r="D246" i="20"/>
  <c r="D257" i="20"/>
  <c r="D261" i="20"/>
  <c r="B267" i="20"/>
  <c r="B268" i="20"/>
  <c r="D280" i="20"/>
  <c r="D281" i="20"/>
  <c r="D285" i="20"/>
  <c r="D286" i="20"/>
  <c r="D289" i="20"/>
  <c r="D290" i="20"/>
  <c r="D291" i="20"/>
  <c r="B300" i="20"/>
  <c r="B301" i="20"/>
  <c r="B302" i="20"/>
  <c r="A6" i="19"/>
  <c r="B6" i="19"/>
  <c r="B42" i="19" s="1"/>
  <c r="B78" i="19" s="1"/>
  <c r="E6" i="19"/>
  <c r="E22" i="19" s="1"/>
  <c r="J6" i="19"/>
  <c r="A7" i="19"/>
  <c r="B7" i="19"/>
  <c r="E7" i="19"/>
  <c r="M7" i="19" s="1"/>
  <c r="J7" i="19"/>
  <c r="F7" i="19" s="1"/>
  <c r="K7" i="19"/>
  <c r="A8" i="19"/>
  <c r="A28" i="30" s="1"/>
  <c r="B8" i="19"/>
  <c r="B44" i="19" s="1"/>
  <c r="B80" i="19" s="1"/>
  <c r="E8" i="19"/>
  <c r="M8" i="19" s="1"/>
  <c r="J8" i="19"/>
  <c r="A9" i="19"/>
  <c r="B9" i="19"/>
  <c r="B45" i="19" s="1"/>
  <c r="E9" i="19"/>
  <c r="K9" i="19" s="1"/>
  <c r="J9" i="19"/>
  <c r="F9" i="19" s="1"/>
  <c r="L9" i="19" s="1"/>
  <c r="A10" i="19"/>
  <c r="B10" i="19"/>
  <c r="E10" i="19"/>
  <c r="J10" i="19"/>
  <c r="F10" i="19" s="1"/>
  <c r="L10" i="19" s="1"/>
  <c r="K10" i="19"/>
  <c r="M10" i="19"/>
  <c r="A11" i="19"/>
  <c r="B14" i="20" s="1"/>
  <c r="B11" i="19"/>
  <c r="E11" i="19"/>
  <c r="K11" i="19" s="1"/>
  <c r="J11" i="19"/>
  <c r="F11" i="19" s="1"/>
  <c r="L11" i="19" s="1"/>
  <c r="M11" i="19"/>
  <c r="A12" i="19"/>
  <c r="A48" i="19" s="1"/>
  <c r="A84" i="19" s="1"/>
  <c r="B12" i="19"/>
  <c r="B48" i="19" s="1"/>
  <c r="B84" i="19" s="1"/>
  <c r="E12" i="19"/>
  <c r="J12" i="19"/>
  <c r="F12" i="19" s="1"/>
  <c r="L12" i="19" s="1"/>
  <c r="K12" i="19"/>
  <c r="M12" i="19"/>
  <c r="A13" i="19"/>
  <c r="B13" i="19"/>
  <c r="B13" i="21" s="1"/>
  <c r="E13" i="19"/>
  <c r="K13" i="19" s="1"/>
  <c r="J13" i="19"/>
  <c r="A14" i="19"/>
  <c r="B14" i="19"/>
  <c r="B50" i="19" s="1"/>
  <c r="B86" i="19" s="1"/>
  <c r="E14" i="19"/>
  <c r="J14" i="19"/>
  <c r="F14" i="19" s="1"/>
  <c r="L14" i="19" s="1"/>
  <c r="K14" i="19"/>
  <c r="M14" i="19"/>
  <c r="A15" i="19"/>
  <c r="A51" i="19" s="1"/>
  <c r="A87" i="19" s="1"/>
  <c r="B15" i="19"/>
  <c r="B51" i="19" s="1"/>
  <c r="B87" i="19" s="1"/>
  <c r="E15" i="19"/>
  <c r="K15" i="19" s="1"/>
  <c r="J15" i="19"/>
  <c r="F15" i="19" s="1"/>
  <c r="L15" i="19" s="1"/>
  <c r="M15" i="19"/>
  <c r="A16" i="19"/>
  <c r="A52" i="19" s="1"/>
  <c r="B16" i="19"/>
  <c r="B52" i="19" s="1"/>
  <c r="B88" i="19" s="1"/>
  <c r="E16" i="19"/>
  <c r="J16" i="19"/>
  <c r="K16" i="19"/>
  <c r="M16" i="19"/>
  <c r="A17" i="19"/>
  <c r="B17" i="19"/>
  <c r="E17" i="19"/>
  <c r="M17" i="19" s="1"/>
  <c r="J17" i="19"/>
  <c r="F17" i="19" s="1"/>
  <c r="L17" i="19" s="1"/>
  <c r="A18" i="19"/>
  <c r="A54" i="19" s="1"/>
  <c r="A90" i="19" s="1"/>
  <c r="B18" i="19"/>
  <c r="B54" i="19" s="1"/>
  <c r="B90" i="19" s="1"/>
  <c r="E18" i="19"/>
  <c r="J18" i="19"/>
  <c r="F18" i="19" s="1"/>
  <c r="L18" i="19" s="1"/>
  <c r="K18" i="19"/>
  <c r="M18" i="19"/>
  <c r="A19" i="19"/>
  <c r="B19" i="19"/>
  <c r="E19" i="19"/>
  <c r="K19" i="19" s="1"/>
  <c r="J19" i="19"/>
  <c r="A20" i="19"/>
  <c r="A56" i="19" s="1"/>
  <c r="A92" i="19" s="1"/>
  <c r="B20" i="19"/>
  <c r="C23" i="20" s="1"/>
  <c r="E20" i="19"/>
  <c r="K20" i="19" s="1"/>
  <c r="J20" i="19"/>
  <c r="G21" i="19"/>
  <c r="H21" i="19"/>
  <c r="I21" i="19"/>
  <c r="G22" i="19"/>
  <c r="H22" i="19"/>
  <c r="I22" i="19"/>
  <c r="C42" i="19"/>
  <c r="G42" i="19"/>
  <c r="H42" i="19"/>
  <c r="I42" i="19"/>
  <c r="I78" i="19" s="1"/>
  <c r="A43" i="19"/>
  <c r="A79" i="19" s="1"/>
  <c r="B43" i="19"/>
  <c r="B79" i="19" s="1"/>
  <c r="C43" i="19"/>
  <c r="E43" i="19" s="1"/>
  <c r="G43" i="19"/>
  <c r="H43" i="19"/>
  <c r="J43" i="19" s="1"/>
  <c r="I43" i="19"/>
  <c r="C44" i="19"/>
  <c r="C80" i="19" s="1"/>
  <c r="E80" i="19" s="1"/>
  <c r="E44" i="19"/>
  <c r="G44" i="19"/>
  <c r="J44" i="19" s="1"/>
  <c r="H44" i="19"/>
  <c r="I44" i="19"/>
  <c r="C45" i="19"/>
  <c r="E45" i="19" s="1"/>
  <c r="G45" i="19"/>
  <c r="H45" i="19"/>
  <c r="I45" i="19"/>
  <c r="I81" i="19" s="1"/>
  <c r="J45" i="19"/>
  <c r="C46" i="19"/>
  <c r="G46" i="19"/>
  <c r="G82" i="19" s="1"/>
  <c r="H46" i="19"/>
  <c r="H82" i="19" s="1"/>
  <c r="I46" i="19"/>
  <c r="A47" i="19"/>
  <c r="A83" i="19" s="1"/>
  <c r="B47" i="19"/>
  <c r="B83" i="19" s="1"/>
  <c r="C47" i="19"/>
  <c r="G47" i="19"/>
  <c r="H47" i="19"/>
  <c r="I47" i="19"/>
  <c r="I83" i="19" s="1"/>
  <c r="C48" i="19"/>
  <c r="C84" i="19" s="1"/>
  <c r="E84" i="19" s="1"/>
  <c r="E48" i="19"/>
  <c r="G48" i="19"/>
  <c r="H48" i="19"/>
  <c r="I48" i="19"/>
  <c r="A49" i="19"/>
  <c r="A85" i="19" s="1"/>
  <c r="C49" i="19"/>
  <c r="E49" i="19" s="1"/>
  <c r="G49" i="19"/>
  <c r="J49" i="19" s="1"/>
  <c r="H49" i="19"/>
  <c r="H85" i="19" s="1"/>
  <c r="I49" i="19"/>
  <c r="I85" i="19" s="1"/>
  <c r="A50" i="19"/>
  <c r="A86" i="19" s="1"/>
  <c r="C50" i="19"/>
  <c r="C86" i="19" s="1"/>
  <c r="E86" i="19" s="1"/>
  <c r="G50" i="19"/>
  <c r="H50" i="19"/>
  <c r="H86" i="19" s="1"/>
  <c r="I50" i="19"/>
  <c r="I86" i="19" s="1"/>
  <c r="C51" i="19"/>
  <c r="E51" i="19" s="1"/>
  <c r="G51" i="19"/>
  <c r="J51" i="19" s="1"/>
  <c r="F51" i="19" s="1"/>
  <c r="L51" i="19" s="1"/>
  <c r="H51" i="19"/>
  <c r="I51" i="19"/>
  <c r="I87" i="19" s="1"/>
  <c r="C52" i="19"/>
  <c r="C88" i="19" s="1"/>
  <c r="E88" i="19" s="1"/>
  <c r="G52" i="19"/>
  <c r="H52" i="19"/>
  <c r="H88" i="19" s="1"/>
  <c r="I52" i="19"/>
  <c r="I88" i="19" s="1"/>
  <c r="A53" i="19"/>
  <c r="A89" i="19" s="1"/>
  <c r="B53" i="19"/>
  <c r="C53" i="19"/>
  <c r="E53" i="19" s="1"/>
  <c r="G53" i="19"/>
  <c r="G89" i="19" s="1"/>
  <c r="H53" i="19"/>
  <c r="I53" i="19"/>
  <c r="I89" i="19" s="1"/>
  <c r="C54" i="19"/>
  <c r="C90" i="19" s="1"/>
  <c r="E90" i="19" s="1"/>
  <c r="E54" i="19"/>
  <c r="G54" i="19"/>
  <c r="H54" i="19"/>
  <c r="H90" i="19" s="1"/>
  <c r="I54" i="19"/>
  <c r="A55" i="19"/>
  <c r="A91" i="19" s="1"/>
  <c r="B55" i="19"/>
  <c r="C55" i="19"/>
  <c r="E55" i="19" s="1"/>
  <c r="F55" i="19" s="1"/>
  <c r="L55" i="19" s="1"/>
  <c r="G55" i="19"/>
  <c r="H55" i="19"/>
  <c r="I55" i="19"/>
  <c r="I91" i="19" s="1"/>
  <c r="J55" i="19"/>
  <c r="C56" i="19"/>
  <c r="C92" i="19" s="1"/>
  <c r="E92" i="19" s="1"/>
  <c r="G56" i="19"/>
  <c r="H56" i="19"/>
  <c r="I56" i="19"/>
  <c r="H78" i="19"/>
  <c r="C79" i="19"/>
  <c r="E79" i="19" s="1"/>
  <c r="G79" i="19"/>
  <c r="H80" i="19"/>
  <c r="I80" i="19"/>
  <c r="B81" i="19"/>
  <c r="C81" i="19"/>
  <c r="E81" i="19" s="1"/>
  <c r="G81" i="19"/>
  <c r="H81" i="19"/>
  <c r="I82" i="19"/>
  <c r="G83" i="19"/>
  <c r="H83" i="19"/>
  <c r="H84" i="19"/>
  <c r="I84" i="19"/>
  <c r="C87" i="19"/>
  <c r="E87" i="19" s="1"/>
  <c r="H87" i="19"/>
  <c r="A88" i="19"/>
  <c r="B89" i="19"/>
  <c r="C89" i="19"/>
  <c r="E89" i="19" s="1"/>
  <c r="H89" i="19"/>
  <c r="I90" i="19"/>
  <c r="B91" i="19"/>
  <c r="C91" i="19"/>
  <c r="E91" i="19" s="1"/>
  <c r="G91" i="19"/>
  <c r="H91" i="19"/>
  <c r="H92" i="19"/>
  <c r="I92" i="19"/>
  <c r="C35" i="17"/>
  <c r="J15" i="17" s="1"/>
  <c r="E35" i="17"/>
  <c r="J16" i="17" s="1"/>
  <c r="J18" i="17"/>
  <c r="K19" i="17"/>
  <c r="J20" i="17"/>
  <c r="M20" i="17"/>
  <c r="D35" i="17"/>
  <c r="J519" i="22" l="1"/>
  <c r="H519" i="22"/>
  <c r="J511" i="22"/>
  <c r="H511" i="22"/>
  <c r="H43" i="22"/>
  <c r="J43" i="22"/>
  <c r="H119" i="22"/>
  <c r="J119" i="22"/>
  <c r="J89" i="19"/>
  <c r="K89" i="19"/>
  <c r="H247" i="22"/>
  <c r="J247" i="22"/>
  <c r="H482" i="22"/>
  <c r="J482" i="22"/>
  <c r="H423" i="22"/>
  <c r="J423" i="22"/>
  <c r="H306" i="22"/>
  <c r="J306" i="22"/>
  <c r="F359" i="22"/>
  <c r="F295" i="22"/>
  <c r="F231" i="22"/>
  <c r="F175" i="22"/>
  <c r="F111" i="22"/>
  <c r="J53" i="19"/>
  <c r="M44" i="19"/>
  <c r="M20" i="19"/>
  <c r="F332" i="22"/>
  <c r="F514" i="22"/>
  <c r="J514" i="22" s="1"/>
  <c r="F458" i="22"/>
  <c r="F442" i="22"/>
  <c r="F410" i="22"/>
  <c r="F394" i="22"/>
  <c r="F346" i="22"/>
  <c r="F338" i="22"/>
  <c r="F314" i="22"/>
  <c r="F250" i="22"/>
  <c r="K81" i="19"/>
  <c r="E52" i="19"/>
  <c r="C82" i="19"/>
  <c r="E82" i="19" s="1"/>
  <c r="K82" i="19" s="1"/>
  <c r="E46" i="19"/>
  <c r="M46" i="19" s="1"/>
  <c r="H57" i="19"/>
  <c r="F20" i="19"/>
  <c r="L20" i="19" s="1"/>
  <c r="K17" i="19"/>
  <c r="F13" i="19"/>
  <c r="L13" i="19" s="1"/>
  <c r="J424" i="22"/>
  <c r="F222" i="22"/>
  <c r="F179" i="22"/>
  <c r="F164" i="22"/>
  <c r="H492" i="22"/>
  <c r="J492" i="22"/>
  <c r="H103" i="22"/>
  <c r="J103" i="22"/>
  <c r="F415" i="22"/>
  <c r="F327" i="22"/>
  <c r="F239" i="22"/>
  <c r="F191" i="22"/>
  <c r="F143" i="22"/>
  <c r="F55" i="22"/>
  <c r="R73" i="26"/>
  <c r="R78" i="26" s="1"/>
  <c r="R74" i="26"/>
  <c r="J81" i="19"/>
  <c r="F489" i="22"/>
  <c r="F324" i="22"/>
  <c r="F101" i="22"/>
  <c r="G85" i="19"/>
  <c r="K8" i="19"/>
  <c r="J513" i="22"/>
  <c r="J431" i="22"/>
  <c r="F411" i="22"/>
  <c r="F393" i="22"/>
  <c r="F192" i="22"/>
  <c r="F59" i="22"/>
  <c r="F6" i="19"/>
  <c r="E21" i="19"/>
  <c r="J367" i="22"/>
  <c r="H434" i="22"/>
  <c r="J434" i="22"/>
  <c r="J126" i="22"/>
  <c r="H126" i="22"/>
  <c r="F335" i="22"/>
  <c r="F263" i="22"/>
  <c r="F215" i="22"/>
  <c r="F151" i="22"/>
  <c r="F63" i="22"/>
  <c r="F388" i="22"/>
  <c r="F468" i="22"/>
  <c r="F475" i="22"/>
  <c r="F484" i="22"/>
  <c r="F491" i="22"/>
  <c r="F500" i="22"/>
  <c r="F505" i="22"/>
  <c r="F96" i="22"/>
  <c r="F172" i="22"/>
  <c r="F201" i="22"/>
  <c r="F262" i="22"/>
  <c r="F313" i="22"/>
  <c r="F486" i="22"/>
  <c r="F501" i="22"/>
  <c r="F507" i="22"/>
  <c r="F235" i="22"/>
  <c r="F281" i="22"/>
  <c r="F341" i="22"/>
  <c r="F395" i="22"/>
  <c r="F454" i="22"/>
  <c r="F462" i="22"/>
  <c r="F508" i="22"/>
  <c r="F517" i="22"/>
  <c r="F160" i="22"/>
  <c r="F249" i="22"/>
  <c r="F269" i="22"/>
  <c r="F304" i="22"/>
  <c r="F329" i="22"/>
  <c r="F510" i="22"/>
  <c r="F518" i="22"/>
  <c r="F198" i="22"/>
  <c r="F241" i="22"/>
  <c r="F285" i="22"/>
  <c r="F293" i="22"/>
  <c r="F369" i="22"/>
  <c r="F387" i="22"/>
  <c r="F400" i="22"/>
  <c r="F413" i="22"/>
  <c r="F436" i="22"/>
  <c r="F467" i="22"/>
  <c r="F520" i="22"/>
  <c r="F464" i="22"/>
  <c r="F196" i="22"/>
  <c r="G87" i="19"/>
  <c r="K87" i="19" s="1"/>
  <c r="C85" i="19"/>
  <c r="E85" i="19" s="1"/>
  <c r="K85" i="19" s="1"/>
  <c r="H79" i="19"/>
  <c r="J87" i="19"/>
  <c r="E50" i="19"/>
  <c r="B49" i="19"/>
  <c r="B85" i="19" s="1"/>
  <c r="M19" i="19"/>
  <c r="F8" i="19"/>
  <c r="L8" i="19" s="1"/>
  <c r="H471" i="22"/>
  <c r="F446" i="22"/>
  <c r="H386" i="22"/>
  <c r="J386" i="22"/>
  <c r="H337" i="22"/>
  <c r="J337" i="22"/>
  <c r="H238" i="22"/>
  <c r="J238" i="22"/>
  <c r="F169" i="22"/>
  <c r="F137" i="22"/>
  <c r="J479" i="22"/>
  <c r="H479" i="22"/>
  <c r="F391" i="22"/>
  <c r="F287" i="22"/>
  <c r="F207" i="22"/>
  <c r="F135" i="22"/>
  <c r="F272" i="22"/>
  <c r="K91" i="19"/>
  <c r="E56" i="19"/>
  <c r="M56" i="19" s="1"/>
  <c r="J47" i="19"/>
  <c r="I57" i="19"/>
  <c r="F19" i="19"/>
  <c r="L19" i="19" s="1"/>
  <c r="M9" i="19"/>
  <c r="F76" i="22"/>
  <c r="E47" i="19"/>
  <c r="F47" i="19" s="1"/>
  <c r="L47" i="19" s="1"/>
  <c r="C83" i="19"/>
  <c r="E83" i="19" s="1"/>
  <c r="K83" i="19" s="1"/>
  <c r="J487" i="22"/>
  <c r="H487" i="22"/>
  <c r="F375" i="22"/>
  <c r="F271" i="22"/>
  <c r="F183" i="22"/>
  <c r="F127" i="22"/>
  <c r="J477" i="22"/>
  <c r="F354" i="22"/>
  <c r="F107" i="22"/>
  <c r="F466" i="22"/>
  <c r="F426" i="22"/>
  <c r="F402" i="22"/>
  <c r="F370" i="22"/>
  <c r="F322" i="22"/>
  <c r="F290" i="22"/>
  <c r="F274" i="22"/>
  <c r="F266" i="22"/>
  <c r="F242" i="22"/>
  <c r="F234" i="22"/>
  <c r="F218" i="22"/>
  <c r="F210" i="22"/>
  <c r="F202" i="22"/>
  <c r="F194" i="22"/>
  <c r="F186" i="22"/>
  <c r="F178" i="22"/>
  <c r="F98" i="22"/>
  <c r="F34" i="22"/>
  <c r="F68" i="22"/>
  <c r="H140" i="22"/>
  <c r="J140" i="22"/>
  <c r="F351" i="22"/>
  <c r="F319" i="22"/>
  <c r="F223" i="22"/>
  <c r="F159" i="22"/>
  <c r="F79" i="22"/>
  <c r="J83" i="19"/>
  <c r="F83" i="19" s="1"/>
  <c r="L83" i="19" s="1"/>
  <c r="M13" i="19"/>
  <c r="M6" i="19"/>
  <c r="J439" i="22"/>
  <c r="F229" i="22"/>
  <c r="H21" i="22"/>
  <c r="J21" i="22"/>
  <c r="F490" i="22"/>
  <c r="F450" i="22"/>
  <c r="F418" i="22"/>
  <c r="F378" i="22"/>
  <c r="F362" i="22"/>
  <c r="F330" i="22"/>
  <c r="F298" i="22"/>
  <c r="F258" i="22"/>
  <c r="H93" i="19"/>
  <c r="M52" i="19"/>
  <c r="F16" i="19"/>
  <c r="L16" i="19" s="1"/>
  <c r="K6" i="19"/>
  <c r="J344" i="22"/>
  <c r="F373" i="22"/>
  <c r="F278" i="22"/>
  <c r="F211" i="22"/>
  <c r="F51" i="22"/>
  <c r="J515" i="22"/>
  <c r="H166" i="22"/>
  <c r="J166" i="22"/>
  <c r="F121" i="22"/>
  <c r="F91" i="22"/>
  <c r="J85" i="19"/>
  <c r="D21" i="20"/>
  <c r="D123" i="20" s="1"/>
  <c r="D225" i="20" s="1"/>
  <c r="F147" i="22"/>
  <c r="H134" i="22"/>
  <c r="J134" i="22"/>
  <c r="F116" i="22"/>
  <c r="H71" i="22"/>
  <c r="J71" i="22"/>
  <c r="F217" i="22"/>
  <c r="F204" i="22"/>
  <c r="F189" i="22"/>
  <c r="F113" i="22"/>
  <c r="H110" i="22"/>
  <c r="J110" i="22"/>
  <c r="F83" i="22"/>
  <c r="F170" i="22"/>
  <c r="F162" i="22"/>
  <c r="F154" i="22"/>
  <c r="F146" i="22"/>
  <c r="F130" i="22"/>
  <c r="F114" i="22"/>
  <c r="F106" i="22"/>
  <c r="F90" i="22"/>
  <c r="F82" i="22"/>
  <c r="F74" i="22"/>
  <c r="F66" i="22"/>
  <c r="F58" i="22"/>
  <c r="F50" i="22"/>
  <c r="F72" i="22"/>
  <c r="F141" i="22"/>
  <c r="F153" i="22"/>
  <c r="F180" i="22"/>
  <c r="F185" i="22"/>
  <c r="F205" i="22"/>
  <c r="F212" i="22"/>
  <c r="F225" i="22"/>
  <c r="F232" i="22"/>
  <c r="F256" i="22"/>
  <c r="F294" i="22"/>
  <c r="F301" i="22"/>
  <c r="F345" i="22"/>
  <c r="F357" i="22"/>
  <c r="F377" i="22"/>
  <c r="F389" i="22"/>
  <c r="F396" i="22"/>
  <c r="F401" i="22"/>
  <c r="F408" i="22"/>
  <c r="F414" i="22"/>
  <c r="F437" i="22"/>
  <c r="F448" i="22"/>
  <c r="F28" i="22"/>
  <c r="F56" i="22"/>
  <c r="F93" i="22"/>
  <c r="F99" i="22"/>
  <c r="F123" i="22"/>
  <c r="F129" i="22"/>
  <c r="F142" i="22"/>
  <c r="F161" i="22"/>
  <c r="F174" i="22"/>
  <c r="F193" i="22"/>
  <c r="F206" i="22"/>
  <c r="F245" i="22"/>
  <c r="F264" i="22"/>
  <c r="F270" i="22"/>
  <c r="F275" i="22"/>
  <c r="F302" i="22"/>
  <c r="F320" i="22"/>
  <c r="F352" i="22"/>
  <c r="F358" i="22"/>
  <c r="F365" i="22"/>
  <c r="F384" i="22"/>
  <c r="F390" i="22"/>
  <c r="F409" i="22"/>
  <c r="F420" i="22"/>
  <c r="F432" i="22"/>
  <c r="F438" i="22"/>
  <c r="F444" i="22"/>
  <c r="F465" i="22"/>
  <c r="F480" i="22"/>
  <c r="F485" i="22"/>
  <c r="F502" i="22"/>
  <c r="F94" i="22"/>
  <c r="F100" i="22"/>
  <c r="F105" i="22"/>
  <c r="F112" i="22"/>
  <c r="F118" i="22"/>
  <c r="F124" i="22"/>
  <c r="F155" i="22"/>
  <c r="F168" i="22"/>
  <c r="F181" i="22"/>
  <c r="F227" i="22"/>
  <c r="F233" i="22"/>
  <c r="F246" i="22"/>
  <c r="F257" i="22"/>
  <c r="F296" i="22"/>
  <c r="F308" i="22"/>
  <c r="F334" i="22"/>
  <c r="F347" i="22"/>
  <c r="F379" i="22"/>
  <c r="F397" i="22"/>
  <c r="F421" i="22"/>
  <c r="F427" i="22"/>
  <c r="F449" i="22"/>
  <c r="F460" i="22"/>
  <c r="F476" i="22"/>
  <c r="F67" i="22"/>
  <c r="F75" i="22"/>
  <c r="F88" i="22"/>
  <c r="F125" i="22"/>
  <c r="F131" i="22"/>
  <c r="F150" i="22"/>
  <c r="F156" i="22"/>
  <c r="F163" i="22"/>
  <c r="F182" i="22"/>
  <c r="F188" i="22"/>
  <c r="F195" i="22"/>
  <c r="F208" i="22"/>
  <c r="F221" i="22"/>
  <c r="F228" i="22"/>
  <c r="F265" i="22"/>
  <c r="F277" i="22"/>
  <c r="F284" i="22"/>
  <c r="F297" i="22"/>
  <c r="F309" i="22"/>
  <c r="F316" i="22"/>
  <c r="F328" i="22"/>
  <c r="F340" i="22"/>
  <c r="F348" i="22"/>
  <c r="F360" i="22"/>
  <c r="F372" i="22"/>
  <c r="F380" i="22"/>
  <c r="F385" i="22"/>
  <c r="F392" i="22"/>
  <c r="F403" i="22"/>
  <c r="F416" i="22"/>
  <c r="F422" i="22"/>
  <c r="F445" i="22"/>
  <c r="F456" i="22"/>
  <c r="F481" i="22"/>
  <c r="F497" i="22"/>
  <c r="F509" i="22"/>
  <c r="F36" i="22"/>
  <c r="F52" i="22"/>
  <c r="F84" i="22"/>
  <c r="F89" i="22"/>
  <c r="F102" i="22"/>
  <c r="F108" i="22"/>
  <c r="F120" i="22"/>
  <c r="F145" i="22"/>
  <c r="F158" i="22"/>
  <c r="F177" i="22"/>
  <c r="F209" i="22"/>
  <c r="F230" i="22"/>
  <c r="F236" i="22"/>
  <c r="F254" i="22"/>
  <c r="F260" i="22"/>
  <c r="F267" i="22"/>
  <c r="F291" i="22"/>
  <c r="F317" i="22"/>
  <c r="F336" i="22"/>
  <c r="F342" i="22"/>
  <c r="F349" i="22"/>
  <c r="F368" i="22"/>
  <c r="F374" i="22"/>
  <c r="F381" i="22"/>
  <c r="F412" i="22"/>
  <c r="F429" i="22"/>
  <c r="F440" i="22"/>
  <c r="F451" i="22"/>
  <c r="F457" i="22"/>
  <c r="F472" i="22"/>
  <c r="F478" i="22"/>
  <c r="F493" i="22"/>
  <c r="F499" i="22"/>
  <c r="F516" i="22"/>
  <c r="J516" i="22" s="1"/>
  <c r="F40" i="22"/>
  <c r="F70" i="22"/>
  <c r="F78" i="22"/>
  <c r="F109" i="22"/>
  <c r="F115" i="22"/>
  <c r="F133" i="22"/>
  <c r="F171" i="22"/>
  <c r="F197" i="22"/>
  <c r="F203" i="22"/>
  <c r="F224" i="22"/>
  <c r="F243" i="22"/>
  <c r="F261" i="22"/>
  <c r="F268" i="22"/>
  <c r="F280" i="22"/>
  <c r="F292" i="22"/>
  <c r="F300" i="22"/>
  <c r="F312" i="22"/>
  <c r="F323" i="22"/>
  <c r="F350" i="22"/>
  <c r="F355" i="22"/>
  <c r="F363" i="22"/>
  <c r="F382" i="22"/>
  <c r="D17" i="20"/>
  <c r="D119" i="20" s="1"/>
  <c r="D221" i="20" s="1"/>
  <c r="F310" i="22"/>
  <c r="F244" i="22"/>
  <c r="F62" i="22"/>
  <c r="F32" i="30"/>
  <c r="L32" i="30" s="1"/>
  <c r="F31" i="22"/>
  <c r="F42" i="22"/>
  <c r="F30" i="22"/>
  <c r="K31" i="30"/>
  <c r="L8" i="30"/>
  <c r="F38" i="30"/>
  <c r="K35" i="30"/>
  <c r="E34" i="30"/>
  <c r="F31" i="30"/>
  <c r="L31" i="30" s="1"/>
  <c r="K33" i="30"/>
  <c r="E39" i="30"/>
  <c r="F39" i="30" s="1"/>
  <c r="E33" i="30"/>
  <c r="G86" i="19"/>
  <c r="J86" i="19" s="1"/>
  <c r="J50" i="19"/>
  <c r="F50" i="19" s="1"/>
  <c r="L50" i="19" s="1"/>
  <c r="K48" i="19"/>
  <c r="K47" i="19"/>
  <c r="M47" i="19"/>
  <c r="F43" i="19"/>
  <c r="L43" i="19" s="1"/>
  <c r="K43" i="19"/>
  <c r="M43" i="19"/>
  <c r="A29" i="30"/>
  <c r="B12" i="20"/>
  <c r="A45" i="19"/>
  <c r="A81" i="19" s="1"/>
  <c r="A9" i="21"/>
  <c r="N21" i="21"/>
  <c r="J91" i="19"/>
  <c r="F91" i="19" s="1"/>
  <c r="L91" i="19" s="1"/>
  <c r="H94" i="19"/>
  <c r="G90" i="19"/>
  <c r="J90" i="19" s="1"/>
  <c r="F90" i="19" s="1"/>
  <c r="L90" i="19" s="1"/>
  <c r="J54" i="19"/>
  <c r="F54" i="19" s="1"/>
  <c r="L54" i="19" s="1"/>
  <c r="K52" i="19"/>
  <c r="K51" i="19"/>
  <c r="M51" i="19"/>
  <c r="F86" i="19"/>
  <c r="L86" i="19" s="1"/>
  <c r="K86" i="19"/>
  <c r="F44" i="19"/>
  <c r="L44" i="19" s="1"/>
  <c r="K44" i="19"/>
  <c r="L7" i="19"/>
  <c r="K49" i="19"/>
  <c r="M49" i="19"/>
  <c r="B30" i="30"/>
  <c r="C13" i="20"/>
  <c r="B10" i="21"/>
  <c r="B46" i="19"/>
  <c r="B82" i="19" s="1"/>
  <c r="G92" i="19"/>
  <c r="J92" i="19" s="1"/>
  <c r="J56" i="19"/>
  <c r="F56" i="19" s="1"/>
  <c r="L56" i="19" s="1"/>
  <c r="K53" i="19"/>
  <c r="M53" i="19"/>
  <c r="K54" i="19"/>
  <c r="M89" i="19"/>
  <c r="F89" i="19"/>
  <c r="L89" i="19" s="1"/>
  <c r="K56" i="19"/>
  <c r="K55" i="19"/>
  <c r="M55" i="19"/>
  <c r="M90" i="19"/>
  <c r="F49" i="19"/>
  <c r="L49" i="19" s="1"/>
  <c r="M48" i="19"/>
  <c r="C91" i="20"/>
  <c r="C125" i="20" s="1"/>
  <c r="C159" i="20" s="1"/>
  <c r="C193" i="20" s="1"/>
  <c r="C227" i="20" s="1"/>
  <c r="C57" i="20"/>
  <c r="K50" i="19"/>
  <c r="M87" i="19"/>
  <c r="F87" i="19"/>
  <c r="L87" i="19" s="1"/>
  <c r="F92" i="19"/>
  <c r="L92" i="19" s="1"/>
  <c r="K92" i="19"/>
  <c r="M50" i="19"/>
  <c r="F45" i="19"/>
  <c r="L45" i="19" s="1"/>
  <c r="K45" i="19"/>
  <c r="M45" i="19"/>
  <c r="M91" i="19"/>
  <c r="M85" i="19"/>
  <c r="F85" i="19"/>
  <c r="L85" i="19" s="1"/>
  <c r="F53" i="19"/>
  <c r="L53" i="19" s="1"/>
  <c r="J82" i="19"/>
  <c r="G57" i="19"/>
  <c r="M21" i="19"/>
  <c r="E9" i="17" s="1"/>
  <c r="J52" i="19"/>
  <c r="F52" i="19" s="1"/>
  <c r="L52" i="19" s="1"/>
  <c r="G88" i="19"/>
  <c r="J88" i="19" s="1"/>
  <c r="F88" i="19" s="1"/>
  <c r="L88" i="19" s="1"/>
  <c r="M83" i="19"/>
  <c r="M81" i="19"/>
  <c r="F81" i="19"/>
  <c r="L81" i="19" s="1"/>
  <c r="M54" i="19"/>
  <c r="G84" i="19"/>
  <c r="J84" i="19" s="1"/>
  <c r="F84" i="19" s="1"/>
  <c r="L84" i="19" s="1"/>
  <c r="J48" i="19"/>
  <c r="F48" i="19" s="1"/>
  <c r="L48" i="19" s="1"/>
  <c r="K46" i="19"/>
  <c r="E42" i="19"/>
  <c r="C78" i="19"/>
  <c r="E78" i="19" s="1"/>
  <c r="K21" i="19"/>
  <c r="C9" i="17" s="1"/>
  <c r="K22" i="19"/>
  <c r="C15" i="17" s="1"/>
  <c r="G78" i="19"/>
  <c r="B40" i="30"/>
  <c r="B20" i="21"/>
  <c r="B33" i="30"/>
  <c r="C16" i="20"/>
  <c r="I58" i="19"/>
  <c r="B56" i="19"/>
  <c r="B92" i="19" s="1"/>
  <c r="M22" i="19"/>
  <c r="E15" i="17" s="1"/>
  <c r="A40" i="30"/>
  <c r="B23" i="20"/>
  <c r="A20" i="21"/>
  <c r="A39" i="30"/>
  <c r="A19" i="21"/>
  <c r="B22" i="20"/>
  <c r="A38" i="30"/>
  <c r="A18" i="21"/>
  <c r="B21" i="20"/>
  <c r="A37" i="30"/>
  <c r="B20" i="20"/>
  <c r="A36" i="30"/>
  <c r="A16" i="21"/>
  <c r="B19" i="20"/>
  <c r="A35" i="30"/>
  <c r="A15" i="21"/>
  <c r="A34" i="30"/>
  <c r="B17" i="20"/>
  <c r="A14" i="21"/>
  <c r="A33" i="30"/>
  <c r="A13" i="21"/>
  <c r="A32" i="30"/>
  <c r="B15" i="20"/>
  <c r="A31" i="30"/>
  <c r="A11" i="21"/>
  <c r="B16" i="20"/>
  <c r="C12" i="20"/>
  <c r="A12" i="21"/>
  <c r="B39" i="30"/>
  <c r="C22" i="20"/>
  <c r="B19" i="21"/>
  <c r="B35" i="30"/>
  <c r="C18" i="20"/>
  <c r="B15" i="21"/>
  <c r="A30" i="30"/>
  <c r="A10" i="21"/>
  <c r="B13" i="20"/>
  <c r="L6" i="19"/>
  <c r="I79" i="19"/>
  <c r="J79" i="19" s="1"/>
  <c r="F79" i="19" s="1"/>
  <c r="L79" i="19" s="1"/>
  <c r="H58" i="19"/>
  <c r="A46" i="19"/>
  <c r="A82" i="19" s="1"/>
  <c r="A44" i="19"/>
  <c r="A80" i="19" s="1"/>
  <c r="J42" i="19"/>
  <c r="A17" i="21"/>
  <c r="G80" i="19"/>
  <c r="J80" i="19" s="1"/>
  <c r="F80" i="19" s="1"/>
  <c r="L80" i="19" s="1"/>
  <c r="B38" i="30"/>
  <c r="B18" i="21"/>
  <c r="B34" i="30"/>
  <c r="B14" i="21"/>
  <c r="C17" i="20"/>
  <c r="B32" i="30"/>
  <c r="B12" i="21"/>
  <c r="C15" i="20"/>
  <c r="G58" i="19"/>
  <c r="J46" i="19"/>
  <c r="F46" i="19" s="1"/>
  <c r="L46" i="19" s="1"/>
  <c r="B26" i="30"/>
  <c r="C9" i="20"/>
  <c r="B6" i="21"/>
  <c r="B18" i="20"/>
  <c r="B37" i="30"/>
  <c r="B17" i="21"/>
  <c r="B31" i="30"/>
  <c r="B11" i="21"/>
  <c r="C14" i="20"/>
  <c r="J22" i="19"/>
  <c r="J21" i="19"/>
  <c r="B27" i="30"/>
  <c r="C10" i="20"/>
  <c r="B7" i="21"/>
  <c r="A26" i="30"/>
  <c r="B9" i="20"/>
  <c r="A42" i="19"/>
  <c r="A78" i="19" s="1"/>
  <c r="A6" i="21"/>
  <c r="D44" i="20"/>
  <c r="D146" i="20" s="1"/>
  <c r="D248" i="20" s="1"/>
  <c r="D52" i="20"/>
  <c r="D154" i="20" s="1"/>
  <c r="D256" i="20" s="1"/>
  <c r="D47" i="20"/>
  <c r="D149" i="20" s="1"/>
  <c r="D251" i="20" s="1"/>
  <c r="D51" i="20"/>
  <c r="D153" i="20" s="1"/>
  <c r="D255" i="20" s="1"/>
  <c r="D56" i="20"/>
  <c r="D158" i="20" s="1"/>
  <c r="D260" i="20" s="1"/>
  <c r="D49" i="20"/>
  <c r="D151" i="20" s="1"/>
  <c r="D253" i="20" s="1"/>
  <c r="D54" i="20"/>
  <c r="D156" i="20" s="1"/>
  <c r="D258" i="20" s="1"/>
  <c r="D45" i="20"/>
  <c r="D147" i="20" s="1"/>
  <c r="D249" i="20" s="1"/>
  <c r="D46" i="20"/>
  <c r="D148" i="20" s="1"/>
  <c r="D250" i="20" s="1"/>
  <c r="D48" i="20"/>
  <c r="D150" i="20" s="1"/>
  <c r="D252" i="20" s="1"/>
  <c r="D50" i="20"/>
  <c r="D152" i="20" s="1"/>
  <c r="D254" i="20" s="1"/>
  <c r="C21" i="20"/>
  <c r="B11" i="20"/>
  <c r="B28" i="30"/>
  <c r="B8" i="21"/>
  <c r="C11" i="20"/>
  <c r="A27" i="30"/>
  <c r="A7" i="21"/>
  <c r="B10" i="20"/>
  <c r="B82" i="20"/>
  <c r="B116" i="20" s="1"/>
  <c r="B150" i="20" s="1"/>
  <c r="B184" i="20" s="1"/>
  <c r="B218" i="20" s="1"/>
  <c r="B252" i="20" s="1"/>
  <c r="B286" i="20" s="1"/>
  <c r="B48" i="20"/>
  <c r="B29" i="30"/>
  <c r="B9" i="21"/>
  <c r="C20" i="20"/>
  <c r="B36" i="30"/>
  <c r="B16" i="21"/>
  <c r="C19" i="20"/>
  <c r="H521" i="22"/>
  <c r="J521" i="22"/>
  <c r="H516" i="22"/>
  <c r="H514" i="22"/>
  <c r="D83" i="20"/>
  <c r="D185" i="20" s="1"/>
  <c r="D287" i="20" s="1"/>
  <c r="D91" i="20"/>
  <c r="D193" i="20" s="1"/>
  <c r="D295" i="20" s="1"/>
  <c r="H506" i="22"/>
  <c r="J506" i="22"/>
  <c r="J495" i="22"/>
  <c r="H495" i="22"/>
  <c r="H463" i="22"/>
  <c r="F47" i="22"/>
  <c r="F35" i="22"/>
  <c r="L50" i="23"/>
  <c r="L39" i="30"/>
  <c r="K30" i="30"/>
  <c r="F30" i="30" s="1"/>
  <c r="E29" i="30"/>
  <c r="E183" i="23"/>
  <c r="E184" i="23"/>
  <c r="L36" i="30"/>
  <c r="E51" i="29"/>
  <c r="F73" i="22"/>
  <c r="F65" i="22"/>
  <c r="F49" i="22"/>
  <c r="F41" i="22"/>
  <c r="F25" i="22"/>
  <c r="F39" i="22"/>
  <c r="F27" i="22"/>
  <c r="AC74" i="26"/>
  <c r="AC73" i="26"/>
  <c r="F33" i="30"/>
  <c r="L33" i="30" s="1"/>
  <c r="I10" i="30"/>
  <c r="L7" i="30"/>
  <c r="F44" i="22"/>
  <c r="F38" i="22"/>
  <c r="F32" i="22"/>
  <c r="L40" i="30"/>
  <c r="K37" i="30"/>
  <c r="F36" i="30"/>
  <c r="L27" i="30"/>
  <c r="K26" i="30"/>
  <c r="F26" i="30" s="1"/>
  <c r="K7" i="30"/>
  <c r="F61" i="22"/>
  <c r="F53" i="22"/>
  <c r="F37" i="22"/>
  <c r="F29" i="22"/>
  <c r="F20" i="22"/>
  <c r="F24" i="22"/>
  <c r="F22" i="22"/>
  <c r="F26" i="22"/>
  <c r="F19" i="22"/>
  <c r="F34" i="30"/>
  <c r="K29" i="30"/>
  <c r="F28" i="30"/>
  <c r="L28" i="30" s="1"/>
  <c r="E51" i="27"/>
  <c r="L38" i="30"/>
  <c r="F37" i="30"/>
  <c r="I78" i="26"/>
  <c r="J10" i="30"/>
  <c r="H355" i="22" l="1"/>
  <c r="J355" i="22"/>
  <c r="H481" i="22"/>
  <c r="J481" i="22"/>
  <c r="H100" i="22"/>
  <c r="J100" i="22"/>
  <c r="H58" i="22"/>
  <c r="J58" i="22"/>
  <c r="H402" i="22"/>
  <c r="J402" i="22"/>
  <c r="H262" i="22"/>
  <c r="J262" i="22"/>
  <c r="H410" i="22"/>
  <c r="J410" i="22"/>
  <c r="H243" i="22"/>
  <c r="J243" i="22"/>
  <c r="H197" i="22"/>
  <c r="J197" i="22"/>
  <c r="M82" i="19"/>
  <c r="F82" i="19"/>
  <c r="L82" i="19" s="1"/>
  <c r="H42" i="22"/>
  <c r="J42" i="22"/>
  <c r="H363" i="22"/>
  <c r="J363" i="22"/>
  <c r="H268" i="22"/>
  <c r="J268" i="22"/>
  <c r="H115" i="22"/>
  <c r="J115" i="22"/>
  <c r="H478" i="22"/>
  <c r="J478" i="22"/>
  <c r="H374" i="22"/>
  <c r="J374" i="22"/>
  <c r="H260" i="22"/>
  <c r="J260" i="22"/>
  <c r="H120" i="22"/>
  <c r="J120" i="22"/>
  <c r="H497" i="22"/>
  <c r="J497" i="22"/>
  <c r="H385" i="22"/>
  <c r="J385" i="22"/>
  <c r="H309" i="22"/>
  <c r="J309" i="22"/>
  <c r="H195" i="22"/>
  <c r="J195" i="22"/>
  <c r="J88" i="22"/>
  <c r="H88" i="22"/>
  <c r="H397" i="22"/>
  <c r="J397" i="22"/>
  <c r="H233" i="22"/>
  <c r="J233" i="22"/>
  <c r="H105" i="22"/>
  <c r="J105" i="22"/>
  <c r="H438" i="22"/>
  <c r="J438" i="22"/>
  <c r="H352" i="22"/>
  <c r="J352" i="22"/>
  <c r="H193" i="22"/>
  <c r="J193" i="22"/>
  <c r="H56" i="22"/>
  <c r="J56" i="22"/>
  <c r="H389" i="22"/>
  <c r="J389" i="22"/>
  <c r="H225" i="22"/>
  <c r="J225" i="22"/>
  <c r="H50" i="22"/>
  <c r="J50" i="22"/>
  <c r="H130" i="22"/>
  <c r="J130" i="22"/>
  <c r="H418" i="22"/>
  <c r="J418" i="22"/>
  <c r="H210" i="22"/>
  <c r="J210" i="22"/>
  <c r="H370" i="22"/>
  <c r="J370" i="22"/>
  <c r="H183" i="22"/>
  <c r="J183" i="22"/>
  <c r="H207" i="22"/>
  <c r="J207" i="22"/>
  <c r="H387" i="22"/>
  <c r="J387" i="22"/>
  <c r="H329" i="22"/>
  <c r="J329" i="22"/>
  <c r="H454" i="22"/>
  <c r="J454" i="22"/>
  <c r="H313" i="22"/>
  <c r="J313" i="22"/>
  <c r="H484" i="22"/>
  <c r="J484" i="22"/>
  <c r="H335" i="22"/>
  <c r="J335" i="22"/>
  <c r="H59" i="22"/>
  <c r="J59" i="22"/>
  <c r="H101" i="22"/>
  <c r="J101" i="22"/>
  <c r="H191" i="22"/>
  <c r="J191" i="22"/>
  <c r="H164" i="22"/>
  <c r="J164" i="22"/>
  <c r="H394" i="22"/>
  <c r="J394" i="22"/>
  <c r="H368" i="22"/>
  <c r="J368" i="22"/>
  <c r="H75" i="22"/>
  <c r="J75" i="22"/>
  <c r="H28" i="22"/>
  <c r="J28" i="22"/>
  <c r="H450" i="22"/>
  <c r="J450" i="22"/>
  <c r="H369" i="22"/>
  <c r="J369" i="22"/>
  <c r="H179" i="22"/>
  <c r="J179" i="22"/>
  <c r="H349" i="22"/>
  <c r="J349" i="22"/>
  <c r="H236" i="22"/>
  <c r="J236" i="22"/>
  <c r="J102" i="22"/>
  <c r="H102" i="22"/>
  <c r="J456" i="22"/>
  <c r="H456" i="22"/>
  <c r="H372" i="22"/>
  <c r="J372" i="22"/>
  <c r="H284" i="22"/>
  <c r="J284" i="22"/>
  <c r="J182" i="22"/>
  <c r="H182" i="22"/>
  <c r="H67" i="22"/>
  <c r="J67" i="22"/>
  <c r="H347" i="22"/>
  <c r="J347" i="22"/>
  <c r="H181" i="22"/>
  <c r="J181" i="22"/>
  <c r="H94" i="22"/>
  <c r="J94" i="22"/>
  <c r="H420" i="22"/>
  <c r="J420" i="22"/>
  <c r="H302" i="22"/>
  <c r="J302" i="22"/>
  <c r="H161" i="22"/>
  <c r="J161" i="22"/>
  <c r="H448" i="22"/>
  <c r="J448" i="22"/>
  <c r="H357" i="22"/>
  <c r="J357" i="22"/>
  <c r="H205" i="22"/>
  <c r="J205" i="22"/>
  <c r="H66" i="22"/>
  <c r="J66" i="22"/>
  <c r="H154" i="22"/>
  <c r="J154" i="22"/>
  <c r="H189" i="22"/>
  <c r="J189" i="22"/>
  <c r="H147" i="22"/>
  <c r="J147" i="22"/>
  <c r="H51" i="22"/>
  <c r="J51" i="22"/>
  <c r="H490" i="22"/>
  <c r="J490" i="22"/>
  <c r="H79" i="22"/>
  <c r="J79" i="22"/>
  <c r="H34" i="22"/>
  <c r="J34" i="22"/>
  <c r="H234" i="22"/>
  <c r="J234" i="22"/>
  <c r="H426" i="22"/>
  <c r="J426" i="22"/>
  <c r="H375" i="22"/>
  <c r="J375" i="22"/>
  <c r="H391" i="22"/>
  <c r="J391" i="22"/>
  <c r="J464" i="22"/>
  <c r="H464" i="22"/>
  <c r="H293" i="22"/>
  <c r="J293" i="22"/>
  <c r="H269" i="22"/>
  <c r="J269" i="22"/>
  <c r="H341" i="22"/>
  <c r="J341" i="22"/>
  <c r="H201" i="22"/>
  <c r="J201" i="22"/>
  <c r="J468" i="22"/>
  <c r="H468" i="22"/>
  <c r="H393" i="22"/>
  <c r="J393" i="22"/>
  <c r="H489" i="22"/>
  <c r="J489" i="22"/>
  <c r="H327" i="22"/>
  <c r="J327" i="22"/>
  <c r="H222" i="22"/>
  <c r="J222" i="22"/>
  <c r="H442" i="22"/>
  <c r="J442" i="22"/>
  <c r="H175" i="22"/>
  <c r="J175" i="22"/>
  <c r="H109" i="22"/>
  <c r="J109" i="22"/>
  <c r="H297" i="22"/>
  <c r="J297" i="22"/>
  <c r="H432" i="22"/>
  <c r="J432" i="22"/>
  <c r="H68" i="22"/>
  <c r="J68" i="22"/>
  <c r="H304" i="22"/>
  <c r="J304" i="22"/>
  <c r="H324" i="22"/>
  <c r="J324" i="22"/>
  <c r="K90" i="19"/>
  <c r="M86" i="19"/>
  <c r="H62" i="22"/>
  <c r="J62" i="22"/>
  <c r="H323" i="22"/>
  <c r="J323" i="22"/>
  <c r="H224" i="22"/>
  <c r="J224" i="22"/>
  <c r="H70" i="22"/>
  <c r="J70" i="22"/>
  <c r="H451" i="22"/>
  <c r="J451" i="22"/>
  <c r="H342" i="22"/>
  <c r="J342" i="22"/>
  <c r="H230" i="22"/>
  <c r="J230" i="22"/>
  <c r="H89" i="22"/>
  <c r="J89" i="22"/>
  <c r="H445" i="22"/>
  <c r="J445" i="22"/>
  <c r="H360" i="22"/>
  <c r="J360" i="22"/>
  <c r="H277" i="22"/>
  <c r="J277" i="22"/>
  <c r="H163" i="22"/>
  <c r="J163" i="22"/>
  <c r="H476" i="22"/>
  <c r="J476" i="22"/>
  <c r="H334" i="22"/>
  <c r="J334" i="22"/>
  <c r="H168" i="22"/>
  <c r="J168" i="22"/>
  <c r="H502" i="22"/>
  <c r="J502" i="22"/>
  <c r="H409" i="22"/>
  <c r="J409" i="22"/>
  <c r="H275" i="22"/>
  <c r="J275" i="22"/>
  <c r="H142" i="22"/>
  <c r="J142" i="22"/>
  <c r="H437" i="22"/>
  <c r="J437" i="22"/>
  <c r="H345" i="22"/>
  <c r="J345" i="22"/>
  <c r="H185" i="22"/>
  <c r="J185" i="22"/>
  <c r="H74" i="22"/>
  <c r="J74" i="22"/>
  <c r="H162" i="22"/>
  <c r="J162" i="22"/>
  <c r="H204" i="22"/>
  <c r="J204" i="22"/>
  <c r="H211" i="22"/>
  <c r="J211" i="22"/>
  <c r="H258" i="22"/>
  <c r="J258" i="22"/>
  <c r="H159" i="22"/>
  <c r="J159" i="22"/>
  <c r="H98" i="22"/>
  <c r="J98" i="22"/>
  <c r="H242" i="22"/>
  <c r="J242" i="22"/>
  <c r="H466" i="22"/>
  <c r="J466" i="22"/>
  <c r="H520" i="22"/>
  <c r="J520" i="22"/>
  <c r="H285" i="22"/>
  <c r="J285" i="22"/>
  <c r="H249" i="22"/>
  <c r="J249" i="22"/>
  <c r="H281" i="22"/>
  <c r="J281" i="22"/>
  <c r="H172" i="22"/>
  <c r="J172" i="22"/>
  <c r="H388" i="22"/>
  <c r="J388" i="22"/>
  <c r="H411" i="22"/>
  <c r="J411" i="22"/>
  <c r="H415" i="22"/>
  <c r="J415" i="22"/>
  <c r="H458" i="22"/>
  <c r="J458" i="22"/>
  <c r="H231" i="22"/>
  <c r="J231" i="22"/>
  <c r="H31" i="22"/>
  <c r="J31" i="22"/>
  <c r="H108" i="22"/>
  <c r="J108" i="22"/>
  <c r="H227" i="22"/>
  <c r="J227" i="22"/>
  <c r="H212" i="22"/>
  <c r="J212" i="22"/>
  <c r="H218" i="22"/>
  <c r="J218" i="22"/>
  <c r="H395" i="22"/>
  <c r="J395" i="22"/>
  <c r="H111" i="22"/>
  <c r="J111" i="22"/>
  <c r="J350" i="22"/>
  <c r="H350" i="22"/>
  <c r="H312" i="22"/>
  <c r="J312" i="22"/>
  <c r="H440" i="22"/>
  <c r="J440" i="22"/>
  <c r="H336" i="22"/>
  <c r="J336" i="22"/>
  <c r="H209" i="22"/>
  <c r="J209" i="22"/>
  <c r="H84" i="22"/>
  <c r="J84" i="22"/>
  <c r="H422" i="22"/>
  <c r="J422" i="22"/>
  <c r="J348" i="22"/>
  <c r="H348" i="22"/>
  <c r="H265" i="22"/>
  <c r="J265" i="22"/>
  <c r="H156" i="22"/>
  <c r="J156" i="22"/>
  <c r="H460" i="22"/>
  <c r="J460" i="22"/>
  <c r="H308" i="22"/>
  <c r="J308" i="22"/>
  <c r="H155" i="22"/>
  <c r="J155" i="22"/>
  <c r="H485" i="22"/>
  <c r="J485" i="22"/>
  <c r="H390" i="22"/>
  <c r="J390" i="22"/>
  <c r="H270" i="22"/>
  <c r="J270" i="22"/>
  <c r="H129" i="22"/>
  <c r="J129" i="22"/>
  <c r="H414" i="22"/>
  <c r="J414" i="22"/>
  <c r="H301" i="22"/>
  <c r="J301" i="22"/>
  <c r="H180" i="22"/>
  <c r="J180" i="22"/>
  <c r="H82" i="22"/>
  <c r="J82" i="22"/>
  <c r="H170" i="22"/>
  <c r="J170" i="22"/>
  <c r="H217" i="22"/>
  <c r="J217" i="22"/>
  <c r="H278" i="22"/>
  <c r="J278" i="22"/>
  <c r="H298" i="22"/>
  <c r="J298" i="22"/>
  <c r="H223" i="22"/>
  <c r="J223" i="22"/>
  <c r="H178" i="22"/>
  <c r="J178" i="22"/>
  <c r="H266" i="22"/>
  <c r="J266" i="22"/>
  <c r="H107" i="22"/>
  <c r="J107" i="22"/>
  <c r="H467" i="22"/>
  <c r="J467" i="22"/>
  <c r="H241" i="22"/>
  <c r="J241" i="22"/>
  <c r="H160" i="22"/>
  <c r="J160" i="22"/>
  <c r="H235" i="22"/>
  <c r="J235" i="22"/>
  <c r="H96" i="22"/>
  <c r="J96" i="22"/>
  <c r="H63" i="22"/>
  <c r="J63" i="22"/>
  <c r="H250" i="22"/>
  <c r="J250" i="22"/>
  <c r="H295" i="22"/>
  <c r="J295" i="22"/>
  <c r="H261" i="22"/>
  <c r="J261" i="22"/>
  <c r="H380" i="22"/>
  <c r="J380" i="22"/>
  <c r="H377" i="22"/>
  <c r="J377" i="22"/>
  <c r="H271" i="22"/>
  <c r="J271" i="22"/>
  <c r="H475" i="22"/>
  <c r="J475" i="22"/>
  <c r="H457" i="22"/>
  <c r="J457" i="22"/>
  <c r="H203" i="22"/>
  <c r="J203" i="22"/>
  <c r="H310" i="22"/>
  <c r="J310" i="22"/>
  <c r="H429" i="22"/>
  <c r="J429" i="22"/>
  <c r="H177" i="22"/>
  <c r="J177" i="22"/>
  <c r="H52" i="22"/>
  <c r="J52" i="22"/>
  <c r="H416" i="22"/>
  <c r="J416" i="22"/>
  <c r="H340" i="22"/>
  <c r="J340" i="22"/>
  <c r="H228" i="22"/>
  <c r="J228" i="22"/>
  <c r="J150" i="22"/>
  <c r="H150" i="22"/>
  <c r="H449" i="22"/>
  <c r="J449" i="22"/>
  <c r="H296" i="22"/>
  <c r="J296" i="22"/>
  <c r="H124" i="22"/>
  <c r="J124" i="22"/>
  <c r="J480" i="22"/>
  <c r="H480" i="22"/>
  <c r="H384" i="22"/>
  <c r="J384" i="22"/>
  <c r="H264" i="22"/>
  <c r="J264" i="22"/>
  <c r="H123" i="22"/>
  <c r="J123" i="22"/>
  <c r="H408" i="22"/>
  <c r="J408" i="22"/>
  <c r="H294" i="22"/>
  <c r="J294" i="22"/>
  <c r="H153" i="22"/>
  <c r="J153" i="22"/>
  <c r="H90" i="22"/>
  <c r="J90" i="22"/>
  <c r="F35" i="30"/>
  <c r="L35" i="30" s="1"/>
  <c r="H91" i="22"/>
  <c r="J91" i="22"/>
  <c r="H373" i="22"/>
  <c r="J373" i="22"/>
  <c r="H330" i="22"/>
  <c r="J330" i="22"/>
  <c r="H229" i="22"/>
  <c r="J229" i="22"/>
  <c r="H319" i="22"/>
  <c r="J319" i="22"/>
  <c r="H186" i="22"/>
  <c r="J186" i="22"/>
  <c r="H274" i="22"/>
  <c r="J274" i="22"/>
  <c r="H354" i="22"/>
  <c r="J354" i="22"/>
  <c r="H137" i="22"/>
  <c r="J137" i="22"/>
  <c r="H446" i="22"/>
  <c r="J446" i="22"/>
  <c r="H436" i="22"/>
  <c r="J436" i="22"/>
  <c r="H198" i="22"/>
  <c r="J198" i="22"/>
  <c r="H517" i="22"/>
  <c r="J517" i="22"/>
  <c r="H507" i="22"/>
  <c r="J507" i="22"/>
  <c r="H505" i="22"/>
  <c r="J505" i="22"/>
  <c r="H151" i="22"/>
  <c r="J151" i="22"/>
  <c r="H314" i="22"/>
  <c r="J314" i="22"/>
  <c r="H332" i="22"/>
  <c r="J332" i="22"/>
  <c r="H359" i="22"/>
  <c r="J359" i="22"/>
  <c r="H472" i="22"/>
  <c r="J472" i="22"/>
  <c r="H188" i="22"/>
  <c r="J188" i="22"/>
  <c r="H320" i="22"/>
  <c r="J320" i="22"/>
  <c r="H113" i="22"/>
  <c r="J113" i="22"/>
  <c r="H196" i="22"/>
  <c r="J196" i="22"/>
  <c r="H239" i="22"/>
  <c r="J239" i="22"/>
  <c r="H40" i="22"/>
  <c r="J40" i="22"/>
  <c r="H300" i="22"/>
  <c r="J300" i="22"/>
  <c r="H317" i="22"/>
  <c r="J317" i="22"/>
  <c r="F22" i="19"/>
  <c r="H171" i="22"/>
  <c r="J171" i="22"/>
  <c r="J412" i="22"/>
  <c r="H412" i="22"/>
  <c r="H158" i="22"/>
  <c r="J158" i="22"/>
  <c r="H36" i="22"/>
  <c r="J36" i="22"/>
  <c r="H403" i="22"/>
  <c r="J403" i="22"/>
  <c r="H328" i="22"/>
  <c r="J328" i="22"/>
  <c r="H221" i="22"/>
  <c r="J221" i="22"/>
  <c r="H131" i="22"/>
  <c r="J131" i="22"/>
  <c r="H427" i="22"/>
  <c r="J427" i="22"/>
  <c r="H257" i="22"/>
  <c r="J257" i="22"/>
  <c r="H118" i="22"/>
  <c r="J118" i="22"/>
  <c r="H465" i="22"/>
  <c r="J465" i="22"/>
  <c r="H365" i="22"/>
  <c r="J365" i="22"/>
  <c r="H245" i="22"/>
  <c r="J245" i="22"/>
  <c r="H99" i="22"/>
  <c r="J99" i="22"/>
  <c r="H401" i="22"/>
  <c r="J401" i="22"/>
  <c r="H256" i="22"/>
  <c r="J256" i="22"/>
  <c r="H141" i="22"/>
  <c r="J141" i="22"/>
  <c r="H106" i="22"/>
  <c r="J106" i="22"/>
  <c r="H83" i="22"/>
  <c r="J83" i="22"/>
  <c r="H121" i="22"/>
  <c r="J121" i="22"/>
  <c r="H362" i="22"/>
  <c r="J362" i="22"/>
  <c r="H351" i="22"/>
  <c r="J351" i="22"/>
  <c r="H194" i="22"/>
  <c r="J194" i="22"/>
  <c r="J290" i="22"/>
  <c r="H290" i="22"/>
  <c r="H272" i="22"/>
  <c r="J272" i="22"/>
  <c r="H169" i="22"/>
  <c r="J169" i="22"/>
  <c r="H413" i="22"/>
  <c r="J413" i="22"/>
  <c r="H518" i="22"/>
  <c r="J518" i="22"/>
  <c r="H508" i="22"/>
  <c r="J508" i="22"/>
  <c r="H501" i="22"/>
  <c r="J501" i="22"/>
  <c r="J500" i="22"/>
  <c r="H500" i="22"/>
  <c r="H215" i="22"/>
  <c r="J215" i="22"/>
  <c r="H55" i="22"/>
  <c r="J55" i="22"/>
  <c r="H338" i="22"/>
  <c r="J338" i="22"/>
  <c r="H254" i="22"/>
  <c r="J254" i="22"/>
  <c r="H379" i="22"/>
  <c r="J379" i="22"/>
  <c r="H174" i="22"/>
  <c r="J174" i="22"/>
  <c r="H146" i="22"/>
  <c r="J146" i="22"/>
  <c r="H287" i="22"/>
  <c r="J287" i="22"/>
  <c r="H192" i="22"/>
  <c r="J192" i="22"/>
  <c r="H78" i="22"/>
  <c r="J78" i="22"/>
  <c r="H244" i="22"/>
  <c r="J244" i="22"/>
  <c r="M79" i="19"/>
  <c r="M84" i="19"/>
  <c r="H292" i="22"/>
  <c r="J292" i="22"/>
  <c r="H499" i="22"/>
  <c r="J499" i="22"/>
  <c r="H291" i="22"/>
  <c r="J291" i="22"/>
  <c r="M92" i="19"/>
  <c r="F21" i="19"/>
  <c r="H30" i="22"/>
  <c r="J30" i="22"/>
  <c r="J382" i="22"/>
  <c r="H382" i="22"/>
  <c r="H280" i="22"/>
  <c r="J280" i="22"/>
  <c r="H133" i="22"/>
  <c r="J133" i="22"/>
  <c r="H493" i="22"/>
  <c r="J493" i="22"/>
  <c r="H381" i="22"/>
  <c r="J381" i="22"/>
  <c r="H267" i="22"/>
  <c r="J267" i="22"/>
  <c r="H145" i="22"/>
  <c r="J145" i="22"/>
  <c r="H509" i="22"/>
  <c r="J509" i="22"/>
  <c r="H392" i="22"/>
  <c r="J392" i="22"/>
  <c r="H316" i="22"/>
  <c r="J316" i="22"/>
  <c r="H208" i="22"/>
  <c r="J208" i="22"/>
  <c r="H125" i="22"/>
  <c r="J125" i="22"/>
  <c r="H421" i="22"/>
  <c r="J421" i="22"/>
  <c r="H246" i="22"/>
  <c r="J246" i="22"/>
  <c r="H112" i="22"/>
  <c r="J112" i="22"/>
  <c r="H444" i="22"/>
  <c r="J444" i="22"/>
  <c r="H358" i="22"/>
  <c r="J358" i="22"/>
  <c r="H206" i="22"/>
  <c r="J206" i="22"/>
  <c r="H93" i="22"/>
  <c r="J93" i="22"/>
  <c r="H396" i="22"/>
  <c r="J396" i="22"/>
  <c r="H232" i="22"/>
  <c r="J232" i="22"/>
  <c r="H72" i="22"/>
  <c r="J72" i="22"/>
  <c r="H114" i="22"/>
  <c r="J114" i="22"/>
  <c r="H116" i="22"/>
  <c r="J116" i="22"/>
  <c r="H378" i="22"/>
  <c r="J378" i="22"/>
  <c r="H202" i="22"/>
  <c r="J202" i="22"/>
  <c r="H322" i="22"/>
  <c r="J322" i="22"/>
  <c r="H127" i="22"/>
  <c r="J127" i="22"/>
  <c r="H76" i="22"/>
  <c r="J76" i="22"/>
  <c r="H135" i="22"/>
  <c r="J135" i="22"/>
  <c r="H400" i="22"/>
  <c r="J400" i="22"/>
  <c r="H510" i="22"/>
  <c r="J510" i="22"/>
  <c r="H462" i="22"/>
  <c r="J462" i="22"/>
  <c r="H486" i="22"/>
  <c r="J486" i="22"/>
  <c r="H491" i="22"/>
  <c r="J491" i="22"/>
  <c r="H263" i="22"/>
  <c r="J263" i="22"/>
  <c r="H143" i="22"/>
  <c r="J143" i="22"/>
  <c r="H346" i="22"/>
  <c r="J346" i="22"/>
  <c r="H49" i="22"/>
  <c r="J49" i="22"/>
  <c r="B79" i="20"/>
  <c r="B113" i="20" s="1"/>
  <c r="B147" i="20" s="1"/>
  <c r="B181" i="20" s="1"/>
  <c r="B215" i="20" s="1"/>
  <c r="B249" i="20" s="1"/>
  <c r="B283" i="20" s="1"/>
  <c r="B45" i="20"/>
  <c r="H65" i="22"/>
  <c r="J65" i="22"/>
  <c r="H35" i="22"/>
  <c r="J35" i="22"/>
  <c r="C89" i="20"/>
  <c r="C123" i="20" s="1"/>
  <c r="C157" i="20" s="1"/>
  <c r="C191" i="20" s="1"/>
  <c r="C225" i="20" s="1"/>
  <c r="C55" i="20"/>
  <c r="C83" i="20"/>
  <c r="C117" i="20" s="1"/>
  <c r="C151" i="20" s="1"/>
  <c r="C185" i="20" s="1"/>
  <c r="C219" i="20" s="1"/>
  <c r="C49" i="20"/>
  <c r="C90" i="20"/>
  <c r="C124" i="20" s="1"/>
  <c r="C158" i="20" s="1"/>
  <c r="C192" i="20" s="1"/>
  <c r="C226" i="20" s="1"/>
  <c r="C56" i="20"/>
  <c r="B87" i="20"/>
  <c r="B121" i="20" s="1"/>
  <c r="B155" i="20" s="1"/>
  <c r="B189" i="20" s="1"/>
  <c r="B223" i="20" s="1"/>
  <c r="B257" i="20" s="1"/>
  <c r="B291" i="20" s="1"/>
  <c r="B53" i="20"/>
  <c r="B90" i="20"/>
  <c r="B124" i="20" s="1"/>
  <c r="B158" i="20" s="1"/>
  <c r="B192" i="20" s="1"/>
  <c r="B226" i="20" s="1"/>
  <c r="B260" i="20" s="1"/>
  <c r="B294" i="20" s="1"/>
  <c r="B56" i="20"/>
  <c r="E93" i="19"/>
  <c r="K78" i="19"/>
  <c r="M78" i="19"/>
  <c r="E94" i="19"/>
  <c r="B80" i="20"/>
  <c r="B114" i="20" s="1"/>
  <c r="B148" i="20" s="1"/>
  <c r="B182" i="20" s="1"/>
  <c r="B216" i="20" s="1"/>
  <c r="B250" i="20" s="1"/>
  <c r="B284" i="20" s="1"/>
  <c r="B46" i="20"/>
  <c r="H27" i="22"/>
  <c r="J27" i="22"/>
  <c r="L21" i="19"/>
  <c r="D9" i="17" s="1"/>
  <c r="L22" i="19"/>
  <c r="D15" i="17" s="1"/>
  <c r="B83" i="20"/>
  <c r="B117" i="20" s="1"/>
  <c r="B151" i="20" s="1"/>
  <c r="B185" i="20" s="1"/>
  <c r="B219" i="20" s="1"/>
  <c r="B253" i="20" s="1"/>
  <c r="B287" i="20" s="1"/>
  <c r="B49" i="20"/>
  <c r="H37" i="22"/>
  <c r="J37" i="22"/>
  <c r="L37" i="30"/>
  <c r="H47" i="22"/>
  <c r="J47" i="22"/>
  <c r="C53" i="20"/>
  <c r="C87" i="20"/>
  <c r="C121" i="20" s="1"/>
  <c r="C155" i="20" s="1"/>
  <c r="C189" i="20" s="1"/>
  <c r="C223" i="20" s="1"/>
  <c r="B78" i="20"/>
  <c r="B112" i="20" s="1"/>
  <c r="B146" i="20" s="1"/>
  <c r="B180" i="20" s="1"/>
  <c r="B214" i="20" s="1"/>
  <c r="B248" i="20" s="1"/>
  <c r="B282" i="20" s="1"/>
  <c r="B44" i="20"/>
  <c r="C44" i="20"/>
  <c r="C78" i="20"/>
  <c r="C112" i="20" s="1"/>
  <c r="C146" i="20" s="1"/>
  <c r="C180" i="20" s="1"/>
  <c r="C214" i="20" s="1"/>
  <c r="B81" i="20"/>
  <c r="B115" i="20" s="1"/>
  <c r="B149" i="20" s="1"/>
  <c r="B183" i="20" s="1"/>
  <c r="B217" i="20" s="1"/>
  <c r="B251" i="20" s="1"/>
  <c r="B285" i="20" s="1"/>
  <c r="B47" i="20"/>
  <c r="C50" i="20"/>
  <c r="C84" i="20"/>
  <c r="C118" i="20" s="1"/>
  <c r="C152" i="20" s="1"/>
  <c r="C186" i="20" s="1"/>
  <c r="C220" i="20" s="1"/>
  <c r="F42" i="19"/>
  <c r="E58" i="19"/>
  <c r="K42" i="19"/>
  <c r="E57" i="19"/>
  <c r="M42" i="19"/>
  <c r="M80" i="19"/>
  <c r="K84" i="19"/>
  <c r="H39" i="22"/>
  <c r="J39" i="22"/>
  <c r="H73" i="22"/>
  <c r="J73" i="22"/>
  <c r="H53" i="22"/>
  <c r="J53" i="22"/>
  <c r="L34" i="30"/>
  <c r="B86" i="20"/>
  <c r="B120" i="20" s="1"/>
  <c r="B154" i="20" s="1"/>
  <c r="B188" i="20" s="1"/>
  <c r="B222" i="20" s="1"/>
  <c r="B256" i="20" s="1"/>
  <c r="B290" i="20" s="1"/>
  <c r="B52" i="20"/>
  <c r="J58" i="19"/>
  <c r="J57" i="19"/>
  <c r="C261" i="20"/>
  <c r="C295" i="20" s="1"/>
  <c r="E227" i="20"/>
  <c r="E261" i="20" s="1"/>
  <c r="E295" i="20" s="1"/>
  <c r="K80" i="19"/>
  <c r="G28" i="30"/>
  <c r="M28" i="30" s="1"/>
  <c r="H29" i="22"/>
  <c r="J29" i="22"/>
  <c r="G36" i="30"/>
  <c r="M36" i="30" s="1"/>
  <c r="H61" i="22"/>
  <c r="J61" i="22"/>
  <c r="H32" i="22"/>
  <c r="J32" i="22"/>
  <c r="F29" i="30"/>
  <c r="C51" i="20"/>
  <c r="C85" i="20"/>
  <c r="C119" i="20" s="1"/>
  <c r="C153" i="20" s="1"/>
  <c r="C187" i="20" s="1"/>
  <c r="C221" i="20" s="1"/>
  <c r="C46" i="20"/>
  <c r="C80" i="20"/>
  <c r="C114" i="20" s="1"/>
  <c r="C148" i="20" s="1"/>
  <c r="C182" i="20" s="1"/>
  <c r="C216" i="20" s="1"/>
  <c r="B88" i="20"/>
  <c r="B122" i="20" s="1"/>
  <c r="B156" i="20" s="1"/>
  <c r="B190" i="20" s="1"/>
  <c r="B224" i="20" s="1"/>
  <c r="B258" i="20" s="1"/>
  <c r="B292" i="20" s="1"/>
  <c r="B54" i="20"/>
  <c r="I94" i="19"/>
  <c r="H20" i="22"/>
  <c r="J20" i="22"/>
  <c r="L11" i="30"/>
  <c r="H19" i="22"/>
  <c r="J19" i="22"/>
  <c r="H26" i="22"/>
  <c r="J26" i="22"/>
  <c r="H7" i="30"/>
  <c r="K10" i="30"/>
  <c r="H38" i="22"/>
  <c r="J38" i="22"/>
  <c r="L30" i="30"/>
  <c r="C54" i="20"/>
  <c r="C88" i="20"/>
  <c r="C122" i="20" s="1"/>
  <c r="C156" i="20" s="1"/>
  <c r="C190" i="20" s="1"/>
  <c r="C224" i="20" s="1"/>
  <c r="C45" i="20"/>
  <c r="C79" i="20"/>
  <c r="C113" i="20" s="1"/>
  <c r="C147" i="20" s="1"/>
  <c r="C181" i="20" s="1"/>
  <c r="C215" i="20" s="1"/>
  <c r="C43" i="20"/>
  <c r="C77" i="20"/>
  <c r="C111" i="20" s="1"/>
  <c r="C145" i="20" s="1"/>
  <c r="C179" i="20" s="1"/>
  <c r="C213" i="20" s="1"/>
  <c r="B84" i="20"/>
  <c r="B118" i="20" s="1"/>
  <c r="B152" i="20" s="1"/>
  <c r="B186" i="20" s="1"/>
  <c r="B220" i="20" s="1"/>
  <c r="B254" i="20" s="1"/>
  <c r="B288" i="20" s="1"/>
  <c r="B50" i="20"/>
  <c r="B85" i="20"/>
  <c r="B119" i="20" s="1"/>
  <c r="B153" i="20" s="1"/>
  <c r="B187" i="20" s="1"/>
  <c r="B221" i="20" s="1"/>
  <c r="B255" i="20" s="1"/>
  <c r="B289" i="20" s="1"/>
  <c r="B51" i="20"/>
  <c r="B91" i="20"/>
  <c r="B125" i="20" s="1"/>
  <c r="B159" i="20" s="1"/>
  <c r="B193" i="20" s="1"/>
  <c r="B227" i="20" s="1"/>
  <c r="B261" i="20" s="1"/>
  <c r="B295" i="20" s="1"/>
  <c r="B57" i="20"/>
  <c r="M88" i="19"/>
  <c r="I93" i="19"/>
  <c r="H22" i="22"/>
  <c r="J22" i="22"/>
  <c r="L26" i="30"/>
  <c r="H44" i="22"/>
  <c r="J44" i="22"/>
  <c r="AC78" i="26"/>
  <c r="H25" i="22"/>
  <c r="J25" i="22"/>
  <c r="C82" i="20"/>
  <c r="C116" i="20" s="1"/>
  <c r="C150" i="20" s="1"/>
  <c r="C184" i="20" s="1"/>
  <c r="C218" i="20" s="1"/>
  <c r="C48" i="20"/>
  <c r="C52" i="20"/>
  <c r="C86" i="20"/>
  <c r="C120" i="20" s="1"/>
  <c r="C154" i="20" s="1"/>
  <c r="C188" i="20" s="1"/>
  <c r="C222" i="20" s="1"/>
  <c r="B89" i="20"/>
  <c r="B123" i="20" s="1"/>
  <c r="B157" i="20" s="1"/>
  <c r="B191" i="20" s="1"/>
  <c r="B225" i="20" s="1"/>
  <c r="B259" i="20" s="1"/>
  <c r="B293" i="20" s="1"/>
  <c r="B55" i="20"/>
  <c r="J78" i="19"/>
  <c r="G94" i="19"/>
  <c r="G93" i="19"/>
  <c r="K88" i="19"/>
  <c r="C47" i="20"/>
  <c r="C81" i="20"/>
  <c r="C115" i="20" s="1"/>
  <c r="C149" i="20" s="1"/>
  <c r="C183" i="20" s="1"/>
  <c r="C217" i="20" s="1"/>
  <c r="H24" i="22"/>
  <c r="J24" i="22"/>
  <c r="H41" i="22"/>
  <c r="J41" i="22"/>
  <c r="B77" i="20"/>
  <c r="B111" i="20" s="1"/>
  <c r="B145" i="20" s="1"/>
  <c r="B179" i="20" s="1"/>
  <c r="B213" i="20" s="1"/>
  <c r="B247" i="20" s="1"/>
  <c r="B281" i="20" s="1"/>
  <c r="B43" i="20"/>
  <c r="K79" i="19"/>
  <c r="C251" i="20" l="1"/>
  <c r="C285" i="20" s="1"/>
  <c r="E217" i="20"/>
  <c r="E251" i="20" s="1"/>
  <c r="E285" i="20" s="1"/>
  <c r="B6" i="22"/>
  <c r="J93" i="19"/>
  <c r="J94" i="19"/>
  <c r="E213" i="20"/>
  <c r="E247" i="20" s="1"/>
  <c r="E281" i="20" s="1"/>
  <c r="C247" i="20"/>
  <c r="C281" i="20" s="1"/>
  <c r="A16" i="30"/>
  <c r="G35" i="30"/>
  <c r="M35" i="30" s="1"/>
  <c r="G38" i="30"/>
  <c r="M38" i="30" s="1"/>
  <c r="G32" i="30"/>
  <c r="M32" i="30" s="1"/>
  <c r="G31" i="30"/>
  <c r="M31" i="30" s="1"/>
  <c r="G39" i="30"/>
  <c r="M39" i="30" s="1"/>
  <c r="G27" i="30"/>
  <c r="M27" i="30" s="1"/>
  <c r="G40" i="30"/>
  <c r="M40" i="30" s="1"/>
  <c r="E221" i="20"/>
  <c r="E255" i="20" s="1"/>
  <c r="E289" i="20" s="1"/>
  <c r="C255" i="20"/>
  <c r="C289" i="20" s="1"/>
  <c r="G33" i="30"/>
  <c r="M33" i="30" s="1"/>
  <c r="K57" i="19"/>
  <c r="C10" i="17" s="1"/>
  <c r="K58" i="19"/>
  <c r="C16" i="17" s="1"/>
  <c r="E225" i="20"/>
  <c r="E259" i="20" s="1"/>
  <c r="E293" i="20" s="1"/>
  <c r="C259" i="20"/>
  <c r="C293" i="20" s="1"/>
  <c r="C249" i="20"/>
  <c r="C283" i="20" s="1"/>
  <c r="E215" i="20"/>
  <c r="E249" i="20" s="1"/>
  <c r="E283" i="20" s="1"/>
  <c r="G29" i="30"/>
  <c r="M29" i="30" s="1"/>
  <c r="F57" i="19"/>
  <c r="F58" i="19"/>
  <c r="L42" i="19"/>
  <c r="E222" i="20"/>
  <c r="E256" i="20" s="1"/>
  <c r="E290" i="20" s="1"/>
  <c r="C256" i="20"/>
  <c r="C290" i="20" s="1"/>
  <c r="E220" i="20"/>
  <c r="E254" i="20" s="1"/>
  <c r="E288" i="20" s="1"/>
  <c r="C254" i="20"/>
  <c r="C288" i="20" s="1"/>
  <c r="C257" i="20"/>
  <c r="C291" i="20" s="1"/>
  <c r="E223" i="20"/>
  <c r="E257" i="20" s="1"/>
  <c r="E291" i="20" s="1"/>
  <c r="E224" i="20"/>
  <c r="E258" i="20" s="1"/>
  <c r="E292" i="20" s="1"/>
  <c r="C258" i="20"/>
  <c r="C292" i="20" s="1"/>
  <c r="M93" i="19"/>
  <c r="E11" i="17" s="1"/>
  <c r="M94" i="19"/>
  <c r="E17" i="17" s="1"/>
  <c r="K93" i="19"/>
  <c r="C11" i="17" s="1"/>
  <c r="K94" i="19"/>
  <c r="C17" i="17" s="1"/>
  <c r="E226" i="20"/>
  <c r="E260" i="20" s="1"/>
  <c r="E294" i="20" s="1"/>
  <c r="C260" i="20"/>
  <c r="C294" i="20" s="1"/>
  <c r="E218" i="20"/>
  <c r="E252" i="20" s="1"/>
  <c r="E286" i="20" s="1"/>
  <c r="C252" i="20"/>
  <c r="C286" i="20" s="1"/>
  <c r="E216" i="20"/>
  <c r="E250" i="20" s="1"/>
  <c r="E284" i="20" s="1"/>
  <c r="C250" i="20"/>
  <c r="C284" i="20" s="1"/>
  <c r="M58" i="19"/>
  <c r="E16" i="17" s="1"/>
  <c r="E18" i="17" s="1"/>
  <c r="J10" i="17" s="1"/>
  <c r="M57" i="19"/>
  <c r="E10" i="17" s="1"/>
  <c r="F78" i="19"/>
  <c r="L29" i="30"/>
  <c r="L42" i="30" s="1"/>
  <c r="G26" i="30"/>
  <c r="M26" i="30" s="1"/>
  <c r="B4" i="22"/>
  <c r="B8" i="22" s="1"/>
  <c r="F9" i="20" s="1"/>
  <c r="G37" i="30"/>
  <c r="M37" i="30" s="1"/>
  <c r="G34" i="30"/>
  <c r="M34" i="30" s="1"/>
  <c r="E214" i="20"/>
  <c r="E248" i="20" s="1"/>
  <c r="E282" i="20" s="1"/>
  <c r="C248" i="20"/>
  <c r="C282" i="20" s="1"/>
  <c r="E219" i="20"/>
  <c r="E253" i="20" s="1"/>
  <c r="E287" i="20" s="1"/>
  <c r="C253" i="20"/>
  <c r="C287" i="20" s="1"/>
  <c r="G30" i="30"/>
  <c r="M30" i="30" s="1"/>
  <c r="E12" i="17" l="1"/>
  <c r="J7" i="17" s="1"/>
  <c r="F10" i="20"/>
  <c r="F18" i="20"/>
  <c r="F14" i="20"/>
  <c r="F19" i="20"/>
  <c r="F23" i="20"/>
  <c r="F77" i="20"/>
  <c r="G77" i="20" s="1"/>
  <c r="F13" i="20"/>
  <c r="F16" i="20"/>
  <c r="F43" i="20"/>
  <c r="G43" i="20" s="1"/>
  <c r="F21" i="20"/>
  <c r="F20" i="20"/>
  <c r="F145" i="20"/>
  <c r="G145" i="20" s="1"/>
  <c r="F12" i="20"/>
  <c r="F111" i="20"/>
  <c r="F17" i="20"/>
  <c r="F11" i="20"/>
  <c r="F15" i="20"/>
  <c r="F179" i="20"/>
  <c r="G179" i="20" s="1"/>
  <c r="F22" i="20"/>
  <c r="G9" i="20"/>
  <c r="L43" i="30"/>
  <c r="M42" i="30"/>
  <c r="M45" i="30" s="1"/>
  <c r="M43" i="30"/>
  <c r="M46" i="30" s="1"/>
  <c r="L57" i="19"/>
  <c r="D10" i="17" s="1"/>
  <c r="L58" i="19"/>
  <c r="D16" i="17" s="1"/>
  <c r="C18" i="17"/>
  <c r="J8" i="17" s="1"/>
  <c r="L78" i="19"/>
  <c r="F93" i="19"/>
  <c r="F94" i="19"/>
  <c r="C12" i="17"/>
  <c r="J5" i="17" s="1"/>
  <c r="F85" i="20" l="1"/>
  <c r="G85" i="20" s="1"/>
  <c r="F119" i="20"/>
  <c r="G17" i="20"/>
  <c r="F51" i="20"/>
  <c r="G51" i="20" s="1"/>
  <c r="F187" i="20"/>
  <c r="G187" i="20" s="1"/>
  <c r="F153" i="20"/>
  <c r="G153" i="20" s="1"/>
  <c r="F115" i="20"/>
  <c r="F81" i="20"/>
  <c r="G81" i="20" s="1"/>
  <c r="F183" i="20"/>
  <c r="G183" i="20" s="1"/>
  <c r="F149" i="20"/>
  <c r="G149" i="20" s="1"/>
  <c r="F47" i="20"/>
  <c r="G47" i="20" s="1"/>
  <c r="G13" i="20"/>
  <c r="F46" i="20"/>
  <c r="G46" i="20" s="1"/>
  <c r="G12" i="20"/>
  <c r="F80" i="20"/>
  <c r="G80" i="20" s="1"/>
  <c r="F148" i="20"/>
  <c r="G148" i="20" s="1"/>
  <c r="F114" i="20"/>
  <c r="F182" i="20"/>
  <c r="G182" i="20" s="1"/>
  <c r="F57" i="20"/>
  <c r="G57" i="20" s="1"/>
  <c r="G23" i="20"/>
  <c r="F91" i="20"/>
  <c r="G91" i="20" s="1"/>
  <c r="F125" i="20"/>
  <c r="F159" i="20"/>
  <c r="G159" i="20" s="1"/>
  <c r="F193" i="20"/>
  <c r="G193" i="20" s="1"/>
  <c r="I179" i="20"/>
  <c r="H179" i="20"/>
  <c r="H9" i="20"/>
  <c r="I9" i="20"/>
  <c r="I145" i="20"/>
  <c r="H145" i="20"/>
  <c r="G19" i="20"/>
  <c r="F189" i="20"/>
  <c r="G189" i="20" s="1"/>
  <c r="F53" i="20"/>
  <c r="G53" i="20" s="1"/>
  <c r="F87" i="20"/>
  <c r="G87" i="20" s="1"/>
  <c r="F121" i="20"/>
  <c r="F155" i="20"/>
  <c r="G155" i="20" s="1"/>
  <c r="F120" i="20"/>
  <c r="F52" i="20"/>
  <c r="G52" i="20" s="1"/>
  <c r="G18" i="20"/>
  <c r="F154" i="20"/>
  <c r="G154" i="20" s="1"/>
  <c r="F188" i="20"/>
  <c r="G188" i="20" s="1"/>
  <c r="F86" i="20"/>
  <c r="G86" i="20" s="1"/>
  <c r="G111" i="20"/>
  <c r="F247" i="20"/>
  <c r="G247" i="20" s="1"/>
  <c r="F213" i="20"/>
  <c r="G213" i="20" s="1"/>
  <c r="F281" i="20"/>
  <c r="G281" i="20" s="1"/>
  <c r="I77" i="20"/>
  <c r="H77" i="20"/>
  <c r="L93" i="19"/>
  <c r="D11" i="17" s="1"/>
  <c r="L94" i="19"/>
  <c r="D17" i="17" s="1"/>
  <c r="D18" i="17" s="1"/>
  <c r="J9" i="17" s="1"/>
  <c r="F158" i="20"/>
  <c r="G158" i="20" s="1"/>
  <c r="F124" i="20"/>
  <c r="F192" i="20"/>
  <c r="G192" i="20" s="1"/>
  <c r="F56" i="20"/>
  <c r="G56" i="20" s="1"/>
  <c r="F90" i="20"/>
  <c r="G90" i="20" s="1"/>
  <c r="G22" i="20"/>
  <c r="F54" i="20"/>
  <c r="G54" i="20" s="1"/>
  <c r="G20" i="20"/>
  <c r="F122" i="20"/>
  <c r="F190" i="20"/>
  <c r="G190" i="20" s="1"/>
  <c r="F88" i="20"/>
  <c r="G88" i="20" s="1"/>
  <c r="F156" i="20"/>
  <c r="G156" i="20" s="1"/>
  <c r="F48" i="20"/>
  <c r="G48" i="20" s="1"/>
  <c r="F82" i="20"/>
  <c r="G82" i="20" s="1"/>
  <c r="F150" i="20"/>
  <c r="G150" i="20" s="1"/>
  <c r="G14" i="20"/>
  <c r="F184" i="20"/>
  <c r="G184" i="20" s="1"/>
  <c r="F116" i="20"/>
  <c r="F185" i="20"/>
  <c r="G185" i="20" s="1"/>
  <c r="G15" i="20"/>
  <c r="F151" i="20"/>
  <c r="G151" i="20" s="1"/>
  <c r="F49" i="20"/>
  <c r="G49" i="20" s="1"/>
  <c r="F83" i="20"/>
  <c r="G83" i="20" s="1"/>
  <c r="F117" i="20"/>
  <c r="H43" i="20"/>
  <c r="I43" i="20"/>
  <c r="F112" i="20"/>
  <c r="G10" i="20"/>
  <c r="F78" i="20"/>
  <c r="G78" i="20" s="1"/>
  <c r="F146" i="20"/>
  <c r="G146" i="20" s="1"/>
  <c r="F44" i="20"/>
  <c r="G44" i="20" s="1"/>
  <c r="F180" i="20"/>
  <c r="G180" i="20" s="1"/>
  <c r="F55" i="20"/>
  <c r="G55" i="20" s="1"/>
  <c r="G21" i="20"/>
  <c r="F157" i="20"/>
  <c r="G157" i="20" s="1"/>
  <c r="F89" i="20"/>
  <c r="G89" i="20" s="1"/>
  <c r="F123" i="20"/>
  <c r="F191" i="20"/>
  <c r="G191" i="20" s="1"/>
  <c r="D12" i="17"/>
  <c r="J6" i="17" s="1"/>
  <c r="G11" i="20"/>
  <c r="F181" i="20"/>
  <c r="G181" i="20" s="1"/>
  <c r="F79" i="20"/>
  <c r="G79" i="20" s="1"/>
  <c r="F113" i="20"/>
  <c r="F147" i="20"/>
  <c r="G147" i="20" s="1"/>
  <c r="F45" i="20"/>
  <c r="G45" i="20" s="1"/>
  <c r="F50" i="20"/>
  <c r="G50" i="20" s="1"/>
  <c r="F84" i="20"/>
  <c r="G84" i="20" s="1"/>
  <c r="F118" i="20"/>
  <c r="F186" i="20"/>
  <c r="G186" i="20" s="1"/>
  <c r="F152" i="20"/>
  <c r="G152" i="20" s="1"/>
  <c r="G16" i="20"/>
  <c r="I86" i="20" l="1"/>
  <c r="H86" i="20"/>
  <c r="H87" i="20"/>
  <c r="I87" i="20"/>
  <c r="I182" i="20"/>
  <c r="H182" i="20"/>
  <c r="I149" i="20"/>
  <c r="H149" i="20"/>
  <c r="F221" i="20"/>
  <c r="G221" i="20" s="1"/>
  <c r="F255" i="20"/>
  <c r="G255" i="20" s="1"/>
  <c r="G119" i="20"/>
  <c r="F289" i="20"/>
  <c r="G289" i="20" s="1"/>
  <c r="I50" i="20"/>
  <c r="H50" i="20"/>
  <c r="I191" i="20"/>
  <c r="H191" i="20"/>
  <c r="I146" i="20"/>
  <c r="H146" i="20"/>
  <c r="I49" i="20"/>
  <c r="H49" i="20"/>
  <c r="I150" i="20"/>
  <c r="H150" i="20"/>
  <c r="I54" i="20"/>
  <c r="H54" i="20"/>
  <c r="I188" i="20"/>
  <c r="H188" i="20"/>
  <c r="H53" i="20"/>
  <c r="I53" i="20"/>
  <c r="G114" i="20"/>
  <c r="F216" i="20"/>
  <c r="G216" i="20" s="1"/>
  <c r="F250" i="20"/>
  <c r="G250" i="20" s="1"/>
  <c r="F284" i="20"/>
  <c r="G284" i="20" s="1"/>
  <c r="I183" i="20"/>
  <c r="H183" i="20"/>
  <c r="H85" i="20"/>
  <c r="I85" i="20"/>
  <c r="I45" i="20"/>
  <c r="H45" i="20"/>
  <c r="G123" i="20"/>
  <c r="F225" i="20"/>
  <c r="G225" i="20" s="1"/>
  <c r="F293" i="20"/>
  <c r="G293" i="20" s="1"/>
  <c r="F259" i="20"/>
  <c r="G259" i="20" s="1"/>
  <c r="I78" i="20"/>
  <c r="H78" i="20"/>
  <c r="I151" i="20"/>
  <c r="H151" i="20"/>
  <c r="H82" i="20"/>
  <c r="I82" i="20"/>
  <c r="I22" i="20"/>
  <c r="H22" i="20"/>
  <c r="I154" i="20"/>
  <c r="H154" i="20"/>
  <c r="I189" i="20"/>
  <c r="H189" i="20"/>
  <c r="H193" i="20"/>
  <c r="I193" i="20"/>
  <c r="I148" i="20"/>
  <c r="H148" i="20"/>
  <c r="H81" i="20"/>
  <c r="I81" i="20"/>
  <c r="H83" i="20"/>
  <c r="I83" i="20"/>
  <c r="I14" i="20"/>
  <c r="H14" i="20"/>
  <c r="H89" i="20"/>
  <c r="I89" i="20"/>
  <c r="H15" i="20"/>
  <c r="I15" i="20"/>
  <c r="I90" i="20"/>
  <c r="H90" i="20"/>
  <c r="I18" i="20"/>
  <c r="H18" i="20"/>
  <c r="H19" i="20"/>
  <c r="I19" i="20"/>
  <c r="I159" i="20"/>
  <c r="H159" i="20"/>
  <c r="I80" i="20"/>
  <c r="H80" i="20"/>
  <c r="G115" i="20"/>
  <c r="F251" i="20"/>
  <c r="G251" i="20" s="1"/>
  <c r="F285" i="20"/>
  <c r="G285" i="20" s="1"/>
  <c r="F217" i="20"/>
  <c r="G217" i="20" s="1"/>
  <c r="I16" i="20"/>
  <c r="H16" i="20"/>
  <c r="G113" i="20"/>
  <c r="F215" i="20"/>
  <c r="G215" i="20" s="1"/>
  <c r="F283" i="20"/>
  <c r="G283" i="20" s="1"/>
  <c r="F249" i="20"/>
  <c r="G249" i="20" s="1"/>
  <c r="I157" i="20"/>
  <c r="H157" i="20"/>
  <c r="G112" i="20"/>
  <c r="F214" i="20"/>
  <c r="G214" i="20" s="1"/>
  <c r="F248" i="20"/>
  <c r="G248" i="20" s="1"/>
  <c r="F282" i="20"/>
  <c r="G282" i="20" s="1"/>
  <c r="I185" i="20"/>
  <c r="H185" i="20"/>
  <c r="I156" i="20"/>
  <c r="H156" i="20"/>
  <c r="I56" i="20"/>
  <c r="H56" i="20"/>
  <c r="H281" i="20"/>
  <c r="I281" i="20"/>
  <c r="I52" i="20"/>
  <c r="H52" i="20"/>
  <c r="G125" i="20"/>
  <c r="F227" i="20"/>
  <c r="G227" i="20" s="1"/>
  <c r="F295" i="20"/>
  <c r="G295" i="20" s="1"/>
  <c r="F261" i="20"/>
  <c r="G261" i="20" s="1"/>
  <c r="H12" i="20"/>
  <c r="I12" i="20"/>
  <c r="I153" i="20"/>
  <c r="H153" i="20"/>
  <c r="I152" i="20"/>
  <c r="H152" i="20"/>
  <c r="H79" i="20"/>
  <c r="I79" i="20"/>
  <c r="I21" i="20"/>
  <c r="H21" i="20"/>
  <c r="I88" i="20"/>
  <c r="H88" i="20"/>
  <c r="I192" i="20"/>
  <c r="H192" i="20"/>
  <c r="I213" i="20"/>
  <c r="H213" i="20"/>
  <c r="G120" i="20"/>
  <c r="F222" i="20"/>
  <c r="G222" i="20" s="1"/>
  <c r="F256" i="20"/>
  <c r="G256" i="20" s="1"/>
  <c r="F290" i="20"/>
  <c r="G290" i="20" s="1"/>
  <c r="I91" i="20"/>
  <c r="H91" i="20"/>
  <c r="H46" i="20"/>
  <c r="I46" i="20"/>
  <c r="I187" i="20"/>
  <c r="H187" i="20"/>
  <c r="I84" i="20"/>
  <c r="H84" i="20"/>
  <c r="I44" i="20"/>
  <c r="H44" i="20"/>
  <c r="H20" i="20"/>
  <c r="I20" i="20"/>
  <c r="I147" i="20"/>
  <c r="H147" i="20"/>
  <c r="H10" i="20"/>
  <c r="I10" i="20"/>
  <c r="I25" i="20" s="1"/>
  <c r="I48" i="20"/>
  <c r="H48" i="20"/>
  <c r="I186" i="20"/>
  <c r="H186" i="20"/>
  <c r="I181" i="20"/>
  <c r="H181" i="20"/>
  <c r="H55" i="20"/>
  <c r="I55" i="20"/>
  <c r="G116" i="20"/>
  <c r="F252" i="20"/>
  <c r="G252" i="20" s="1"/>
  <c r="F218" i="20"/>
  <c r="G218" i="20" s="1"/>
  <c r="F286" i="20"/>
  <c r="G286" i="20" s="1"/>
  <c r="H190" i="20"/>
  <c r="I190" i="20"/>
  <c r="G124" i="20"/>
  <c r="F260" i="20"/>
  <c r="G260" i="20" s="1"/>
  <c r="F226" i="20"/>
  <c r="G226" i="20" s="1"/>
  <c r="F294" i="20"/>
  <c r="G294" i="20" s="1"/>
  <c r="H247" i="20"/>
  <c r="I247" i="20"/>
  <c r="I155" i="20"/>
  <c r="H155" i="20"/>
  <c r="H23" i="20"/>
  <c r="I23" i="20"/>
  <c r="I13" i="20"/>
  <c r="H13" i="20"/>
  <c r="I51" i="20"/>
  <c r="H51" i="20"/>
  <c r="G118" i="20"/>
  <c r="F220" i="20"/>
  <c r="G220" i="20" s="1"/>
  <c r="F254" i="20"/>
  <c r="G254" i="20" s="1"/>
  <c r="F288" i="20"/>
  <c r="G288" i="20" s="1"/>
  <c r="I11" i="20"/>
  <c r="H11" i="20"/>
  <c r="I180" i="20"/>
  <c r="H180" i="20"/>
  <c r="G117" i="20"/>
  <c r="F219" i="20"/>
  <c r="G219" i="20" s="1"/>
  <c r="F253" i="20"/>
  <c r="G253" i="20" s="1"/>
  <c r="F287" i="20"/>
  <c r="G287" i="20" s="1"/>
  <c r="I184" i="20"/>
  <c r="H184" i="20"/>
  <c r="G122" i="20"/>
  <c r="F224" i="20"/>
  <c r="G224" i="20" s="1"/>
  <c r="F258" i="20"/>
  <c r="G258" i="20" s="1"/>
  <c r="F292" i="20"/>
  <c r="G292" i="20" s="1"/>
  <c r="I158" i="20"/>
  <c r="H158" i="20"/>
  <c r="H111" i="20"/>
  <c r="I111" i="20"/>
  <c r="G121" i="20"/>
  <c r="F223" i="20"/>
  <c r="G223" i="20" s="1"/>
  <c r="F291" i="20"/>
  <c r="G291" i="20" s="1"/>
  <c r="F257" i="20"/>
  <c r="G257" i="20" s="1"/>
  <c r="H57" i="20"/>
  <c r="I57" i="20"/>
  <c r="H47" i="20"/>
  <c r="I47" i="20"/>
  <c r="H17" i="20"/>
  <c r="I17" i="20"/>
  <c r="H59" i="20" l="1"/>
  <c r="I194" i="20"/>
  <c r="E32" i="17" s="1"/>
  <c r="H194" i="20"/>
  <c r="E27" i="17" s="1"/>
  <c r="H58" i="20"/>
  <c r="D26" i="17" s="1"/>
  <c r="I195" i="20"/>
  <c r="H93" i="20"/>
  <c r="I93" i="20"/>
  <c r="H92" i="20"/>
  <c r="E26" i="17" s="1"/>
  <c r="H161" i="20"/>
  <c r="H24" i="20"/>
  <c r="C26" i="17" s="1"/>
  <c r="I24" i="20"/>
  <c r="C31" i="17" s="1"/>
  <c r="I58" i="20"/>
  <c r="D31" i="17" s="1"/>
  <c r="I160" i="20"/>
  <c r="D32" i="17" s="1"/>
  <c r="H290" i="20"/>
  <c r="I290" i="20"/>
  <c r="H227" i="20"/>
  <c r="I227" i="20"/>
  <c r="H225" i="20"/>
  <c r="I225" i="20"/>
  <c r="H256" i="20"/>
  <c r="I256" i="20"/>
  <c r="H125" i="20"/>
  <c r="I125" i="20"/>
  <c r="I112" i="20"/>
  <c r="H112" i="20"/>
  <c r="H250" i="20"/>
  <c r="I250" i="20"/>
  <c r="H25" i="20"/>
  <c r="H287" i="20"/>
  <c r="I287" i="20"/>
  <c r="H288" i="20"/>
  <c r="I288" i="20"/>
  <c r="H294" i="20"/>
  <c r="I294" i="20"/>
  <c r="H252" i="20"/>
  <c r="I252" i="20"/>
  <c r="H222" i="20"/>
  <c r="I222" i="20"/>
  <c r="I59" i="20"/>
  <c r="H160" i="20"/>
  <c r="D27" i="17" s="1"/>
  <c r="H217" i="20"/>
  <c r="I217" i="20"/>
  <c r="H216" i="20"/>
  <c r="I216" i="20"/>
  <c r="H253" i="20"/>
  <c r="I253" i="20"/>
  <c r="H254" i="20"/>
  <c r="I254" i="20"/>
  <c r="H226" i="20"/>
  <c r="I226" i="20"/>
  <c r="I116" i="20"/>
  <c r="H116" i="20"/>
  <c r="H120" i="20"/>
  <c r="I120" i="20"/>
  <c r="H285" i="20"/>
  <c r="I285" i="20"/>
  <c r="H114" i="20"/>
  <c r="I114" i="20"/>
  <c r="H257" i="20"/>
  <c r="I257" i="20"/>
  <c r="H292" i="20"/>
  <c r="I292" i="20"/>
  <c r="H219" i="20"/>
  <c r="I219" i="20"/>
  <c r="I220" i="20"/>
  <c r="H220" i="20"/>
  <c r="H260" i="20"/>
  <c r="I260" i="20"/>
  <c r="H249" i="20"/>
  <c r="I249" i="20"/>
  <c r="H251" i="20"/>
  <c r="I251" i="20"/>
  <c r="H255" i="20"/>
  <c r="I255" i="20"/>
  <c r="H218" i="20"/>
  <c r="I218" i="20"/>
  <c r="I123" i="20"/>
  <c r="H123" i="20"/>
  <c r="I221" i="20"/>
  <c r="H221" i="20"/>
  <c r="H291" i="20"/>
  <c r="I291" i="20"/>
  <c r="H258" i="20"/>
  <c r="I258" i="20"/>
  <c r="H117" i="20"/>
  <c r="I117" i="20"/>
  <c r="H118" i="20"/>
  <c r="I118" i="20"/>
  <c r="H124" i="20"/>
  <c r="I124" i="20"/>
  <c r="H283" i="20"/>
  <c r="I283" i="20"/>
  <c r="I115" i="20"/>
  <c r="H115" i="20"/>
  <c r="I223" i="20"/>
  <c r="H223" i="20"/>
  <c r="I224" i="20"/>
  <c r="H224" i="20"/>
  <c r="I161" i="20"/>
  <c r="H261" i="20"/>
  <c r="I261" i="20"/>
  <c r="H282" i="20"/>
  <c r="I282" i="20"/>
  <c r="H215" i="20"/>
  <c r="I215" i="20"/>
  <c r="I92" i="20"/>
  <c r="E31" i="17" s="1"/>
  <c r="H259" i="20"/>
  <c r="I259" i="20"/>
  <c r="H289" i="20"/>
  <c r="I289" i="20"/>
  <c r="H195" i="20"/>
  <c r="H121" i="20"/>
  <c r="I121" i="20"/>
  <c r="H122" i="20"/>
  <c r="I122" i="20"/>
  <c r="H295" i="20"/>
  <c r="I295" i="20"/>
  <c r="H248" i="20"/>
  <c r="I248" i="20"/>
  <c r="I113" i="20"/>
  <c r="H113" i="20"/>
  <c r="H293" i="20"/>
  <c r="I293" i="20"/>
  <c r="I119" i="20"/>
  <c r="H119" i="20"/>
  <c r="H286" i="20"/>
  <c r="I286" i="20"/>
  <c r="H214" i="20"/>
  <c r="I214" i="20"/>
  <c r="H284" i="20"/>
  <c r="I284" i="20"/>
  <c r="H262" i="20" l="1"/>
  <c r="D28" i="17" s="1"/>
  <c r="I126" i="20"/>
  <c r="C32" i="17" s="1"/>
  <c r="I296" i="20"/>
  <c r="E33" i="17" s="1"/>
  <c r="H297" i="20"/>
  <c r="H228" i="20"/>
  <c r="C28" i="17" s="1"/>
  <c r="I263" i="20"/>
  <c r="I127" i="20"/>
  <c r="I229" i="20"/>
  <c r="H127" i="20"/>
  <c r="I228" i="20"/>
  <c r="C33" i="17" s="1"/>
  <c r="H263" i="20"/>
  <c r="H296" i="20"/>
  <c r="E28" i="17" s="1"/>
  <c r="H126" i="20"/>
  <c r="C27" i="17" s="1"/>
  <c r="I297" i="20"/>
  <c r="H229" i="20"/>
  <c r="I262" i="20"/>
  <c r="D33" i="17" s="1"/>
  <c r="J14" i="17" s="1"/>
  <c r="J13" i="17" l="1"/>
  <c r="J11" i="17"/>
  <c r="J12" i="17"/>
</calcChain>
</file>

<file path=xl/sharedStrings.xml><?xml version="1.0" encoding="utf-8"?>
<sst xmlns="http://schemas.openxmlformats.org/spreadsheetml/2006/main" count="3109" uniqueCount="1562">
  <si>
    <t>X</t>
  </si>
  <si>
    <t>Y</t>
  </si>
  <si>
    <t xml:space="preserve">Constant Growth Mean DCF </t>
  </si>
  <si>
    <t>Constant Growth DCF</t>
  </si>
  <si>
    <t>Minimum</t>
  </si>
  <si>
    <t>Average</t>
  </si>
  <si>
    <t>Maximum</t>
  </si>
  <si>
    <t>Constant Growth Median DCF</t>
  </si>
  <si>
    <t xml:space="preserve">CAPM </t>
  </si>
  <si>
    <t xml:space="preserve">ECAPM </t>
  </si>
  <si>
    <t>Risk Premium</t>
  </si>
  <si>
    <t>Low End ROE Recommendation</t>
  </si>
  <si>
    <t>High End ROE Recommendation</t>
  </si>
  <si>
    <t>Treasury</t>
  </si>
  <si>
    <t>[1]</t>
  </si>
  <si>
    <t>[2]</t>
  </si>
  <si>
    <t>[3]</t>
  </si>
  <si>
    <t>[4]</t>
  </si>
  <si>
    <t>[5]</t>
  </si>
  <si>
    <t>[6]</t>
  </si>
  <si>
    <t>Company</t>
  </si>
  <si>
    <t>Ticker</t>
  </si>
  <si>
    <t>Dividends</t>
  </si>
  <si>
    <t>Positive Growth Rates from at least two sources (Value Line, Yahoo! First Call, and Zacks)</t>
  </si>
  <si>
    <t>% Regulated Operating Income &gt; 60%</t>
  </si>
  <si>
    <t>Announced Merger</t>
  </si>
  <si>
    <t>ATO</t>
  </si>
  <si>
    <t>Yes</t>
  </si>
  <si>
    <t>A-</t>
  </si>
  <si>
    <t>No</t>
  </si>
  <si>
    <t>NI</t>
  </si>
  <si>
    <t>BBB+</t>
  </si>
  <si>
    <t>Notes:</t>
  </si>
  <si>
    <t>[1] Source: Bloomberg Professional</t>
  </si>
  <si>
    <t>Annualized Dividend</t>
  </si>
  <si>
    <t>Stock
Price</t>
  </si>
  <si>
    <t>Dividend Yield</t>
  </si>
  <si>
    <t>Expected Dividend Yield</t>
  </si>
  <si>
    <t>Mean</t>
  </si>
  <si>
    <t>Median</t>
  </si>
  <si>
    <t>[10] Equals [4] + [8]</t>
  </si>
  <si>
    <t>K = Rf + β (Rm − Rf)</t>
  </si>
  <si>
    <t>K = Rf + 0.25 x (Rm - Rf) + 0.75 x β x (Rm − Rf)</t>
  </si>
  <si>
    <t>Current 30-day average of 30-year U.S. Treasury bond yield</t>
  </si>
  <si>
    <t>Beta (β)</t>
  </si>
  <si>
    <t>Market Return (Rm)</t>
  </si>
  <si>
    <t>Market Risk Premium (Rm − Rf)</t>
  </si>
  <si>
    <t>ECAPM ROE (K)</t>
  </si>
  <si>
    <t>[5] Equals [1] + [2] x [4]</t>
  </si>
  <si>
    <t>[6] Equals [1] + 0.25 x ([4]) + 0.75 x ([2] x [4])</t>
  </si>
  <si>
    <t>[7]</t>
  </si>
  <si>
    <t>[8]</t>
  </si>
  <si>
    <t>[9]</t>
  </si>
  <si>
    <t>[10]</t>
  </si>
  <si>
    <t>[11]</t>
  </si>
  <si>
    <t>NMF</t>
  </si>
  <si>
    <t>[1] Value Line, dated December 26, 2013.</t>
  </si>
  <si>
    <t>[2] Value Line, dated December 31, 2014.</t>
  </si>
  <si>
    <t>[3] Value Line, dated December 30, 2015.</t>
  </si>
  <si>
    <t>[4] Value Line, dated December 29, 2016.</t>
  </si>
  <si>
    <t>[5] Value Line, dated December 28, 2017.</t>
  </si>
  <si>
    <t>[6] Value Line, dated December 27, 2018.</t>
  </si>
  <si>
    <t>[7] Value Line, dated December 26, 2019.</t>
  </si>
  <si>
    <t>[8] Value Line, dated December 30, 2020.</t>
  </si>
  <si>
    <t>[9] Value Line, dated December 29, 2021.</t>
  </si>
  <si>
    <t>[10] Value Line, dated December 30, 2022.</t>
  </si>
  <si>
    <t>[3] S&amp;P 500 Estimated Required Market Return</t>
  </si>
  <si>
    <t xml:space="preserve">Cap-Weighted </t>
  </si>
  <si>
    <t>Shares</t>
  </si>
  <si>
    <t>Market</t>
  </si>
  <si>
    <t>Weight in</t>
  </si>
  <si>
    <t>Estimated</t>
  </si>
  <si>
    <t>Cap-Weighted</t>
  </si>
  <si>
    <t>Long-Term</t>
  </si>
  <si>
    <t>Name</t>
  </si>
  <si>
    <t>Outst'g</t>
  </si>
  <si>
    <t>Price</t>
  </si>
  <si>
    <t>Capitalization</t>
  </si>
  <si>
    <t>Index</t>
  </si>
  <si>
    <t>Growth Est.</t>
  </si>
  <si>
    <t>LyondellBasell Industries NV</t>
  </si>
  <si>
    <t>LYB</t>
  </si>
  <si>
    <t>American Express Co</t>
  </si>
  <si>
    <t>AXP</t>
  </si>
  <si>
    <t>Verizon Communications Inc</t>
  </si>
  <si>
    <t>VZ</t>
  </si>
  <si>
    <t>Broadcom Inc</t>
  </si>
  <si>
    <t>AVGO</t>
  </si>
  <si>
    <t>Boeing Co/The</t>
  </si>
  <si>
    <t>BA</t>
  </si>
  <si>
    <t/>
  </si>
  <si>
    <t>Caterpillar Inc</t>
  </si>
  <si>
    <t>CAT</t>
  </si>
  <si>
    <t>JPMorgan Chase &amp; Co</t>
  </si>
  <si>
    <t>JPM</t>
  </si>
  <si>
    <t>Chevron Corp</t>
  </si>
  <si>
    <t>CVX</t>
  </si>
  <si>
    <t>Coca-Cola Co/The</t>
  </si>
  <si>
    <t>KO</t>
  </si>
  <si>
    <t>AbbVie Inc</t>
  </si>
  <si>
    <t>ABBV</t>
  </si>
  <si>
    <t>Walt Disney Co/The</t>
  </si>
  <si>
    <t>DIS</t>
  </si>
  <si>
    <t>FleetCor Technologies Inc</t>
  </si>
  <si>
    <t>FLT</t>
  </si>
  <si>
    <t>Extra Space Storage Inc</t>
  </si>
  <si>
    <t>EXR</t>
  </si>
  <si>
    <t>Exxon Mobil Corp</t>
  </si>
  <si>
    <t>XOM</t>
  </si>
  <si>
    <t>Phillips 66</t>
  </si>
  <si>
    <t>PSX</t>
  </si>
  <si>
    <t>General Electric Co</t>
  </si>
  <si>
    <t>GE</t>
  </si>
  <si>
    <t>HP Inc</t>
  </si>
  <si>
    <t>HPQ</t>
  </si>
  <si>
    <t>Home Depot Inc/The</t>
  </si>
  <si>
    <t>HD</t>
  </si>
  <si>
    <t>Monolithic Power Systems Inc</t>
  </si>
  <si>
    <t>MPWR</t>
  </si>
  <si>
    <t>International Business Machines Corp</t>
  </si>
  <si>
    <t>IBM</t>
  </si>
  <si>
    <t>Johnson &amp; Johnson</t>
  </si>
  <si>
    <t>JNJ</t>
  </si>
  <si>
    <t>McDonald's Corp</t>
  </si>
  <si>
    <t>MCD</t>
  </si>
  <si>
    <t>Merck &amp; Co Inc</t>
  </si>
  <si>
    <t>MRK</t>
  </si>
  <si>
    <t>3M Co</t>
  </si>
  <si>
    <t>MMM</t>
  </si>
  <si>
    <t>American Water Works Co Inc</t>
  </si>
  <si>
    <t>AWK</t>
  </si>
  <si>
    <t>Bank of America Corp</t>
  </si>
  <si>
    <t>BAC</t>
  </si>
  <si>
    <t>Pfizer Inc</t>
  </si>
  <si>
    <t>PFE</t>
  </si>
  <si>
    <t>Procter &amp; Gamble Co/The</t>
  </si>
  <si>
    <t>PG</t>
  </si>
  <si>
    <t>AT&amp;T Inc</t>
  </si>
  <si>
    <t>T</t>
  </si>
  <si>
    <t>Travelers Cos Inc/The</t>
  </si>
  <si>
    <t>TRV</t>
  </si>
  <si>
    <t>RTX</t>
  </si>
  <si>
    <t>Analog Devices Inc</t>
  </si>
  <si>
    <t>ADI</t>
  </si>
  <si>
    <t>Walmart Inc</t>
  </si>
  <si>
    <t>WMT</t>
  </si>
  <si>
    <t>Cisco Systems Inc</t>
  </si>
  <si>
    <t>CSCO</t>
  </si>
  <si>
    <t>Intel Corp</t>
  </si>
  <si>
    <t>INTC</t>
  </si>
  <si>
    <t>General Motors Co</t>
  </si>
  <si>
    <t>GM</t>
  </si>
  <si>
    <t>Microsoft Corp</t>
  </si>
  <si>
    <t>MSFT</t>
  </si>
  <si>
    <t>Dollar General Corp</t>
  </si>
  <si>
    <t>DG</t>
  </si>
  <si>
    <t>CI</t>
  </si>
  <si>
    <t>Kinder Morgan Inc</t>
  </si>
  <si>
    <t>KMI</t>
  </si>
  <si>
    <t>Citigroup Inc</t>
  </si>
  <si>
    <t>C</t>
  </si>
  <si>
    <t>American International Group Inc</t>
  </si>
  <si>
    <t>AIG</t>
  </si>
  <si>
    <t>Altria Group Inc</t>
  </si>
  <si>
    <t>MO</t>
  </si>
  <si>
    <t>HCA Healthcare Inc</t>
  </si>
  <si>
    <t>HCA</t>
  </si>
  <si>
    <t>International Paper Co</t>
  </si>
  <si>
    <t>IP</t>
  </si>
  <si>
    <t>Hewlett Packard Enterprise Co</t>
  </si>
  <si>
    <t>HPE</t>
  </si>
  <si>
    <t>Abbott Laboratories</t>
  </si>
  <si>
    <t>ABT</t>
  </si>
  <si>
    <t>Aflac Inc</t>
  </si>
  <si>
    <t>AFL</t>
  </si>
  <si>
    <t>Air Products and Chemicals Inc</t>
  </si>
  <si>
    <t>APD</t>
  </si>
  <si>
    <t>Royal Caribbean Cruises Ltd</t>
  </si>
  <si>
    <t>RCL</t>
  </si>
  <si>
    <t>Hess Corp</t>
  </si>
  <si>
    <t>HES</t>
  </si>
  <si>
    <t>Archer-Daniels-Midland Co</t>
  </si>
  <si>
    <t>ADM</t>
  </si>
  <si>
    <t>Automatic Data Processing Inc</t>
  </si>
  <si>
    <t>ADP</t>
  </si>
  <si>
    <t>Verisk Analytics Inc</t>
  </si>
  <si>
    <t>VRSK</t>
  </si>
  <si>
    <t>AutoZone Inc</t>
  </si>
  <si>
    <t>AZO</t>
  </si>
  <si>
    <t>Avery Dennison Corp</t>
  </si>
  <si>
    <t>AVY</t>
  </si>
  <si>
    <t>Enphase Energy Inc</t>
  </si>
  <si>
    <t>ENPH</t>
  </si>
  <si>
    <t>MSCI Inc</t>
  </si>
  <si>
    <t>MSCI</t>
  </si>
  <si>
    <t>Ball Corp</t>
  </si>
  <si>
    <t>BALL</t>
  </si>
  <si>
    <t>Carrier Global Corp</t>
  </si>
  <si>
    <t>CARR</t>
  </si>
  <si>
    <t>Bank of New York Mellon Corp/The</t>
  </si>
  <si>
    <t>BK</t>
  </si>
  <si>
    <t>Otis Worldwide Corp</t>
  </si>
  <si>
    <t>OTIS</t>
  </si>
  <si>
    <t>Baxter International Inc</t>
  </si>
  <si>
    <t>BAX</t>
  </si>
  <si>
    <t>BDX</t>
  </si>
  <si>
    <t>Berkshire Hathaway Inc</t>
  </si>
  <si>
    <t>BRK/B</t>
  </si>
  <si>
    <t>Best Buy Co Inc</t>
  </si>
  <si>
    <t>BBY</t>
  </si>
  <si>
    <t>Boston Scientific Corp</t>
  </si>
  <si>
    <t>BSX</t>
  </si>
  <si>
    <t>Bristol-Myers Squibb Co</t>
  </si>
  <si>
    <t>BMY</t>
  </si>
  <si>
    <t>Brown-Forman Corp</t>
  </si>
  <si>
    <t>BF/B</t>
  </si>
  <si>
    <t>Coterra Energy Inc</t>
  </si>
  <si>
    <t>CTRA</t>
  </si>
  <si>
    <t>Campbell Soup Co</t>
  </si>
  <si>
    <t>CPB</t>
  </si>
  <si>
    <t>Hilton Worldwide Holdings Inc</t>
  </si>
  <si>
    <t>HLT</t>
  </si>
  <si>
    <t>Carnival Corp</t>
  </si>
  <si>
    <t>CCL</t>
  </si>
  <si>
    <t>Qorvo Inc</t>
  </si>
  <si>
    <t>QRVO</t>
  </si>
  <si>
    <t>UDR Inc</t>
  </si>
  <si>
    <t>UDR</t>
  </si>
  <si>
    <t>Clorox Co/The</t>
  </si>
  <si>
    <t>CLX</t>
  </si>
  <si>
    <t>Paycom Software Inc</t>
  </si>
  <si>
    <t>PAYC</t>
  </si>
  <si>
    <t>CMS Energy Corp</t>
  </si>
  <si>
    <t>CMS</t>
  </si>
  <si>
    <t>Colgate-Palmolive Co</t>
  </si>
  <si>
    <t>CL</t>
  </si>
  <si>
    <t>EPAM Systems Inc</t>
  </si>
  <si>
    <t>EPAM</t>
  </si>
  <si>
    <t>Comerica Inc</t>
  </si>
  <si>
    <t>CMA</t>
  </si>
  <si>
    <t>Conagra Brands Inc</t>
  </si>
  <si>
    <t>CAG</t>
  </si>
  <si>
    <t>Consolidated Edison Inc</t>
  </si>
  <si>
    <t>ED</t>
  </si>
  <si>
    <t>Corning Inc</t>
  </si>
  <si>
    <t>GLW</t>
  </si>
  <si>
    <t>Cummins Inc</t>
  </si>
  <si>
    <t>CMI</t>
  </si>
  <si>
    <t>Caesars Entertainment Inc</t>
  </si>
  <si>
    <t>CZR</t>
  </si>
  <si>
    <t>Danaher Corp</t>
  </si>
  <si>
    <t>DHR</t>
  </si>
  <si>
    <t>Target Corp</t>
  </si>
  <si>
    <t>TGT</t>
  </si>
  <si>
    <t>Deere &amp; Co</t>
  </si>
  <si>
    <t>DE</t>
  </si>
  <si>
    <t>Dominion Energy Inc</t>
  </si>
  <si>
    <t>D</t>
  </si>
  <si>
    <t>Dover Corp</t>
  </si>
  <si>
    <t>DOV</t>
  </si>
  <si>
    <t>Alliant Energy Corp</t>
  </si>
  <si>
    <t>LNT</t>
  </si>
  <si>
    <t>Steel Dynamics Inc</t>
  </si>
  <si>
    <t>STLD</t>
  </si>
  <si>
    <t>Duke Energy Corp</t>
  </si>
  <si>
    <t>DUK</t>
  </si>
  <si>
    <t>Regency Centers Corp</t>
  </si>
  <si>
    <t>REG</t>
  </si>
  <si>
    <t>Eaton Corp PLC</t>
  </si>
  <si>
    <t>ETN</t>
  </si>
  <si>
    <t>Ecolab Inc</t>
  </si>
  <si>
    <t>ECL</t>
  </si>
  <si>
    <t>Emerson Electric Co</t>
  </si>
  <si>
    <t>EMR</t>
  </si>
  <si>
    <t>EOG Resources Inc</t>
  </si>
  <si>
    <t>EOG</t>
  </si>
  <si>
    <t>Aon PLC</t>
  </si>
  <si>
    <t>AON</t>
  </si>
  <si>
    <t>Entergy Corp</t>
  </si>
  <si>
    <t>ETR</t>
  </si>
  <si>
    <t>Equifax Inc</t>
  </si>
  <si>
    <t>EFX</t>
  </si>
  <si>
    <t>EQT Corp</t>
  </si>
  <si>
    <t>EQT</t>
  </si>
  <si>
    <t>IQVIA Holdings Inc</t>
  </si>
  <si>
    <t>IQV</t>
  </si>
  <si>
    <t>Gartner Inc</t>
  </si>
  <si>
    <t>IT</t>
  </si>
  <si>
    <t>FedEx Corp</t>
  </si>
  <si>
    <t>FDX</t>
  </si>
  <si>
    <t>FMC Corp</t>
  </si>
  <si>
    <t>FMC</t>
  </si>
  <si>
    <t>Brown &amp; Brown Inc</t>
  </si>
  <si>
    <t>BRO</t>
  </si>
  <si>
    <t>Ford Motor Co</t>
  </si>
  <si>
    <t>F</t>
  </si>
  <si>
    <t>NextEra Energy Inc</t>
  </si>
  <si>
    <t>NEE</t>
  </si>
  <si>
    <t>Franklin Resources Inc</t>
  </si>
  <si>
    <t>BEN</t>
  </si>
  <si>
    <t>Garmin Ltd</t>
  </si>
  <si>
    <t>GRMN</t>
  </si>
  <si>
    <t>Freeport-McMoRan Inc</t>
  </si>
  <si>
    <t>FCX</t>
  </si>
  <si>
    <t>Dexcom Inc</t>
  </si>
  <si>
    <t>DXCM</t>
  </si>
  <si>
    <t>General Dynamics Corp</t>
  </si>
  <si>
    <t>GD</t>
  </si>
  <si>
    <t>General Mills Inc</t>
  </si>
  <si>
    <t>GIS</t>
  </si>
  <si>
    <t>Genuine Parts Co</t>
  </si>
  <si>
    <t>GPC</t>
  </si>
  <si>
    <t>Atmos Energy Corp</t>
  </si>
  <si>
    <t>WW Grainger Inc</t>
  </si>
  <si>
    <t>GWW</t>
  </si>
  <si>
    <t>Halliburton Co</t>
  </si>
  <si>
    <t>HAL</t>
  </si>
  <si>
    <t>L3Harris Technologies Inc</t>
  </si>
  <si>
    <t>LHX</t>
  </si>
  <si>
    <t>Healthpeak Properties Inc</t>
  </si>
  <si>
    <t>PEAK</t>
  </si>
  <si>
    <t>Catalent Inc</t>
  </si>
  <si>
    <t>CTLT</t>
  </si>
  <si>
    <t>Fortive Corp</t>
  </si>
  <si>
    <t>FTV</t>
  </si>
  <si>
    <t>Hershey Co/The</t>
  </si>
  <si>
    <t>HSY</t>
  </si>
  <si>
    <t>Synchrony Financial</t>
  </si>
  <si>
    <t>SYF</t>
  </si>
  <si>
    <t>Hormel Foods Corp</t>
  </si>
  <si>
    <t>HRL</t>
  </si>
  <si>
    <t>Arthur J Gallagher &amp; Co</t>
  </si>
  <si>
    <t>AJG</t>
  </si>
  <si>
    <t>Mondelez International Inc</t>
  </si>
  <si>
    <t>MDLZ</t>
  </si>
  <si>
    <t>CenterPoint Energy Inc</t>
  </si>
  <si>
    <t>CNP</t>
  </si>
  <si>
    <t>Humana Inc</t>
  </si>
  <si>
    <t>HUM</t>
  </si>
  <si>
    <t>Willis Towers Watson PLC</t>
  </si>
  <si>
    <t>WTW</t>
  </si>
  <si>
    <t>Illinois Tool Works Inc</t>
  </si>
  <si>
    <t>ITW</t>
  </si>
  <si>
    <t>CDW Corp/DE</t>
  </si>
  <si>
    <t>CDW</t>
  </si>
  <si>
    <t>Trane Technologies PLC</t>
  </si>
  <si>
    <t>TT</t>
  </si>
  <si>
    <t>Interpublic Group of Cos Inc/The</t>
  </si>
  <si>
    <t>IPG</t>
  </si>
  <si>
    <t>International Flavors &amp; Fragrances Inc</t>
  </si>
  <si>
    <t>IFF</t>
  </si>
  <si>
    <t>Generac Holdings Inc</t>
  </si>
  <si>
    <t>GNRC</t>
  </si>
  <si>
    <t>NXP Semiconductors NV</t>
  </si>
  <si>
    <t>NXPI</t>
  </si>
  <si>
    <t>K</t>
  </si>
  <si>
    <t>Broadridge Financial Solutions Inc</t>
  </si>
  <si>
    <t>BR</t>
  </si>
  <si>
    <t>Kimberly-Clark Corp</t>
  </si>
  <si>
    <t>KMB</t>
  </si>
  <si>
    <t>Kimco Realty Corp</t>
  </si>
  <si>
    <t>KIM</t>
  </si>
  <si>
    <t>Oracle Corp</t>
  </si>
  <si>
    <t>ORCL</t>
  </si>
  <si>
    <t>Kroger Co/The</t>
  </si>
  <si>
    <t>KR</t>
  </si>
  <si>
    <t>Lennar Corp</t>
  </si>
  <si>
    <t>LEN</t>
  </si>
  <si>
    <t>Eli Lilly &amp; Co</t>
  </si>
  <si>
    <t>LLY</t>
  </si>
  <si>
    <t>Bath &amp; Body Works Inc</t>
  </si>
  <si>
    <t>BBWI</t>
  </si>
  <si>
    <t>Charter Communications Inc</t>
  </si>
  <si>
    <t>CHTR</t>
  </si>
  <si>
    <t>Loews Corp</t>
  </si>
  <si>
    <t>L</t>
  </si>
  <si>
    <t>Lowe's Cos Inc</t>
  </si>
  <si>
    <t>LOW</t>
  </si>
  <si>
    <t>IDEX Corp</t>
  </si>
  <si>
    <t>IEX</t>
  </si>
  <si>
    <t>Marsh &amp; McLennan Cos Inc</t>
  </si>
  <si>
    <t>MMC</t>
  </si>
  <si>
    <t>Masco Corp</t>
  </si>
  <si>
    <t>MAS</t>
  </si>
  <si>
    <t>S&amp;P Global Inc</t>
  </si>
  <si>
    <t>SPGI</t>
  </si>
  <si>
    <t>Medtronic PLC</t>
  </si>
  <si>
    <t>MDT</t>
  </si>
  <si>
    <t>Viatris Inc</t>
  </si>
  <si>
    <t>VTRS</t>
  </si>
  <si>
    <t>CVS Health Corp</t>
  </si>
  <si>
    <t>CVS</t>
  </si>
  <si>
    <t>DuPont de Nemours Inc</t>
  </si>
  <si>
    <t>DD</t>
  </si>
  <si>
    <t>Micron Technology Inc</t>
  </si>
  <si>
    <t>MU</t>
  </si>
  <si>
    <t>Motorola Solutions Inc</t>
  </si>
  <si>
    <t>MSI</t>
  </si>
  <si>
    <t>Cboe Global Markets Inc</t>
  </si>
  <si>
    <t>CBOE</t>
  </si>
  <si>
    <t>Laboratory Corp of America Holdings</t>
  </si>
  <si>
    <t>LH</t>
  </si>
  <si>
    <t>Newmont Corp</t>
  </si>
  <si>
    <t>NEM</t>
  </si>
  <si>
    <t>NIKE Inc</t>
  </si>
  <si>
    <t>NKE</t>
  </si>
  <si>
    <t>NiSource Inc</t>
  </si>
  <si>
    <t>Norfolk Southern Corp</t>
  </si>
  <si>
    <t>NSC</t>
  </si>
  <si>
    <t>Principal Financial Group Inc</t>
  </si>
  <si>
    <t>PFG</t>
  </si>
  <si>
    <t>Eversource Energy</t>
  </si>
  <si>
    <t>ES</t>
  </si>
  <si>
    <t>Northrop Grumman Corp</t>
  </si>
  <si>
    <t>NOC</t>
  </si>
  <si>
    <t>Wells Fargo &amp; Co</t>
  </si>
  <si>
    <t>WFC</t>
  </si>
  <si>
    <t>Nucor Corp</t>
  </si>
  <si>
    <t>NUE</t>
  </si>
  <si>
    <t>Occidental Petroleum Corp</t>
  </si>
  <si>
    <t>OXY</t>
  </si>
  <si>
    <t>Omnicom Group Inc</t>
  </si>
  <si>
    <t>OMC</t>
  </si>
  <si>
    <t>ONEOK Inc</t>
  </si>
  <si>
    <t>OKE</t>
  </si>
  <si>
    <t>Raymond James Financial Inc</t>
  </si>
  <si>
    <t>RJF</t>
  </si>
  <si>
    <t>PG&amp;E Corp</t>
  </si>
  <si>
    <t>PCG</t>
  </si>
  <si>
    <t>Parker-Hannifin Corp</t>
  </si>
  <si>
    <t>PH</t>
  </si>
  <si>
    <t>Rollins Inc</t>
  </si>
  <si>
    <t>ROL</t>
  </si>
  <si>
    <t>PPL Corp</t>
  </si>
  <si>
    <t>PPL</t>
  </si>
  <si>
    <t>ConocoPhillips</t>
  </si>
  <si>
    <t>COP</t>
  </si>
  <si>
    <t>PulteGroup Inc</t>
  </si>
  <si>
    <t>PHM</t>
  </si>
  <si>
    <t>Pinnacle West Capital Corp</t>
  </si>
  <si>
    <t>PNW</t>
  </si>
  <si>
    <t>PNC Financial Services Group Inc/The</t>
  </si>
  <si>
    <t>PNC</t>
  </si>
  <si>
    <t>PPG Industries Inc</t>
  </si>
  <si>
    <t>PPG</t>
  </si>
  <si>
    <t>Progressive Corp/The</t>
  </si>
  <si>
    <t>PGR</t>
  </si>
  <si>
    <t>Public Service Enterprise Group Inc</t>
  </si>
  <si>
    <t>PEG</t>
  </si>
  <si>
    <t>RHI</t>
  </si>
  <si>
    <t>Edison International</t>
  </si>
  <si>
    <t>EIX</t>
  </si>
  <si>
    <t>SLB</t>
  </si>
  <si>
    <t>Charles Schwab Corp/The</t>
  </si>
  <si>
    <t>SCHW</t>
  </si>
  <si>
    <t>Sherwin-Williams Co/The</t>
  </si>
  <si>
    <t>SHW</t>
  </si>
  <si>
    <t>West Pharmaceutical Services Inc</t>
  </si>
  <si>
    <t>WST</t>
  </si>
  <si>
    <t>J M Smucker Co/The</t>
  </si>
  <si>
    <t>SJM</t>
  </si>
  <si>
    <t>Snap-on Inc</t>
  </si>
  <si>
    <t>SNA</t>
  </si>
  <si>
    <t>AMETEK Inc</t>
  </si>
  <si>
    <t>AME</t>
  </si>
  <si>
    <t>Southern Co/The</t>
  </si>
  <si>
    <t>SO</t>
  </si>
  <si>
    <t>Truist Financial Corp</t>
  </si>
  <si>
    <t>TFC</t>
  </si>
  <si>
    <t>Southwest Airlines Co</t>
  </si>
  <si>
    <t>LUV</t>
  </si>
  <si>
    <t>W R Berkley Corp</t>
  </si>
  <si>
    <t>WRB</t>
  </si>
  <si>
    <t>Stanley Black &amp; Decker Inc</t>
  </si>
  <si>
    <t>SWK</t>
  </si>
  <si>
    <t>Public Storage</t>
  </si>
  <si>
    <t>PSA</t>
  </si>
  <si>
    <t>Arista Networks Inc</t>
  </si>
  <si>
    <t>ANET</t>
  </si>
  <si>
    <t>Sysco Corp</t>
  </si>
  <si>
    <t>SYY</t>
  </si>
  <si>
    <t>Corteva Inc</t>
  </si>
  <si>
    <t>CTVA</t>
  </si>
  <si>
    <t>Texas Instruments Inc</t>
  </si>
  <si>
    <t>TXN</t>
  </si>
  <si>
    <t>Textron Inc</t>
  </si>
  <si>
    <t>TXT</t>
  </si>
  <si>
    <t>Thermo Fisher Scientific Inc</t>
  </si>
  <si>
    <t>TMO</t>
  </si>
  <si>
    <t>TJX Cos Inc/The</t>
  </si>
  <si>
    <t>TJX</t>
  </si>
  <si>
    <t>Globe Life Inc</t>
  </si>
  <si>
    <t>GL</t>
  </si>
  <si>
    <t>Johnson Controls International plc</t>
  </si>
  <si>
    <t>JCI</t>
  </si>
  <si>
    <t>Ulta Beauty Inc</t>
  </si>
  <si>
    <t>ULTA</t>
  </si>
  <si>
    <t>Union Pacific Corp</t>
  </si>
  <si>
    <t>UNP</t>
  </si>
  <si>
    <t>Keysight Technologies Inc</t>
  </si>
  <si>
    <t>KEYS</t>
  </si>
  <si>
    <t>UnitedHealth Group Inc</t>
  </si>
  <si>
    <t>UNH</t>
  </si>
  <si>
    <t>Marathon Oil Corp</t>
  </si>
  <si>
    <t>MRO</t>
  </si>
  <si>
    <t>Bio-Rad Laboratories Inc</t>
  </si>
  <si>
    <t>BIO</t>
  </si>
  <si>
    <t>Ventas Inc</t>
  </si>
  <si>
    <t>VTR</t>
  </si>
  <si>
    <t>VF Corp</t>
  </si>
  <si>
    <t>VFC</t>
  </si>
  <si>
    <t>Vulcan Materials Co</t>
  </si>
  <si>
    <t>VMC</t>
  </si>
  <si>
    <t>Weyerhaeuser Co</t>
  </si>
  <si>
    <t>WY</t>
  </si>
  <si>
    <t>Whirlpool Corp</t>
  </si>
  <si>
    <t>WHR</t>
  </si>
  <si>
    <t>Williams Cos Inc/The</t>
  </si>
  <si>
    <t>WMB</t>
  </si>
  <si>
    <t>Constellation Energy Corp</t>
  </si>
  <si>
    <t>CEG</t>
  </si>
  <si>
    <t>WEC Energy Group Inc</t>
  </si>
  <si>
    <t>WEC</t>
  </si>
  <si>
    <t>Adobe Inc</t>
  </si>
  <si>
    <t>ADBE</t>
  </si>
  <si>
    <t>AES Corp/The</t>
  </si>
  <si>
    <t>AES</t>
  </si>
  <si>
    <t>Amgen Inc</t>
  </si>
  <si>
    <t>AMGN</t>
  </si>
  <si>
    <t>Apple Inc</t>
  </si>
  <si>
    <t>AAPL</t>
  </si>
  <si>
    <t>Autodesk Inc</t>
  </si>
  <si>
    <t>ADSK</t>
  </si>
  <si>
    <t>Cintas Corp</t>
  </si>
  <si>
    <t>CTAS</t>
  </si>
  <si>
    <t>Comcast Corp</t>
  </si>
  <si>
    <t>CMCSA</t>
  </si>
  <si>
    <t>Molson Coors Beverage Co</t>
  </si>
  <si>
    <t>TAP</t>
  </si>
  <si>
    <t>KLA Corp</t>
  </si>
  <si>
    <t>KLAC</t>
  </si>
  <si>
    <t>Marriott International Inc/MD</t>
  </si>
  <si>
    <t>MAR</t>
  </si>
  <si>
    <t>McCormick &amp; Co Inc/MD</t>
  </si>
  <si>
    <t>MKC</t>
  </si>
  <si>
    <t>PACCAR Inc</t>
  </si>
  <si>
    <t>PCAR</t>
  </si>
  <si>
    <t>Costco Wholesale Corp</t>
  </si>
  <si>
    <t>COST</t>
  </si>
  <si>
    <t>Stryker Corp</t>
  </si>
  <si>
    <t>SYK</t>
  </si>
  <si>
    <t>Tyson Foods Inc</t>
  </si>
  <si>
    <t>TSN</t>
  </si>
  <si>
    <t>Lamb Weston Holdings Inc</t>
  </si>
  <si>
    <t>LW</t>
  </si>
  <si>
    <t>Applied Materials Inc</t>
  </si>
  <si>
    <t>AMAT</t>
  </si>
  <si>
    <t>American Airlines Group Inc</t>
  </si>
  <si>
    <t>AAL</t>
  </si>
  <si>
    <t>Cardinal Health Inc</t>
  </si>
  <si>
    <t>CAH</t>
  </si>
  <si>
    <t>Cincinnati Financial Corp</t>
  </si>
  <si>
    <t>CINF</t>
  </si>
  <si>
    <t>Paramount Global</t>
  </si>
  <si>
    <t>PARA</t>
  </si>
  <si>
    <t>DR Horton Inc</t>
  </si>
  <si>
    <t>DHI</t>
  </si>
  <si>
    <t>Electronic Arts Inc</t>
  </si>
  <si>
    <t>EA</t>
  </si>
  <si>
    <t>Expeditors International of Washington Inc</t>
  </si>
  <si>
    <t>EXPD</t>
  </si>
  <si>
    <t>Fastenal Co</t>
  </si>
  <si>
    <t>FAST</t>
  </si>
  <si>
    <t>M&amp;T Bank Corp</t>
  </si>
  <si>
    <t>MTB</t>
  </si>
  <si>
    <t>Xcel Energy Inc</t>
  </si>
  <si>
    <t>XEL</t>
  </si>
  <si>
    <t>Fiserv Inc</t>
  </si>
  <si>
    <t>Fifth Third Bancorp</t>
  </si>
  <si>
    <t>FITB</t>
  </si>
  <si>
    <t>Gilead Sciences Inc</t>
  </si>
  <si>
    <t>GILD</t>
  </si>
  <si>
    <t>Hasbro Inc</t>
  </si>
  <si>
    <t>HAS</t>
  </si>
  <si>
    <t>Huntington Bancshares Inc/OH</t>
  </si>
  <si>
    <t>HBAN</t>
  </si>
  <si>
    <t>Welltower Inc</t>
  </si>
  <si>
    <t>WELL</t>
  </si>
  <si>
    <t>Biogen Inc</t>
  </si>
  <si>
    <t>BIIB</t>
  </si>
  <si>
    <t>Northern Trust Corp</t>
  </si>
  <si>
    <t>NTRS</t>
  </si>
  <si>
    <t>Packaging Corp of America</t>
  </si>
  <si>
    <t>PKG</t>
  </si>
  <si>
    <t>Paychex Inc</t>
  </si>
  <si>
    <t>PAYX</t>
  </si>
  <si>
    <t>QUALCOMM Inc</t>
  </si>
  <si>
    <t>QCOM</t>
  </si>
  <si>
    <t>Roper Technologies Inc</t>
  </si>
  <si>
    <t>ROP</t>
  </si>
  <si>
    <t>Ross Stores Inc</t>
  </si>
  <si>
    <t>ROST</t>
  </si>
  <si>
    <t>IDEXX Laboratories Inc</t>
  </si>
  <si>
    <t>IDXX</t>
  </si>
  <si>
    <t>Starbucks Corp</t>
  </si>
  <si>
    <t>SBUX</t>
  </si>
  <si>
    <t>KeyCorp</t>
  </si>
  <si>
    <t>KEY</t>
  </si>
  <si>
    <t>Fox Corp</t>
  </si>
  <si>
    <t>FOXA</t>
  </si>
  <si>
    <t>FOX</t>
  </si>
  <si>
    <t>State Street Corp</t>
  </si>
  <si>
    <t>STT</t>
  </si>
  <si>
    <t>Norwegian Cruise Line Holdings Ltd</t>
  </si>
  <si>
    <t>NCLH</t>
  </si>
  <si>
    <t>US Bancorp</t>
  </si>
  <si>
    <t>USB</t>
  </si>
  <si>
    <t>A O Smith Corp</t>
  </si>
  <si>
    <t>AOS</t>
  </si>
  <si>
    <t>Gen Digital Inc</t>
  </si>
  <si>
    <t>GEN</t>
  </si>
  <si>
    <t>T Rowe Price Group Inc</t>
  </si>
  <si>
    <t>TROW</t>
  </si>
  <si>
    <t>Waste Management Inc</t>
  </si>
  <si>
    <t>WM</t>
  </si>
  <si>
    <t>Constellation Brands Inc</t>
  </si>
  <si>
    <t>STZ</t>
  </si>
  <si>
    <t>DENTSPLY SIRONA Inc</t>
  </si>
  <si>
    <t>XRAY</t>
  </si>
  <si>
    <t>Zions Bancorp NA</t>
  </si>
  <si>
    <t>ZION</t>
  </si>
  <si>
    <t>Invesco Ltd</t>
  </si>
  <si>
    <t>IVZ</t>
  </si>
  <si>
    <t>Linde PLC</t>
  </si>
  <si>
    <t>LIN</t>
  </si>
  <si>
    <t>Intuit Inc</t>
  </si>
  <si>
    <t>INTU</t>
  </si>
  <si>
    <t>Morgan Stanley</t>
  </si>
  <si>
    <t>MS</t>
  </si>
  <si>
    <t>Microchip Technology Inc</t>
  </si>
  <si>
    <t>MCHP</t>
  </si>
  <si>
    <t>Chubb Ltd</t>
  </si>
  <si>
    <t>CB</t>
  </si>
  <si>
    <t>Hologic Inc</t>
  </si>
  <si>
    <t>HOLX</t>
  </si>
  <si>
    <t>Citizens Financial Group Inc</t>
  </si>
  <si>
    <t>CFG</t>
  </si>
  <si>
    <t>O'Reilly Automotive Inc</t>
  </si>
  <si>
    <t>ORLY</t>
  </si>
  <si>
    <t>Allstate Corp/The</t>
  </si>
  <si>
    <t>ALL</t>
  </si>
  <si>
    <t>Equity Residential</t>
  </si>
  <si>
    <t>EQR</t>
  </si>
  <si>
    <t>BorgWarner Inc</t>
  </si>
  <si>
    <t>BWA</t>
  </si>
  <si>
    <t>Keurig Dr Pepper Inc</t>
  </si>
  <si>
    <t>KDP</t>
  </si>
  <si>
    <t>Host Hotels &amp; Resorts Inc</t>
  </si>
  <si>
    <t>HST</t>
  </si>
  <si>
    <t>Incyte Corp</t>
  </si>
  <si>
    <t>INCY</t>
  </si>
  <si>
    <t>Simon Property Group Inc</t>
  </si>
  <si>
    <t>SPG</t>
  </si>
  <si>
    <t>Eastman Chemical Co</t>
  </si>
  <si>
    <t>EMN</t>
  </si>
  <si>
    <t>AvalonBay Communities Inc</t>
  </si>
  <si>
    <t>AVB</t>
  </si>
  <si>
    <t>Prudential Financial Inc</t>
  </si>
  <si>
    <t>PRU</t>
  </si>
  <si>
    <t>United Parcel Service Inc</t>
  </si>
  <si>
    <t>UPS</t>
  </si>
  <si>
    <t>Walgreens Boots Alliance Inc</t>
  </si>
  <si>
    <t>WBA</t>
  </si>
  <si>
    <t>STERIS PLC</t>
  </si>
  <si>
    <t>STE</t>
  </si>
  <si>
    <t>McKesson Corp</t>
  </si>
  <si>
    <t>MCK</t>
  </si>
  <si>
    <t>Lockheed Martin Corp</t>
  </si>
  <si>
    <t>LMT</t>
  </si>
  <si>
    <t>Capital One Financial Corp</t>
  </si>
  <si>
    <t>COF</t>
  </si>
  <si>
    <t>Waters Corp</t>
  </si>
  <si>
    <t>WAT</t>
  </si>
  <si>
    <t>Nordson Corp</t>
  </si>
  <si>
    <t>NDSN</t>
  </si>
  <si>
    <t>Dollar Tree Inc</t>
  </si>
  <si>
    <t>DLTR</t>
  </si>
  <si>
    <t>Darden Restaurants Inc</t>
  </si>
  <si>
    <t>DRI</t>
  </si>
  <si>
    <t>Evergy Inc</t>
  </si>
  <si>
    <t>EVRG</t>
  </si>
  <si>
    <t>Match Group Inc</t>
  </si>
  <si>
    <t>MTCH</t>
  </si>
  <si>
    <t>Domino's Pizza Inc</t>
  </si>
  <si>
    <t>DPZ</t>
  </si>
  <si>
    <t>NVR Inc</t>
  </si>
  <si>
    <t>NVR</t>
  </si>
  <si>
    <t>NetApp Inc</t>
  </si>
  <si>
    <t>NTAP</t>
  </si>
  <si>
    <t>Old Dominion Freight Line Inc</t>
  </si>
  <si>
    <t>ODFL</t>
  </si>
  <si>
    <t>DaVita Inc</t>
  </si>
  <si>
    <t>DVA</t>
  </si>
  <si>
    <t>Hartford Financial Services Group Inc/The</t>
  </si>
  <si>
    <t>HIG</t>
  </si>
  <si>
    <t>Iron Mountain Inc</t>
  </si>
  <si>
    <t>IRM</t>
  </si>
  <si>
    <t>Estee Lauder Cos Inc/The</t>
  </si>
  <si>
    <t>EL</t>
  </si>
  <si>
    <t>Cadence Design Systems Inc</t>
  </si>
  <si>
    <t>CDNS</t>
  </si>
  <si>
    <t>Tyler Technologies Inc</t>
  </si>
  <si>
    <t>TYL</t>
  </si>
  <si>
    <t>Universal Health Services Inc</t>
  </si>
  <si>
    <t>UHS</t>
  </si>
  <si>
    <t>Skyworks Solutions Inc</t>
  </si>
  <si>
    <t>SWKS</t>
  </si>
  <si>
    <t>Quest Diagnostics Inc</t>
  </si>
  <si>
    <t>DGX</t>
  </si>
  <si>
    <t>Rockwell Automation Inc</t>
  </si>
  <si>
    <t>ROK</t>
  </si>
  <si>
    <t>Kraft Heinz Co/The</t>
  </si>
  <si>
    <t>KHC</t>
  </si>
  <si>
    <t>American Tower Corp</t>
  </si>
  <si>
    <t>AMT</t>
  </si>
  <si>
    <t>Regeneron Pharmaceuticals Inc</t>
  </si>
  <si>
    <t>REGN</t>
  </si>
  <si>
    <t>Amazon.com Inc</t>
  </si>
  <si>
    <t>AMZN</t>
  </si>
  <si>
    <t>Jack Henry &amp; Associates Inc</t>
  </si>
  <si>
    <t>JKHY</t>
  </si>
  <si>
    <t>Ralph Lauren Corp</t>
  </si>
  <si>
    <t>RL</t>
  </si>
  <si>
    <t>Boston Properties Inc</t>
  </si>
  <si>
    <t>BXP</t>
  </si>
  <si>
    <t>Amphenol Corp</t>
  </si>
  <si>
    <t>APH</t>
  </si>
  <si>
    <t>Howmet Aerospace Inc</t>
  </si>
  <si>
    <t>HWM</t>
  </si>
  <si>
    <t>Pioneer Natural Resources Co</t>
  </si>
  <si>
    <t>PXD</t>
  </si>
  <si>
    <t>Valero Energy Corp</t>
  </si>
  <si>
    <t>VLO</t>
  </si>
  <si>
    <t>Synopsys Inc</t>
  </si>
  <si>
    <t>SNPS</t>
  </si>
  <si>
    <t>Etsy Inc</t>
  </si>
  <si>
    <t>ETSY</t>
  </si>
  <si>
    <t>CH Robinson Worldwide Inc</t>
  </si>
  <si>
    <t>CHRW</t>
  </si>
  <si>
    <t>Accenture PLC</t>
  </si>
  <si>
    <t>ACN</t>
  </si>
  <si>
    <t>TransDigm Group Inc</t>
  </si>
  <si>
    <t>TDG</t>
  </si>
  <si>
    <t>Yum! Brands Inc</t>
  </si>
  <si>
    <t>YUM</t>
  </si>
  <si>
    <t>Prologis Inc</t>
  </si>
  <si>
    <t>PLD</t>
  </si>
  <si>
    <t>FirstEnergy Corp</t>
  </si>
  <si>
    <t>FE</t>
  </si>
  <si>
    <t>VeriSign Inc</t>
  </si>
  <si>
    <t>VRSN</t>
  </si>
  <si>
    <t>Quanta Services Inc</t>
  </si>
  <si>
    <t>PWR</t>
  </si>
  <si>
    <t>Henry Schein Inc</t>
  </si>
  <si>
    <t>HSIC</t>
  </si>
  <si>
    <t>Ameren Corp</t>
  </si>
  <si>
    <t>AEE</t>
  </si>
  <si>
    <t>ANSYS Inc</t>
  </si>
  <si>
    <t>ANSS</t>
  </si>
  <si>
    <t>FactSet Research Systems Inc</t>
  </si>
  <si>
    <t>FDS</t>
  </si>
  <si>
    <t>NVIDIA Corp</t>
  </si>
  <si>
    <t>NVDA</t>
  </si>
  <si>
    <t>Cognizant Technology Solutions Corp</t>
  </si>
  <si>
    <t>CTSH</t>
  </si>
  <si>
    <t>Intuitive Surgical Inc</t>
  </si>
  <si>
    <t>ISRG</t>
  </si>
  <si>
    <t>Take-Two Interactive Software Inc</t>
  </si>
  <si>
    <t>TTWO</t>
  </si>
  <si>
    <t>Republic Services Inc</t>
  </si>
  <si>
    <t>RSG</t>
  </si>
  <si>
    <t>eBay Inc</t>
  </si>
  <si>
    <t>EBAY</t>
  </si>
  <si>
    <t>Goldman Sachs Group Inc/The</t>
  </si>
  <si>
    <t>GS</t>
  </si>
  <si>
    <t>SBA Communications Corp</t>
  </si>
  <si>
    <t>SBAC</t>
  </si>
  <si>
    <t>SRE</t>
  </si>
  <si>
    <t>Moody's Corp</t>
  </si>
  <si>
    <t>MCO</t>
  </si>
  <si>
    <t>ON Semiconductor Corp</t>
  </si>
  <si>
    <t>ON</t>
  </si>
  <si>
    <t>Booking Holdings Inc</t>
  </si>
  <si>
    <t>BKNG</t>
  </si>
  <si>
    <t>F5 Inc</t>
  </si>
  <si>
    <t>FFIV</t>
  </si>
  <si>
    <t>Akamai Technologies Inc</t>
  </si>
  <si>
    <t>AKAM</t>
  </si>
  <si>
    <t>Charles River Laboratories International Inc</t>
  </si>
  <si>
    <t>CRL</t>
  </si>
  <si>
    <t>MarketAxess Holdings Inc</t>
  </si>
  <si>
    <t>MKTX</t>
  </si>
  <si>
    <t>Devon Energy Corp</t>
  </si>
  <si>
    <t>DVN</t>
  </si>
  <si>
    <t>Bio-Techne Corp</t>
  </si>
  <si>
    <t>TECH</t>
  </si>
  <si>
    <t>Alphabet Inc</t>
  </si>
  <si>
    <t>GOOGL</t>
  </si>
  <si>
    <t>Teleflex Inc</t>
  </si>
  <si>
    <t>TFX</t>
  </si>
  <si>
    <t>Allegion plc</t>
  </si>
  <si>
    <t>ALLE</t>
  </si>
  <si>
    <t>Netflix Inc</t>
  </si>
  <si>
    <t>NFLX</t>
  </si>
  <si>
    <t>Warner Bros Discovery Inc</t>
  </si>
  <si>
    <t>WBD</t>
  </si>
  <si>
    <t>Agilent Technologies Inc</t>
  </si>
  <si>
    <t>A</t>
  </si>
  <si>
    <t>Trimble Inc</t>
  </si>
  <si>
    <t>TRMB</t>
  </si>
  <si>
    <t>Elevance Health Inc</t>
  </si>
  <si>
    <t>ELV</t>
  </si>
  <si>
    <t>CME Group Inc</t>
  </si>
  <si>
    <t>CME</t>
  </si>
  <si>
    <t>Juniper Networks Inc</t>
  </si>
  <si>
    <t>JNPR</t>
  </si>
  <si>
    <t>BlackRock Inc</t>
  </si>
  <si>
    <t>BLK</t>
  </si>
  <si>
    <t>DTE Energy Co</t>
  </si>
  <si>
    <t>DTE</t>
  </si>
  <si>
    <t>Celanese Corp</t>
  </si>
  <si>
    <t>CE</t>
  </si>
  <si>
    <t>Nasdaq Inc</t>
  </si>
  <si>
    <t>NDAQ</t>
  </si>
  <si>
    <t>Philip Morris International Inc</t>
  </si>
  <si>
    <t>PM</t>
  </si>
  <si>
    <t>Ingersoll Rand Inc</t>
  </si>
  <si>
    <t>IR</t>
  </si>
  <si>
    <t>Salesforce Inc</t>
  </si>
  <si>
    <t>CRM</t>
  </si>
  <si>
    <t>Huntington Ingalls Industries Inc</t>
  </si>
  <si>
    <t>HII</t>
  </si>
  <si>
    <t>MetLife Inc</t>
  </si>
  <si>
    <t>MET</t>
  </si>
  <si>
    <t>Tapestry Inc</t>
  </si>
  <si>
    <t>TPR</t>
  </si>
  <si>
    <t>CSX Corp</t>
  </si>
  <si>
    <t>CSX</t>
  </si>
  <si>
    <t>Edwards Lifesciences Corp</t>
  </si>
  <si>
    <t>EW</t>
  </si>
  <si>
    <t>Ameriprise Financial Inc</t>
  </si>
  <si>
    <t>AMP</t>
  </si>
  <si>
    <t>Zebra Technologies Corp</t>
  </si>
  <si>
    <t>ZBRA</t>
  </si>
  <si>
    <t>Zimmer Biomet Holdings Inc</t>
  </si>
  <si>
    <t>ZBH</t>
  </si>
  <si>
    <t>Camden Property Trust</t>
  </si>
  <si>
    <t>CPT</t>
  </si>
  <si>
    <t>CBRE Group Inc</t>
  </si>
  <si>
    <t>CBRE</t>
  </si>
  <si>
    <t>Mastercard Inc</t>
  </si>
  <si>
    <t>MA</t>
  </si>
  <si>
    <t>CarMax Inc</t>
  </si>
  <si>
    <t>KMX</t>
  </si>
  <si>
    <t>Intercontinental Exchange Inc</t>
  </si>
  <si>
    <t>ICE</t>
  </si>
  <si>
    <t>Fidelity National Information Services Inc</t>
  </si>
  <si>
    <t>FIS</t>
  </si>
  <si>
    <t>Chipotle Mexican Grill Inc</t>
  </si>
  <si>
    <t>CMG</t>
  </si>
  <si>
    <t>Wynn Resorts Ltd</t>
  </si>
  <si>
    <t>WYNN</t>
  </si>
  <si>
    <t>Live Nation Entertainment Inc</t>
  </si>
  <si>
    <t>LYV</t>
  </si>
  <si>
    <t>Assurant Inc</t>
  </si>
  <si>
    <t>AIZ</t>
  </si>
  <si>
    <t>NRG Energy Inc</t>
  </si>
  <si>
    <t>NRG</t>
  </si>
  <si>
    <t>Monster Beverage Corp</t>
  </si>
  <si>
    <t>MNST</t>
  </si>
  <si>
    <t>Regions Financial Corp</t>
  </si>
  <si>
    <t>RF</t>
  </si>
  <si>
    <t>Baker Hughes Co</t>
  </si>
  <si>
    <t>BKR</t>
  </si>
  <si>
    <t>Mosaic Co/The</t>
  </si>
  <si>
    <t>MOS</t>
  </si>
  <si>
    <t>Expedia Group Inc</t>
  </si>
  <si>
    <t>EXPE</t>
  </si>
  <si>
    <t>CF Industries Holdings Inc</t>
  </si>
  <si>
    <t>CF</t>
  </si>
  <si>
    <t>APA Corp</t>
  </si>
  <si>
    <t>APA</t>
  </si>
  <si>
    <t>Leidos Holdings Inc</t>
  </si>
  <si>
    <t>LDOS</t>
  </si>
  <si>
    <t>GOOG</t>
  </si>
  <si>
    <t>First Solar Inc</t>
  </si>
  <si>
    <t>FSLR</t>
  </si>
  <si>
    <t>Cooper Cos Inc/The</t>
  </si>
  <si>
    <t>COO</t>
  </si>
  <si>
    <t>TE Connectivity Ltd</t>
  </si>
  <si>
    <t>TEL</t>
  </si>
  <si>
    <t>Discover Financial Services</t>
  </si>
  <si>
    <t>DFS</t>
  </si>
  <si>
    <t>Visa Inc</t>
  </si>
  <si>
    <t>V</t>
  </si>
  <si>
    <t>Mid-America Apartment Communities Inc</t>
  </si>
  <si>
    <t>MAA</t>
  </si>
  <si>
    <t>Xylem Inc/NY</t>
  </si>
  <si>
    <t>XYL</t>
  </si>
  <si>
    <t>Marathon Petroleum Corp</t>
  </si>
  <si>
    <t>MPC</t>
  </si>
  <si>
    <t>Advanced Micro Devices Inc</t>
  </si>
  <si>
    <t>AMD</t>
  </si>
  <si>
    <t>Tractor Supply Co</t>
  </si>
  <si>
    <t>TSCO</t>
  </si>
  <si>
    <t>ResMed Inc</t>
  </si>
  <si>
    <t>RMD</t>
  </si>
  <si>
    <t>Mettler-Toledo International Inc</t>
  </si>
  <si>
    <t>MTD</t>
  </si>
  <si>
    <t>Jacobs Solutions Inc</t>
  </si>
  <si>
    <t>J</t>
  </si>
  <si>
    <t>Copart Inc</t>
  </si>
  <si>
    <t>CPRT</t>
  </si>
  <si>
    <t>VICI Properties Inc</t>
  </si>
  <si>
    <t>VICI</t>
  </si>
  <si>
    <t>Fortinet Inc</t>
  </si>
  <si>
    <t>FTNT</t>
  </si>
  <si>
    <t>Albemarle Corp</t>
  </si>
  <si>
    <t>ALB</t>
  </si>
  <si>
    <t>Moderna Inc</t>
  </si>
  <si>
    <t>MRNA</t>
  </si>
  <si>
    <t>Essex Property Trust Inc</t>
  </si>
  <si>
    <t>ESS</t>
  </si>
  <si>
    <t>CoStar Group Inc</t>
  </si>
  <si>
    <t>CSGP</t>
  </si>
  <si>
    <t>Realty Income Corp</t>
  </si>
  <si>
    <t>O</t>
  </si>
  <si>
    <t>Westrock Co</t>
  </si>
  <si>
    <t>WRK</t>
  </si>
  <si>
    <t>Westinghouse Air Brake Technologies Corp</t>
  </si>
  <si>
    <t>WAB</t>
  </si>
  <si>
    <t>Pool Corp</t>
  </si>
  <si>
    <t>POOL</t>
  </si>
  <si>
    <t>Western Digital Corp</t>
  </si>
  <si>
    <t>WDC</t>
  </si>
  <si>
    <t>PepsiCo Inc</t>
  </si>
  <si>
    <t>PEP</t>
  </si>
  <si>
    <t>Diamondback Energy Inc</t>
  </si>
  <si>
    <t>FANG</t>
  </si>
  <si>
    <t>ServiceNow Inc</t>
  </si>
  <si>
    <t>NOW</t>
  </si>
  <si>
    <t>Church &amp; Dwight Co Inc</t>
  </si>
  <si>
    <t>CHD</t>
  </si>
  <si>
    <t>Federal Realty Investment Trust</t>
  </si>
  <si>
    <t>FRT</t>
  </si>
  <si>
    <t>MGM Resorts International</t>
  </si>
  <si>
    <t>MGM</t>
  </si>
  <si>
    <t>American Electric Power Co Inc</t>
  </si>
  <si>
    <t>AEP</t>
  </si>
  <si>
    <t>Invitation Homes Inc</t>
  </si>
  <si>
    <t>INVH</t>
  </si>
  <si>
    <t>PTC Inc</t>
  </si>
  <si>
    <t>PTC</t>
  </si>
  <si>
    <t>JB Hunt Transport Services Inc</t>
  </si>
  <si>
    <t>JBHT</t>
  </si>
  <si>
    <t>Lam Research Corp</t>
  </si>
  <si>
    <t>LRCX</t>
  </si>
  <si>
    <t>Mohawk Industries Inc</t>
  </si>
  <si>
    <t>MHK</t>
  </si>
  <si>
    <t>Pentair PLC</t>
  </si>
  <si>
    <t>PNR</t>
  </si>
  <si>
    <t>Vertex Pharmaceuticals Inc</t>
  </si>
  <si>
    <t>VRTX</t>
  </si>
  <si>
    <t>Amcor PLC</t>
  </si>
  <si>
    <t>AMCR</t>
  </si>
  <si>
    <t>Meta Platforms Inc</t>
  </si>
  <si>
    <t>META</t>
  </si>
  <si>
    <t>T-Mobile US Inc</t>
  </si>
  <si>
    <t>TMUS</t>
  </si>
  <si>
    <t>United Rentals Inc</t>
  </si>
  <si>
    <t>URI</t>
  </si>
  <si>
    <t>Alexandria Real Estate Equities Inc</t>
  </si>
  <si>
    <t>ARE</t>
  </si>
  <si>
    <t>Honeywell International Inc</t>
  </si>
  <si>
    <t>HON</t>
  </si>
  <si>
    <t>Delta Air Lines Inc</t>
  </si>
  <si>
    <t>DAL</t>
  </si>
  <si>
    <t>United Airlines Holdings Inc</t>
  </si>
  <si>
    <t>UAL</t>
  </si>
  <si>
    <t>Seagate Technology Holdings PLC</t>
  </si>
  <si>
    <t>STX</t>
  </si>
  <si>
    <t>News Corp</t>
  </si>
  <si>
    <t>NWS</t>
  </si>
  <si>
    <t>Centene Corp</t>
  </si>
  <si>
    <t>CNC</t>
  </si>
  <si>
    <t>Martin Marietta Materials Inc</t>
  </si>
  <si>
    <t>MLM</t>
  </si>
  <si>
    <t>Teradyne Inc</t>
  </si>
  <si>
    <t>TER</t>
  </si>
  <si>
    <t>PayPal Holdings Inc</t>
  </si>
  <si>
    <t>PYPL</t>
  </si>
  <si>
    <t>Tesla Inc</t>
  </si>
  <si>
    <t>TSLA</t>
  </si>
  <si>
    <t>Arch Capital Group Ltd</t>
  </si>
  <si>
    <t>ACGL</t>
  </si>
  <si>
    <t>Dow Inc</t>
  </si>
  <si>
    <t>DOW</t>
  </si>
  <si>
    <t>Teledyne Technologies Inc</t>
  </si>
  <si>
    <t>TDY</t>
  </si>
  <si>
    <t>NWSA</t>
  </si>
  <si>
    <t>Exelon Corp</t>
  </si>
  <si>
    <t>EXC</t>
  </si>
  <si>
    <t>Global Payments Inc</t>
  </si>
  <si>
    <t>GPN</t>
  </si>
  <si>
    <t>Crown Castle Inc</t>
  </si>
  <si>
    <t>CCI</t>
  </si>
  <si>
    <t>Aptiv PLC</t>
  </si>
  <si>
    <t>APTV</t>
  </si>
  <si>
    <t>Align Technology Inc</t>
  </si>
  <si>
    <t>ALGN</t>
  </si>
  <si>
    <t>Illumina Inc</t>
  </si>
  <si>
    <t>ILMN</t>
  </si>
  <si>
    <t>Targa Resources Corp</t>
  </si>
  <si>
    <t>TRGP</t>
  </si>
  <si>
    <t>LKQ Corp</t>
  </si>
  <si>
    <t>LKQ</t>
  </si>
  <si>
    <t>Digital Realty Trust Inc</t>
  </si>
  <si>
    <t>DLR</t>
  </si>
  <si>
    <t>Equinix Inc</t>
  </si>
  <si>
    <t>EQIX</t>
  </si>
  <si>
    <t>Molina Healthcare Inc</t>
  </si>
  <si>
    <t>MOH</t>
  </si>
  <si>
    <t>Las Vegas Sands Corp</t>
  </si>
  <si>
    <t>LVS</t>
  </si>
  <si>
    <t>[1] Equals sum of Col. [9]</t>
  </si>
  <si>
    <t>[2] Equals sum of Col. [11]</t>
  </si>
  <si>
    <t>[3] Equals ([1] x (1 + (0.5 x [2]))) + [2]</t>
  </si>
  <si>
    <t>[6] Equals [4] x [5]</t>
  </si>
  <si>
    <t>[9] Equals [7] x [8]</t>
  </si>
  <si>
    <t>[11] Equals [7] x [10]</t>
  </si>
  <si>
    <t>30-Day Average</t>
  </si>
  <si>
    <t>90-Day Average</t>
  </si>
  <si>
    <t>180-Day Average</t>
  </si>
  <si>
    <t>Recommended ROE</t>
  </si>
  <si>
    <t>Long-term Avg. Beta</t>
  </si>
  <si>
    <t>S&amp;P Credit Rating Between BBB- and AAA</t>
  </si>
  <si>
    <t>Covered by More Than 1 Analyst</t>
  </si>
  <si>
    <t>Average Growth Rate</t>
  </si>
  <si>
    <t>Low ROE</t>
  </si>
  <si>
    <t>Mean ROE</t>
  </si>
  <si>
    <t>High ROE</t>
  </si>
  <si>
    <t>[3] Equals [1] / [2]</t>
  </si>
  <si>
    <t>[4] Equals [3] x (1 + 0.50 x [8])</t>
  </si>
  <si>
    <t>[5] Source: Value Line</t>
  </si>
  <si>
    <t>[6] Source: Yahoo! Finance</t>
  </si>
  <si>
    <t>[7] Source: Zacks</t>
  </si>
  <si>
    <t>[8] Equals Average ([5], [6], [7])</t>
  </si>
  <si>
    <t>[9] Equals [3] x (1 + 0.50 x Minimum ([5], [6], [7]) + Minimum ([5], [6], [7])</t>
  </si>
  <si>
    <t>[11] Equals [3] x (1 + 0.50 x Maximum ([5], [6], [7]) + Maximum ([5], [6], [7])</t>
  </si>
  <si>
    <t>CAPITAL ASSET PRICING MODEL -- CURRENT RISK-FREE RATE &amp; VL BETA</t>
  </si>
  <si>
    <t>[4] Equals [3] - [1]</t>
  </si>
  <si>
    <t>CAPITAL ASSET PRICING MODEL -- NEAR-TERM PROJECTED RISK-FREE RATE &amp; VL BETA</t>
  </si>
  <si>
    <t>CAPITAL ASSET PRICING MODEL -- LONG-TERM PROJECTED RISK-FREE RATE &amp; VL BETA</t>
  </si>
  <si>
    <t>CAPITAL ASSET PRICING MODEL -- CURRENT RISK-FREE RATE &amp; BLOOMBERG BETA</t>
  </si>
  <si>
    <t>CAPITAL ASSET PRICING MODEL -- NEAR-TERM PROJECTED RISK-FREE RATE &amp; BLOOMBERG BETA</t>
  </si>
  <si>
    <t>CAPITAL ASSET PRICING MODEL -- LONG-TERM PROJECTED RISK-FREE RATE &amp; BLOOMBERG BETA</t>
  </si>
  <si>
    <t>CAPITAL ASSET PRICING MODEL -- CURRENT RISK-FREE RATE &amp; VALUE LINE LT AVERAGE BETA</t>
  </si>
  <si>
    <t>CAPITAL ASSET PRICING MODEL -- NEAR-TERM PROJECTED RISK-FREE RATE &amp; VALUE LINE LT AVERAGE BETA</t>
  </si>
  <si>
    <t>MARKET RISK PREMIUM DERIVED FROM ANALYSTS' LONG-TERM GROWTH ESTIMATES</t>
  </si>
  <si>
    <t>[1] Estimated Weighted Average Dividend Yield</t>
  </si>
  <si>
    <t>[2] Estimated Weighted Average Long-Term Growth Rate</t>
  </si>
  <si>
    <t>STANDARD AND POOR'S 500 INDEX</t>
  </si>
  <si>
    <t>GE HealthCare Technologies Inc</t>
  </si>
  <si>
    <t>GEHC</t>
  </si>
  <si>
    <t>SUMMARY OF COE ANALYSES RESULTS</t>
  </si>
  <si>
    <t>Value Line Beta</t>
  </si>
  <si>
    <t>Bloomberg Beta</t>
  </si>
  <si>
    <t>ALLETE, Inc.</t>
  </si>
  <si>
    <t>ALE</t>
  </si>
  <si>
    <t>BBB</t>
  </si>
  <si>
    <t>Alliant Energy Corporation</t>
  </si>
  <si>
    <t>Ameren Corporation</t>
  </si>
  <si>
    <t>Duke Energy Corporation</t>
  </si>
  <si>
    <t>Entergy Corporation</t>
  </si>
  <si>
    <t>Evergy, Inc.</t>
  </si>
  <si>
    <t>IDACORP, Inc.</t>
  </si>
  <si>
    <t>IDA</t>
  </si>
  <si>
    <t>NextEra Energy, Inc.</t>
  </si>
  <si>
    <t>NorthWestern Corporation</t>
  </si>
  <si>
    <t>NWE</t>
  </si>
  <si>
    <t>Portland General Electric Company</t>
  </si>
  <si>
    <t>POR</t>
  </si>
  <si>
    <t>Xcel Energy Inc.</t>
  </si>
  <si>
    <t xml:space="preserve">Value Line EPS Growth </t>
  </si>
  <si>
    <t>Yahoo! Finance EPS Growth</t>
  </si>
  <si>
    <t>Zacks EPS Growth</t>
  </si>
  <si>
    <t>ROE (K)</t>
  </si>
  <si>
    <t>[2] Source: Value Line</t>
  </si>
  <si>
    <t>[3] Source: Market Return</t>
  </si>
  <si>
    <t>[2] Source: Bloomberg Professional, based on 10-year weekly returns</t>
  </si>
  <si>
    <t>[2] Source: LT Beta</t>
  </si>
  <si>
    <t>CAPITAL ASSET PRICING MODEL -- LONG-TERM PROJECTED RISK-FREE RATE &amp; VALUE LINE LT BETA</t>
  </si>
  <si>
    <t>HISTORICAL BETA - 2013 - 2022</t>
  </si>
  <si>
    <t>BOND YIELD PLUS RISK PREMIUM</t>
  </si>
  <si>
    <t>Quarter</t>
  </si>
  <si>
    <t>U.S. Govt. 30-year Treasury</t>
  </si>
  <si>
    <t>1992.1</t>
  </si>
  <si>
    <t>1992.2</t>
  </si>
  <si>
    <t>1992.3</t>
  </si>
  <si>
    <t>1992.4</t>
  </si>
  <si>
    <t>1993.1</t>
  </si>
  <si>
    <t>1993.2</t>
  </si>
  <si>
    <t>1993.3</t>
  </si>
  <si>
    <t>1993.4</t>
  </si>
  <si>
    <t>1994.1</t>
  </si>
  <si>
    <t>1994.2</t>
  </si>
  <si>
    <t>1994.3</t>
  </si>
  <si>
    <t>1994.4</t>
  </si>
  <si>
    <t>1995.2</t>
  </si>
  <si>
    <t>1995.3</t>
  </si>
  <si>
    <t>1995.4</t>
  </si>
  <si>
    <t>1996.1</t>
  </si>
  <si>
    <t>SUMMARY OUTPUT</t>
  </si>
  <si>
    <t>1996.2</t>
  </si>
  <si>
    <t>1996.3</t>
  </si>
  <si>
    <t>Regression Statistics</t>
  </si>
  <si>
    <t>1996.4</t>
  </si>
  <si>
    <t>Multiple R</t>
  </si>
  <si>
    <t>1997.1</t>
  </si>
  <si>
    <t>R Square</t>
  </si>
  <si>
    <t>1997.2</t>
  </si>
  <si>
    <t>Adjusted R Square</t>
  </si>
  <si>
    <t>1997.3</t>
  </si>
  <si>
    <t>Standard Error</t>
  </si>
  <si>
    <t>1997.4</t>
  </si>
  <si>
    <t>Observations</t>
  </si>
  <si>
    <t>1998.2</t>
  </si>
  <si>
    <t>ANOVA</t>
  </si>
  <si>
    <t>1998.3</t>
  </si>
  <si>
    <t>df</t>
  </si>
  <si>
    <t>SS</t>
  </si>
  <si>
    <t>Significance F</t>
  </si>
  <si>
    <t>1998.4</t>
  </si>
  <si>
    <t>Regression</t>
  </si>
  <si>
    <t>1999.1</t>
  </si>
  <si>
    <t>Residual</t>
  </si>
  <si>
    <t>1999.2</t>
  </si>
  <si>
    <t>Total</t>
  </si>
  <si>
    <t>1999.4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</si>
  <si>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</si>
  <si>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</si>
  <si>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</si>
  <si>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</si>
  <si>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</si>
  <si>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</si>
  <si>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</si>
  <si>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2000.1</t>
  </si>
  <si>
    <t>Intercept</t>
  </si>
  <si>
    <t>2000.2</t>
  </si>
  <si>
    <t>2000.3</t>
  </si>
  <si>
    <t>2000.4</t>
  </si>
  <si>
    <t>2001.1</t>
  </si>
  <si>
    <t>2001.2</t>
  </si>
  <si>
    <t>U.S. Govt.</t>
  </si>
  <si>
    <t>30-year</t>
  </si>
  <si>
    <t>Risk</t>
  </si>
  <si>
    <t>2001.4</t>
  </si>
  <si>
    <t>Premium</t>
  </si>
  <si>
    <t>ROE</t>
  </si>
  <si>
    <t>2002.1</t>
  </si>
  <si>
    <t>2002.2</t>
  </si>
  <si>
    <t>Current 30-day average of 30-year U.S. Treasury bond yield [4]</t>
  </si>
  <si>
    <t>2002.3</t>
  </si>
  <si>
    <t>2002.4</t>
  </si>
  <si>
    <t>2003.1</t>
  </si>
  <si>
    <t>AVERAGE</t>
  </si>
  <si>
    <t>2003.2</t>
  </si>
  <si>
    <t>2003.3</t>
  </si>
  <si>
    <t>2003.4</t>
  </si>
  <si>
    <t>2004.1</t>
  </si>
  <si>
    <t>[2] Source: S&amp;P Capital IQ Pro, quarterly bond yields are the average of each trading day in the quarter</t>
  </si>
  <si>
    <t>2004.2</t>
  </si>
  <si>
    <t>[3] Equals Column [1] − Column [2]</t>
  </si>
  <si>
    <t>2004.3</t>
  </si>
  <si>
    <t>2004.4</t>
  </si>
  <si>
    <t>2005.1</t>
  </si>
  <si>
    <t>2005.2</t>
  </si>
  <si>
    <t xml:space="preserve">[7] See notes [4], [5] &amp; [6] </t>
  </si>
  <si>
    <t>2005.3</t>
  </si>
  <si>
    <t>2005.4</t>
  </si>
  <si>
    <t>[9] Equals Column [7] + Column [8]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</si>
  <si>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</si>
  <si>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</si>
  <si>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</si>
  <si>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</si>
  <si>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</si>
  <si>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</si>
  <si>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</si>
  <si>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</si>
  <si>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</si>
  <si>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</si>
  <si>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</si>
  <si>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</si>
  <si>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</si>
  <si>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</si>
  <si>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</si>
  <si>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</si>
  <si>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</si>
  <si>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</si>
  <si>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</si>
  <si>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</si>
  <si>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</si>
  <si>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</si>
  <si>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</si>
  <si>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</si>
  <si>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</si>
  <si>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</si>
  <si>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</si>
  <si>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</si>
  <si>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</si>
  <si>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</si>
  <si>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</si>
  <si>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</si>
  <si>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</si>
  <si>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</si>
  <si>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</si>
  <si>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</si>
  <si>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</si>
  <si>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</si>
  <si>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</si>
  <si>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</si>
  <si>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</si>
  <si>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</si>
  <si>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</si>
  <si>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</si>
  <si>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</si>
  <si>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</si>
  <si>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</si>
  <si>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</si>
  <si>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</si>
  <si>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</si>
  <si>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</si>
  <si>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</si>
  <si>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</si>
  <si>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</si>
  <si>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</si>
  <si>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</si>
  <si>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</si>
  <si>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</si>
  <si>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MEDIAN</t>
  </si>
  <si>
    <t>[7] Equals weight in S&amp;P 500 based on market capitalization [6] if Growth Rate &gt;0% and ≤20%</t>
  </si>
  <si>
    <t>% Regulated Electric Operating Income &gt; 80%</t>
  </si>
  <si>
    <t>Cigna Group/The</t>
  </si>
  <si>
    <t>Becton Dickinson &amp; Co</t>
  </si>
  <si>
    <t>Insulet Corp</t>
  </si>
  <si>
    <t>PODD</t>
  </si>
  <si>
    <t>Schlumberger NV</t>
  </si>
  <si>
    <t>Fair Isaac Corp</t>
  </si>
  <si>
    <t>FICO</t>
  </si>
  <si>
    <t>Axon Enterprise Inc</t>
  </si>
  <si>
    <t>AXON</t>
  </si>
  <si>
    <t>Revvity Inc</t>
  </si>
  <si>
    <t>RVTY</t>
  </si>
  <si>
    <t>Projected 30-year U.S. Treasury bond yield 
(2025 - 2029)</t>
  </si>
  <si>
    <t>Blue Chip Long-Term Projected Forecast (2025-2029) [6]</t>
  </si>
  <si>
    <t>Pinnacle West Capital Corporation</t>
  </si>
  <si>
    <t>PROXY GROUP SCREENING DATA AND RESULTS</t>
  </si>
  <si>
    <t>Growth Rate</t>
  </si>
  <si>
    <t>Mean Results:</t>
  </si>
  <si>
    <t>Median Results:</t>
  </si>
  <si>
    <t>CAPM / ECAPM / Bond Yield Risk Premium</t>
  </si>
  <si>
    <t>Current</t>
  </si>
  <si>
    <t>Near-Term</t>
  </si>
  <si>
    <t>Longer-Term</t>
  </si>
  <si>
    <t>30-Day Avg</t>
  </si>
  <si>
    <t>Projected</t>
  </si>
  <si>
    <t>30-Year</t>
  </si>
  <si>
    <t>CAPM:</t>
  </si>
  <si>
    <t>ECAPM:</t>
  </si>
  <si>
    <t>Bond Yield Risk Premium:</t>
  </si>
  <si>
    <t>[1] Bloomberg Professional</t>
  </si>
  <si>
    <t>[2] Bloomberg Professional</t>
  </si>
  <si>
    <t>[3] Yahoo! Finance and Zacks</t>
  </si>
  <si>
    <t>[4] Yahoo! Finance, Value Line Investment Survey, and Zacks</t>
  </si>
  <si>
    <t>[5] Form 10-K's for 2022, 2021, and 2020</t>
  </si>
  <si>
    <t>[6] Form 10-K's for 2022, 2021, and 2020</t>
  </si>
  <si>
    <t>[7] S&amp;P Capital IQ Pro Financial News Releases</t>
  </si>
  <si>
    <t>Treasury Yield</t>
  </si>
  <si>
    <t>negative</t>
  </si>
  <si>
    <t>RTX Corp</t>
  </si>
  <si>
    <t>Robert Half Inc</t>
  </si>
  <si>
    <t>FI</t>
  </si>
  <si>
    <t>Cencora Inc</t>
  </si>
  <si>
    <t>COR</t>
  </si>
  <si>
    <t>Sempra</t>
  </si>
  <si>
    <t>Palo Alto Networks Inc</t>
  </si>
  <si>
    <t>PANW</t>
  </si>
  <si>
    <t>Everest Group Ltd</t>
  </si>
  <si>
    <t>EG</t>
  </si>
  <si>
    <t>Kenvue Inc</t>
  </si>
  <si>
    <t>KVUE</t>
  </si>
  <si>
    <t>Zoetis Inc</t>
  </si>
  <si>
    <t>ZTS</t>
  </si>
  <si>
    <t>OGE Energy Corporation</t>
  </si>
  <si>
    <t>OGE</t>
  </si>
  <si>
    <t>Airbnb Inc</t>
  </si>
  <si>
    <t>ABNB</t>
  </si>
  <si>
    <t>Kellanova</t>
  </si>
  <si>
    <t>Blackstone Inc</t>
  </si>
  <si>
    <t>BX</t>
  </si>
  <si>
    <t>Bloomberg</t>
  </si>
  <si>
    <t>Average Authorized Electric ROE</t>
  </si>
  <si>
    <t>30-DAY CONSTANT GROWTH DCF -- AEP TEXAS PROXY GROUP</t>
  </si>
  <si>
    <t>90-DAY CONSTANT GROWTH DCF -- AEP TEXAS PROXY GROUP</t>
  </si>
  <si>
    <t>180-DAY CONSTANT GROWTH DCF -- AEP TEXAS PROXY GROUP</t>
  </si>
  <si>
    <t>Rank</t>
  </si>
  <si>
    <t>RISK ASSESSMENT</t>
  </si>
  <si>
    <t>Proxy Group Company</t>
  </si>
  <si>
    <t>Operating Subsidiary</t>
  </si>
  <si>
    <t>Jurisdiction</t>
  </si>
  <si>
    <t>Service</t>
  </si>
  <si>
    <t>Electric fuel/gas commodity/purchase power</t>
  </si>
  <si>
    <t>Test Year</t>
  </si>
  <si>
    <t>Non-Volumetric Rate Design</t>
  </si>
  <si>
    <t>Capital Cost Recovery</t>
  </si>
  <si>
    <t>Revenue Decoupling</t>
  </si>
  <si>
    <t>Formula-based rates</t>
  </si>
  <si>
    <t>Straight Fixed-Variable Rate Design</t>
  </si>
  <si>
    <t>Traditional Generation</t>
  </si>
  <si>
    <t>Renewables/Non-Traditional Generation</t>
  </si>
  <si>
    <t>Delivery Infrastructure</t>
  </si>
  <si>
    <t>Environmental Compliance</t>
  </si>
  <si>
    <t>ALLETE (Minnesota Power)</t>
  </si>
  <si>
    <t>Minnesota</t>
  </si>
  <si>
    <t>Electric</t>
  </si>
  <si>
    <t>Fully Forecast</t>
  </si>
  <si>
    <t>Interstate Power &amp; Light Co.</t>
  </si>
  <si>
    <t>Iowa</t>
  </si>
  <si>
    <t>Historical</t>
  </si>
  <si>
    <t>Gas</t>
  </si>
  <si>
    <t>Wisconsin Power &amp; Light Co.</t>
  </si>
  <si>
    <t>Wisconsin</t>
  </si>
  <si>
    <t>Ameren Illinois Co.</t>
  </si>
  <si>
    <t>Illinois</t>
  </si>
  <si>
    <t>N/A</t>
  </si>
  <si>
    <t>Partial</t>
  </si>
  <si>
    <t>Union Electric Co.</t>
  </si>
  <si>
    <t>Missouri</t>
  </si>
  <si>
    <t>Yes - Sharing Band</t>
  </si>
  <si>
    <t>Arkansas</t>
  </si>
  <si>
    <t>Indiana</t>
  </si>
  <si>
    <t>Full</t>
  </si>
  <si>
    <t>Kentucky</t>
  </si>
  <si>
    <t>Louisiana</t>
  </si>
  <si>
    <t>Ohio</t>
  </si>
  <si>
    <t>Partially Forecast</t>
  </si>
  <si>
    <t>Oklahoma</t>
  </si>
  <si>
    <t>Tennessee</t>
  </si>
  <si>
    <t>AEP Texas</t>
  </si>
  <si>
    <t>Texas</t>
  </si>
  <si>
    <t>Duke Energy Florida LLC</t>
  </si>
  <si>
    <t>Florida</t>
  </si>
  <si>
    <t>Duke Energy Indiana LLC</t>
  </si>
  <si>
    <t>Duke Energy Kentucky Inc.</t>
  </si>
  <si>
    <t>Duke Energy Carolinas LLC/Duke Energy Progress LLC</t>
  </si>
  <si>
    <t>North Carolina</t>
  </si>
  <si>
    <t>Piedmont Natural Gas Co. Inc.</t>
  </si>
  <si>
    <t>Duke Energy Ohio Inc.</t>
  </si>
  <si>
    <t>South Carolina</t>
  </si>
  <si>
    <t>Southern California Edison Co.</t>
  </si>
  <si>
    <t>California</t>
  </si>
  <si>
    <t>Entergy Arkansas LLC</t>
  </si>
  <si>
    <t>Entergy New Orleans LLC</t>
  </si>
  <si>
    <t>Louisiana-NOCC</t>
  </si>
  <si>
    <t>Entergy Louisiana LLC</t>
  </si>
  <si>
    <t>Entergy Mississippi LLC</t>
  </si>
  <si>
    <t>Mississippi</t>
  </si>
  <si>
    <t>Entergy Texas Inc.</t>
  </si>
  <si>
    <t>Connecticut Light and Power Co.</t>
  </si>
  <si>
    <t>Connecticut</t>
  </si>
  <si>
    <t>Yankee Gas Services Co.</t>
  </si>
  <si>
    <t>Eversource Gas Co. of Massachusetts</t>
  </si>
  <si>
    <t>Massachusetts</t>
  </si>
  <si>
    <t>NSTAR Electric Co.</t>
  </si>
  <si>
    <t>NSTAR Gas Co.</t>
  </si>
  <si>
    <t>Public Service Co. of New Hampshire</t>
  </si>
  <si>
    <t>New Hampshire</t>
  </si>
  <si>
    <t>Evergy Kansas Central Inc</t>
  </si>
  <si>
    <t>Kansas</t>
  </si>
  <si>
    <t>Evergy Metro Inc.</t>
  </si>
  <si>
    <t>Evergy Metro Inc</t>
  </si>
  <si>
    <t>Evergy Missouri West Inc.</t>
  </si>
  <si>
    <t>Idaho Power Co.</t>
  </si>
  <si>
    <t>Idaho</t>
  </si>
  <si>
    <t>Oregon</t>
  </si>
  <si>
    <t>Florida Power &amp; Light Co.</t>
  </si>
  <si>
    <t>Pivotal Utility Holdings Inc.</t>
  </si>
  <si>
    <t xml:space="preserve">Lone Star Transmission LLC </t>
  </si>
  <si>
    <t>Montana</t>
  </si>
  <si>
    <t>Nebraska</t>
  </si>
  <si>
    <t>South Dakota</t>
  </si>
  <si>
    <t>OGE Energy Corp.</t>
  </si>
  <si>
    <t>Oklahoma Gas and Electric Company</t>
  </si>
  <si>
    <t>Arizona</t>
  </si>
  <si>
    <t>Portland General Electric Co.</t>
  </si>
  <si>
    <t>Public Service Co. of Colorado</t>
  </si>
  <si>
    <t>Colorado</t>
  </si>
  <si>
    <t>Northern States Power Co.-Minnesota</t>
  </si>
  <si>
    <t xml:space="preserve">Southwestern Public Service Co. </t>
  </si>
  <si>
    <t>New Mexico</t>
  </si>
  <si>
    <t>North Dakota</t>
  </si>
  <si>
    <t>Southwestern Public Service Co.</t>
  </si>
  <si>
    <t>Northern States Power Co.-Wisconsin</t>
  </si>
  <si>
    <t>Proxy Group Average</t>
  </si>
  <si>
    <t>% Yes and N/A</t>
  </si>
  <si>
    <t>Forecast</t>
  </si>
  <si>
    <t>% Yes</t>
  </si>
  <si>
    <t>[1] S&amp;P Global Market Intelligence, Regulatory Focus: Adjustment Clauses, dated July 18, 2022. Operating subsidiaries not covered in this report were excluded from this exhibit.</t>
  </si>
  <si>
    <t>[2] Regulatory Research Associates, effective as of May 31, 2023</t>
  </si>
  <si>
    <t>[3] S&amp;P Global Market Intelligence, Regulatory Focus: Adjustment Clauses, dated July 18, 2022.</t>
  </si>
  <si>
    <t>[4] Company Form 10-K, Company Tariffs, S&amp;P Capital IQ Pro</t>
  </si>
  <si>
    <t>[5] S&amp;P Global Market Intelligence, Regulatory Focus: Adjustment Clauses, dated July 18, 2022.</t>
  </si>
  <si>
    <t>[6] Equals IF( AND( [3]=No, [4]=No, [5]=No), No, Yes)</t>
  </si>
  <si>
    <t>[7] S&amp;P Global Market Intelligence, Regulatory Focus: Adjustment Clauses, dated July 18, 2022.</t>
  </si>
  <si>
    <t>[8] S&amp;P Global Market Intelligence, Regulatory Focus: Adjustment Clauses, dated July 18, 2022.</t>
  </si>
  <si>
    <t>[9] S&amp;P Global Market Intelligence, Regulatory Focus: Adjustment Clauses, dated July 18, 2022.</t>
  </si>
  <si>
    <t>[10] S&amp;P Global Market Intelligence, Regulatory Focus: Adjustment Clauses, dated July 18, 2022.</t>
  </si>
  <si>
    <t>[11] Equals IF( AND( [7]=No, [8]=No, [9]=No, [10]=No), No, Yes)</t>
  </si>
  <si>
    <t>RRA JURISDICTIONAL RANKINGS</t>
  </si>
  <si>
    <t>RRA</t>
  </si>
  <si>
    <t>Numeric Rank</t>
  </si>
  <si>
    <t>Average/2</t>
  </si>
  <si>
    <t>Above Average/3</t>
  </si>
  <si>
    <t>Average/3</t>
  </si>
  <si>
    <t>Average/1</t>
  </si>
  <si>
    <t>Texas (PUC)</t>
  </si>
  <si>
    <t>Below Average/1</t>
  </si>
  <si>
    <t>Above Average/2</t>
  </si>
  <si>
    <t>Louisiana (NOCC)</t>
  </si>
  <si>
    <t>Below Average/3</t>
  </si>
  <si>
    <t>Below Average/2</t>
  </si>
  <si>
    <t>Notes</t>
  </si>
  <si>
    <t xml:space="preserve">[2] AA/1= 1, AA/2= 2, AA/3= 3, A/1= 4, A/2= 5, A/3=6, BA/1= 7, BA/2= 8, BA/3= 9 </t>
  </si>
  <si>
    <t>CAPITAL STRUCTURE ANALYSIS</t>
  </si>
  <si>
    <t>Common</t>
  </si>
  <si>
    <t>Preferred</t>
  </si>
  <si>
    <t>Equity</t>
  </si>
  <si>
    <t>Debt</t>
  </si>
  <si>
    <t>Ratio</t>
  </si>
  <si>
    <t xml:space="preserve">[2] Electric and Natural Gas operating subsidiaries with data listed as N/A from S&amp;P Capital IQ have been excluded from the analysis.  </t>
  </si>
  <si>
    <t xml:space="preserve">COMPARISON OF AEP TEXAS AND PROXY GROUP COMPANIES  </t>
  </si>
  <si>
    <t>Ranking Legend</t>
  </si>
  <si>
    <t>Description</t>
  </si>
  <si>
    <t>Value</t>
  </si>
  <si>
    <t>Above Average/1</t>
  </si>
  <si>
    <t>Average/1 to Average/2</t>
  </si>
  <si>
    <t>AEP Texas [12]</t>
  </si>
  <si>
    <t>[12] Company Provided Data.</t>
  </si>
  <si>
    <t>Highly credit supportive</t>
  </si>
  <si>
    <t>Most credit supportive</t>
  </si>
  <si>
    <t>Very credit supportive</t>
  </si>
  <si>
    <t>More credit supportive</t>
  </si>
  <si>
    <t>Credit supportive</t>
  </si>
  <si>
    <t>S&amp;P JURISDICTIONAL RANKINGS</t>
  </si>
  <si>
    <t>[2] Most Credit Supp. = 1, Highly Credit Supp. = 2, Very Credit Supp. = 3, More Credit Supp. = 4, Credit Supp. = 5</t>
  </si>
  <si>
    <t>Very Credit Supportive to Highly Credit Supportive</t>
  </si>
  <si>
    <t>S&amp;P</t>
  </si>
  <si>
    <t>Ultimate Parent Company</t>
  </si>
  <si>
    <t>FLOTATION COST ADJUSTMENT</t>
  </si>
  <si>
    <t>Date [i]</t>
  </si>
  <si>
    <t>Shares Issued
(000)</t>
  </si>
  <si>
    <t>Offering Price</t>
  </si>
  <si>
    <t>Under-writing 
Discount [ii]</t>
  </si>
  <si>
    <t>Offering Expense ($000)</t>
  </si>
  <si>
    <t>Net Proceeds Per Share</t>
  </si>
  <si>
    <t>Total Flotation Costs
($000)</t>
  </si>
  <si>
    <t>Gross Equity Issue Before Costs ($000)</t>
  </si>
  <si>
    <t>Net Proceeds ($000)</t>
  </si>
  <si>
    <t>Flotation Cost Percentage</t>
  </si>
  <si>
    <t>WEIGHTED AVERAGE FLOTATION COSTS</t>
  </si>
  <si>
    <t>[i] Offering Completion Date</t>
  </si>
  <si>
    <t>[ii] Underwriting discount is calculated as the market price minus the offering price when not explicitly given in the prospectus.</t>
  </si>
  <si>
    <t>to determine the cost of equity.  Using the formulas shown previously in my testimony, the Constant Growth DCF calculation is modified as follows to accommodate an adjustment for flotation costs: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</si>
  <si>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</si>
  <si>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</si>
  <si>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</si>
  <si>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</si>
  <si>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</si>
  <si>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</si>
  <si>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</si>
  <si>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</si>
  <si>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</si>
  <si>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</si>
  <si>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Stock Price</t>
  </si>
  <si>
    <t>Expected Dividend Yield Adjusted for Flotation Costs</t>
  </si>
  <si>
    <t>Value Line Earnings Growth</t>
  </si>
  <si>
    <t>Yahoo! Finance Earnings Growth</t>
  </si>
  <si>
    <t>Zacks Earnings Growth</t>
  </si>
  <si>
    <t>Average Earnings Growth</t>
  </si>
  <si>
    <t>Cost of Equity:  Mean Growth Rate</t>
  </si>
  <si>
    <t>Cost of Equity Adjusted for Flotation Costs</t>
  </si>
  <si>
    <t>Flotation Cost Adjustment (Mean) [22]</t>
  </si>
  <si>
    <t>Flotation Cost Adjustment (Median) [23]</t>
  </si>
  <si>
    <t>[6] Equals [9]/[2]</t>
  </si>
  <si>
    <t>[7] Equals [5] + ([4] x [2])</t>
  </si>
  <si>
    <t>[8] Equals [2] x [3]</t>
  </si>
  <si>
    <t>[9] Equals [8] - [7]</t>
  </si>
  <si>
    <t>[10] Equals [7] / [8]</t>
  </si>
  <si>
    <t>[11] Bloomberg Professional</t>
  </si>
  <si>
    <t>[13] Equals [11] / [12]</t>
  </si>
  <si>
    <t>[14] Equals [13] x (1 + 0.5 x [19])</t>
  </si>
  <si>
    <t>[15] Equals [14] / (1 − Flotation Cost)</t>
  </si>
  <si>
    <t>[16] Value Line</t>
  </si>
  <si>
    <t>[17] Yahoo! Finance</t>
  </si>
  <si>
    <t>[18] Zacks Investment Research</t>
  </si>
  <si>
    <t>[19] Equals Average of [16], [17], [18]</t>
  </si>
  <si>
    <t>[20] Equals [14] + [19]</t>
  </si>
  <si>
    <t>[21] Equals [15] + [19]</t>
  </si>
  <si>
    <t>[22] Equals [21] (Mean) − [20] (Mean)</t>
  </si>
  <si>
    <t>[23] Equals [21] (Median) − [20] (Median)</t>
  </si>
  <si>
    <t>American Electric Power Company, Inc.</t>
  </si>
  <si>
    <t>[1] - [5] Source: American Electric Power Company, Inc. - Prospectus dated February 26, 2003 and Prospectus dated December 22, 2008</t>
  </si>
  <si>
    <t>Lululemon Athletica Inc</t>
  </si>
  <si>
    <t>LULU</t>
  </si>
  <si>
    <t>Hubbell Inc</t>
  </si>
  <si>
    <t>HUBB</t>
  </si>
  <si>
    <t>Veralto Corp</t>
  </si>
  <si>
    <t>VLTO</t>
  </si>
  <si>
    <t>Bunge Global SA</t>
  </si>
  <si>
    <t>BG</t>
  </si>
  <si>
    <t>[6] Source: Blue Chip Financial Forecasts, Vol. 42, No. 12, December 1, 2023, at 14</t>
  </si>
  <si>
    <t>[1] Source: Blue Chip Financial Forecasts, Vol. 42, No. 12, December 1, 2023, at 14</t>
  </si>
  <si>
    <t>[1] S&amp;P Global Ratings, "North American Utility Regulatory Jurisdictions Update: No Revised Assessments, But Notable Developments," November 10, 2023.</t>
  </si>
  <si>
    <t>1985.4</t>
  </si>
  <si>
    <t>Blue Chip Near-Term Projected Forecast (Q2 2024 - Q2 2025) [5]</t>
  </si>
  <si>
    <t>[1] Source: Regulatory Research Associates, rate cases through January 31, 2024</t>
  </si>
  <si>
    <t>[4] Source: S&amp;P Capital IQ Pro, 30-day average as of January 31, 2024</t>
  </si>
  <si>
    <t>[5] Source: Blue Chip Financial Forecasts, Vol. 43, No. 2, February 1, 2024, at 2</t>
  </si>
  <si>
    <t>[1] Ratios are weighted by actual common capital, preferred capital, long-term debt of the operating subsidiaries.</t>
  </si>
  <si>
    <t>Most Recent 8 Quarters (2021Q4 - 2023Q3)</t>
  </si>
  <si>
    <t>[2] Source: Bloomberg Professional, equals 30-day average as of January 31, 2024</t>
  </si>
  <si>
    <t>[2] Source: Bloomberg Professional, equals 90-day average as of January 31, 2024</t>
  </si>
  <si>
    <t>[2] Source: Bloomberg Professional, equals 180-day average as of January 31, 2024</t>
  </si>
  <si>
    <t>[12] Bloomberg Professional, equals 30-day average as of January 31, 2024</t>
  </si>
  <si>
    <t>Dayforce Inc</t>
  </si>
  <si>
    <t>DAY</t>
  </si>
  <si>
    <t>Builders FirstSource Inc</t>
  </si>
  <si>
    <t>BLDR</t>
  </si>
  <si>
    <t>Uber Technologies Inc</t>
  </si>
  <si>
    <t>UBER</t>
  </si>
  <si>
    <t>Jabil Inc</t>
  </si>
  <si>
    <t>JBL</t>
  </si>
  <si>
    <t>[4] Source: Bloomberg Professional as of January 31, 2024</t>
  </si>
  <si>
    <t>[5] Source: Bloomberg Professional as of January 31, 2024</t>
  </si>
  <si>
    <t>[8] Source: Bloomberg Professional, as of January 31, 2024</t>
  </si>
  <si>
    <t>[10] Source: Bloomberg Professional, as of January 31, 2024</t>
  </si>
  <si>
    <t>[11] Value Line, dated December 29, 2023.</t>
  </si>
  <si>
    <t>[12] Average ([1] - [11])</t>
  </si>
  <si>
    <t>Near-term projected 30-year U.S. Treasury bond yield 
(Q2 2024 - Q2 2025)</t>
  </si>
  <si>
    <t>[1] Source: Bloomberg Professional, as of January 31, 2024</t>
  </si>
  <si>
    <t>[1] Blue Chip Financial Forecasts, Vol. 43, No. 2, February 1, 2024, at 2</t>
  </si>
  <si>
    <t>[1] Source: State Regulatory Evaluations, Regulatory Research Associates, as of December 4,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</si>
</sst>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[&quot;#&quot;]&quot;"/>
    <numFmt numFmtId="166" formatCode="&quot;$&quot;#,##0.00"/>
    <numFmt numFmtId="167" formatCode="0.0000000"/>
    <numFmt numFmtId="168" formatCode="_(* #,##0.0000000_);_(* \(#,##0.0000000\);_(* &quot;-&quot;??_);_(@_)"/>
    <numFmt numFmtId="169" formatCode="_(* #,##0.00000_);_(* \(#,##0.00000\);_(* &quot;-&quot;??_);_(@_)"/>
    <numFmt numFmtId="170" formatCode="_(* #,##0.0000_);_(* \(#,##0.0000\);_(* &quot;-&quot;??_);_(@_)"/>
    <numFmt numFmtId="171" formatCode="0.0%"/>
    <numFmt numFmtId="172" formatCode="0.000"/>
    <numFmt numFmtId="173" formatCode="_(&quot;$&quot;* #,##0.0000_);_(&quot;$&quot;* \(#,##0.0000\);_(&quot;$&quot;* &quot;-&quot;??_);_(@_)"/>
    <numFmt numFmtId="174" formatCode="_(&quot;$&quot;* #,##0_);_(&quot;$&quot;* \(#,##0\);_(&quot;$&quot;* &quot;-&quot;??_);_(@_)"/>
    <numFmt numFmtId="175" formatCode="0.000%"/>
    <numFmt numFmtId="176" formatCode="&quot;$&quot;#,##0.0_);\(&quot;$&quot;#,##0.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el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name val="Times New Roman"/>
      <family val="1"/>
    </font>
    <font>
      <sz val="12"/>
      <color rgb="FF0000FF"/>
      <name val="Times New Roman"/>
      <family val="1"/>
    </font>
    <font>
      <u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" fillId="0" borderId="0" applyNumberFormat="0" applyBorder="0" applyProtection="0">
      <alignment vertical="center"/>
    </xf>
    <xf numFmtId="0" fontId="2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 applyNumberFormat="0" applyBorder="0" applyProtection="0">
      <alignment vertical="center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6" fillId="0" borderId="0"/>
    <xf numFmtId="0" fontId="4" fillId="0" borderId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5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 applyNumberFormat="0" applyBorder="0" applyProtection="0">
      <alignment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 applyNumberFormat="0" applyBorder="0" applyProtection="0">
      <alignment vertical="center"/>
    </xf>
    <xf numFmtId="0" fontId="4" fillId="0" borderId="0"/>
    <xf numFmtId="0" fontId="2" fillId="0" borderId="0"/>
    <xf numFmtId="0" fontId="2" fillId="0" borderId="0"/>
    <xf numFmtId="0" fontId="1" fillId="0" borderId="0" applyNumberFormat="0" applyBorder="0" applyProtection="0">
      <alignment vertical="center"/>
    </xf>
    <xf numFmtId="0" fontId="1" fillId="0" borderId="0" applyNumberFormat="0" applyBorder="0" applyProtection="0">
      <alignment vertical="center"/>
    </xf>
    <xf numFmtId="9" fontId="1" fillId="0" borderId="0" applyFont="0" applyFill="0" applyBorder="0" applyAlignment="0" applyProtection="0"/>
  </cellStyleXfs>
  <cellXfs count="423">
    <xf numFmtId="0" fontId="0" fillId="0" borderId="0" xfId="0"/>
    <xf numFmtId="164" fontId="3" fillId="0" borderId="0" xfId="5" applyNumberFormat="1" applyFont="1" applyAlignment="1">
      <alignment horizontal="center" vertical="center" wrapText="1"/>
    </xf>
    <xf numFmtId="0" fontId="3" fillId="0" borderId="0" xfId="6" applyFont="1" applyAlignment="1">
      <alignment horizontal="center"/>
    </xf>
    <xf numFmtId="0" fontId="3" fillId="0" borderId="0" xfId="6" applyFont="1" applyFill="1" applyAlignment="1">
      <alignment horizontal="center"/>
    </xf>
    <xf numFmtId="0" fontId="3" fillId="0" borderId="0" xfId="0" applyFont="1"/>
    <xf numFmtId="0" fontId="8" fillId="0" borderId="0" xfId="0" applyFont="1"/>
    <xf numFmtId="0" fontId="8" fillId="0" borderId="0" xfId="0" applyFont="1" applyFill="1"/>
    <xf numFmtId="0" fontId="3" fillId="0" borderId="0" xfId="3" applyFont="1" applyAlignment="1">
      <alignment horizontal="center" wrapText="1"/>
    </xf>
    <xf numFmtId="0" fontId="3" fillId="0" borderId="0" xfId="3" applyFont="1" applyAlignment="1">
      <alignment wrapText="1"/>
    </xf>
    <xf numFmtId="10" fontId="3" fillId="0" borderId="0" xfId="3" applyNumberFormat="1" applyFont="1" applyAlignment="1">
      <alignment wrapText="1"/>
    </xf>
    <xf numFmtId="0" fontId="10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5" applyFont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3" fillId="0" borderId="0" xfId="5" applyFont="1" applyAlignment="1">
      <alignment horizontal="right" vertical="center"/>
    </xf>
    <xf numFmtId="10" fontId="3" fillId="0" borderId="0" xfId="5" applyNumberFormat="1" applyFont="1" applyAlignment="1">
      <alignment horizontal="center" vertical="center" wrapText="1"/>
    </xf>
    <xf numFmtId="10" fontId="3" fillId="0" borderId="0" xfId="5" applyNumberFormat="1" applyFont="1" applyFill="1" applyBorder="1" applyAlignment="1">
      <alignment horizontal="center" vertical="center" wrapText="1"/>
    </xf>
    <xf numFmtId="10" fontId="3" fillId="0" borderId="0" xfId="3" applyNumberFormat="1" applyFont="1" applyAlignment="1">
      <alignment horizontal="center" vertical="center" wrapText="1"/>
    </xf>
    <xf numFmtId="43" fontId="3" fillId="0" borderId="0" xfId="15" applyFont="1" applyFill="1" applyBorder="1" applyAlignment="1">
      <alignment horizontal="right" vertical="center" wrapText="1"/>
    </xf>
    <xf numFmtId="10" fontId="3" fillId="0" borderId="0" xfId="5" applyNumberFormat="1" applyFont="1" applyAlignment="1">
      <alignment horizontal="right" vertical="center"/>
    </xf>
    <xf numFmtId="10" fontId="3" fillId="0" borderId="0" xfId="3" applyNumberFormat="1" applyFont="1" applyFill="1" applyBorder="1" applyAlignment="1">
      <alignment horizontal="center" vertical="center" wrapText="1"/>
    </xf>
    <xf numFmtId="0" fontId="3" fillId="0" borderId="0" xfId="3" applyFont="1"/>
    <xf numFmtId="0" fontId="3" fillId="0" borderId="0" xfId="5" applyFont="1"/>
    <xf numFmtId="0" fontId="12" fillId="0" borderId="0" xfId="3" applyFont="1" applyAlignment="1">
      <alignment horizontal="center" vertical="center" wrapText="1"/>
    </xf>
    <xf numFmtId="0" fontId="8" fillId="0" borderId="0" xfId="11" applyFont="1" applyAlignment="1">
      <alignment horizontal="left" wrapText="1"/>
    </xf>
    <xf numFmtId="0" fontId="8" fillId="0" borderId="0" xfId="11" applyFont="1" applyAlignment="1">
      <alignment vertical="top" wrapText="1"/>
    </xf>
    <xf numFmtId="3" fontId="3" fillId="0" borderId="0" xfId="3" applyNumberFormat="1" applyFont="1"/>
    <xf numFmtId="10" fontId="3" fillId="0" borderId="0" xfId="2" applyNumberFormat="1" applyFont="1" applyFill="1" applyBorder="1" applyAlignment="1">
      <alignment horizontal="center"/>
    </xf>
    <xf numFmtId="0" fontId="8" fillId="0" borderId="0" xfId="11" applyFont="1"/>
    <xf numFmtId="0" fontId="8" fillId="0" borderId="0" xfId="0" applyFont="1" applyAlignment="1">
      <alignment horizontal="left"/>
    </xf>
    <xf numFmtId="0" fontId="3" fillId="0" borderId="0" xfId="11" applyFont="1" applyFill="1" applyAlignment="1">
      <alignment horizontal="center"/>
    </xf>
    <xf numFmtId="0" fontId="3" fillId="0" borderId="0" xfId="11" applyFont="1" applyAlignment="1">
      <alignment horizontal="center"/>
    </xf>
    <xf numFmtId="0" fontId="3" fillId="0" borderId="0" xfId="6" applyFont="1"/>
    <xf numFmtId="0" fontId="8" fillId="0" borderId="0" xfId="11" applyFont="1" applyAlignment="1">
      <alignment horizontal="center"/>
    </xf>
    <xf numFmtId="0" fontId="8" fillId="0" borderId="0" xfId="11" applyFont="1" applyBorder="1"/>
    <xf numFmtId="0" fontId="8" fillId="0" borderId="0" xfId="23" applyFont="1"/>
    <xf numFmtId="0" fontId="8" fillId="0" borderId="2" xfId="23" applyFont="1" applyBorder="1"/>
    <xf numFmtId="0" fontId="8" fillId="0" borderId="0" xfId="4" applyFont="1">
      <alignment vertical="center"/>
    </xf>
    <xf numFmtId="0" fontId="3" fillId="0" borderId="0" xfId="38" applyFont="1"/>
    <xf numFmtId="0" fontId="3" fillId="0" borderId="0" xfId="38" applyFont="1" applyAlignment="1">
      <alignment horizontal="center"/>
    </xf>
    <xf numFmtId="0" fontId="3" fillId="0" borderId="5" xfId="38" applyFont="1" applyBorder="1" applyAlignment="1">
      <alignment horizontal="center"/>
    </xf>
    <xf numFmtId="0" fontId="3" fillId="0" borderId="5" xfId="38" applyFont="1" applyBorder="1" applyAlignment="1">
      <alignment horizontal="center" wrapText="1"/>
    </xf>
    <xf numFmtId="0" fontId="3" fillId="0" borderId="0" xfId="38" quotePrefix="1" applyFont="1" applyAlignment="1">
      <alignment horizontal="center"/>
    </xf>
    <xf numFmtId="10" fontId="3" fillId="0" borderId="0" xfId="42" applyNumberFormat="1" applyFont="1" applyAlignment="1">
      <alignment horizontal="center"/>
    </xf>
    <xf numFmtId="10" fontId="3" fillId="0" borderId="3" xfId="42" applyNumberFormat="1" applyFont="1" applyBorder="1" applyAlignment="1">
      <alignment horizontal="center"/>
    </xf>
    <xf numFmtId="10" fontId="3" fillId="0" borderId="0" xfId="42" applyNumberFormat="1" applyFont="1" applyBorder="1" applyAlignment="1">
      <alignment horizontal="center"/>
    </xf>
    <xf numFmtId="0" fontId="3" fillId="0" borderId="0" xfId="38" applyFont="1" applyAlignment="1"/>
    <xf numFmtId="0" fontId="15" fillId="0" borderId="5" xfId="38" applyFont="1" applyFill="1" applyBorder="1" applyAlignment="1">
      <alignment horizontal="centerContinuous"/>
    </xf>
    <xf numFmtId="0" fontId="3" fillId="0" borderId="0" xfId="38" applyFont="1" applyFill="1" applyBorder="1" applyAlignment="1"/>
    <xf numFmtId="168" fontId="3" fillId="0" borderId="0" xfId="1" applyNumberFormat="1" applyFont="1" applyFill="1" applyBorder="1" applyAlignment="1"/>
    <xf numFmtId="0" fontId="3" fillId="0" borderId="4" xfId="38" applyFont="1" applyFill="1" applyBorder="1" applyAlignment="1"/>
    <xf numFmtId="0" fontId="15" fillId="0" borderId="5" xfId="38" applyFont="1" applyFill="1" applyBorder="1" applyAlignment="1">
      <alignment horizontal="center"/>
    </xf>
    <xf numFmtId="169" fontId="3" fillId="0" borderId="0" xfId="1" applyNumberFormat="1" applyFont="1" applyFill="1" applyBorder="1" applyAlignment="1"/>
    <xf numFmtId="169" fontId="3" fillId="0" borderId="4" xfId="1" applyNumberFormat="1" applyFont="1" applyFill="1" applyBorder="1" applyAlignment="1"/>
    <xf numFmtId="170" fontId="3" fillId="0" borderId="0" xfId="1" applyNumberFormat="1" applyFont="1" applyFill="1" applyBorder="1" applyAlignment="1"/>
    <xf numFmtId="43" fontId="3" fillId="0" borderId="0" xfId="1" applyFont="1" applyFill="1" applyBorder="1" applyAlignment="1"/>
    <xf numFmtId="170" fontId="3" fillId="0" borderId="4" xfId="1" applyNumberFormat="1" applyFont="1" applyFill="1" applyBorder="1" applyAlignment="1"/>
    <xf numFmtId="43" fontId="3" fillId="0" borderId="4" xfId="1" applyFont="1" applyFill="1" applyBorder="1" applyAlignment="1"/>
    <xf numFmtId="0" fontId="3" fillId="0" borderId="1" xfId="38" applyFont="1" applyBorder="1"/>
    <xf numFmtId="0" fontId="3" fillId="0" borderId="1" xfId="38" applyFont="1" applyBorder="1" applyAlignment="1">
      <alignment horizontal="center"/>
    </xf>
    <xf numFmtId="0" fontId="3" fillId="0" borderId="2" xfId="38" applyFont="1" applyBorder="1"/>
    <xf numFmtId="0" fontId="3" fillId="0" borderId="2" xfId="38" applyFont="1" applyBorder="1" applyAlignment="1">
      <alignment horizontal="center"/>
    </xf>
    <xf numFmtId="10" fontId="3" fillId="0" borderId="0" xfId="42" applyNumberFormat="1" applyFont="1" applyFill="1" applyBorder="1" applyAlignment="1">
      <alignment horizontal="center"/>
    </xf>
    <xf numFmtId="0" fontId="8" fillId="0" borderId="0" xfId="4" applyFont="1" applyFill="1">
      <alignment vertical="center"/>
    </xf>
    <xf numFmtId="0" fontId="3" fillId="0" borderId="0" xfId="38" applyFont="1" applyFill="1"/>
    <xf numFmtId="10" fontId="3" fillId="0" borderId="2" xfId="42" applyNumberFormat="1" applyFont="1" applyFill="1" applyBorder="1" applyAlignment="1">
      <alignment horizontal="center"/>
    </xf>
    <xf numFmtId="10" fontId="3" fillId="0" borderId="2" xfId="42" applyNumberFormat="1" applyFont="1" applyBorder="1" applyAlignment="1">
      <alignment horizontal="center"/>
    </xf>
    <xf numFmtId="0" fontId="3" fillId="0" borderId="6" xfId="38" applyFont="1" applyBorder="1"/>
    <xf numFmtId="10" fontId="3" fillId="0" borderId="6" xfId="42" applyNumberFormat="1" applyFont="1" applyBorder="1" applyAlignment="1">
      <alignment horizontal="center"/>
    </xf>
    <xf numFmtId="0" fontId="3" fillId="0" borderId="3" xfId="38" applyFont="1" applyBorder="1" applyAlignment="1">
      <alignment horizontal="center"/>
    </xf>
    <xf numFmtId="10" fontId="8" fillId="0" borderId="3" xfId="38" applyNumberFormat="1" applyFont="1" applyBorder="1" applyAlignment="1">
      <alignment horizontal="center"/>
    </xf>
    <xf numFmtId="0" fontId="3" fillId="0" borderId="4" xfId="38" applyFont="1" applyBorder="1" applyAlignment="1">
      <alignment horizontal="center"/>
    </xf>
    <xf numFmtId="10" fontId="8" fillId="0" borderId="4" xfId="38" applyNumberFormat="1" applyFont="1" applyBorder="1" applyAlignment="1">
      <alignment horizontal="center"/>
    </xf>
    <xf numFmtId="0" fontId="9" fillId="0" borderId="0" xfId="11" applyFont="1"/>
    <xf numFmtId="0" fontId="9" fillId="0" borderId="0" xfId="11" applyFont="1" applyAlignment="1">
      <alignment horizontal="centerContinuous"/>
    </xf>
    <xf numFmtId="0" fontId="9" fillId="0" borderId="0" xfId="11" applyFont="1" applyAlignment="1">
      <alignment horizontal="center"/>
    </xf>
    <xf numFmtId="0" fontId="9" fillId="0" borderId="1" xfId="11" applyFont="1" applyBorder="1"/>
    <xf numFmtId="0" fontId="3" fillId="0" borderId="1" xfId="11" applyFont="1" applyBorder="1"/>
    <xf numFmtId="0" fontId="16" fillId="0" borderId="1" xfId="11" applyFont="1" applyBorder="1"/>
    <xf numFmtId="0" fontId="9" fillId="0" borderId="1" xfId="11" applyFont="1" applyBorder="1" applyAlignment="1">
      <alignment horizontal="center"/>
    </xf>
    <xf numFmtId="0" fontId="9" fillId="0" borderId="2" xfId="11" applyFont="1" applyBorder="1" applyAlignment="1">
      <alignment horizontal="center"/>
    </xf>
    <xf numFmtId="0" fontId="3" fillId="0" borderId="2" xfId="11" applyFont="1" applyBorder="1" applyAlignment="1">
      <alignment horizontal="center"/>
    </xf>
    <xf numFmtId="4" fontId="8" fillId="0" borderId="0" xfId="11" applyNumberFormat="1" applyFont="1" applyAlignment="1">
      <alignment horizontal="center"/>
    </xf>
    <xf numFmtId="10" fontId="9" fillId="0" borderId="0" xfId="11" applyNumberFormat="1" applyFont="1" applyAlignment="1">
      <alignment horizontal="center"/>
    </xf>
    <xf numFmtId="10" fontId="9" fillId="0" borderId="0" xfId="14" applyNumberFormat="1" applyFont="1" applyFill="1" applyAlignment="1">
      <alignment horizontal="center"/>
    </xf>
    <xf numFmtId="0" fontId="9" fillId="0" borderId="2" xfId="11" applyFont="1" applyBorder="1"/>
    <xf numFmtId="0" fontId="3" fillId="0" borderId="4" xfId="0" applyFont="1" applyBorder="1"/>
    <xf numFmtId="165" fontId="8" fillId="0" borderId="4" xfId="0" applyNumberFormat="1" applyFont="1" applyBorder="1" applyAlignment="1">
      <alignment horizontal="center"/>
    </xf>
    <xf numFmtId="0" fontId="8" fillId="0" borderId="5" xfId="6" applyFont="1" applyBorder="1"/>
    <xf numFmtId="0" fontId="8" fillId="0" borderId="5" xfId="6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 wrapText="1"/>
    </xf>
    <xf numFmtId="0" fontId="3" fillId="0" borderId="0" xfId="0" applyFont="1" applyBorder="1"/>
    <xf numFmtId="2" fontId="3" fillId="0" borderId="0" xfId="1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14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2" fontId="3" fillId="0" borderId="9" xfId="10" applyNumberFormat="1" applyFont="1" applyBorder="1" applyAlignment="1">
      <alignment horizontal="center"/>
    </xf>
    <xf numFmtId="0" fontId="8" fillId="0" borderId="2" xfId="0" applyFont="1" applyBorder="1"/>
    <xf numFmtId="167" fontId="8" fillId="0" borderId="0" xfId="0" applyNumberFormat="1" applyFont="1"/>
    <xf numFmtId="0" fontId="8" fillId="0" borderId="0" xfId="6" applyFont="1"/>
    <xf numFmtId="0" fontId="8" fillId="0" borderId="0" xfId="6" applyFont="1" applyAlignment="1">
      <alignment horizontal="center"/>
    </xf>
    <xf numFmtId="0" fontId="8" fillId="0" borderId="5" xfId="6" applyFont="1" applyBorder="1" applyAlignment="1">
      <alignment horizontal="center" wrapText="1"/>
    </xf>
    <xf numFmtId="0" fontId="3" fillId="0" borderId="5" xfId="6" applyFont="1" applyBorder="1" applyAlignment="1">
      <alignment horizontal="center" wrapText="1"/>
    </xf>
    <xf numFmtId="10" fontId="8" fillId="0" borderId="0" xfId="2" applyNumberFormat="1" applyFont="1" applyFill="1" applyAlignment="1">
      <alignment horizontal="center"/>
    </xf>
    <xf numFmtId="2" fontId="8" fillId="0" borderId="3" xfId="6" applyNumberFormat="1" applyFont="1" applyBorder="1" applyAlignment="1">
      <alignment horizontal="center"/>
    </xf>
    <xf numFmtId="10" fontId="3" fillId="0" borderId="0" xfId="6" applyNumberFormat="1" applyFont="1" applyAlignment="1">
      <alignment horizontal="center"/>
    </xf>
    <xf numFmtId="10" fontId="8" fillId="0" borderId="0" xfId="6" applyNumberFormat="1" applyFont="1" applyAlignment="1">
      <alignment horizontal="center"/>
    </xf>
    <xf numFmtId="2" fontId="8" fillId="0" borderId="0" xfId="6" applyNumberFormat="1" applyFont="1" applyAlignment="1">
      <alignment horizontal="center"/>
    </xf>
    <xf numFmtId="0" fontId="8" fillId="0" borderId="3" xfId="6" applyFont="1" applyBorder="1"/>
    <xf numFmtId="10" fontId="8" fillId="0" borderId="3" xfId="6" applyNumberFormat="1" applyFont="1" applyBorder="1" applyAlignment="1">
      <alignment horizontal="center"/>
    </xf>
    <xf numFmtId="0" fontId="8" fillId="0" borderId="4" xfId="6" applyFont="1" applyBorder="1"/>
    <xf numFmtId="2" fontId="8" fillId="0" borderId="4" xfId="6" applyNumberFormat="1" applyFont="1" applyBorder="1" applyAlignment="1">
      <alignment horizontal="center"/>
    </xf>
    <xf numFmtId="10" fontId="8" fillId="0" borderId="4" xfId="6" applyNumberFormat="1" applyFont="1" applyBorder="1" applyAlignment="1">
      <alignment horizontal="center"/>
    </xf>
    <xf numFmtId="0" fontId="8" fillId="0" borderId="2" xfId="6" applyFont="1" applyBorder="1"/>
    <xf numFmtId="2" fontId="3" fillId="0" borderId="3" xfId="6" applyNumberFormat="1" applyFont="1" applyBorder="1" applyAlignment="1">
      <alignment horizontal="center"/>
    </xf>
    <xf numFmtId="2" fontId="3" fillId="0" borderId="0" xfId="6" applyNumberFormat="1" applyFont="1" applyBorder="1" applyAlignment="1">
      <alignment horizontal="center"/>
    </xf>
    <xf numFmtId="2" fontId="8" fillId="0" borderId="0" xfId="6" applyNumberFormat="1" applyFont="1" applyBorder="1" applyAlignment="1">
      <alignment horizontal="center"/>
    </xf>
    <xf numFmtId="10" fontId="8" fillId="0" borderId="0" xfId="6" applyNumberFormat="1" applyFont="1"/>
    <xf numFmtId="0" fontId="13" fillId="0" borderId="0" xfId="41" applyFont="1"/>
    <xf numFmtId="0" fontId="13" fillId="0" borderId="0" xfId="41" applyFont="1" applyAlignment="1">
      <alignment horizontal="center"/>
    </xf>
    <xf numFmtId="0" fontId="8" fillId="0" borderId="0" xfId="41" applyFont="1" applyAlignment="1">
      <alignment horizontal="center"/>
    </xf>
    <xf numFmtId="0" fontId="8" fillId="0" borderId="0" xfId="41" applyFont="1"/>
    <xf numFmtId="0" fontId="3" fillId="0" borderId="5" xfId="41" applyFont="1" applyBorder="1" applyAlignment="1">
      <alignment horizontal="center"/>
    </xf>
    <xf numFmtId="0" fontId="8" fillId="0" borderId="5" xfId="41" applyFont="1" applyBorder="1" applyAlignment="1">
      <alignment horizontal="center"/>
    </xf>
    <xf numFmtId="0" fontId="3" fillId="0" borderId="5" xfId="41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0" xfId="41" applyFont="1"/>
    <xf numFmtId="0" fontId="3" fillId="0" borderId="0" xfId="41" applyFont="1" applyAlignment="1">
      <alignment horizontal="center"/>
    </xf>
    <xf numFmtId="166" fontId="3" fillId="0" borderId="0" xfId="41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3" fillId="0" borderId="0" xfId="2" applyNumberFormat="1" applyFont="1" applyBorder="1" applyAlignment="1">
      <alignment horizontal="center"/>
    </xf>
    <xf numFmtId="10" fontId="3" fillId="0" borderId="0" xfId="41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0" fontId="3" fillId="0" borderId="3" xfId="41" applyFont="1" applyBorder="1"/>
    <xf numFmtId="0" fontId="8" fillId="0" borderId="3" xfId="41" applyFont="1" applyBorder="1"/>
    <xf numFmtId="0" fontId="8" fillId="0" borderId="3" xfId="41" applyFont="1" applyBorder="1" applyAlignment="1">
      <alignment horizontal="center"/>
    </xf>
    <xf numFmtId="10" fontId="8" fillId="0" borderId="3" xfId="41" applyNumberFormat="1" applyFont="1" applyBorder="1" applyAlignment="1">
      <alignment horizontal="center"/>
    </xf>
    <xf numFmtId="10" fontId="8" fillId="0" borderId="0" xfId="41" applyNumberFormat="1" applyFont="1" applyAlignment="1">
      <alignment horizontal="center"/>
    </xf>
    <xf numFmtId="43" fontId="8" fillId="0" borderId="0" xfId="1" applyFont="1" applyAlignment="1">
      <alignment horizontal="center"/>
    </xf>
    <xf numFmtId="0" fontId="3" fillId="0" borderId="4" xfId="6" applyFont="1" applyBorder="1" applyAlignment="1">
      <alignment horizontal="center"/>
    </xf>
    <xf numFmtId="0" fontId="3" fillId="0" borderId="0" xfId="11" applyFont="1"/>
    <xf numFmtId="10" fontId="3" fillId="0" borderId="0" xfId="2" applyNumberFormat="1" applyFont="1" applyFill="1" applyAlignment="1">
      <alignment horizontal="center"/>
    </xf>
    <xf numFmtId="0" fontId="3" fillId="0" borderId="0" xfId="11" applyFont="1" applyFill="1"/>
    <xf numFmtId="0" fontId="3" fillId="0" borderId="0" xfId="6" applyFont="1" applyFill="1"/>
    <xf numFmtId="0" fontId="3" fillId="0" borderId="4" xfId="11" applyFont="1" applyBorder="1"/>
    <xf numFmtId="10" fontId="3" fillId="0" borderId="4" xfId="2" applyNumberFormat="1" applyFont="1" applyBorder="1" applyAlignment="1">
      <alignment horizontal="center"/>
    </xf>
    <xf numFmtId="0" fontId="3" fillId="0" borderId="2" xfId="6" applyFont="1" applyBorder="1"/>
    <xf numFmtId="14" fontId="3" fillId="0" borderId="0" xfId="6" applyNumberFormat="1" applyFont="1" applyAlignment="1">
      <alignment horizontal="center"/>
    </xf>
    <xf numFmtId="0" fontId="3" fillId="0" borderId="5" xfId="6" applyFont="1" applyBorder="1" applyAlignment="1">
      <alignment vertical="center"/>
    </xf>
    <xf numFmtId="0" fontId="3" fillId="0" borderId="5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 wrapText="1"/>
    </xf>
    <xf numFmtId="10" fontId="3" fillId="0" borderId="0" xfId="2" applyNumberFormat="1" applyFont="1" applyFill="1" applyAlignment="1">
      <alignment horizontal="center" vertical="center" wrapText="1"/>
    </xf>
    <xf numFmtId="0" fontId="3" fillId="0" borderId="0" xfId="3" applyFont="1" applyBorder="1" applyAlignment="1">
      <alignment horizontal="center" vertical="center" wrapText="1"/>
    </xf>
    <xf numFmtId="10" fontId="3" fillId="0" borderId="0" xfId="3" applyNumberFormat="1" applyFont="1" applyBorder="1" applyAlignment="1">
      <alignment horizontal="center" vertical="center" wrapText="1"/>
    </xf>
    <xf numFmtId="0" fontId="3" fillId="0" borderId="0" xfId="3" applyFont="1" applyAlignment="1">
      <alignment horizontal="center" wrapText="1"/>
    </xf>
    <xf numFmtId="0" fontId="10" fillId="0" borderId="0" xfId="3" applyFont="1" applyFill="1" applyBorder="1" applyAlignment="1">
      <alignment horizontal="center" vertical="center" wrapText="1"/>
    </xf>
    <xf numFmtId="0" fontId="3" fillId="0" borderId="0" xfId="3" applyFont="1" applyFill="1" applyBorder="1" applyAlignment="1">
      <alignment horizontal="center" vertical="center" wrapText="1"/>
    </xf>
    <xf numFmtId="0" fontId="3" fillId="0" borderId="0" xfId="6" applyFont="1" applyAlignment="1">
      <alignment horizontal="center"/>
    </xf>
    <xf numFmtId="10" fontId="3" fillId="0" borderId="0" xfId="3" applyNumberFormat="1" applyFont="1"/>
    <xf numFmtId="0" fontId="3" fillId="0" borderId="0" xfId="6" applyFont="1" applyAlignment="1">
      <alignment horizontal="center"/>
    </xf>
    <xf numFmtId="0" fontId="3" fillId="0" borderId="0" xfId="3" applyFont="1" applyBorder="1" applyAlignment="1">
      <alignment horizontal="center" vertical="center" wrapText="1"/>
    </xf>
    <xf numFmtId="166" fontId="8" fillId="0" borderId="3" xfId="41" applyNumberFormat="1" applyFont="1" applyBorder="1" applyAlignment="1">
      <alignment horizontal="center"/>
    </xf>
    <xf numFmtId="166" fontId="8" fillId="0" borderId="0" xfId="41" applyNumberFormat="1" applyFont="1" applyAlignment="1">
      <alignment horizontal="center"/>
    </xf>
    <xf numFmtId="0" fontId="3" fillId="0" borderId="1" xfId="5" applyFont="1" applyBorder="1" applyAlignment="1">
      <alignment horizontal="center" vertical="center" wrapText="1"/>
    </xf>
    <xf numFmtId="10" fontId="3" fillId="0" borderId="1" xfId="5" applyNumberFormat="1" applyFont="1" applyBorder="1" applyAlignment="1">
      <alignment horizontal="center" vertical="center" wrapText="1"/>
    </xf>
    <xf numFmtId="0" fontId="10" fillId="3" borderId="0" xfId="3" applyFont="1" applyFill="1" applyBorder="1" applyAlignment="1">
      <alignment horizontal="centerContinuous" vertical="center" wrapText="1"/>
    </xf>
    <xf numFmtId="0" fontId="11" fillId="0" borderId="2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 wrapText="1"/>
    </xf>
    <xf numFmtId="0" fontId="3" fillId="0" borderId="0" xfId="3" applyFont="1" applyBorder="1" applyAlignment="1">
      <alignment horizontal="center" vertical="center"/>
    </xf>
    <xf numFmtId="10" fontId="3" fillId="0" borderId="0" xfId="5" applyNumberFormat="1" applyFont="1" applyFill="1" applyBorder="1" applyAlignment="1">
      <alignment horizontal="center" vertical="center"/>
    </xf>
    <xf numFmtId="0" fontId="3" fillId="0" borderId="0" xfId="5" applyFont="1" applyBorder="1" applyAlignment="1">
      <alignment horizontal="center" vertical="center"/>
    </xf>
    <xf numFmtId="10" fontId="3" fillId="0" borderId="0" xfId="5" applyNumberFormat="1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10" fontId="3" fillId="0" borderId="0" xfId="3" applyNumberFormat="1" applyFont="1" applyFill="1" applyBorder="1" applyAlignment="1">
      <alignment horizontal="center" vertical="center"/>
    </xf>
    <xf numFmtId="0" fontId="3" fillId="0" borderId="0" xfId="3" applyFont="1" applyBorder="1" applyAlignment="1">
      <alignment vertical="center"/>
    </xf>
    <xf numFmtId="10" fontId="3" fillId="0" borderId="0" xfId="3" applyNumberFormat="1" applyFont="1" applyBorder="1" applyAlignment="1">
      <alignment vertical="center"/>
    </xf>
    <xf numFmtId="10" fontId="3" fillId="0" borderId="0" xfId="3" applyNumberFormat="1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10" fillId="2" borderId="0" xfId="3" applyFont="1" applyFill="1" applyBorder="1" applyAlignment="1">
      <alignment horizontal="center" vertical="center" wrapText="1"/>
    </xf>
    <xf numFmtId="0" fontId="3" fillId="2" borderId="0" xfId="3" applyFont="1" applyFill="1" applyBorder="1" applyAlignment="1">
      <alignment horizontal="center" vertical="center" wrapText="1"/>
    </xf>
    <xf numFmtId="0" fontId="8" fillId="0" borderId="0" xfId="11" applyFont="1" applyAlignment="1">
      <alignment horizontal="centerContinuous"/>
    </xf>
    <xf numFmtId="0" fontId="10" fillId="2" borderId="2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0" borderId="0" xfId="6" applyFont="1" applyAlignment="1">
      <alignment horizontal="center"/>
    </xf>
    <xf numFmtId="10" fontId="8" fillId="0" borderId="0" xfId="2" applyNumberFormat="1" applyFont="1"/>
    <xf numFmtId="0" fontId="3" fillId="0" borderId="0" xfId="3" applyFont="1" applyFill="1" applyBorder="1" applyAlignment="1">
      <alignment horizontal="center" vertical="center"/>
    </xf>
    <xf numFmtId="10" fontId="3" fillId="0" borderId="0" xfId="5" applyNumberFormat="1" applyFont="1" applyFill="1" applyAlignment="1">
      <alignment horizontal="right" vertical="center"/>
    </xf>
    <xf numFmtId="164" fontId="3" fillId="0" borderId="0" xfId="5" applyNumberFormat="1" applyFont="1" applyFill="1" applyAlignment="1">
      <alignment horizontal="center" vertical="center" wrapText="1"/>
    </xf>
    <xf numFmtId="0" fontId="3" fillId="0" borderId="1" xfId="38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4" xfId="11" applyFont="1" applyBorder="1"/>
    <xf numFmtId="0" fontId="8" fillId="0" borderId="4" xfId="11" applyFont="1" applyBorder="1" applyAlignment="1">
      <alignment horizontal="center"/>
    </xf>
    <xf numFmtId="0" fontId="13" fillId="0" borderId="1" xfId="11" applyFont="1" applyBorder="1" applyAlignment="1">
      <alignment horizontal="center" vertical="center"/>
    </xf>
    <xf numFmtId="0" fontId="13" fillId="0" borderId="1" xfId="11" applyFont="1" applyBorder="1" applyAlignment="1">
      <alignment horizontal="center"/>
    </xf>
    <xf numFmtId="0" fontId="13" fillId="0" borderId="2" xfId="23" applyFont="1" applyFill="1" applyBorder="1" applyAlignment="1">
      <alignment vertical="center" wrapText="1"/>
    </xf>
    <xf numFmtId="0" fontId="13" fillId="0" borderId="2" xfId="11" applyFont="1" applyBorder="1" applyAlignment="1">
      <alignment vertical="center"/>
    </xf>
    <xf numFmtId="0" fontId="13" fillId="0" borderId="2" xfId="11" applyFont="1" applyBorder="1" applyAlignment="1">
      <alignment horizontal="center" vertical="center"/>
    </xf>
    <xf numFmtId="0" fontId="13" fillId="0" borderId="2" xfId="44" applyFont="1" applyFill="1" applyBorder="1" applyAlignment="1">
      <alignment horizontal="center" vertical="center" wrapText="1"/>
    </xf>
    <xf numFmtId="0" fontId="8" fillId="0" borderId="0" xfId="23" applyFont="1" applyFill="1" applyAlignment="1">
      <alignment horizontal="center"/>
    </xf>
    <xf numFmtId="0" fontId="8" fillId="0" borderId="0" xfId="1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11" applyFont="1" applyFill="1"/>
    <xf numFmtId="0" fontId="3" fillId="0" borderId="0" xfId="23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3" xfId="11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11" applyFont="1" applyBorder="1" applyAlignment="1">
      <alignment horizontal="center" vertical="center"/>
    </xf>
    <xf numFmtId="0" fontId="8" fillId="0" borderId="3" xfId="44" applyFont="1" applyBorder="1" applyAlignment="1">
      <alignment vertical="center"/>
    </xf>
    <xf numFmtId="0" fontId="8" fillId="0" borderId="3" xfId="44" applyFont="1" applyBorder="1" applyAlignment="1">
      <alignment horizontal="center" vertical="center"/>
    </xf>
    <xf numFmtId="0" fontId="8" fillId="0" borderId="3" xfId="44" applyFont="1" applyBorder="1" applyAlignment="1">
      <alignment vertical="center" wrapText="1"/>
    </xf>
    <xf numFmtId="0" fontId="8" fillId="0" borderId="0" xfId="44" applyFont="1"/>
    <xf numFmtId="0" fontId="8" fillId="0" borderId="0" xfId="44" applyFont="1" applyFill="1"/>
    <xf numFmtId="0" fontId="8" fillId="0" borderId="0" xfId="44" applyFont="1" applyFill="1" applyAlignment="1">
      <alignment horizontal="right"/>
    </xf>
    <xf numFmtId="0" fontId="8" fillId="0" borderId="0" xfId="44" applyFont="1" applyFill="1" applyAlignment="1">
      <alignment horizontal="center"/>
    </xf>
    <xf numFmtId="0" fontId="8" fillId="0" borderId="0" xfId="44" applyFont="1" applyAlignment="1">
      <alignment horizontal="center"/>
    </xf>
    <xf numFmtId="0" fontId="8" fillId="0" borderId="0" xfId="46" applyFont="1" applyAlignment="1">
      <alignment horizontal="left"/>
    </xf>
    <xf numFmtId="0" fontId="8" fillId="0" borderId="0" xfId="47" applyFont="1" applyFill="1" applyAlignment="1">
      <alignment vertical="center"/>
    </xf>
    <xf numFmtId="0" fontId="8" fillId="0" borderId="0" xfId="47" applyFont="1" applyAlignment="1">
      <alignment vertical="center"/>
    </xf>
    <xf numFmtId="0" fontId="3" fillId="0" borderId="0" xfId="23" applyFont="1" applyAlignment="1">
      <alignment horizontal="right"/>
    </xf>
    <xf numFmtId="0" fontId="8" fillId="0" borderId="0" xfId="46" applyFont="1"/>
    <xf numFmtId="0" fontId="8" fillId="0" borderId="0" xfId="47" applyFont="1" applyAlignment="1">
      <alignment horizontal="center" vertical="center"/>
    </xf>
    <xf numFmtId="0" fontId="8" fillId="0" borderId="0" xfId="11" applyFont="1" applyFill="1" applyAlignment="1">
      <alignment horizontal="right"/>
    </xf>
    <xf numFmtId="171" fontId="8" fillId="0" borderId="0" xfId="24" applyNumberFormat="1" applyFont="1" applyFill="1" applyAlignment="1">
      <alignment horizontal="center"/>
    </xf>
    <xf numFmtId="171" fontId="8" fillId="0" borderId="0" xfId="24" applyNumberFormat="1" applyFont="1" applyAlignment="1">
      <alignment horizontal="center"/>
    </xf>
    <xf numFmtId="10" fontId="8" fillId="0" borderId="0" xfId="24" applyNumberFormat="1" applyFont="1" applyAlignment="1">
      <alignment horizontal="center"/>
    </xf>
    <xf numFmtId="0" fontId="8" fillId="0" borderId="9" xfId="11" applyFont="1" applyBorder="1"/>
    <xf numFmtId="0" fontId="8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9" xfId="11" applyFont="1" applyBorder="1" applyAlignment="1">
      <alignment horizontal="center"/>
    </xf>
    <xf numFmtId="171" fontId="3" fillId="0" borderId="9" xfId="24" applyNumberFormat="1" applyFont="1" applyFill="1" applyBorder="1" applyAlignment="1">
      <alignment horizontal="center"/>
    </xf>
    <xf numFmtId="0" fontId="8" fillId="0" borderId="6" xfId="11" applyFont="1" applyFill="1" applyBorder="1"/>
    <xf numFmtId="0" fontId="8" fillId="0" borderId="6" xfId="0" applyFont="1" applyFill="1" applyBorder="1" applyAlignment="1">
      <alignment horizontal="left"/>
    </xf>
    <xf numFmtId="0" fontId="8" fillId="0" borderId="2" xfId="11" applyFont="1" applyBorder="1"/>
    <xf numFmtId="0" fontId="8" fillId="0" borderId="0" xfId="46" applyFont="1" applyAlignment="1">
      <alignment wrapText="1"/>
    </xf>
    <xf numFmtId="0" fontId="8" fillId="0" borderId="0" xfId="46" applyFont="1" applyAlignment="1">
      <alignment horizontal="left" wrapText="1"/>
    </xf>
    <xf numFmtId="0" fontId="8" fillId="0" borderId="0" xfId="46" applyFont="1" applyAlignment="1">
      <alignment horizontal="center" wrapText="1"/>
    </xf>
    <xf numFmtId="0" fontId="8" fillId="0" borderId="0" xfId="46" applyFont="1" applyFill="1" applyAlignment="1">
      <alignment horizontal="left"/>
    </xf>
    <xf numFmtId="0" fontId="8" fillId="0" borderId="0" xfId="11" applyFont="1" applyAlignment="1">
      <alignment vertical="top"/>
    </xf>
    <xf numFmtId="0" fontId="8" fillId="0" borderId="0" xfId="11" applyFont="1" applyAlignment="1">
      <alignment wrapText="1"/>
    </xf>
    <xf numFmtId="0" fontId="8" fillId="0" borderId="0" xfId="11" applyFont="1" applyAlignment="1">
      <alignment horizontal="center" wrapText="1"/>
    </xf>
    <xf numFmtId="0" fontId="8" fillId="0" borderId="0" xfId="11" applyFont="1" applyAlignment="1">
      <alignment horizontal="center" vertical="top"/>
    </xf>
    <xf numFmtId="0" fontId="8" fillId="0" borderId="0" xfId="11" applyFont="1" applyAlignment="1">
      <alignment horizontal="left"/>
    </xf>
    <xf numFmtId="0" fontId="3" fillId="0" borderId="0" xfId="28" applyFont="1"/>
    <xf numFmtId="0" fontId="3" fillId="0" borderId="0" xfId="28" applyFont="1" applyAlignment="1">
      <alignment horizontal="left"/>
    </xf>
    <xf numFmtId="0" fontId="3" fillId="0" borderId="0" xfId="28" applyFont="1" applyAlignment="1">
      <alignment horizontal="center"/>
    </xf>
    <xf numFmtId="0" fontId="3" fillId="0" borderId="1" xfId="28" applyFont="1" applyBorder="1" applyAlignment="1">
      <alignment horizontal="left"/>
    </xf>
    <xf numFmtId="0" fontId="3" fillId="0" borderId="2" xfId="28" applyFont="1" applyBorder="1" applyAlignment="1">
      <alignment horizontal="left"/>
    </xf>
    <xf numFmtId="0" fontId="3" fillId="0" borderId="2" xfId="28" applyFont="1" applyBorder="1" applyAlignment="1">
      <alignment horizontal="center"/>
    </xf>
    <xf numFmtId="0" fontId="3" fillId="0" borderId="2" xfId="28" applyFont="1" applyBorder="1" applyAlignment="1">
      <alignment horizontal="center" wrapText="1"/>
    </xf>
    <xf numFmtId="0" fontId="8" fillId="0" borderId="0" xfId="11" applyFont="1" applyFill="1" applyAlignment="1">
      <alignment horizontal="left"/>
    </xf>
    <xf numFmtId="0" fontId="8" fillId="0" borderId="0" xfId="44" applyFont="1" applyAlignment="1">
      <alignment horizontal="left"/>
    </xf>
    <xf numFmtId="0" fontId="3" fillId="0" borderId="0" xfId="58" applyFont="1" applyFill="1" applyBorder="1" applyAlignment="1">
      <alignment horizontal="left" vertical="center"/>
    </xf>
    <xf numFmtId="0" fontId="8" fillId="0" borderId="0" xfId="51" applyFont="1" applyFill="1" applyBorder="1" applyAlignment="1">
      <alignment horizontal="left" vertical="center"/>
    </xf>
    <xf numFmtId="0" fontId="8" fillId="0" borderId="0" xfId="11" applyFont="1" applyBorder="1" applyAlignment="1">
      <alignment horizontal="left"/>
    </xf>
    <xf numFmtId="0" fontId="8" fillId="0" borderId="0" xfId="29" applyFont="1" applyFill="1" applyBorder="1"/>
    <xf numFmtId="0" fontId="3" fillId="0" borderId="0" xfId="51" applyFont="1" applyFill="1" applyBorder="1" applyAlignment="1">
      <alignment horizontal="left"/>
    </xf>
    <xf numFmtId="0" fontId="3" fillId="0" borderId="0" xfId="57" applyFont="1" applyBorder="1" applyAlignment="1">
      <alignment horizontal="left"/>
    </xf>
    <xf numFmtId="0" fontId="8" fillId="0" borderId="0" xfId="28" applyFont="1" applyFill="1" applyAlignment="1">
      <alignment horizontal="left"/>
    </xf>
    <xf numFmtId="0" fontId="8" fillId="0" borderId="0" xfId="28" applyFont="1" applyAlignment="1">
      <alignment horizontal="left"/>
    </xf>
    <xf numFmtId="0" fontId="8" fillId="0" borderId="9" xfId="11" applyFont="1" applyBorder="1" applyAlignment="1">
      <alignment horizontal="left"/>
    </xf>
    <xf numFmtId="2" fontId="8" fillId="0" borderId="9" xfId="11" applyNumberFormat="1" applyFont="1" applyBorder="1" applyAlignment="1">
      <alignment horizontal="center"/>
    </xf>
    <xf numFmtId="0" fontId="8" fillId="0" borderId="6" xfId="11" applyFont="1" applyBorder="1" applyAlignment="1">
      <alignment horizontal="left"/>
    </xf>
    <xf numFmtId="0" fontId="8" fillId="0" borderId="6" xfId="11" applyFont="1" applyBorder="1" applyAlignment="1">
      <alignment horizontal="center"/>
    </xf>
    <xf numFmtId="1" fontId="8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/>
    <xf numFmtId="0" fontId="8" fillId="0" borderId="0" xfId="8" applyFont="1">
      <alignment vertical="center"/>
    </xf>
    <xf numFmtId="0" fontId="8" fillId="0" borderId="0" xfId="0" applyFont="1" applyAlignment="1">
      <alignment horizontal="centerContinuous"/>
    </xf>
    <xf numFmtId="0" fontId="8" fillId="0" borderId="2" xfId="0" applyFont="1" applyBorder="1" applyAlignment="1">
      <alignment horizontal="centerContinuous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0" fontId="3" fillId="0" borderId="2" xfId="34" applyFont="1" applyBorder="1" applyAlignment="1">
      <alignment horizontal="center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9" fontId="3" fillId="0" borderId="0" xfId="34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wrapText="1"/>
    </xf>
    <xf numFmtId="0" fontId="8" fillId="0" borderId="0" xfId="8" applyFont="1" applyFill="1" applyAlignment="1">
      <alignment horizontal="center"/>
    </xf>
    <xf numFmtId="0" fontId="8" fillId="0" borderId="0" xfId="8" applyFont="1" applyAlignment="1"/>
    <xf numFmtId="0" fontId="8" fillId="0" borderId="0" xfId="8" applyFont="1" applyAlignment="1">
      <alignment horizontal="center" vertical="center"/>
    </xf>
    <xf numFmtId="0" fontId="3" fillId="0" borderId="0" xfId="34" applyFont="1" applyFill="1" applyBorder="1" applyAlignment="1">
      <alignment horizontal="center"/>
    </xf>
    <xf numFmtId="0" fontId="3" fillId="0" borderId="0" xfId="34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10" fontId="3" fillId="0" borderId="0" xfId="34" applyNumberFormat="1" applyFont="1" applyBorder="1" applyAlignment="1">
      <alignment horizontal="center"/>
    </xf>
    <xf numFmtId="0" fontId="17" fillId="0" borderId="0" xfId="0" applyFont="1" applyAlignment="1"/>
    <xf numFmtId="0" fontId="8" fillId="0" borderId="0" xfId="0" applyNumberFormat="1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3" fillId="0" borderId="7" xfId="44" applyFont="1" applyBorder="1" applyAlignment="1">
      <alignment horizontal="center"/>
    </xf>
    <xf numFmtId="0" fontId="13" fillId="0" borderId="8" xfId="44" applyFont="1" applyBorder="1" applyAlignment="1">
      <alignment horizontal="center"/>
    </xf>
    <xf numFmtId="0" fontId="8" fillId="0" borderId="10" xfId="44" applyFont="1" applyBorder="1"/>
    <xf numFmtId="0" fontId="8" fillId="0" borderId="11" xfId="44" applyFont="1" applyBorder="1" applyAlignment="1">
      <alignment horizontal="center"/>
    </xf>
    <xf numFmtId="0" fontId="8" fillId="0" borderId="12" xfId="44" applyFont="1" applyBorder="1"/>
    <xf numFmtId="0" fontId="8" fillId="0" borderId="13" xfId="44" applyFont="1" applyBorder="1" applyAlignment="1">
      <alignment horizontal="center"/>
    </xf>
    <xf numFmtId="0" fontId="8" fillId="0" borderId="14" xfId="44" applyFont="1" applyBorder="1"/>
    <xf numFmtId="0" fontId="8" fillId="0" borderId="15" xfId="44" applyFont="1" applyBorder="1" applyAlignment="1">
      <alignment horizontal="center"/>
    </xf>
    <xf numFmtId="0" fontId="3" fillId="0" borderId="2" xfId="5" applyFont="1" applyBorder="1" applyAlignment="1">
      <alignment horizontal="center" vertical="center"/>
    </xf>
    <xf numFmtId="10" fontId="3" fillId="0" borderId="2" xfId="5" applyNumberFormat="1" applyFont="1" applyFill="1" applyBorder="1" applyAlignment="1">
      <alignment horizontal="center" vertical="center"/>
    </xf>
    <xf numFmtId="0" fontId="8" fillId="0" borderId="3" xfId="4" applyFont="1" applyBorder="1">
      <alignment vertical="center"/>
    </xf>
    <xf numFmtId="0" fontId="8" fillId="0" borderId="9" xfId="11" applyFont="1" applyBorder="1" applyAlignment="1">
      <alignment horizontal="center" wrapText="1"/>
    </xf>
    <xf numFmtId="0" fontId="8" fillId="0" borderId="9" xfId="11" applyFont="1" applyBorder="1" applyAlignment="1">
      <alignment horizontal="left" vertical="center"/>
    </xf>
    <xf numFmtId="0" fontId="3" fillId="0" borderId="0" xfId="23" applyFont="1" applyAlignment="1">
      <alignment horizontal="left"/>
    </xf>
    <xf numFmtId="0" fontId="3" fillId="0" borderId="5" xfId="11" applyFont="1" applyBorder="1" applyAlignment="1">
      <alignment horizontal="left" vertical="center"/>
    </xf>
    <xf numFmtId="0" fontId="3" fillId="0" borderId="5" xfId="11" applyFont="1" applyBorder="1" applyAlignment="1">
      <alignment horizontal="center" vertical="center"/>
    </xf>
    <xf numFmtId="0" fontId="3" fillId="0" borderId="5" xfId="11" applyFont="1" applyBorder="1" applyAlignment="1">
      <alignment horizontal="center" vertical="center" wrapText="1"/>
    </xf>
    <xf numFmtId="0" fontId="3" fillId="0" borderId="0" xfId="11" applyFont="1" applyAlignment="1">
      <alignment wrapText="1"/>
    </xf>
    <xf numFmtId="0" fontId="3" fillId="0" borderId="3" xfId="11" applyFont="1" applyBorder="1"/>
    <xf numFmtId="0" fontId="3" fillId="0" borderId="0" xfId="11" applyFont="1" applyFill="1" applyBorder="1"/>
    <xf numFmtId="0" fontId="3" fillId="0" borderId="0" xfId="11" applyFont="1" applyBorder="1"/>
    <xf numFmtId="14" fontId="3" fillId="0" borderId="0" xfId="11" applyNumberFormat="1" applyFont="1" applyBorder="1"/>
    <xf numFmtId="3" fontId="3" fillId="0" borderId="0" xfId="11" applyNumberFormat="1" applyFont="1" applyBorder="1"/>
    <xf numFmtId="2" fontId="3" fillId="0" borderId="0" xfId="11" applyNumberFormat="1" applyFont="1" applyBorder="1"/>
    <xf numFmtId="172" fontId="3" fillId="0" borderId="0" xfId="11" applyNumberFormat="1" applyFont="1" applyBorder="1"/>
    <xf numFmtId="4" fontId="3" fillId="0" borderId="0" xfId="11" applyNumberFormat="1" applyFont="1" applyFill="1" applyBorder="1"/>
    <xf numFmtId="3" fontId="3" fillId="0" borderId="0" xfId="49" applyNumberFormat="1" applyFont="1" applyFill="1" applyAlignment="1">
      <alignment horizontal="right"/>
    </xf>
    <xf numFmtId="10" fontId="3" fillId="0" borderId="0" xfId="53" applyNumberFormat="1" applyFont="1" applyFill="1"/>
    <xf numFmtId="0" fontId="3" fillId="0" borderId="0" xfId="47" applyFont="1"/>
    <xf numFmtId="14" fontId="3" fillId="0" borderId="0" xfId="0" applyNumberFormat="1" applyFont="1" applyAlignment="1">
      <alignment horizontal="center"/>
    </xf>
    <xf numFmtId="37" fontId="3" fillId="0" borderId="0" xfId="47" applyNumberFormat="1" applyFont="1"/>
    <xf numFmtId="44" fontId="14" fillId="0" borderId="0" xfId="49" applyFont="1"/>
    <xf numFmtId="173" fontId="14" fillId="0" borderId="0" xfId="49" applyNumberFormat="1" applyFont="1"/>
    <xf numFmtId="174" fontId="14" fillId="0" borderId="0" xfId="49" applyNumberFormat="1" applyFont="1"/>
    <xf numFmtId="44" fontId="3" fillId="0" borderId="0" xfId="49" applyFont="1" applyAlignment="1">
      <alignment horizontal="right"/>
    </xf>
    <xf numFmtId="174" fontId="3" fillId="0" borderId="2" xfId="49" applyNumberFormat="1" applyFont="1" applyBorder="1" applyAlignment="1">
      <alignment horizontal="right"/>
    </xf>
    <xf numFmtId="10" fontId="3" fillId="0" borderId="2" xfId="62" applyNumberFormat="1" applyFont="1" applyBorder="1"/>
    <xf numFmtId="14" fontId="18" fillId="0" borderId="0" xfId="0" applyNumberFormat="1" applyFont="1"/>
    <xf numFmtId="0" fontId="3" fillId="0" borderId="6" xfId="0" applyFont="1" applyBorder="1"/>
    <xf numFmtId="174" fontId="3" fillId="0" borderId="6" xfId="49" applyNumberFormat="1" applyFont="1" applyBorder="1"/>
    <xf numFmtId="44" fontId="3" fillId="0" borderId="4" xfId="49" applyFont="1" applyBorder="1"/>
    <xf numFmtId="175" fontId="3" fillId="0" borderId="6" xfId="62" applyNumberFormat="1" applyFont="1" applyBorder="1"/>
    <xf numFmtId="0" fontId="3" fillId="0" borderId="0" xfId="51" applyFont="1" applyFill="1" applyBorder="1"/>
    <xf numFmtId="14" fontId="3" fillId="0" borderId="0" xfId="11" applyNumberFormat="1" applyFont="1" applyBorder="1" applyAlignment="1">
      <alignment horizontal="center"/>
    </xf>
    <xf numFmtId="37" fontId="3" fillId="0" borderId="0" xfId="51" applyNumberFormat="1" applyFont="1" applyBorder="1"/>
    <xf numFmtId="44" fontId="14" fillId="0" borderId="0" xfId="49" applyFont="1" applyBorder="1"/>
    <xf numFmtId="173" fontId="14" fillId="0" borderId="0" xfId="49" applyNumberFormat="1" applyFont="1" applyBorder="1"/>
    <xf numFmtId="174" fontId="14" fillId="0" borderId="0" xfId="49" applyNumberFormat="1" applyFont="1" applyBorder="1"/>
    <xf numFmtId="44" fontId="3" fillId="0" borderId="0" xfId="49" applyFont="1" applyBorder="1" applyAlignment="1">
      <alignment horizontal="right"/>
    </xf>
    <xf numFmtId="174" fontId="3" fillId="0" borderId="0" xfId="49" applyNumberFormat="1" applyFont="1" applyBorder="1" applyAlignment="1">
      <alignment horizontal="right"/>
    </xf>
    <xf numFmtId="175" fontId="3" fillId="0" borderId="4" xfId="62" applyNumberFormat="1" applyFont="1" applyBorder="1"/>
    <xf numFmtId="10" fontId="3" fillId="0" borderId="0" xfId="7" applyNumberFormat="1" applyFont="1" applyFill="1" applyBorder="1" applyAlignment="1">
      <alignment horizontal="center"/>
    </xf>
    <xf numFmtId="0" fontId="3" fillId="0" borderId="0" xfId="51" applyFont="1" applyFill="1"/>
    <xf numFmtId="14" fontId="3" fillId="0" borderId="0" xfId="11" applyNumberFormat="1" applyFont="1" applyAlignment="1">
      <alignment horizontal="center"/>
    </xf>
    <xf numFmtId="37" fontId="3" fillId="0" borderId="0" xfId="51" applyNumberFormat="1" applyFont="1"/>
    <xf numFmtId="10" fontId="3" fillId="0" borderId="0" xfId="24" applyNumberFormat="1" applyFont="1" applyBorder="1"/>
    <xf numFmtId="0" fontId="3" fillId="0" borderId="0" xfId="21" applyFont="1" applyFill="1" applyAlignment="1">
      <alignment horizontal="left"/>
    </xf>
    <xf numFmtId="175" fontId="3" fillId="0" borderId="0" xfId="11" applyNumberFormat="1" applyFont="1"/>
    <xf numFmtId="0" fontId="3" fillId="0" borderId="0" xfId="11" applyFont="1" applyAlignment="1">
      <alignment horizontal="left"/>
    </xf>
    <xf numFmtId="0" fontId="3" fillId="0" borderId="5" xfId="11" applyFont="1" applyBorder="1" applyAlignment="1">
      <alignment horizontal="left"/>
    </xf>
    <xf numFmtId="0" fontId="3" fillId="0" borderId="5" xfId="11" applyFont="1" applyBorder="1" applyAlignment="1">
      <alignment horizontal="center"/>
    </xf>
    <xf numFmtId="0" fontId="3" fillId="0" borderId="5" xfId="11" applyFont="1" applyBorder="1" applyAlignment="1">
      <alignment horizontal="center" wrapText="1"/>
    </xf>
    <xf numFmtId="10" fontId="3" fillId="0" borderId="0" xfId="11" applyNumberFormat="1" applyFont="1" applyAlignment="1">
      <alignment horizontal="center"/>
    </xf>
    <xf numFmtId="10" fontId="8" fillId="0" borderId="0" xfId="11" applyNumberFormat="1" applyFont="1" applyAlignment="1">
      <alignment horizontal="center"/>
    </xf>
    <xf numFmtId="166" fontId="3" fillId="0" borderId="0" xfId="0" applyNumberFormat="1" applyFont="1" applyFill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8" fillId="0" borderId="0" xfId="2" applyNumberFormat="1" applyFont="1" applyFill="1" applyBorder="1" applyAlignment="1">
      <alignment horizontal="center"/>
    </xf>
    <xf numFmtId="0" fontId="3" fillId="0" borderId="3" xfId="11" applyFont="1" applyBorder="1" applyAlignment="1">
      <alignment horizontal="left"/>
    </xf>
    <xf numFmtId="10" fontId="8" fillId="0" borderId="3" xfId="11" applyNumberFormat="1" applyFont="1" applyBorder="1" applyAlignment="1">
      <alignment horizontal="center"/>
    </xf>
    <xf numFmtId="0" fontId="3" fillId="0" borderId="0" xfId="0" applyFont="1" applyFill="1" applyBorder="1"/>
    <xf numFmtId="10" fontId="8" fillId="0" borderId="0" xfId="11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11" applyFont="1" applyBorder="1" applyAlignment="1">
      <alignment horizontal="left"/>
    </xf>
    <xf numFmtId="0" fontId="3" fillId="0" borderId="0" xfId="11" applyFont="1" applyBorder="1" applyAlignment="1">
      <alignment horizontal="center"/>
    </xf>
    <xf numFmtId="10" fontId="3" fillId="0" borderId="0" xfId="11" applyNumberFormat="1" applyFont="1" applyBorder="1" applyAlignment="1">
      <alignment horizontal="center"/>
    </xf>
    <xf numFmtId="0" fontId="3" fillId="0" borderId="2" xfId="21" applyFont="1" applyBorder="1" applyAlignment="1">
      <alignment horizontal="left"/>
    </xf>
    <xf numFmtId="7" fontId="3" fillId="0" borderId="0" xfId="11" applyNumberFormat="1" applyFont="1"/>
    <xf numFmtId="176" fontId="3" fillId="0" borderId="0" xfId="11" applyNumberFormat="1" applyFont="1" applyAlignment="1">
      <alignment horizontal="right"/>
    </xf>
    <xf numFmtId="10" fontId="3" fillId="0" borderId="0" xfId="11" applyNumberFormat="1" applyFont="1"/>
    <xf numFmtId="0" fontId="3" fillId="0" borderId="0" xfId="21" applyFont="1" applyAlignment="1">
      <alignment horizontal="left"/>
    </xf>
    <xf numFmtId="0" fontId="3" fillId="0" borderId="0" xfId="21" applyFont="1" applyBorder="1" applyAlignment="1">
      <alignment horizontal="left"/>
    </xf>
    <xf numFmtId="0" fontId="3" fillId="0" borderId="3" xfId="11" applyFont="1" applyBorder="1" applyAlignment="1">
      <alignment horizontal="center"/>
    </xf>
    <xf numFmtId="10" fontId="3" fillId="0" borderId="4" xfId="62" applyNumberFormat="1" applyFont="1" applyFill="1" applyBorder="1"/>
    <xf numFmtId="0" fontId="8" fillId="0" borderId="0" xfId="6" applyFont="1" applyAlignment="1">
      <alignment horizontal="center"/>
    </xf>
    <xf numFmtId="0" fontId="8" fillId="0" borderId="3" xfId="6" applyFont="1" applyBorder="1" applyAlignment="1">
      <alignment horizontal="center"/>
    </xf>
    <xf numFmtId="0" fontId="8" fillId="0" borderId="4" xfId="6" applyFont="1" applyBorder="1" applyAlignment="1">
      <alignment horizontal="center"/>
    </xf>
    <xf numFmtId="0" fontId="3" fillId="0" borderId="0" xfId="6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23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8" fillId="0" borderId="6" xfId="11" applyFont="1" applyFill="1" applyBorder="1" applyAlignment="1">
      <alignment horizontal="center"/>
    </xf>
    <xf numFmtId="0" fontId="3" fillId="0" borderId="6" xfId="11" applyFont="1" applyFill="1" applyBorder="1" applyAlignment="1">
      <alignment horizontal="center"/>
    </xf>
    <xf numFmtId="171" fontId="3" fillId="0" borderId="6" xfId="24" applyNumberFormat="1" applyFont="1" applyFill="1" applyBorder="1" applyAlignment="1">
      <alignment horizontal="center"/>
    </xf>
    <xf numFmtId="171" fontId="14" fillId="0" borderId="6" xfId="24" applyNumberFormat="1" applyFont="1" applyFill="1" applyBorder="1" applyAlignment="1">
      <alignment horizontal="center"/>
    </xf>
    <xf numFmtId="0" fontId="3" fillId="0" borderId="0" xfId="3" applyFont="1" applyAlignment="1">
      <alignment horizontal="center" wrapText="1"/>
    </xf>
    <xf numFmtId="0" fontId="3" fillId="0" borderId="0" xfId="6" applyFont="1" applyAlignment="1">
      <alignment horizontal="center"/>
    </xf>
    <xf numFmtId="0" fontId="13" fillId="0" borderId="0" xfId="41" applyFont="1" applyAlignment="1">
      <alignment horizontal="center"/>
    </xf>
    <xf numFmtId="0" fontId="8" fillId="0" borderId="0" xfId="6" applyFont="1" applyAlignment="1">
      <alignment horizontal="center"/>
    </xf>
    <xf numFmtId="0" fontId="8" fillId="0" borderId="0" xfId="0" applyFont="1" applyAlignment="1">
      <alignment horizontal="center"/>
    </xf>
    <xf numFmtId="10" fontId="9" fillId="0" borderId="7" xfId="11" applyNumberFormat="1" applyFont="1" applyBorder="1" applyAlignment="1">
      <alignment horizontal="center"/>
    </xf>
    <xf numFmtId="10" fontId="9" fillId="0" borderId="8" xfId="11" applyNumberFormat="1" applyFont="1" applyBorder="1" applyAlignment="1">
      <alignment horizontal="center"/>
    </xf>
    <xf numFmtId="10" fontId="9" fillId="0" borderId="7" xfId="14" applyNumberFormat="1" applyFont="1" applyFill="1" applyBorder="1" applyAlignment="1">
      <alignment horizontal="center"/>
    </xf>
    <xf numFmtId="10" fontId="9" fillId="0" borderId="8" xfId="14" applyNumberFormat="1" applyFont="1" applyFill="1" applyBorder="1" applyAlignment="1">
      <alignment horizontal="center"/>
    </xf>
    <xf numFmtId="0" fontId="8" fillId="0" borderId="0" xfId="4" applyFont="1" applyAlignment="1">
      <alignment horizontal="center" vertical="center"/>
    </xf>
    <xf numFmtId="0" fontId="11" fillId="0" borderId="0" xfId="11" applyFont="1" applyAlignment="1">
      <alignment horizontal="center"/>
    </xf>
    <xf numFmtId="0" fontId="13" fillId="0" borderId="1" xfId="11" applyFont="1" applyBorder="1" applyAlignment="1">
      <alignment horizontal="center" vertical="center"/>
    </xf>
    <xf numFmtId="0" fontId="13" fillId="0" borderId="2" xfId="11" applyFont="1" applyBorder="1" applyAlignment="1">
      <alignment horizontal="center" vertical="center"/>
    </xf>
    <xf numFmtId="0" fontId="13" fillId="0" borderId="5" xfId="11" applyFont="1" applyBorder="1" applyAlignment="1">
      <alignment horizontal="center"/>
    </xf>
    <xf numFmtId="0" fontId="13" fillId="0" borderId="5" xfId="11" applyFont="1" applyFill="1" applyBorder="1" applyAlignment="1">
      <alignment horizontal="center"/>
    </xf>
    <xf numFmtId="0" fontId="8" fillId="0" borderId="0" xfId="46" applyFont="1" applyAlignment="1">
      <alignment horizontal="left" wrapText="1"/>
    </xf>
    <xf numFmtId="0" fontId="13" fillId="0" borderId="2" xfId="44" applyFont="1" applyFill="1" applyBorder="1" applyAlignment="1">
      <alignment horizontal="center" vertical="center" wrapText="1"/>
    </xf>
    <xf numFmtId="0" fontId="13" fillId="0" borderId="2" xfId="44" applyFont="1" applyBorder="1" applyAlignment="1">
      <alignment horizontal="center" vertical="center" wrapText="1"/>
    </xf>
    <xf numFmtId="0" fontId="11" fillId="0" borderId="2" xfId="45" applyFont="1" applyFill="1" applyBorder="1" applyAlignment="1">
      <alignment horizontal="center" vertical="center" wrapText="1"/>
    </xf>
    <xf numFmtId="0" fontId="8" fillId="0" borderId="3" xfId="44" applyFont="1" applyBorder="1" applyAlignment="1">
      <alignment horizontal="center" vertical="center"/>
    </xf>
    <xf numFmtId="0" fontId="8" fillId="0" borderId="3" xfId="44" applyFont="1" applyBorder="1" applyAlignment="1">
      <alignment horizontal="center"/>
    </xf>
    <xf numFmtId="0" fontId="13" fillId="0" borderId="0" xfId="11" applyFont="1" applyBorder="1" applyAlignment="1">
      <alignment horizontal="center" vertical="center"/>
    </xf>
    <xf numFmtId="0" fontId="13" fillId="0" borderId="1" xfId="23" applyFont="1" applyFill="1" applyBorder="1" applyAlignment="1">
      <alignment horizontal="center" vertical="center" wrapText="1"/>
    </xf>
    <xf numFmtId="0" fontId="13" fillId="0" borderId="2" xfId="23" applyFont="1" applyFill="1" applyBorder="1" applyAlignment="1">
      <alignment horizontal="center" vertical="center" wrapText="1"/>
    </xf>
    <xf numFmtId="0" fontId="13" fillId="0" borderId="0" xfId="11" applyFont="1" applyAlignment="1">
      <alignment horizontal="center"/>
    </xf>
    <xf numFmtId="0" fontId="8" fillId="0" borderId="4" xfId="11" applyFont="1" applyBorder="1" applyAlignment="1">
      <alignment horizontal="center"/>
    </xf>
    <xf numFmtId="0" fontId="13" fillId="0" borderId="0" xfId="44" applyFont="1" applyBorder="1" applyAlignment="1">
      <alignment horizontal="center"/>
    </xf>
    <xf numFmtId="0" fontId="13" fillId="0" borderId="0" xfId="28" applyFont="1" applyAlignment="1">
      <alignment horizontal="center"/>
    </xf>
    <xf numFmtId="0" fontId="11" fillId="0" borderId="0" xfId="28" applyFont="1" applyAlignment="1">
      <alignment horizontal="center"/>
    </xf>
    <xf numFmtId="0" fontId="3" fillId="0" borderId="5" xfId="28" applyFont="1" applyBorder="1" applyAlignment="1">
      <alignment horizontal="center"/>
    </xf>
    <xf numFmtId="0" fontId="8" fillId="0" borderId="0" xfId="0" applyNumberFormat="1" applyFont="1" applyBorder="1" applyAlignment="1">
      <alignment horizontal="center"/>
    </xf>
  </cellXfs>
  <cellStyles count="63">
    <cellStyle name="Comma" xfId="1" builtinId="3"/>
    <cellStyle name="Comma 10" xfId="15" xr:uid="{00000000-0005-0000-0000-000001000000}"/>
    <cellStyle name="Comma 101" xfId="10" xr:uid="{00000000-0005-0000-0000-000002000000}"/>
    <cellStyle name="Comma 101 2" xfId="19" xr:uid="{00000000-0005-0000-0000-000003000000}"/>
    <cellStyle name="Comma 102" xfId="54" xr:uid="{00000000-0005-0000-0000-000004000000}"/>
    <cellStyle name="Comma 103" xfId="9" xr:uid="{00000000-0005-0000-0000-000005000000}"/>
    <cellStyle name="Comma 2 154" xfId="25" xr:uid="{00000000-0005-0000-0000-000006000000}"/>
    <cellStyle name="Comma 2 2 21" xfId="43" xr:uid="{00000000-0005-0000-0000-000007000000}"/>
    <cellStyle name="Comma 3" xfId="20" xr:uid="{00000000-0005-0000-0000-000008000000}"/>
    <cellStyle name="Currency 2 10" xfId="49" xr:uid="{00000000-0005-0000-0000-000009000000}"/>
    <cellStyle name="Normal" xfId="0" builtinId="0"/>
    <cellStyle name="Normal 10 10" xfId="11" xr:uid="{00000000-0005-0000-0000-00000B000000}"/>
    <cellStyle name="Normal 10 10 3 2" xfId="23" xr:uid="{00000000-0005-0000-0000-00000C000000}"/>
    <cellStyle name="Normal 10 10 6 2" xfId="46" xr:uid="{00000000-0005-0000-0000-00000D000000}"/>
    <cellStyle name="Normal 10 10 8" xfId="44" xr:uid="{00000000-0005-0000-0000-00000E000000}"/>
    <cellStyle name="Normal 10 11" xfId="57" xr:uid="{00000000-0005-0000-0000-00000F000000}"/>
    <cellStyle name="Normal 10 21 3" xfId="40" xr:uid="{00000000-0005-0000-0000-000010000000}"/>
    <cellStyle name="Normal 10 23 2" xfId="58" xr:uid="{00000000-0005-0000-0000-000011000000}"/>
    <cellStyle name="Normal 14 12 10 2 2 2" xfId="45" xr:uid="{00000000-0005-0000-0000-000012000000}"/>
    <cellStyle name="Normal 195 2" xfId="6" xr:uid="{00000000-0005-0000-0000-000013000000}"/>
    <cellStyle name="Normal 2" xfId="8" xr:uid="{00000000-0005-0000-0000-000014000000}"/>
    <cellStyle name="Normal 2 10 2" xfId="38" xr:uid="{00000000-0005-0000-0000-000015000000}"/>
    <cellStyle name="Normal 2 10 9 2" xfId="21" xr:uid="{00000000-0005-0000-0000-000016000000}"/>
    <cellStyle name="Normal 2 142 2" xfId="47" xr:uid="{00000000-0005-0000-0000-000017000000}"/>
    <cellStyle name="Normal 2 142 2 3" xfId="51" xr:uid="{00000000-0005-0000-0000-000018000000}"/>
    <cellStyle name="Normal 2 146 2 2 2 2 3" xfId="31" xr:uid="{00000000-0005-0000-0000-000019000000}"/>
    <cellStyle name="Normal 2 147" xfId="52" xr:uid="{00000000-0005-0000-0000-00001A000000}"/>
    <cellStyle name="Normal 239" xfId="22" xr:uid="{00000000-0005-0000-0000-00001B000000}"/>
    <cellStyle name="Normal 246" xfId="3" xr:uid="{00000000-0005-0000-0000-00001C000000}"/>
    <cellStyle name="Normal 246 2" xfId="5" xr:uid="{00000000-0005-0000-0000-00001D000000}"/>
    <cellStyle name="Normal 250" xfId="39" xr:uid="{00000000-0005-0000-0000-00001E000000}"/>
    <cellStyle name="Normal 252" xfId="41" xr:uid="{00000000-0005-0000-0000-00001F000000}"/>
    <cellStyle name="Normal 256" xfId="35" xr:uid="{00000000-0005-0000-0000-000020000000}"/>
    <cellStyle name="Normal 264" xfId="55" xr:uid="{00000000-0005-0000-0000-000021000000}"/>
    <cellStyle name="Normal 267" xfId="12" xr:uid="{00000000-0005-0000-0000-000022000000}"/>
    <cellStyle name="Normal 3" xfId="4" xr:uid="{00000000-0005-0000-0000-000023000000}"/>
    <cellStyle name="Normal 3 2" xfId="59" xr:uid="{00000000-0005-0000-0000-000024000000}"/>
    <cellStyle name="Normal 4" xfId="56" xr:uid="{00000000-0005-0000-0000-000025000000}"/>
    <cellStyle name="Normal 41" xfId="28" xr:uid="{00000000-0005-0000-0000-000026000000}"/>
    <cellStyle name="Normal 5" xfId="60" xr:uid="{00000000-0005-0000-0000-000027000000}"/>
    <cellStyle name="Normal 5 10 3" xfId="34" xr:uid="{00000000-0005-0000-0000-000028000000}"/>
    <cellStyle name="Normal 6" xfId="16" xr:uid="{00000000-0005-0000-0000-000029000000}"/>
    <cellStyle name="Normal 6 2 5" xfId="36" xr:uid="{00000000-0005-0000-0000-00002A000000}"/>
    <cellStyle name="Normal 7" xfId="61" xr:uid="{00000000-0005-0000-0000-00002B000000}"/>
    <cellStyle name="Normal 7 94" xfId="30" xr:uid="{00000000-0005-0000-0000-00002C000000}"/>
    <cellStyle name="Normal 8 96 2 2 2 2 2" xfId="27" xr:uid="{00000000-0005-0000-0000-00002D000000}"/>
    <cellStyle name="Normal 8 96 2 2 2 2 3" xfId="29" xr:uid="{00000000-0005-0000-0000-00002E000000}"/>
    <cellStyle name="Normal 8 96 2 2 2 2 3 2" xfId="32" xr:uid="{00000000-0005-0000-0000-00002F000000}"/>
    <cellStyle name="Percent" xfId="2" builtinId="5"/>
    <cellStyle name="Percent 10" xfId="17" xr:uid="{00000000-0005-0000-0000-000031000000}"/>
    <cellStyle name="Percent 100" xfId="48" xr:uid="{00000000-0005-0000-0000-000032000000}"/>
    <cellStyle name="Percent 2 155 2 3" xfId="24" xr:uid="{00000000-0005-0000-0000-000033000000}"/>
    <cellStyle name="Percent 2 155 2 5" xfId="62" xr:uid="{00000000-0005-0000-0000-000034000000}"/>
    <cellStyle name="Percent 2 16" xfId="42" xr:uid="{00000000-0005-0000-0000-000035000000}"/>
    <cellStyle name="Percent 4 65 2 2 2" xfId="7" xr:uid="{00000000-0005-0000-0000-000036000000}"/>
    <cellStyle name="Percent 6 4 2" xfId="37" xr:uid="{00000000-0005-0000-0000-000037000000}"/>
    <cellStyle name="Percent 80 2 3" xfId="50" xr:uid="{00000000-0005-0000-0000-000038000000}"/>
    <cellStyle name="Percent 80 2 3 2" xfId="53" xr:uid="{00000000-0005-0000-0000-000039000000}"/>
    <cellStyle name="Percent 88" xfId="18" xr:uid="{00000000-0005-0000-0000-00003A000000}"/>
    <cellStyle name="Percent 93" xfId="26" xr:uid="{00000000-0005-0000-0000-00003B000000}"/>
    <cellStyle name="Percent 95" xfId="33" xr:uid="{00000000-0005-0000-0000-00003C000000}"/>
    <cellStyle name="Percent 95 2" xfId="13" xr:uid="{00000000-0005-0000-0000-00003D000000}"/>
    <cellStyle name="Percent 96" xfId="14" xr:uid="{00000000-0005-0000-0000-00003E000000}"/>
  </cellStyles>
  <dxfs count="2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C000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229339055577541E-2"/>
          <c:y val="5.4948857798720593E-2"/>
          <c:w val="0.90801958413493755"/>
          <c:h val="0.89534282300833379"/>
        </c:manualLayout>
      </c:layout>
      <c:scatterChart>
        <c:scatterStyle val="lineMarker"/>
        <c:varyColors val="0"/>
        <c:ser>
          <c:idx val="1"/>
          <c:order val="0"/>
          <c:tx>
            <c:strRef>
              <c:f>'AEB-2 Summary'!$I$5</c:f>
              <c:strCache>
                <c:ptCount val="1"/>
                <c:pt idx="0">
                  <c:v>Constant Growth Mean DCF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'AEB-2 Summary'!$J$5:$J$7</c:f>
              <c:numCache>
                <c:formatCode>0.00%</c:formatCode>
                <c:ptCount val="3"/>
                <c:pt idx="0">
                  <c:v>8.7007830623674162E-2</c:v>
                </c:pt>
                <c:pt idx="1">
                  <c:v>9.9570677599006271E-2</c:v>
                </c:pt>
                <c:pt idx="2">
                  <c:v>0.11159326339806286</c:v>
                </c:pt>
              </c:numCache>
            </c:numRef>
          </c:xVal>
          <c:yVal>
            <c:numRef>
              <c:f>'AEB-2 Summary'!$K$5:$K$7</c:f>
              <c:numCache>
                <c:formatCode>0.0</c:formatCode>
                <c:ptCount val="3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A-4101-B3F4-D0E14FF51E72}"/>
            </c:ext>
          </c:extLst>
        </c:ser>
        <c:ser>
          <c:idx val="4"/>
          <c:order val="1"/>
          <c:tx>
            <c:strRef>
              <c:f>'AEB-2 Summary'!$I$11</c:f>
              <c:strCache>
                <c:ptCount val="1"/>
                <c:pt idx="0">
                  <c:v>CAPM 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'AEB-2 Summary'!$J$11:$J$12</c:f>
              <c:numCache>
                <c:formatCode>0.00%</c:formatCode>
                <c:ptCount val="2"/>
                <c:pt idx="0">
                  <c:v>0.10385584018435244</c:v>
                </c:pt>
                <c:pt idx="1">
                  <c:v>0.11630715283088736</c:v>
                </c:pt>
              </c:numCache>
            </c:numRef>
          </c:xVal>
          <c:yVal>
            <c:numRef>
              <c:f>'AEB-2 Summary'!$K$11:$K$12</c:f>
              <c:numCache>
                <c:formatCode>0.0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0A-4101-B3F4-D0E14FF51E72}"/>
            </c:ext>
          </c:extLst>
        </c:ser>
        <c:ser>
          <c:idx val="9"/>
          <c:order val="2"/>
          <c:tx>
            <c:strRef>
              <c:f>'AEB-2 Summary'!$I$13</c:f>
              <c:strCache>
                <c:ptCount val="1"/>
                <c:pt idx="0">
                  <c:v>ECAPM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'AEB-2 Summary'!$J$13:$J$14</c:f>
              <c:numCache>
                <c:formatCode>0.00%</c:formatCode>
                <c:ptCount val="2"/>
                <c:pt idx="0">
                  <c:v>0.10844022472693299</c:v>
                </c:pt>
                <c:pt idx="1">
                  <c:v>0.11777870921183416</c:v>
                </c:pt>
              </c:numCache>
            </c:numRef>
          </c:xVal>
          <c:yVal>
            <c:numRef>
              <c:f>'AEB-2 Summary'!$K$13:$K$14</c:f>
              <c:numCache>
                <c:formatCode>0.0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0A-4101-B3F4-D0E14FF51E72}"/>
            </c:ext>
          </c:extLst>
        </c:ser>
        <c:ser>
          <c:idx val="2"/>
          <c:order val="3"/>
          <c:tx>
            <c:strRef>
              <c:f>'AEB-2 Summary'!$I$8</c:f>
              <c:strCache>
                <c:ptCount val="1"/>
                <c:pt idx="0">
                  <c:v>Constant Growth Median DCF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'AEB-2 Summary'!$J$8:$J$10</c:f>
              <c:numCache>
                <c:formatCode>0.00%</c:formatCode>
                <c:ptCount val="3"/>
                <c:pt idx="0">
                  <c:v>8.6894916483723675E-2</c:v>
                </c:pt>
                <c:pt idx="1">
                  <c:v>9.8058195275201279E-2</c:v>
                </c:pt>
                <c:pt idx="2">
                  <c:v>0.10709428095190861</c:v>
                </c:pt>
              </c:numCache>
            </c:numRef>
          </c:xVal>
          <c:yVal>
            <c:numRef>
              <c:f>'AEB-2 Summary'!$K$8:$K$10</c:f>
              <c:numCache>
                <c:formatCode>0.0</c:formatCode>
                <c:ptCount val="3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0A-4101-B3F4-D0E14FF51E72}"/>
            </c:ext>
          </c:extLst>
        </c:ser>
        <c:ser>
          <c:idx val="3"/>
          <c:order val="4"/>
          <c:tx>
            <c:strRef>
              <c:f>'AEB-2 Summary'!$I$15</c:f>
              <c:strCache>
                <c:ptCount val="1"/>
                <c:pt idx="0">
                  <c:v>Risk Premium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'AEB-2 Summary'!$J$15:$J$16</c:f>
              <c:numCache>
                <c:formatCode>0.00%</c:formatCode>
                <c:ptCount val="2"/>
                <c:pt idx="0">
                  <c:v>0.10353074357468631</c:v>
                </c:pt>
                <c:pt idx="1">
                  <c:v>0.10298988261707198</c:v>
                </c:pt>
              </c:numCache>
            </c:numRef>
          </c:xVal>
          <c:yVal>
            <c:numRef>
              <c:f>'AEB-2 Summary'!$K$15:$K$16</c:f>
              <c:numCache>
                <c:formatCode>0.0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0A-4101-B3F4-D0E14FF51E72}"/>
            </c:ext>
          </c:extLst>
        </c:ser>
        <c:ser>
          <c:idx val="0"/>
          <c:order val="5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'AEB-2 Summary'!$J$17:$J$18</c:f>
              <c:numCache>
                <c:formatCode>0.00%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xVal>
          <c:yVal>
            <c:numRef>
              <c:f>'AEB-2 Summary'!$K$17:$K$18</c:f>
              <c:numCache>
                <c:formatCode>0.0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0A-4101-B3F4-D0E14FF51E72}"/>
            </c:ext>
          </c:extLst>
        </c:ser>
        <c:ser>
          <c:idx val="5"/>
          <c:order val="6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'AEB-2 Summary'!$J$19:$J$20</c:f>
              <c:numCache>
                <c:formatCode>0.00%</c:formatCode>
                <c:ptCount val="2"/>
                <c:pt idx="0">
                  <c:v>0.11</c:v>
                </c:pt>
                <c:pt idx="1">
                  <c:v>0.11</c:v>
                </c:pt>
              </c:numCache>
            </c:numRef>
          </c:xVal>
          <c:yVal>
            <c:numRef>
              <c:f>'AEB-2 Summary'!$K$19:$K$20</c:f>
              <c:numCache>
                <c:formatCode>0.0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0A-4101-B3F4-D0E14FF51E72}"/>
            </c:ext>
          </c:extLst>
        </c:ser>
        <c:ser>
          <c:idx val="7"/>
          <c:order val="7"/>
          <c:tx>
            <c:strRef>
              <c:f>'AEB-2 Summary'!#REF!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'AEB-2 Summary'!#REF!</c:f>
            </c:numRef>
          </c:xVal>
          <c:yVal>
            <c:numRef>
              <c:f>'AEB-2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0A-4101-B3F4-D0E14FF51E72}"/>
            </c:ext>
          </c:extLst>
        </c:ser>
        <c:ser>
          <c:idx val="6"/>
          <c:order val="8"/>
          <c:tx>
            <c:strRef>
              <c:f>'AEB-2 Summary'!$I$21</c:f>
              <c:strCache>
                <c:ptCount val="1"/>
                <c:pt idx="0">
                  <c:v>Recommended ROE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diamond"/>
              <c:size val="7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233-43D6-8FE3-FAC54D04644E}"/>
              </c:ext>
            </c:extLst>
          </c:dPt>
          <c:xVal>
            <c:numRef>
              <c:f>'AEB-2 Summary'!$J$21</c:f>
              <c:numCache>
                <c:formatCode>0.00%</c:formatCode>
                <c:ptCount val="1"/>
                <c:pt idx="0">
                  <c:v>0.106</c:v>
                </c:pt>
              </c:numCache>
            </c:numRef>
          </c:xVal>
          <c:yVal>
            <c:numRef>
              <c:f>'AEB-2 Summary'!$K$21</c:f>
              <c:numCache>
                <c:formatCode>0.0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0A-4101-B3F4-D0E14FF51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422656"/>
        <c:axId val="238432640"/>
      </c:scatterChart>
      <c:valAx>
        <c:axId val="238422656"/>
        <c:scaling>
          <c:orientation val="minMax"/>
          <c:max val="0.13"/>
          <c:min val="8.0000000000000016E-2"/>
        </c:scaling>
        <c:delete val="0"/>
        <c:axPos val="b"/>
        <c:numFmt formatCode="0.00%" sourceLinked="1"/>
        <c:majorTickMark val="in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32640"/>
        <c:crosses val="autoZero"/>
        <c:crossBetween val="midCat"/>
        <c:majorUnit val="5.0000000000000027E-3"/>
      </c:valAx>
      <c:valAx>
        <c:axId val="238432640"/>
        <c:scaling>
          <c:orientation val="minMax"/>
          <c:max val="9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crossAx val="238422656"/>
        <c:crossesAt val="0.1"/>
        <c:crossBetween val="midCat"/>
        <c:majorUnit val="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+mn-lt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32117500893605"/>
          <c:y val="2.8104184646706058E-2"/>
          <c:w val="0.85044618010784101"/>
          <c:h val="0.812123525636770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563222266660035E-2"/>
                  <c:y val="-0.605888523040507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y = -0.4163x + 0.0791</a:t>
                    </a:r>
                    <a:br>
                      <a:rPr lang="en-US" baseline="0"/>
                    </a:br>
                    <a:r>
                      <a:rPr lang="en-US" baseline="0"/>
                      <a:t>R² = 0.836</a:t>
                    </a:r>
                    <a:endParaRPr lang="en-US"/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'AEB-8 Risk Premium'!$D$6:$D$182</c:f>
              <c:numCache>
                <c:formatCode>0.00%</c:formatCode>
                <c:ptCount val="177"/>
                <c:pt idx="0">
                  <c:v>0.11657096774193544</c:v>
                </c:pt>
                <c:pt idx="1">
                  <c:v>0.10524920634920633</c:v>
                </c:pt>
                <c:pt idx="2">
                  <c:v>0.1085</c:v>
                </c:pt>
                <c:pt idx="3">
                  <c:v>0.12096229508196724</c:v>
                </c:pt>
                <c:pt idx="4">
                  <c:v>0.12533278688524591</c:v>
                </c:pt>
                <c:pt idx="5">
                  <c:v>0.13242857142857142</c:v>
                </c:pt>
                <c:pt idx="6">
                  <c:v>0.14132343749999998</c:v>
                </c:pt>
                <c:pt idx="7">
                  <c:v>0.13847868852459014</c:v>
                </c:pt>
                <c:pt idx="8">
                  <c:v>0.13962131147540985</c:v>
                </c:pt>
                <c:pt idx="9">
                  <c:v>0.13521904761904768</c:v>
                </c:pt>
                <c:pt idx="10">
                  <c:v>0.12794375000000005</c:v>
                </c:pt>
                <c:pt idx="11">
                  <c:v>0.10746229508196721</c:v>
                </c:pt>
                <c:pt idx="12">
                  <c:v>0.10706825396825397</c:v>
                </c:pt>
                <c:pt idx="13">
                  <c:v>0.10653174603174603</c:v>
                </c:pt>
                <c:pt idx="14">
                  <c:v>0.11624531249999998</c:v>
                </c:pt>
                <c:pt idx="15">
                  <c:v>0.11737</c:v>
                </c:pt>
                <c:pt idx="16">
                  <c:v>0.12036290322580651</c:v>
                </c:pt>
                <c:pt idx="17">
                  <c:v>0.13183968253968248</c:v>
                </c:pt>
                <c:pt idx="18">
                  <c:v>0.12689047619047616</c:v>
                </c:pt>
                <c:pt idx="19">
                  <c:v>0.11698852459016393</c:v>
                </c:pt>
                <c:pt idx="20">
                  <c:v>0.11584000000000001</c:v>
                </c:pt>
                <c:pt idx="21">
                  <c:v>0.10995873015873014</c:v>
                </c:pt>
                <c:pt idx="22">
                  <c:v>0.10553015873015874</c:v>
                </c:pt>
                <c:pt idx="23">
                  <c:v>0.10039838709677419</c:v>
                </c:pt>
                <c:pt idx="24">
                  <c:v>8.7693333333333318E-2</c:v>
                </c:pt>
                <c:pt idx="25">
                  <c:v>7.4906250000000008E-2</c:v>
                </c:pt>
                <c:pt idx="26">
                  <c:v>7.4042187499999995E-2</c:v>
                </c:pt>
                <c:pt idx="27">
                  <c:v>7.5280645161290308E-2</c:v>
                </c:pt>
                <c:pt idx="28">
                  <c:v>7.4936065573770486E-2</c:v>
                </c:pt>
                <c:pt idx="29">
                  <c:v>8.5306349206349191E-2</c:v>
                </c:pt>
                <c:pt idx="30">
                  <c:v>9.0592187499999977E-2</c:v>
                </c:pt>
                <c:pt idx="31">
                  <c:v>9.2301538461538449E-2</c:v>
                </c:pt>
                <c:pt idx="32">
                  <c:v>8.6266129032258082E-2</c:v>
                </c:pt>
                <c:pt idx="33">
                  <c:v>9.0614285714285744E-2</c:v>
                </c:pt>
                <c:pt idx="34">
                  <c:v>9.1754687500000043E-2</c:v>
                </c:pt>
                <c:pt idx="35">
                  <c:v>8.9730158730158771E-2</c:v>
                </c:pt>
                <c:pt idx="36">
                  <c:v>9.036129032258064E-2</c:v>
                </c:pt>
                <c:pt idx="37">
                  <c:v>8.69796875E-2</c:v>
                </c:pt>
                <c:pt idx="38">
                  <c:v>8.1187301587301586E-2</c:v>
                </c:pt>
                <c:pt idx="39">
                  <c:v>7.9334374999999999E-2</c:v>
                </c:pt>
                <c:pt idx="40">
                  <c:v>8.4376190476190494E-2</c:v>
                </c:pt>
                <c:pt idx="41">
                  <c:v>8.6479365079365086E-2</c:v>
                </c:pt>
                <c:pt idx="42">
                  <c:v>8.7915873015873003E-2</c:v>
                </c:pt>
                <c:pt idx="43">
                  <c:v>8.557846153846152E-2</c:v>
                </c:pt>
                <c:pt idx="44">
                  <c:v>8.2024193548387081E-2</c:v>
                </c:pt>
                <c:pt idx="45">
                  <c:v>8.3114062500000016E-2</c:v>
                </c:pt>
                <c:pt idx="46">
                  <c:v>8.1885937500000019E-2</c:v>
                </c:pt>
                <c:pt idx="47">
                  <c:v>7.8533846153846162E-2</c:v>
                </c:pt>
                <c:pt idx="48">
                  <c:v>7.8050793650793662E-2</c:v>
                </c:pt>
                <c:pt idx="49">
                  <c:v>7.8976190476190478E-2</c:v>
                </c:pt>
                <c:pt idx="50">
                  <c:v>7.4456250000000002E-2</c:v>
                </c:pt>
                <c:pt idx="51">
                  <c:v>7.5235937499999989E-2</c:v>
                </c:pt>
                <c:pt idx="52">
                  <c:v>7.0716129032258074E-2</c:v>
                </c:pt>
                <c:pt idx="53">
                  <c:v>6.8584126984127011E-2</c:v>
                </c:pt>
                <c:pt idx="54">
                  <c:v>6.3154687500000015E-2</c:v>
                </c:pt>
                <c:pt idx="55">
                  <c:v>6.1351562500000012E-2</c:v>
                </c:pt>
                <c:pt idx="56">
                  <c:v>6.5758730158730155E-2</c:v>
                </c:pt>
                <c:pt idx="57">
                  <c:v>7.3622580645161306E-2</c:v>
                </c:pt>
                <c:pt idx="58">
                  <c:v>7.5893750000000024E-2</c:v>
                </c:pt>
                <c:pt idx="59">
                  <c:v>7.9633333333333334E-2</c:v>
                </c:pt>
                <c:pt idx="60">
                  <c:v>7.6334374999999996E-2</c:v>
                </c:pt>
                <c:pt idx="61">
                  <c:v>6.9422222222222191E-2</c:v>
                </c:pt>
                <c:pt idx="62">
                  <c:v>6.7173015873015857E-2</c:v>
                </c:pt>
                <c:pt idx="63">
                  <c:v>6.2390476190476205E-2</c:v>
                </c:pt>
                <c:pt idx="64">
                  <c:v>6.2916923076923065E-2</c:v>
                </c:pt>
                <c:pt idx="65">
                  <c:v>6.9215384615384609E-2</c:v>
                </c:pt>
                <c:pt idx="66">
                  <c:v>6.9672727272727275E-2</c:v>
                </c:pt>
                <c:pt idx="67">
                  <c:v>6.6199999999999995E-2</c:v>
                </c:pt>
                <c:pt idx="68">
                  <c:v>6.8153124999999995E-2</c:v>
                </c:pt>
                <c:pt idx="69">
                  <c:v>6.9369230769230752E-2</c:v>
                </c:pt>
                <c:pt idx="70">
                  <c:v>6.5304545454545448E-2</c:v>
                </c:pt>
                <c:pt idx="71">
                  <c:v>6.1478125000000015E-2</c:v>
                </c:pt>
                <c:pt idx="72">
                  <c:v>5.884375E-2</c:v>
                </c:pt>
                <c:pt idx="73">
                  <c:v>5.8490769230769207E-2</c:v>
                </c:pt>
                <c:pt idx="74">
                  <c:v>5.4762121212121241E-2</c:v>
                </c:pt>
                <c:pt idx="75">
                  <c:v>5.1071212121212115E-2</c:v>
                </c:pt>
                <c:pt idx="76">
                  <c:v>5.3734374999999994E-2</c:v>
                </c:pt>
                <c:pt idx="77">
                  <c:v>5.7987692307692289E-2</c:v>
                </c:pt>
                <c:pt idx="78">
                  <c:v>6.040757575757575E-2</c:v>
                </c:pt>
                <c:pt idx="79">
                  <c:v>6.2559090909090911E-2</c:v>
                </c:pt>
                <c:pt idx="80">
                  <c:v>6.2958461538461505E-2</c:v>
                </c:pt>
                <c:pt idx="81">
                  <c:v>5.9787692307692299E-2</c:v>
                </c:pt>
                <c:pt idx="82">
                  <c:v>5.7932307692307693E-2</c:v>
                </c:pt>
                <c:pt idx="83">
                  <c:v>5.6907692307692305E-2</c:v>
                </c:pt>
                <c:pt idx="84">
                  <c:v>5.4464615384615396E-2</c:v>
                </c:pt>
                <c:pt idx="85">
                  <c:v>5.7016923076923069E-2</c:v>
                </c:pt>
                <c:pt idx="86">
                  <c:v>5.5250769230769207E-2</c:v>
                </c:pt>
                <c:pt idx="87">
                  <c:v>5.3019696969696967E-2</c:v>
                </c:pt>
                <c:pt idx="88">
                  <c:v>5.51578125E-2</c:v>
                </c:pt>
                <c:pt idx="89">
                  <c:v>5.6164615384615389E-2</c:v>
                </c:pt>
                <c:pt idx="90">
                  <c:v>5.0868181818181826E-2</c:v>
                </c:pt>
                <c:pt idx="91">
                  <c:v>4.9322727272727268E-2</c:v>
                </c:pt>
                <c:pt idx="92">
                  <c:v>4.8518749999999999E-2</c:v>
                </c:pt>
                <c:pt idx="93">
                  <c:v>4.6032307692307678E-2</c:v>
                </c:pt>
                <c:pt idx="94">
                  <c:v>5.113939393939395E-2</c:v>
                </c:pt>
                <c:pt idx="95">
                  <c:v>5.1146969696969691E-2</c:v>
                </c:pt>
                <c:pt idx="96">
                  <c:v>4.8776923076923072E-2</c:v>
                </c:pt>
                <c:pt idx="97">
                  <c:v>5.3353846153846154E-2</c:v>
                </c:pt>
                <c:pt idx="98">
                  <c:v>5.1074242424242439E-2</c:v>
                </c:pt>
                <c:pt idx="99">
                  <c:v>4.9322727272727296E-2</c:v>
                </c:pt>
                <c:pt idx="100">
                  <c:v>4.7070312500000003E-2</c:v>
                </c:pt>
                <c:pt idx="101">
                  <c:v>4.4709230769230765E-2</c:v>
                </c:pt>
                <c:pt idx="102">
                  <c:v>4.4228787878787867E-2</c:v>
                </c:pt>
                <c:pt idx="103">
                  <c:v>4.6523076923076924E-2</c:v>
                </c:pt>
                <c:pt idx="104">
                  <c:v>4.6270769230769213E-2</c:v>
                </c:pt>
                <c:pt idx="105">
                  <c:v>5.1427692307692299E-2</c:v>
                </c:pt>
                <c:pt idx="106">
                  <c:v>4.9955384615384631E-2</c:v>
                </c:pt>
                <c:pt idx="107">
                  <c:v>4.7423076923076908E-2</c:v>
                </c:pt>
                <c:pt idx="108">
                  <c:v>4.7975384615384635E-2</c:v>
                </c:pt>
                <c:pt idx="109">
                  <c:v>4.9892307692307715E-2</c:v>
                </c:pt>
                <c:pt idx="110">
                  <c:v>4.9499999999999982E-2</c:v>
                </c:pt>
                <c:pt idx="111">
                  <c:v>4.6140000000000014E-2</c:v>
                </c:pt>
                <c:pt idx="112">
                  <c:v>4.409538461538462E-2</c:v>
                </c:pt>
                <c:pt idx="113">
                  <c:v>4.5739999999999996E-2</c:v>
                </c:pt>
                <c:pt idx="114">
                  <c:v>4.4501515151515146E-2</c:v>
                </c:pt>
                <c:pt idx="115">
                  <c:v>3.6437500000000005E-2</c:v>
                </c:pt>
                <c:pt idx="116">
                  <c:v>3.4393749999999994E-2</c:v>
                </c:pt>
                <c:pt idx="117">
                  <c:v>4.1692307692307695E-2</c:v>
                </c:pt>
                <c:pt idx="118">
                  <c:v>4.321666666666666E-2</c:v>
                </c:pt>
                <c:pt idx="119">
                  <c:v>4.3392187499999998E-2</c:v>
                </c:pt>
                <c:pt idx="120">
                  <c:v>4.6243749999999986E-2</c:v>
                </c:pt>
                <c:pt idx="121">
                  <c:v>4.3692307692307676E-2</c:v>
                </c:pt>
                <c:pt idx="122">
                  <c:v>3.8563636363636355E-2</c:v>
                </c:pt>
                <c:pt idx="123">
                  <c:v>4.1749230769230768E-2</c:v>
                </c:pt>
                <c:pt idx="124">
                  <c:v>4.5609374999999994E-2</c:v>
                </c:pt>
                <c:pt idx="125">
                  <c:v>4.3387692307692308E-2</c:v>
                </c:pt>
                <c:pt idx="126">
                  <c:v>3.6960606060606048E-2</c:v>
                </c:pt>
                <c:pt idx="127">
                  <c:v>3.0376190476190473E-2</c:v>
                </c:pt>
                <c:pt idx="128">
                  <c:v>3.1361538461538462E-2</c:v>
                </c:pt>
                <c:pt idx="129">
                  <c:v>2.9363076923076922E-2</c:v>
                </c:pt>
                <c:pt idx="130">
                  <c:v>2.7429230769230779E-2</c:v>
                </c:pt>
                <c:pt idx="131">
                  <c:v>2.8639062499999993E-2</c:v>
                </c:pt>
                <c:pt idx="132">
                  <c:v>3.1303125000000008E-2</c:v>
                </c:pt>
                <c:pt idx="133">
                  <c:v>3.1412307692307684E-2</c:v>
                </c:pt>
                <c:pt idx="134">
                  <c:v>3.7107575757575756E-2</c:v>
                </c:pt>
                <c:pt idx="135">
                  <c:v>3.7882812500000008E-2</c:v>
                </c:pt>
                <c:pt idx="136">
                  <c:v>3.6903125000000009E-2</c:v>
                </c:pt>
                <c:pt idx="137">
                  <c:v>3.4430769230769237E-2</c:v>
                </c:pt>
                <c:pt idx="138">
                  <c:v>3.2657575757575753E-2</c:v>
                </c:pt>
                <c:pt idx="139">
                  <c:v>2.9637499999999997E-2</c:v>
                </c:pt>
                <c:pt idx="140">
                  <c:v>2.5540625000000004E-2</c:v>
                </c:pt>
                <c:pt idx="141">
                  <c:v>2.8836923076923083E-2</c:v>
                </c:pt>
                <c:pt idx="142">
                  <c:v>2.9624242424242438E-2</c:v>
                </c:pt>
                <c:pt idx="143">
                  <c:v>2.9630303030303028E-2</c:v>
                </c:pt>
                <c:pt idx="144">
                  <c:v>2.7218461538461539E-2</c:v>
                </c:pt>
                <c:pt idx="145">
                  <c:v>2.5672307692307696E-2</c:v>
                </c:pt>
                <c:pt idx="146">
                  <c:v>2.2793939393939398E-2</c:v>
                </c:pt>
                <c:pt idx="147">
                  <c:v>2.8333846153846154E-2</c:v>
                </c:pt>
                <c:pt idx="148">
                  <c:v>3.0452307692307709E-2</c:v>
                </c:pt>
                <c:pt idx="149">
                  <c:v>2.8972307692307693E-2</c:v>
                </c:pt>
                <c:pt idx="150">
                  <c:v>2.8173846153846157E-2</c:v>
                </c:pt>
                <c:pt idx="151">
                  <c:v>2.817384615384615E-2</c:v>
                </c:pt>
                <c:pt idx="152">
                  <c:v>3.0235384615384615E-2</c:v>
                </c:pt>
                <c:pt idx="153">
                  <c:v>3.0853846153846162E-2</c:v>
                </c:pt>
                <c:pt idx="154">
                  <c:v>3.0607692307692315E-2</c:v>
                </c:pt>
                <c:pt idx="155">
                  <c:v>3.26939393939394E-2</c:v>
                </c:pt>
                <c:pt idx="156">
                  <c:v>3.0129687499999998E-2</c:v>
                </c:pt>
                <c:pt idx="157">
                  <c:v>2.7836923076923075E-2</c:v>
                </c:pt>
                <c:pt idx="158">
                  <c:v>2.2849999999999995E-2</c:v>
                </c:pt>
                <c:pt idx="159">
                  <c:v>2.2566666666666676E-2</c:v>
                </c:pt>
                <c:pt idx="160">
                  <c:v>1.8878461538461538E-2</c:v>
                </c:pt>
                <c:pt idx="161">
                  <c:v>1.3801538461538454E-2</c:v>
                </c:pt>
                <c:pt idx="162">
                  <c:v>1.3654545454545457E-2</c:v>
                </c:pt>
                <c:pt idx="163">
                  <c:v>1.6210606060606054E-2</c:v>
                </c:pt>
                <c:pt idx="164">
                  <c:v>2.0748437499999998E-2</c:v>
                </c:pt>
                <c:pt idx="165">
                  <c:v>2.2579999999999996E-2</c:v>
                </c:pt>
                <c:pt idx="166">
                  <c:v>1.9333333333333327E-2</c:v>
                </c:pt>
                <c:pt idx="167">
                  <c:v>1.9479687499999995E-2</c:v>
                </c:pt>
                <c:pt idx="168">
                  <c:v>2.2546031746031748E-2</c:v>
                </c:pt>
                <c:pt idx="169">
                  <c:v>3.0455384615384599E-2</c:v>
                </c:pt>
                <c:pt idx="170">
                  <c:v>3.2607575757575759E-2</c:v>
                </c:pt>
                <c:pt idx="171">
                  <c:v>3.8912500000000003E-2</c:v>
                </c:pt>
                <c:pt idx="172">
                  <c:v>3.7495384615384618E-2</c:v>
                </c:pt>
                <c:pt idx="173">
                  <c:v>3.808461538461537E-2</c:v>
                </c:pt>
                <c:pt idx="174">
                  <c:v>4.234461538461539E-2</c:v>
                </c:pt>
                <c:pt idx="175">
                  <c:v>4.5817187500000002E-2</c:v>
                </c:pt>
                <c:pt idx="176">
                  <c:v>4.2456521739130428E-2</c:v>
                </c:pt>
              </c:numCache>
            </c:numRef>
          </c:xVal>
          <c:yVal>
            <c:numRef>
              <c:f>'AEB-8 Risk Premium'!$E$6:$E$182</c:f>
              <c:numCache>
                <c:formatCode>0.00%</c:formatCode>
                <c:ptCount val="177"/>
                <c:pt idx="0">
                  <c:v>2.3114746543778833E-2</c:v>
                </c:pt>
                <c:pt idx="1">
                  <c:v>3.7282793650793664E-2</c:v>
                </c:pt>
                <c:pt idx="2">
                  <c:v>3.4455999999999973E-2</c:v>
                </c:pt>
                <c:pt idx="3">
                  <c:v>2.2258917039244958E-2</c:v>
                </c:pt>
                <c:pt idx="4">
                  <c:v>2.2837213114754062E-2</c:v>
                </c:pt>
                <c:pt idx="5">
                  <c:v>1.8066550522648078E-2</c:v>
                </c:pt>
                <c:pt idx="6">
                  <c:v>1.1730408653846169E-2</c:v>
                </c:pt>
                <c:pt idx="7">
                  <c:v>1.7404168618267019E-2</c:v>
                </c:pt>
                <c:pt idx="8">
                  <c:v>1.7509723007348765E-2</c:v>
                </c:pt>
                <c:pt idx="9">
                  <c:v>2.0806666666666584E-2</c:v>
                </c:pt>
                <c:pt idx="10">
                  <c:v>3.0556249999999924E-2</c:v>
                </c:pt>
                <c:pt idx="11">
                  <c:v>5.2821575885774699E-2</c:v>
                </c:pt>
                <c:pt idx="12">
                  <c:v>4.8320207570207566E-2</c:v>
                </c:pt>
                <c:pt idx="13">
                  <c:v>4.4805096073517126E-2</c:v>
                </c:pt>
                <c:pt idx="14">
                  <c:v>3.7698165760869567E-2</c:v>
                </c:pt>
                <c:pt idx="15">
                  <c:v>3.6311481481481472E-2</c:v>
                </c:pt>
                <c:pt idx="16">
                  <c:v>3.0242096774193483E-2</c:v>
                </c:pt>
                <c:pt idx="17">
                  <c:v>1.9986984126984186E-2</c:v>
                </c:pt>
                <c:pt idx="18">
                  <c:v>2.6932251082251113E-2</c:v>
                </c:pt>
                <c:pt idx="19">
                  <c:v>3.9916738567730814E-2</c:v>
                </c:pt>
                <c:pt idx="20">
                  <c:v>3.8959999999999981E-2</c:v>
                </c:pt>
                <c:pt idx="21">
                  <c:v>4.2716269841269888E-2</c:v>
                </c:pt>
                <c:pt idx="22">
                  <c:v>4.3576984126984117E-2</c:v>
                </c:pt>
                <c:pt idx="23">
                  <c:v>5.0678083491461121E-2</c:v>
                </c:pt>
                <c:pt idx="24">
                  <c:v>5.6540000000000007E-2</c:v>
                </c:pt>
                <c:pt idx="25">
                  <c:v>6.7820416666666605E-2</c:v>
                </c:pt>
                <c:pt idx="26">
                  <c:v>5.8557812499999973E-2</c:v>
                </c:pt>
                <c:pt idx="27">
                  <c:v>5.9874910394265277E-2</c:v>
                </c:pt>
                <c:pt idx="28">
                  <c:v>5.4019489981785088E-2</c:v>
                </c:pt>
                <c:pt idx="29">
                  <c:v>4.6393650793650792E-2</c:v>
                </c:pt>
                <c:pt idx="30">
                  <c:v>4.0847812500000052E-2</c:v>
                </c:pt>
                <c:pt idx="31">
                  <c:v>3.5310961538461569E-2</c:v>
                </c:pt>
                <c:pt idx="32">
                  <c:v>4.1096370967741908E-2</c:v>
                </c:pt>
                <c:pt idx="33">
                  <c:v>3.6342857142857107E-2</c:v>
                </c:pt>
                <c:pt idx="34">
                  <c:v>3.6031026785714237E-2</c:v>
                </c:pt>
                <c:pt idx="35">
                  <c:v>3.995734126984124E-2</c:v>
                </c:pt>
                <c:pt idx="36">
                  <c:v>3.9867281105990804E-2</c:v>
                </c:pt>
                <c:pt idx="37">
                  <c:v>4.5234598214285729E-2</c:v>
                </c:pt>
                <c:pt idx="38">
                  <c:v>4.2562698412698413E-2</c:v>
                </c:pt>
                <c:pt idx="39">
                  <c:v>4.8951339285714282E-2</c:v>
                </c:pt>
                <c:pt idx="40">
                  <c:v>4.1852380952380919E-2</c:v>
                </c:pt>
                <c:pt idx="41">
                  <c:v>4.2020634920634944E-2</c:v>
                </c:pt>
                <c:pt idx="42">
                  <c:v>3.7455555555555575E-2</c:v>
                </c:pt>
                <c:pt idx="43">
                  <c:v>4.1213205128205144E-2</c:v>
                </c:pt>
                <c:pt idx="44">
                  <c:v>4.4617473118279599E-2</c:v>
                </c:pt>
                <c:pt idx="45">
                  <c:v>4.3600223214285708E-2</c:v>
                </c:pt>
                <c:pt idx="46">
                  <c:v>4.3042633928571397E-2</c:v>
                </c:pt>
                <c:pt idx="47">
                  <c:v>4.5684903846153854E-2</c:v>
                </c:pt>
                <c:pt idx="48">
                  <c:v>4.5759206349206355E-2</c:v>
                </c:pt>
                <c:pt idx="49">
                  <c:v>3.9298809523809528E-2</c:v>
                </c:pt>
                <c:pt idx="50">
                  <c:v>4.5856249999999987E-2</c:v>
                </c:pt>
                <c:pt idx="51">
                  <c:v>4.6170729166666688E-2</c:v>
                </c:pt>
                <c:pt idx="52">
                  <c:v>4.7641013824884781E-2</c:v>
                </c:pt>
                <c:pt idx="53">
                  <c:v>4.7826984126984079E-2</c:v>
                </c:pt>
                <c:pt idx="54">
                  <c:v>4.8361979166666652E-2</c:v>
                </c:pt>
                <c:pt idx="55">
                  <c:v>4.9065104166666651E-2</c:v>
                </c:pt>
                <c:pt idx="56">
                  <c:v>4.4911269841269849E-2</c:v>
                </c:pt>
                <c:pt idx="57">
                  <c:v>3.767741935483869E-2</c:v>
                </c:pt>
                <c:pt idx="58">
                  <c:v>5.1606249999999979E-2</c:v>
                </c:pt>
                <c:pt idx="59">
                  <c:v>3.2750000000000001E-2</c:v>
                </c:pt>
                <c:pt idx="60">
                  <c:v>4.3278125000000001E-2</c:v>
                </c:pt>
                <c:pt idx="61">
                  <c:v>4.3740277777777808E-2</c:v>
                </c:pt>
                <c:pt idx="62">
                  <c:v>4.6526984126984139E-2</c:v>
                </c:pt>
                <c:pt idx="63">
                  <c:v>5.3452380952380932E-2</c:v>
                </c:pt>
                <c:pt idx="64">
                  <c:v>5.1683076923076943E-2</c:v>
                </c:pt>
                <c:pt idx="65">
                  <c:v>4.5373504273504298E-2</c:v>
                </c:pt>
                <c:pt idx="66">
                  <c:v>3.7327272727272737E-2</c:v>
                </c:pt>
                <c:pt idx="67">
                  <c:v>4.9399999999999999E-2</c:v>
                </c:pt>
                <c:pt idx="68">
                  <c:v>4.2646875000000001E-2</c:v>
                </c:pt>
                <c:pt idx="69">
                  <c:v>4.6797435897435929E-2</c:v>
                </c:pt>
                <c:pt idx="70">
                  <c:v>5.4695454545454547E-2</c:v>
                </c:pt>
                <c:pt idx="71">
                  <c:v>4.9121874999999988E-2</c:v>
                </c:pt>
                <c:pt idx="72">
                  <c:v>5.4281249999999989E-2</c:v>
                </c:pt>
                <c:pt idx="73">
                  <c:v>6.350923076923079E-2</c:v>
                </c:pt>
                <c:pt idx="74">
                  <c:v>6.1737878787878765E-2</c:v>
                </c:pt>
                <c:pt idx="75">
                  <c:v>7.1928787878787884E-2</c:v>
                </c:pt>
                <c:pt idx="76">
                  <c:v>5.0265625000000015E-2</c:v>
                </c:pt>
                <c:pt idx="77">
                  <c:v>5.1412307692307709E-2</c:v>
                </c:pt>
                <c:pt idx="78">
                  <c:v>4.7092424242424248E-2</c:v>
                </c:pt>
                <c:pt idx="79">
                  <c:v>4.844090909090909E-2</c:v>
                </c:pt>
                <c:pt idx="80">
                  <c:v>4.9166538461538498E-2</c:v>
                </c:pt>
                <c:pt idx="81">
                  <c:v>5.0212307692307702E-2</c:v>
                </c:pt>
                <c:pt idx="82">
                  <c:v>5.8867692307692308E-2</c:v>
                </c:pt>
                <c:pt idx="83">
                  <c:v>6.8092307692307702E-2</c:v>
                </c:pt>
                <c:pt idx="84">
                  <c:v>5.9285384615384608E-2</c:v>
                </c:pt>
                <c:pt idx="85">
                  <c:v>5.173307692307693E-2</c:v>
                </c:pt>
                <c:pt idx="86">
                  <c:v>5.2306373626373658E-2</c:v>
                </c:pt>
                <c:pt idx="87">
                  <c:v>6.2680303030303031E-2</c:v>
                </c:pt>
                <c:pt idx="88">
                  <c:v>4.5342187500000006E-2</c:v>
                </c:pt>
                <c:pt idx="89">
                  <c:v>5.7885384615384609E-2</c:v>
                </c:pt>
                <c:pt idx="90">
                  <c:v>6.1631818181818177E-2</c:v>
                </c:pt>
                <c:pt idx="91">
                  <c:v>6.6343939393939386E-2</c:v>
                </c:pt>
                <c:pt idx="92">
                  <c:v>6.5747916666666684E-2</c:v>
                </c:pt>
                <c:pt idx="93">
                  <c:v>6.5592692307692324E-2</c:v>
                </c:pt>
                <c:pt idx="94">
                  <c:v>4.7610606060606055E-2</c:v>
                </c:pt>
                <c:pt idx="95">
                  <c:v>5.9769696969696973E-2</c:v>
                </c:pt>
                <c:pt idx="96">
                  <c:v>6.1223076923076915E-2</c:v>
                </c:pt>
                <c:pt idx="97">
                  <c:v>5.3031868131868137E-2</c:v>
                </c:pt>
                <c:pt idx="98">
                  <c:v>5.642575757575756E-2</c:v>
                </c:pt>
                <c:pt idx="99">
                  <c:v>5.9764772727272694E-2</c:v>
                </c:pt>
                <c:pt idx="100">
                  <c:v>5.8529687499999997E-2</c:v>
                </c:pt>
                <c:pt idx="101">
                  <c:v>5.6540769230769242E-2</c:v>
                </c:pt>
                <c:pt idx="102">
                  <c:v>6.4221212121212123E-2</c:v>
                </c:pt>
                <c:pt idx="103">
                  <c:v>5.9410256410256414E-2</c:v>
                </c:pt>
                <c:pt idx="104">
                  <c:v>5.7529230769230791E-2</c:v>
                </c:pt>
                <c:pt idx="105">
                  <c:v>5.4872307692307692E-2</c:v>
                </c:pt>
                <c:pt idx="106">
                  <c:v>5.0673186813186798E-2</c:v>
                </c:pt>
                <c:pt idx="107">
                  <c:v>5.642692307692309E-2</c:v>
                </c:pt>
                <c:pt idx="108">
                  <c:v>5.5913504273504243E-2</c:v>
                </c:pt>
                <c:pt idx="109">
                  <c:v>5.2762237762237742E-2</c:v>
                </c:pt>
                <c:pt idx="110">
                  <c:v>5.0675000000000033E-2</c:v>
                </c:pt>
                <c:pt idx="111">
                  <c:v>5.8118333333333327E-2</c:v>
                </c:pt>
                <c:pt idx="112">
                  <c:v>5.7417115384615386E-2</c:v>
                </c:pt>
                <c:pt idx="113">
                  <c:v>5.9622500000000002E-2</c:v>
                </c:pt>
                <c:pt idx="114">
                  <c:v>5.9325757575757594E-2</c:v>
                </c:pt>
                <c:pt idx="115">
                  <c:v>6.7437499999999984E-2</c:v>
                </c:pt>
                <c:pt idx="116">
                  <c:v>7.0061805555555551E-2</c:v>
                </c:pt>
                <c:pt idx="117">
                  <c:v>6.4141025641025626E-2</c:v>
                </c:pt>
                <c:pt idx="118">
                  <c:v>6.0858333333333327E-2</c:v>
                </c:pt>
                <c:pt idx="119">
                  <c:v>6.2037224264705912E-2</c:v>
                </c:pt>
                <c:pt idx="120">
                  <c:v>5.8216250000000025E-2</c:v>
                </c:pt>
                <c:pt idx="121">
                  <c:v>5.7086263736263777E-2</c:v>
                </c:pt>
                <c:pt idx="122">
                  <c:v>6.4319696969696971E-2</c:v>
                </c:pt>
                <c:pt idx="123">
                  <c:v>6.1656651583710413E-2</c:v>
                </c:pt>
                <c:pt idx="124">
                  <c:v>5.400880681818182E-2</c:v>
                </c:pt>
                <c:pt idx="125">
                  <c:v>5.7822307692307687E-2</c:v>
                </c:pt>
                <c:pt idx="126">
                  <c:v>6.6639393939393943E-2</c:v>
                </c:pt>
                <c:pt idx="127">
                  <c:v>7.3069264069264089E-2</c:v>
                </c:pt>
                <c:pt idx="128">
                  <c:v>7.1667032967032973E-2</c:v>
                </c:pt>
                <c:pt idx="129">
                  <c:v>6.979076923076924E-2</c:v>
                </c:pt>
                <c:pt idx="130">
                  <c:v>7.0408269230769219E-2</c:v>
                </c:pt>
                <c:pt idx="131">
                  <c:v>7.2056589673913082E-2</c:v>
                </c:pt>
                <c:pt idx="132">
                  <c:v>6.6384374999999995E-2</c:v>
                </c:pt>
                <c:pt idx="133">
                  <c:v>6.7001978021978034E-2</c:v>
                </c:pt>
                <c:pt idx="134">
                  <c:v>6.1209090909090907E-2</c:v>
                </c:pt>
                <c:pt idx="135">
                  <c:v>6.03592927631579E-2</c:v>
                </c:pt>
                <c:pt idx="136">
                  <c:v>5.8816874999999991E-2</c:v>
                </c:pt>
                <c:pt idx="137">
                  <c:v>6.3869230769230748E-2</c:v>
                </c:pt>
                <c:pt idx="138">
                  <c:v>6.5197979797979783E-2</c:v>
                </c:pt>
                <c:pt idx="139">
                  <c:v>6.8139423076923084E-2</c:v>
                </c:pt>
                <c:pt idx="140">
                  <c:v>7.105937499999998E-2</c:v>
                </c:pt>
                <c:pt idx="141">
                  <c:v>6.6123076923076923E-2</c:v>
                </c:pt>
                <c:pt idx="142">
                  <c:v>6.4375757575757558E-2</c:v>
                </c:pt>
                <c:pt idx="143">
                  <c:v>6.6896969696969677E-2</c:v>
                </c:pt>
                <c:pt idx="144">
                  <c:v>6.9781538461538478E-2</c:v>
                </c:pt>
                <c:pt idx="145">
                  <c:v>6.8387692307692288E-2</c:v>
                </c:pt>
                <c:pt idx="146">
                  <c:v>7.4781060606060615E-2</c:v>
                </c:pt>
                <c:pt idx="147">
                  <c:v>6.7197403846153858E-2</c:v>
                </c:pt>
                <c:pt idx="148">
                  <c:v>6.5669914529914511E-2</c:v>
                </c:pt>
                <c:pt idx="149">
                  <c:v>6.7127692307692305E-2</c:v>
                </c:pt>
                <c:pt idx="150">
                  <c:v>6.9076153846153843E-2</c:v>
                </c:pt>
                <c:pt idx="151">
                  <c:v>6.9189311740890699E-2</c:v>
                </c:pt>
                <c:pt idx="152">
                  <c:v>6.5664615384615377E-2</c:v>
                </c:pt>
                <c:pt idx="153">
                  <c:v>6.4879487179487161E-2</c:v>
                </c:pt>
                <c:pt idx="154">
                  <c:v>6.5992307692307683E-2</c:v>
                </c:pt>
                <c:pt idx="155">
                  <c:v>6.1716060606060608E-2</c:v>
                </c:pt>
                <c:pt idx="156">
                  <c:v>6.5536979166666662E-2</c:v>
                </c:pt>
                <c:pt idx="157">
                  <c:v>6.7925576923076908E-2</c:v>
                </c:pt>
                <c:pt idx="158">
                  <c:v>7.2800000000000017E-2</c:v>
                </c:pt>
                <c:pt idx="159">
                  <c:v>7.4880000000000002E-2</c:v>
                </c:pt>
                <c:pt idx="160">
                  <c:v>7.5604871794871811E-2</c:v>
                </c:pt>
                <c:pt idx="161">
                  <c:v>8.1365128205128215E-2</c:v>
                </c:pt>
                <c:pt idx="162">
                  <c:v>7.9774025974025969E-2</c:v>
                </c:pt>
                <c:pt idx="163">
                  <c:v>7.6942335115864541E-2</c:v>
                </c:pt>
                <c:pt idx="164">
                  <c:v>7.3751562500000006E-2</c:v>
                </c:pt>
                <c:pt idx="165">
                  <c:v>7.1969999999999978E-2</c:v>
                </c:pt>
                <c:pt idx="166">
                  <c:v>7.4338095238095231E-2</c:v>
                </c:pt>
                <c:pt idx="167">
                  <c:v>7.4214756944444474E-2</c:v>
                </c:pt>
                <c:pt idx="168">
                  <c:v>7.0828968253968241E-2</c:v>
                </c:pt>
                <c:pt idx="169">
                  <c:v>6.3044615384615393E-2</c:v>
                </c:pt>
                <c:pt idx="170">
                  <c:v>5.8792424242424236E-2</c:v>
                </c:pt>
                <c:pt idx="171">
                  <c:v>5.8265760869565197E-2</c:v>
                </c:pt>
                <c:pt idx="172">
                  <c:v>5.9647472527472538E-2</c:v>
                </c:pt>
                <c:pt idx="173">
                  <c:v>5.7315384615384643E-2</c:v>
                </c:pt>
                <c:pt idx="174">
                  <c:v>5.4000839160839163E-2</c:v>
                </c:pt>
                <c:pt idx="175">
                  <c:v>5.0942812499999997E-2</c:v>
                </c:pt>
                <c:pt idx="176">
                  <c:v>5.3410144927536242E-2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52-4899-909C-D1D3BA7A0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795120"/>
        <c:axId val="1143802192"/>
      </c:scatterChart>
      <c:valAx>
        <c:axId val="1143795120"/>
        <c:scaling>
          <c:orientation val="minMax"/>
          <c:max val="0.15000000000000002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U.S. Government 30-year Treasury Yield</a:t>
                </a:r>
              </a:p>
            </c:rich>
          </c:tx>
          <c:layout>
            <c:manualLayout>
              <c:xMode val="edge"/>
              <c:yMode val="edge"/>
              <c:x val="0.34729134419095042"/>
              <c:y val="0.92680662667809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43802192"/>
        <c:crosses val="autoZero"/>
        <c:crossBetween val="midCat"/>
      </c:valAx>
      <c:valAx>
        <c:axId val="1143802192"/>
        <c:scaling>
          <c:orientation val="minMax"/>
          <c:max val="9.0000000000000024E-2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Risk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4379512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451556</xdr:colOff>
      <xdr:row>3</xdr:row>
      <xdr:rowOff>50219</xdr:rowOff>
    </xdr:from>
    <xdr:to>
      <xdr:col>22</xdr:col>
      <xdr:colOff>29883</xdr:colOff>
      <xdr:row>24</xdr:row>
      <xdr:rowOff>261056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EE14A-01F5-4140-A19C-BF31367D7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0.28076</cdr:x>
      <cdr:y>0.20954</cdr:y>
    </cdr:from>
    <cdr:to>
      <cdr:x>0.44149</cdr:x>
      <cdr:y>0.25519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457792-F7B5-4332-9C14-41224D22A084}"/>
            </a:ext>
          </a:extLst>
        </cdr:cNvPr>
        <cdr:cNvSpPr txBox="1"/>
      </cdr:nvSpPr>
      <cdr:spPr>
        <a:xfrm xmlns:a="http://schemas.openxmlformats.org/drawingml/2006/main">
          <a:off x="2058897" y="1202531"/>
          <a:ext cx="1178718" cy="26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0.62776</cdr:x>
      <cdr:y>0.5731</cdr:y>
    </cdr:from>
    <cdr:to>
      <cdr:x>0.73654</cdr:x>
      <cdr:y>0.63327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380ECD5-C799-4397-B109-C5E8D2582F0D}"/>
            </a:ext>
          </a:extLst>
        </cdr:cNvPr>
        <cdr:cNvSpPr txBox="1"/>
      </cdr:nvSpPr>
      <cdr:spPr>
        <a:xfrm xmlns:a="http://schemas.openxmlformats.org/drawingml/2006/main">
          <a:off x="4773213" y="2436381"/>
          <a:ext cx="827111" cy="255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/>
            <a:t>CAPM</a:t>
          </a:r>
        </a:p>
      </cdr:txBody>
    </cdr:sp>
  </cdr:relSizeAnchor>
  <cdr:relSizeAnchor xmlns:cdr="http://schemas.openxmlformats.org/drawingml/2006/chartDrawing">
    <cdr:from>
      <cdr:x>0.6489</cdr:x>
      <cdr:y>0.67319</cdr:y>
    </cdr:from>
    <cdr:to>
      <cdr:x>0.7541</cdr:x>
      <cdr:y>0.73335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BEB9929-E302-4329-99E6-31AC07649BE9}"/>
            </a:ext>
          </a:extLst>
        </cdr:cNvPr>
        <cdr:cNvSpPr txBox="1"/>
      </cdr:nvSpPr>
      <cdr:spPr>
        <a:xfrm xmlns:a="http://schemas.openxmlformats.org/drawingml/2006/main">
          <a:off x="4933917" y="2861909"/>
          <a:ext cx="799890" cy="25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ECAPM</a:t>
          </a:r>
        </a:p>
      </cdr:txBody>
    </cdr:sp>
  </cdr:relSizeAnchor>
  <cdr:relSizeAnchor xmlns:cdr="http://schemas.openxmlformats.org/drawingml/2006/chartDrawing">
    <cdr:from>
      <cdr:x>0.15074</cdr:x>
      <cdr:y>0.12262</cdr:y>
    </cdr:from>
    <cdr:to>
      <cdr:x>0.45481</cdr:x>
      <cdr:y>0.18279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0524A09-0478-451B-BE21-AFAA95785582}"/>
            </a:ext>
          </a:extLst>
        </cdr:cNvPr>
        <cdr:cNvSpPr txBox="1"/>
      </cdr:nvSpPr>
      <cdr:spPr>
        <a:xfrm xmlns:a="http://schemas.openxmlformats.org/drawingml/2006/main">
          <a:off x="1155614" y="516861"/>
          <a:ext cx="2331126" cy="2536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Constant Growth</a:t>
          </a:r>
          <a:r>
            <a:rPr lang="en-US" sz="1200" b="1" baseline="0"/>
            <a:t> </a:t>
          </a:r>
          <a:r>
            <a:rPr lang="en-US" sz="1200" b="1"/>
            <a:t>DCF - Mean</a:t>
          </a:r>
        </a:p>
      </cdr:txBody>
    </cdr:sp>
  </cdr:relSizeAnchor>
  <cdr:relSizeAnchor xmlns:cdr="http://schemas.openxmlformats.org/drawingml/2006/chartDrawing">
    <cdr:from>
      <cdr:x>0.51301</cdr:x>
      <cdr:y>0.38559</cdr:y>
    </cdr:from>
    <cdr:to>
      <cdr:x>0.56984</cdr:x>
      <cdr:y>0.38559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653CABBF-61E2-4E43-AA0A-6C017C891534}"/>
            </a:ext>
          </a:extLst>
        </cdr:cNvPr>
        <cdr:cNvCxnSpPr/>
      </cdr:nvCxnSpPr>
      <cdr:spPr>
        <a:xfrm xmlns:a="http://schemas.openxmlformats.org/drawingml/2006/main" flipV="1">
          <a:off x="4191000" y="2166919"/>
          <a:ext cx="464304" cy="18"/>
        </a:xfrm>
        <a:prstGeom xmlns:a="http://schemas.openxmlformats.org/drawingml/2006/main" prst="straightConnector1">
          <a:avLst/>
        </a:prstGeom>
        <a:ln xmlns:a="http://schemas.openxmlformats.org/drawingml/2006/main" w="19050">
          <a:noFill/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0.1383</cdr:x>
      <cdr:y>0.22299</cdr:y>
    </cdr:from>
    <cdr:to>
      <cdr:x>0.47408</cdr:x>
      <cdr:y>0.26902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66204D9D-EE32-4988-B6CD-046DA4C804FD}"/>
            </a:ext>
          </a:extLst>
        </cdr:cNvPr>
        <cdr:cNvSpPr txBox="1"/>
      </cdr:nvSpPr>
      <cdr:spPr>
        <a:xfrm xmlns:a="http://schemas.openxmlformats.org/drawingml/2006/main">
          <a:off x="1060263" y="939925"/>
          <a:ext cx="2574228" cy="1940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/>
            <a:t>Constant Growth DCF - Median</a:t>
          </a:r>
        </a:p>
      </cdr:txBody>
    </cdr:sp>
  </cdr:relSizeAnchor>
  <cdr:relSizeAnchor xmlns:cdr="http://schemas.openxmlformats.org/drawingml/2006/chartDrawing">
    <cdr:from>
      <cdr:x>0.40894</cdr:x>
      <cdr:y>0.72872</cdr:y>
    </cdr:from>
    <cdr:to>
      <cdr:x>0.54539</cdr:x>
      <cdr:y>0.86338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BEB9929-E302-4329-99E6-31AC07649BE9}"/>
            </a:ext>
          </a:extLst>
        </cdr:cNvPr>
        <cdr:cNvSpPr txBox="1"/>
      </cdr:nvSpPr>
      <cdr:spPr>
        <a:xfrm xmlns:a="http://schemas.openxmlformats.org/drawingml/2006/main">
          <a:off x="3109385" y="3097951"/>
          <a:ext cx="1037500" cy="572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/>
            <a:t>Risk Premium</a:t>
          </a:r>
        </a:p>
      </cdr:txBody>
    </cdr:sp>
  </cdr:relSizeAnchor>
  <cdr:relSizeAnchor xmlns:cdr="http://schemas.openxmlformats.org/drawingml/2006/chartDrawing">
    <cdr:from>
      <cdr:x>0.41778</cdr:x>
      <cdr:y>0.35665</cdr:y>
    </cdr:from>
    <cdr:to>
      <cdr:x>0.59427</cdr:x>
      <cdr:y>0.4532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66204D9D-EE32-4988-B6CD-046DA4C804FD}"/>
            </a:ext>
          </a:extLst>
        </cdr:cNvPr>
        <cdr:cNvSpPr txBox="1"/>
      </cdr:nvSpPr>
      <cdr:spPr>
        <a:xfrm xmlns:a="http://schemas.openxmlformats.org/drawingml/2006/main">
          <a:off x="3174056" y="1516198"/>
          <a:ext cx="1340878" cy="410459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bg1"/>
          </a:solidFill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/>
            <a:t>Recommended ROE Range</a:t>
          </a:r>
        </a:p>
      </cdr:txBody>
    </cdr:sp>
  </cdr:relSizeAnchor>
  <cdr:relSizeAnchor xmlns:cdr="http://schemas.openxmlformats.org/drawingml/2006/chartDrawing">
    <cdr:from>
      <cdr:x>0.41294</cdr:x>
      <cdr:y>0.45424</cdr:y>
    </cdr:from>
    <cdr:to>
      <cdr:x>0.59923</cdr:x>
      <cdr:y>0.45552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ADEC8696-501B-E517-06CE-93778282195A}"/>
            </a:ext>
          </a:extLst>
        </cdr:cNvPr>
        <cdr:cNvCxnSpPr/>
      </cdr:nvCxnSpPr>
      <cdr:spPr>
        <a:xfrm xmlns:a="http://schemas.openxmlformats.org/drawingml/2006/main">
          <a:off x="3165731" y="1914680"/>
          <a:ext cx="1428241" cy="541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280107</xdr:colOff>
      <xdr:row>1</xdr:row>
      <xdr:rowOff>167009</xdr:rowOff>
    </xdr:from>
    <xdr:to>
      <xdr:col>12</xdr:col>
      <xdr:colOff>937934</xdr:colOff>
      <xdr:row>19</xdr:row>
      <xdr:rowOff>5747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18</xdr:row>
      <xdr:rowOff>23812</xdr:rowOff>
    </xdr:from>
    <xdr:to>
      <xdr:col>5</xdr:col>
      <xdr:colOff>619124</xdr:colOff>
      <xdr:row>20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4CFF58-97BA-4202-A3B4-72D31A98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7125" y="3573462"/>
          <a:ext cx="1663699" cy="446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rattle-2020">
      <a:dk1>
        <a:srgbClr val="000000"/>
      </a:dk1>
      <a:lt1>
        <a:srgbClr val="FFFFFF"/>
      </a:lt1>
      <a:dk2>
        <a:srgbClr val="002B54"/>
      </a:dk2>
      <a:lt2>
        <a:srgbClr val="494F56"/>
      </a:lt2>
      <a:accent1>
        <a:srgbClr val="1B3D6F"/>
      </a:accent1>
      <a:accent2>
        <a:srgbClr val="2297AA"/>
      </a:accent2>
      <a:accent3>
        <a:srgbClr val="37BA95"/>
      </a:accent3>
      <a:accent4>
        <a:srgbClr val="F3BD48"/>
      </a:accent4>
      <a:accent5>
        <a:srgbClr val="F26A25"/>
      </a:accent5>
      <a:accent6>
        <a:srgbClr val="CD3E71"/>
      </a:accent6>
      <a:hlink>
        <a:srgbClr val="2297AA"/>
      </a:hlink>
      <a:folHlink>
        <a:srgbClr val="CD3E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1"/>
  <sheetViews>
    <sheetView tabSelected="1" view="pageBreakPreview" zoomScale="75" zoomScaleNormal="70" zoomScaleSheetLayoutView="75" workbookViewId="0">
      <selection activeCell="F3" sqref="F3"/>
    </sheetView>
  </sheetViews>
  <sheetFormatPr defaultColWidth="9" defaultRowHeight="15.6"/>
  <cols>
    <col min="1" max="1" width="8.88671875" style="22" customWidth="1"/>
    <col min="2" max="2" width="28.5546875" style="22" customWidth="1"/>
    <col min="3" max="3" width="20.109375" style="22" customWidth="1"/>
    <col min="4" max="5" width="15.5546875" style="22" customWidth="1"/>
    <col min="6" max="6" width="5.33203125" style="22" customWidth="1"/>
    <col min="7" max="7" width="15.88671875" style="22" customWidth="1"/>
    <col min="8" max="8" width="5.5546875" style="22" customWidth="1"/>
    <col min="9" max="9" width="9" style="22"/>
    <col min="10" max="10" width="12.33203125" style="22" bestFit="1" customWidth="1"/>
    <col min="11" max="12" width="9" style="22"/>
    <col min="13" max="13" width="17.88671875" style="22" bestFit="1" customWidth="1"/>
    <col min="14" max="16" width="9" style="22"/>
    <col min="17" max="17" width="12.77734375" style="22" bestFit="1" customWidth="1"/>
    <col min="18" max="16384" width="9" style="22"/>
  </cols>
  <sheetData>
    <row r="1" spans="2:11" s="8" customFormat="1">
      <c r="B1" s="7"/>
      <c r="C1" s="7"/>
      <c r="D1" s="7"/>
      <c r="E1" s="7"/>
      <c r="F1" s="159"/>
      <c r="G1" s="7"/>
    </row>
    <row r="2" spans="2:11" s="8" customFormat="1" ht="12.75" customHeight="1">
      <c r="B2" s="392" t="s">
        <v>1074</v>
      </c>
      <c r="C2" s="392"/>
      <c r="D2" s="392"/>
      <c r="E2" s="392"/>
      <c r="F2" s="159"/>
      <c r="G2" s="7"/>
      <c r="J2" s="9"/>
    </row>
    <row r="3" spans="2:11" s="8" customFormat="1" ht="16.2" thickBot="1">
      <c r="B3" s="7"/>
      <c r="C3" s="7"/>
      <c r="D3" s="7"/>
      <c r="E3" s="7"/>
      <c r="F3" s="159"/>
      <c r="G3" s="7"/>
    </row>
    <row r="4" spans="2:11" s="11" customFormat="1" ht="18" customHeight="1">
      <c r="B4" s="168"/>
      <c r="C4" s="169"/>
      <c r="D4" s="169"/>
      <c r="E4" s="169"/>
      <c r="F4" s="160"/>
      <c r="G4" s="10"/>
      <c r="I4" s="12"/>
      <c r="J4" s="13" t="s">
        <v>0</v>
      </c>
      <c r="K4" s="13" t="s">
        <v>1</v>
      </c>
    </row>
    <row r="5" spans="2:11" s="11" customFormat="1" ht="16.5" customHeight="1">
      <c r="B5" s="170" t="s">
        <v>3</v>
      </c>
      <c r="C5" s="170"/>
      <c r="D5" s="170"/>
      <c r="E5" s="170"/>
      <c r="F5" s="161"/>
      <c r="I5" s="15" t="s">
        <v>2</v>
      </c>
      <c r="J5" s="16">
        <f>C12</f>
        <v>8.7007830623674162E-2</v>
      </c>
      <c r="K5" s="1">
        <v>7.5</v>
      </c>
    </row>
    <row r="6" spans="2:11" s="11" customFormat="1" ht="15" customHeight="1">
      <c r="B6" s="14"/>
      <c r="C6" s="165" t="s">
        <v>4</v>
      </c>
      <c r="D6" s="165" t="s">
        <v>5</v>
      </c>
      <c r="E6" s="165" t="s">
        <v>6</v>
      </c>
      <c r="F6" s="17"/>
      <c r="G6" s="18"/>
      <c r="I6" s="15"/>
      <c r="J6" s="18">
        <f>D12</f>
        <v>9.9570677599006271E-2</v>
      </c>
      <c r="K6" s="1">
        <v>7.5</v>
      </c>
    </row>
    <row r="7" spans="2:11" s="11" customFormat="1" ht="15" customHeight="1">
      <c r="B7" s="171"/>
      <c r="C7" s="172" t="s">
        <v>1267</v>
      </c>
      <c r="D7" s="172" t="s">
        <v>1267</v>
      </c>
      <c r="E7" s="172" t="s">
        <v>1267</v>
      </c>
      <c r="F7" s="17"/>
      <c r="G7" s="18"/>
      <c r="I7" s="15"/>
      <c r="J7" s="16">
        <f>E12</f>
        <v>0.11159326339806286</v>
      </c>
      <c r="K7" s="1">
        <v>7.5</v>
      </c>
    </row>
    <row r="8" spans="2:11" s="11" customFormat="1" ht="15" customHeight="1">
      <c r="B8" s="183" t="s">
        <v>1268</v>
      </c>
      <c r="C8" s="191"/>
      <c r="D8" s="191"/>
      <c r="E8" s="191"/>
      <c r="F8" s="17"/>
      <c r="G8" s="18"/>
      <c r="I8" s="15" t="s">
        <v>7</v>
      </c>
      <c r="J8" s="16">
        <f>C18</f>
        <v>8.6894916483723675E-2</v>
      </c>
      <c r="K8" s="1">
        <v>6.5</v>
      </c>
    </row>
    <row r="9" spans="2:11" s="11" customFormat="1" ht="16.2">
      <c r="B9" s="174" t="s">
        <v>1040</v>
      </c>
      <c r="C9" s="175">
        <f>'AEB-4 CGDCF'!K21</f>
        <v>8.6842597801213103E-2</v>
      </c>
      <c r="D9" s="175">
        <f>'AEB-4 CGDCF'!L21</f>
        <v>9.9403255589240819E-2</v>
      </c>
      <c r="E9" s="175">
        <f>'AEB-4 CGDCF'!M21</f>
        <v>0.11142474376450866</v>
      </c>
      <c r="F9" s="17"/>
      <c r="G9" s="10"/>
      <c r="I9" s="15"/>
      <c r="J9" s="16">
        <f>D18</f>
        <v>9.8058195275201279E-2</v>
      </c>
      <c r="K9" s="1">
        <v>6.5</v>
      </c>
    </row>
    <row r="10" spans="2:11" s="11" customFormat="1">
      <c r="B10" s="174" t="s">
        <v>1041</v>
      </c>
      <c r="C10" s="175">
        <f>'AEB-4 CGDCF'!K57</f>
        <v>8.7744025448356633E-2</v>
      </c>
      <c r="D10" s="175">
        <f>'AEB-4 CGDCF'!L57</f>
        <v>0.10031114440617848</v>
      </c>
      <c r="E10" s="175">
        <f>'AEB-4 CGDCF'!M57</f>
        <v>0.11233823456308291</v>
      </c>
      <c r="F10" s="161"/>
      <c r="I10" s="15"/>
      <c r="J10" s="16">
        <f>E18</f>
        <v>0.10709428095190861</v>
      </c>
      <c r="K10" s="1">
        <v>6.5</v>
      </c>
    </row>
    <row r="11" spans="2:11" s="11" customFormat="1">
      <c r="B11" s="174" t="s">
        <v>1042</v>
      </c>
      <c r="C11" s="175">
        <f>'AEB-4 CGDCF'!K93</f>
        <v>8.6436868621452709E-2</v>
      </c>
      <c r="D11" s="175">
        <f>'AEB-4 CGDCF'!L93</f>
        <v>9.8997632801599525E-2</v>
      </c>
      <c r="E11" s="175">
        <f>'AEB-4 CGDCF'!M93</f>
        <v>0.11101681186659698</v>
      </c>
      <c r="F11" s="17"/>
      <c r="H11" s="19"/>
      <c r="I11" s="20" t="s">
        <v>8</v>
      </c>
      <c r="J11" s="16">
        <f>MIN(C26:E28)</f>
        <v>0.10385584018435244</v>
      </c>
      <c r="K11" s="1">
        <v>3</v>
      </c>
    </row>
    <row r="12" spans="2:11" s="11" customFormat="1" ht="15" customHeight="1">
      <c r="B12" s="176" t="s">
        <v>5</v>
      </c>
      <c r="C12" s="175">
        <f>AVERAGE(C9:C11)</f>
        <v>8.7007830623674162E-2</v>
      </c>
      <c r="D12" s="175">
        <f>AVERAGE(D9:D11)</f>
        <v>9.9570677599006271E-2</v>
      </c>
      <c r="E12" s="175">
        <f>AVERAGE(E9:E11)</f>
        <v>0.11159326339806286</v>
      </c>
      <c r="F12" s="17"/>
      <c r="I12" s="20"/>
      <c r="J12" s="16">
        <f>MAX(C26:E28)</f>
        <v>0.11630715283088736</v>
      </c>
      <c r="K12" s="1">
        <v>3</v>
      </c>
    </row>
    <row r="13" spans="2:11" s="11" customFormat="1" ht="15" customHeight="1">
      <c r="B13" s="176"/>
      <c r="C13" s="175"/>
      <c r="D13" s="175"/>
      <c r="E13" s="175"/>
      <c r="F13" s="17"/>
      <c r="I13" s="20" t="s">
        <v>9</v>
      </c>
      <c r="J13" s="16">
        <f>MIN(C31:E33)</f>
        <v>0.10844022472693299</v>
      </c>
      <c r="K13" s="1">
        <v>2</v>
      </c>
    </row>
    <row r="14" spans="2:11" s="11" customFormat="1" ht="15" customHeight="1">
      <c r="B14" s="183" t="s">
        <v>1269</v>
      </c>
      <c r="C14" s="191"/>
      <c r="D14" s="191"/>
      <c r="E14" s="191"/>
      <c r="F14" s="17"/>
      <c r="I14" s="20"/>
      <c r="J14" s="16">
        <f>MAX(C31:E33)</f>
        <v>0.11777870921183416</v>
      </c>
      <c r="K14" s="1">
        <v>2</v>
      </c>
    </row>
    <row r="15" spans="2:11" s="11" customFormat="1" ht="15" customHeight="1">
      <c r="B15" s="174" t="s">
        <v>1040</v>
      </c>
      <c r="C15" s="175">
        <f>'AEB-4 CGDCF'!K22</f>
        <v>8.7327286606802085E-2</v>
      </c>
      <c r="D15" s="175">
        <f>'AEB-4 CGDCF'!L22</f>
        <v>9.8119519758281426E-2</v>
      </c>
      <c r="E15" s="175">
        <f>'AEB-4 CGDCF'!M22</f>
        <v>0.10766883784710318</v>
      </c>
      <c r="F15" s="160"/>
      <c r="I15" s="20" t="s">
        <v>10</v>
      </c>
      <c r="J15" s="16">
        <f>C35</f>
        <v>0.10353074357468631</v>
      </c>
      <c r="K15" s="1">
        <v>1</v>
      </c>
    </row>
    <row r="16" spans="2:11" s="11" customFormat="1" ht="15" customHeight="1">
      <c r="B16" s="174" t="s">
        <v>1041</v>
      </c>
      <c r="C16" s="175">
        <f>'AEB-4 CGDCF'!K58</f>
        <v>8.7821922287432241E-2</v>
      </c>
      <c r="D16" s="175">
        <f>'AEB-4 CGDCF'!L58</f>
        <v>9.9199109510456726E-2</v>
      </c>
      <c r="E16" s="175">
        <f>'AEB-4 CGDCF'!M58</f>
        <v>0.10857999447528482</v>
      </c>
      <c r="F16" s="161"/>
      <c r="I16" s="20"/>
      <c r="J16" s="16">
        <f>E35</f>
        <v>0.10298988261707198</v>
      </c>
      <c r="K16" s="1">
        <v>1</v>
      </c>
    </row>
    <row r="17" spans="1:13" s="11" customFormat="1" ht="15" customHeight="1">
      <c r="B17" s="174" t="s">
        <v>1042</v>
      </c>
      <c r="C17" s="175">
        <f>'AEB-4 CGDCF'!K94</f>
        <v>8.5535540556936684E-2</v>
      </c>
      <c r="D17" s="175">
        <f>'AEB-4 CGDCF'!L94</f>
        <v>9.6855956556865713E-2</v>
      </c>
      <c r="E17" s="175">
        <f>'AEB-4 CGDCF'!M94</f>
        <v>0.10503401053333783</v>
      </c>
      <c r="F17" s="21"/>
      <c r="H17" s="15"/>
      <c r="I17" s="192" t="s">
        <v>11</v>
      </c>
      <c r="J17" s="156">
        <v>0.1</v>
      </c>
      <c r="K17" s="1">
        <v>0</v>
      </c>
    </row>
    <row r="18" spans="1:13" s="11" customFormat="1" ht="15" customHeight="1">
      <c r="B18" s="303" t="s">
        <v>5</v>
      </c>
      <c r="C18" s="304">
        <f>AVERAGE(C15:C17)</f>
        <v>8.6894916483723675E-2</v>
      </c>
      <c r="D18" s="304">
        <f>AVERAGE(D15:D17)</f>
        <v>9.8058195275201279E-2</v>
      </c>
      <c r="E18" s="304">
        <f>AVERAGE(E15:E17)</f>
        <v>0.10709428095190861</v>
      </c>
      <c r="F18" s="21"/>
      <c r="H18" s="15"/>
      <c r="I18" s="193"/>
      <c r="J18" s="156">
        <f>J17</f>
        <v>0.1</v>
      </c>
      <c r="K18" s="1">
        <v>9</v>
      </c>
      <c r="M18" s="1">
        <v>0</v>
      </c>
    </row>
    <row r="19" spans="1:13" s="11" customFormat="1" ht="15" customHeight="1">
      <c r="B19" s="176"/>
      <c r="C19" s="177"/>
      <c r="D19" s="177"/>
      <c r="E19" s="177"/>
      <c r="F19" s="21"/>
      <c r="H19" s="15"/>
      <c r="I19" s="192" t="s">
        <v>12</v>
      </c>
      <c r="J19" s="156">
        <v>0.11</v>
      </c>
      <c r="K19" s="1">
        <f>K17</f>
        <v>0</v>
      </c>
      <c r="M19" s="1">
        <v>9</v>
      </c>
    </row>
    <row r="20" spans="1:13" s="8" customFormat="1" ht="15" customHeight="1">
      <c r="A20" s="11"/>
      <c r="B20" s="170" t="s">
        <v>1270</v>
      </c>
      <c r="C20" s="170"/>
      <c r="D20" s="170"/>
      <c r="E20" s="170"/>
      <c r="F20" s="160"/>
      <c r="G20" s="11"/>
      <c r="H20" s="15"/>
      <c r="I20" s="193"/>
      <c r="J20" s="156">
        <f>J19</f>
        <v>0.11</v>
      </c>
      <c r="K20" s="1">
        <v>9</v>
      </c>
      <c r="M20" s="1">
        <f>M18</f>
        <v>0</v>
      </c>
    </row>
    <row r="21" spans="1:13" s="8" customFormat="1" ht="15" customHeight="1">
      <c r="B21" s="184"/>
      <c r="C21" s="185" t="s">
        <v>1271</v>
      </c>
      <c r="D21" s="185" t="s">
        <v>1272</v>
      </c>
      <c r="E21" s="185" t="s">
        <v>1273</v>
      </c>
      <c r="F21" s="21"/>
      <c r="G21" s="11"/>
      <c r="H21" s="15"/>
      <c r="I21" s="192" t="s">
        <v>1043</v>
      </c>
      <c r="J21" s="156">
        <v>0.106</v>
      </c>
      <c r="K21" s="1">
        <v>4</v>
      </c>
      <c r="M21" s="1">
        <v>9</v>
      </c>
    </row>
    <row r="22" spans="1:13" ht="15" customHeight="1">
      <c r="B22" s="184"/>
      <c r="C22" s="185" t="s">
        <v>1274</v>
      </c>
      <c r="D22" s="185" t="s">
        <v>1275</v>
      </c>
      <c r="E22" s="185" t="s">
        <v>1275</v>
      </c>
      <c r="F22" s="21"/>
      <c r="M22" s="1">
        <v>2.8</v>
      </c>
    </row>
    <row r="23" spans="1:13" ht="15" customHeight="1">
      <c r="B23" s="184"/>
      <c r="C23" s="185" t="s">
        <v>1276</v>
      </c>
      <c r="D23" s="185" t="s">
        <v>1276</v>
      </c>
      <c r="E23" s="185" t="s">
        <v>1276</v>
      </c>
      <c r="F23" s="21"/>
    </row>
    <row r="24" spans="1:13" ht="15" customHeight="1">
      <c r="B24" s="187"/>
      <c r="C24" s="188" t="s">
        <v>1287</v>
      </c>
      <c r="D24" s="188" t="s">
        <v>1287</v>
      </c>
      <c r="E24" s="188" t="s">
        <v>1287</v>
      </c>
      <c r="F24" s="160"/>
      <c r="G24" s="18"/>
      <c r="H24" s="23"/>
      <c r="J24" s="163"/>
    </row>
    <row r="25" spans="1:13" ht="15" customHeight="1">
      <c r="B25" s="173" t="s">
        <v>1277</v>
      </c>
      <c r="C25" s="165"/>
      <c r="D25" s="165"/>
      <c r="E25" s="165"/>
      <c r="F25" s="157"/>
      <c r="G25" s="24"/>
    </row>
    <row r="26" spans="1:13" ht="15" customHeight="1">
      <c r="B26" s="174" t="s">
        <v>1075</v>
      </c>
      <c r="C26" s="179">
        <f>'AEB-5 CAPM'!H24</f>
        <v>0.11630715283088736</v>
      </c>
      <c r="D26" s="179">
        <f>'AEB-5 CAPM'!H58</f>
        <v>0.11623919727533179</v>
      </c>
      <c r="E26" s="179">
        <f>'AEB-5 CAPM'!H92</f>
        <v>0.11623919727533179</v>
      </c>
      <c r="F26" s="21"/>
      <c r="G26" s="25"/>
    </row>
    <row r="27" spans="1:13" ht="15" customHeight="1">
      <c r="B27" s="174" t="s">
        <v>1076</v>
      </c>
      <c r="C27" s="179">
        <f>'AEB-5 CAPM'!H126</f>
        <v>0.10637531755398058</v>
      </c>
      <c r="D27" s="179">
        <f>'AEB-5 CAPM'!H160</f>
        <v>0.10619270050929232</v>
      </c>
      <c r="E27" s="179">
        <f>'AEB-5 CAPM'!H194</f>
        <v>0.10619270050929232</v>
      </c>
      <c r="F27" s="160"/>
    </row>
    <row r="28" spans="1:13" ht="15" customHeight="1">
      <c r="B28" s="174" t="s">
        <v>1044</v>
      </c>
      <c r="C28" s="179">
        <f>'AEB-5 CAPM'!H228</f>
        <v>0.10406512800702358</v>
      </c>
      <c r="D28" s="179">
        <f>'AEB-5 CAPM'!H262</f>
        <v>0.10385584018435244</v>
      </c>
      <c r="E28" s="179">
        <f>'AEB-5 CAPM'!H296</f>
        <v>0.10385584018435244</v>
      </c>
      <c r="F28" s="157"/>
    </row>
    <row r="29" spans="1:13" ht="15" customHeight="1">
      <c r="B29" s="174"/>
      <c r="C29"/>
      <c r="D29"/>
      <c r="E29"/>
      <c r="F29" s="158"/>
    </row>
    <row r="30" spans="1:13" ht="15" customHeight="1">
      <c r="B30" s="173" t="s">
        <v>1278</v>
      </c>
      <c r="C30"/>
      <c r="D30"/>
      <c r="E30"/>
      <c r="F30" s="26"/>
    </row>
    <row r="31" spans="1:13" ht="12.75" customHeight="1">
      <c r="B31" s="174" t="s">
        <v>1075</v>
      </c>
      <c r="C31" s="179">
        <f>'AEB-5 CAPM'!I24</f>
        <v>0.11777870921183416</v>
      </c>
      <c r="D31" s="179">
        <f>'AEB-5 CAPM'!I58</f>
        <v>0.1177277425451675</v>
      </c>
      <c r="E31" s="179">
        <f>'AEB-5 CAPM'!I92</f>
        <v>0.1177277425451675</v>
      </c>
      <c r="F31" s="26"/>
    </row>
    <row r="32" spans="1:13">
      <c r="B32" s="174" t="s">
        <v>1076</v>
      </c>
      <c r="C32" s="179">
        <f>'AEB-5 CAPM'!I126</f>
        <v>0.11032983275415408</v>
      </c>
      <c r="D32" s="179">
        <f>'AEB-5 CAPM'!I160</f>
        <v>0.11019286997063787</v>
      </c>
      <c r="E32" s="179">
        <f>'AEB-5 CAPM'!I194</f>
        <v>0.11019286997063787</v>
      </c>
      <c r="F32" s="8"/>
    </row>
    <row r="33" spans="2:5">
      <c r="B33" s="174" t="s">
        <v>1044</v>
      </c>
      <c r="C33" s="179">
        <f>'AEB-5 CAPM'!I228</f>
        <v>0.10859719059393634</v>
      </c>
      <c r="D33" s="179">
        <f>'AEB-5 CAPM'!I262</f>
        <v>0.10844022472693299</v>
      </c>
      <c r="E33" s="179">
        <f>'AEB-5 CAPM'!I296</f>
        <v>0.10844022472693299</v>
      </c>
    </row>
    <row r="34" spans="2:5">
      <c r="B34" s="174"/>
      <c r="C34" s="179"/>
      <c r="D34" s="179"/>
      <c r="E34" s="179"/>
    </row>
    <row r="35" spans="2:5">
      <c r="B35" s="173" t="s">
        <v>1279</v>
      </c>
      <c r="C35" s="179">
        <f>'AEB-8 Risk Premium'!L47</f>
        <v>0.10353074357468631</v>
      </c>
      <c r="D35" s="179">
        <f>'AEB-8 Risk Premium'!L48</f>
        <v>0.10298988261707198</v>
      </c>
      <c r="E35" s="179">
        <f>'AEB-8 Risk Premium'!L49</f>
        <v>0.10298988261707198</v>
      </c>
    </row>
    <row r="36" spans="2:5">
      <c r="B36" s="305"/>
      <c r="C36" s="305"/>
      <c r="D36" s="305"/>
      <c r="E36" s="305"/>
    </row>
    <row r="37" spans="2:5" ht="12.75" customHeight="1">
      <c r="B37" s="178"/>
      <c r="C37" s="180"/>
      <c r="D37" s="180"/>
      <c r="E37" s="174"/>
    </row>
    <row r="38" spans="2:5">
      <c r="B38" s="174"/>
      <c r="C38" s="181"/>
      <c r="D38" s="181"/>
      <c r="E38" s="182"/>
    </row>
    <row r="39" spans="2:5">
      <c r="B39" s="26"/>
      <c r="C39" s="26"/>
      <c r="D39" s="26"/>
      <c r="E39" s="26"/>
    </row>
    <row r="40" spans="2:5">
      <c r="E40" s="26"/>
    </row>
    <row r="41" spans="2:5">
      <c r="E41" s="8"/>
    </row>
    <row r="61" spans="3:3">
      <c r="C61" s="27"/>
    </row>
  </sheetData>
  <mergeCells count="1">
    <mergeCell ref="B2:E2"/>
  </mergeCells>
  <printOptions horizontalCentered="1"/>
  <pageMargins left="0.7" right="0.7" top="1.25" bottom="0.75" header="0.3" footer="0.3"/>
  <pageSetup scale="46" orientation="landscape" useFirstPageNumber="1" r:id="rId1"/>
  <headerFooter>
    <oddHeader>&amp;RDocket No. 56165
Exhibit AEB-2
Page &amp;P of 2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K31"/>
  <sheetViews>
    <sheetView zoomScale="60" zoomScaleNormal="60" zoomScaleSheetLayoutView="100" workbookViewId="0">
      <selection activeCell="J28" sqref="J28"/>
    </sheetView>
  </sheetViews>
  <sheetFormatPr defaultColWidth="9.109375" defaultRowHeight="15.6"/>
  <cols>
    <col min="1" max="1" width="3.109375" style="33" customWidth="1"/>
    <col min="2" max="2" width="36.33203125" style="33" customWidth="1"/>
    <col min="3" max="3" width="15.5546875" style="33" customWidth="1"/>
    <col min="4" max="4" width="18.77734375" style="33" customWidth="1"/>
    <col min="5" max="5" width="21.88671875" style="33" customWidth="1"/>
    <col min="6" max="6" width="17.5546875" style="33" customWidth="1"/>
    <col min="7" max="7" width="24.88671875" style="33" customWidth="1"/>
    <col min="8" max="10" width="15.5546875" style="33" customWidth="1"/>
    <col min="11" max="11" width="7.5546875" style="33" customWidth="1"/>
    <col min="12" max="16384" width="9.109375" style="33"/>
  </cols>
  <sheetData>
    <row r="2" spans="2:11">
      <c r="B2" s="393" t="s">
        <v>1266</v>
      </c>
      <c r="C2" s="393"/>
      <c r="D2" s="393"/>
      <c r="E2" s="393"/>
      <c r="F2" s="393"/>
      <c r="G2" s="393"/>
      <c r="H2" s="393"/>
      <c r="I2" s="393"/>
      <c r="J2" s="393"/>
    </row>
    <row r="4" spans="2:11" ht="16.2" thickBot="1">
      <c r="D4" s="2" t="s">
        <v>14</v>
      </c>
      <c r="E4" s="2" t="s">
        <v>15</v>
      </c>
      <c r="F4" s="2" t="s">
        <v>16</v>
      </c>
      <c r="G4" s="2" t="s">
        <v>17</v>
      </c>
      <c r="H4" s="143" t="s">
        <v>18</v>
      </c>
      <c r="I4" s="143" t="s">
        <v>19</v>
      </c>
      <c r="J4" s="143" t="s">
        <v>50</v>
      </c>
    </row>
    <row r="5" spans="2:11" ht="62.4">
      <c r="B5" s="152" t="s">
        <v>20</v>
      </c>
      <c r="C5" s="153" t="s">
        <v>21</v>
      </c>
      <c r="D5" s="154" t="s">
        <v>22</v>
      </c>
      <c r="E5" s="155" t="s">
        <v>1045</v>
      </c>
      <c r="F5" s="155" t="s">
        <v>1046</v>
      </c>
      <c r="G5" s="155" t="s">
        <v>23</v>
      </c>
      <c r="H5" s="155" t="s">
        <v>24</v>
      </c>
      <c r="I5" s="155" t="s">
        <v>1251</v>
      </c>
      <c r="J5" s="155" t="s">
        <v>25</v>
      </c>
    </row>
    <row r="6" spans="2:11" ht="15" customHeight="1">
      <c r="B6" s="144" t="s">
        <v>1077</v>
      </c>
      <c r="C6" s="32" t="s">
        <v>1078</v>
      </c>
      <c r="D6" s="2" t="s">
        <v>27</v>
      </c>
      <c r="E6" s="2" t="s">
        <v>1079</v>
      </c>
      <c r="F6" s="2" t="s">
        <v>27</v>
      </c>
      <c r="G6" s="2" t="s">
        <v>27</v>
      </c>
      <c r="H6" s="136">
        <v>1.0283656799743348</v>
      </c>
      <c r="I6" s="145">
        <v>0.97763700825619193</v>
      </c>
      <c r="J6" s="2" t="s">
        <v>29</v>
      </c>
      <c r="K6" s="136"/>
    </row>
    <row r="7" spans="2:11" ht="15" customHeight="1">
      <c r="B7" s="144" t="s">
        <v>1080</v>
      </c>
      <c r="C7" s="32" t="s">
        <v>261</v>
      </c>
      <c r="D7" s="2" t="s">
        <v>27</v>
      </c>
      <c r="E7" s="2" t="s">
        <v>28</v>
      </c>
      <c r="F7" s="2" t="s">
        <v>27</v>
      </c>
      <c r="G7" s="2" t="s">
        <v>27</v>
      </c>
      <c r="H7" s="136">
        <v>0.96960694021933447</v>
      </c>
      <c r="I7" s="145">
        <v>0.90661304061167858</v>
      </c>
      <c r="J7" s="2" t="s">
        <v>29</v>
      </c>
      <c r="K7" s="136"/>
    </row>
    <row r="8" spans="2:11" ht="15" customHeight="1">
      <c r="B8" s="144" t="s">
        <v>1081</v>
      </c>
      <c r="C8" s="32" t="s">
        <v>766</v>
      </c>
      <c r="D8" s="2" t="s">
        <v>27</v>
      </c>
      <c r="E8" s="2" t="s">
        <v>31</v>
      </c>
      <c r="F8" s="2" t="s">
        <v>27</v>
      </c>
      <c r="G8" s="2" t="s">
        <v>27</v>
      </c>
      <c r="H8" s="136">
        <v>1</v>
      </c>
      <c r="I8" s="145">
        <v>0.84572446261288936</v>
      </c>
      <c r="J8" s="2" t="s">
        <v>29</v>
      </c>
      <c r="K8" s="136"/>
    </row>
    <row r="9" spans="2:11" ht="15" customHeight="1">
      <c r="B9" s="144" t="s">
        <v>1082</v>
      </c>
      <c r="C9" s="32" t="s">
        <v>265</v>
      </c>
      <c r="D9" s="2" t="s">
        <v>27</v>
      </c>
      <c r="E9" s="2" t="s">
        <v>31</v>
      </c>
      <c r="F9" s="2" t="s">
        <v>27</v>
      </c>
      <c r="G9" s="2" t="s">
        <v>27</v>
      </c>
      <c r="H9" s="136">
        <v>0.99655410062026195</v>
      </c>
      <c r="I9" s="145">
        <v>0.91341602349891693</v>
      </c>
      <c r="J9" s="2" t="s">
        <v>29</v>
      </c>
      <c r="K9" s="136"/>
    </row>
    <row r="10" spans="2:11" ht="15" customHeight="1">
      <c r="B10" s="144" t="s">
        <v>450</v>
      </c>
      <c r="C10" s="32" t="s">
        <v>451</v>
      </c>
      <c r="D10" s="164" t="s">
        <v>27</v>
      </c>
      <c r="E10" s="164" t="s">
        <v>1079</v>
      </c>
      <c r="F10" s="164" t="s">
        <v>27</v>
      </c>
      <c r="G10" s="164" t="s">
        <v>27</v>
      </c>
      <c r="H10" s="136">
        <v>0.98931799506984397</v>
      </c>
      <c r="I10" s="145">
        <v>1</v>
      </c>
      <c r="J10" s="164" t="s">
        <v>29</v>
      </c>
      <c r="K10" s="136"/>
    </row>
    <row r="11" spans="2:11" ht="15" customHeight="1">
      <c r="B11" s="144" t="s">
        <v>1083</v>
      </c>
      <c r="C11" s="32" t="s">
        <v>279</v>
      </c>
      <c r="D11" s="2" t="s">
        <v>27</v>
      </c>
      <c r="E11" s="2" t="s">
        <v>31</v>
      </c>
      <c r="F11" s="2" t="s">
        <v>27</v>
      </c>
      <c r="G11" s="2" t="s">
        <v>27</v>
      </c>
      <c r="H11" s="136">
        <v>0.98738109598441426</v>
      </c>
      <c r="I11" s="145">
        <v>0.99461878333957054</v>
      </c>
      <c r="J11" s="2" t="s">
        <v>29</v>
      </c>
      <c r="K11" s="136"/>
    </row>
    <row r="12" spans="2:11" ht="15" customHeight="1">
      <c r="B12" s="144" t="s">
        <v>411</v>
      </c>
      <c r="C12" s="32" t="s">
        <v>412</v>
      </c>
      <c r="D12" s="189" t="s">
        <v>27</v>
      </c>
      <c r="E12" s="189" t="s">
        <v>28</v>
      </c>
      <c r="F12" s="189" t="s">
        <v>27</v>
      </c>
      <c r="G12" s="189" t="s">
        <v>27</v>
      </c>
      <c r="H12" s="136">
        <v>0.92382203646104399</v>
      </c>
      <c r="I12" s="145">
        <v>0.85354453378979878</v>
      </c>
      <c r="J12" s="189" t="s">
        <v>29</v>
      </c>
      <c r="K12" s="136"/>
    </row>
    <row r="13" spans="2:11" s="147" customFormat="1" ht="15" customHeight="1">
      <c r="B13" s="147" t="s">
        <v>1084</v>
      </c>
      <c r="C13" s="3" t="s">
        <v>690</v>
      </c>
      <c r="D13" s="189" t="s">
        <v>27</v>
      </c>
      <c r="E13" s="381" t="s">
        <v>31</v>
      </c>
      <c r="F13" s="189" t="s">
        <v>27</v>
      </c>
      <c r="G13" s="189" t="s">
        <v>27</v>
      </c>
      <c r="H13" s="136">
        <v>1</v>
      </c>
      <c r="I13" s="145">
        <v>1</v>
      </c>
      <c r="J13" s="3" t="s">
        <v>29</v>
      </c>
      <c r="K13" s="145"/>
    </row>
    <row r="14" spans="2:11" ht="15" customHeight="1">
      <c r="B14" s="146" t="s">
        <v>1085</v>
      </c>
      <c r="C14" s="31" t="s">
        <v>1086</v>
      </c>
      <c r="D14" s="3" t="s">
        <v>27</v>
      </c>
      <c r="E14" s="3" t="s">
        <v>1079</v>
      </c>
      <c r="F14" s="3" t="s">
        <v>27</v>
      </c>
      <c r="G14" s="3" t="s">
        <v>27</v>
      </c>
      <c r="H14" s="145">
        <v>0.99910991510613201</v>
      </c>
      <c r="I14" s="145">
        <v>1</v>
      </c>
      <c r="J14" s="3" t="s">
        <v>29</v>
      </c>
      <c r="K14" s="136"/>
    </row>
    <row r="15" spans="2:11" ht="15" customHeight="1">
      <c r="B15" s="144" t="s">
        <v>1087</v>
      </c>
      <c r="C15" s="32" t="s">
        <v>297</v>
      </c>
      <c r="D15" s="2" t="s">
        <v>27</v>
      </c>
      <c r="E15" s="2" t="s">
        <v>28</v>
      </c>
      <c r="F15" s="2" t="s">
        <v>27</v>
      </c>
      <c r="G15" s="2" t="s">
        <v>27</v>
      </c>
      <c r="H15" s="136">
        <v>0.921562192320315</v>
      </c>
      <c r="I15" s="145">
        <v>1</v>
      </c>
      <c r="J15" s="2" t="s">
        <v>29</v>
      </c>
      <c r="K15" s="136"/>
    </row>
    <row r="16" spans="2:11" ht="15" customHeight="1">
      <c r="B16" s="144" t="s">
        <v>1088</v>
      </c>
      <c r="C16" s="32" t="s">
        <v>1089</v>
      </c>
      <c r="D16" s="2" t="s">
        <v>27</v>
      </c>
      <c r="E16" s="2" t="s">
        <v>1079</v>
      </c>
      <c r="F16" s="2" t="s">
        <v>27</v>
      </c>
      <c r="G16" s="2" t="s">
        <v>27</v>
      </c>
      <c r="H16" s="136">
        <v>0.99748804705537031</v>
      </c>
      <c r="I16" s="145">
        <v>0.84487532084622352</v>
      </c>
      <c r="J16" s="2" t="s">
        <v>29</v>
      </c>
      <c r="K16" s="136"/>
    </row>
    <row r="17" spans="2:11" ht="15" customHeight="1">
      <c r="B17" s="144" t="s">
        <v>1303</v>
      </c>
      <c r="C17" s="32" t="s">
        <v>1304</v>
      </c>
      <c r="D17" s="2" t="s">
        <v>27</v>
      </c>
      <c r="E17" s="2" t="s">
        <v>31</v>
      </c>
      <c r="F17" s="2" t="s">
        <v>27</v>
      </c>
      <c r="G17" s="2" t="s">
        <v>27</v>
      </c>
      <c r="H17" s="136">
        <v>1</v>
      </c>
      <c r="I17" s="145">
        <v>1</v>
      </c>
      <c r="J17" s="2" t="s">
        <v>29</v>
      </c>
      <c r="K17" s="136"/>
    </row>
    <row r="18" spans="2:11" ht="15" customHeight="1">
      <c r="B18" s="144" t="s">
        <v>1265</v>
      </c>
      <c r="C18" s="32" t="s">
        <v>440</v>
      </c>
      <c r="D18" s="162" t="s">
        <v>27</v>
      </c>
      <c r="E18" s="162" t="s">
        <v>31</v>
      </c>
      <c r="F18" s="162" t="s">
        <v>27</v>
      </c>
      <c r="G18" s="162" t="s">
        <v>27</v>
      </c>
      <c r="H18" s="136">
        <v>1</v>
      </c>
      <c r="I18" s="136">
        <v>1</v>
      </c>
      <c r="J18" s="162" t="s">
        <v>29</v>
      </c>
      <c r="K18" s="136"/>
    </row>
    <row r="19" spans="2:11" ht="15" customHeight="1">
      <c r="B19" s="144" t="s">
        <v>1090</v>
      </c>
      <c r="C19" s="32" t="s">
        <v>1091</v>
      </c>
      <c r="D19" s="2" t="s">
        <v>27</v>
      </c>
      <c r="E19" s="2" t="s">
        <v>31</v>
      </c>
      <c r="F19" s="2" t="s">
        <v>27</v>
      </c>
      <c r="G19" s="2" t="s">
        <v>27</v>
      </c>
      <c r="H19" s="136">
        <v>1</v>
      </c>
      <c r="I19" s="136">
        <v>1</v>
      </c>
      <c r="J19" s="2" t="s">
        <v>29</v>
      </c>
      <c r="K19" s="136"/>
    </row>
    <row r="20" spans="2:11" ht="15" customHeight="1" thickBot="1">
      <c r="B20" s="148" t="s">
        <v>1092</v>
      </c>
      <c r="C20" s="143" t="s">
        <v>576</v>
      </c>
      <c r="D20" s="143" t="s">
        <v>27</v>
      </c>
      <c r="E20" s="143" t="s">
        <v>28</v>
      </c>
      <c r="F20" s="143" t="s">
        <v>27</v>
      </c>
      <c r="G20" s="143" t="s">
        <v>27</v>
      </c>
      <c r="H20" s="149">
        <v>1</v>
      </c>
      <c r="I20" s="149">
        <v>0.86467189233864328</v>
      </c>
      <c r="J20" s="143" t="s">
        <v>29</v>
      </c>
      <c r="K20" s="136"/>
    </row>
    <row r="21" spans="2:11" ht="15" customHeight="1">
      <c r="K21" s="136"/>
    </row>
    <row r="22" spans="2:11" ht="15" customHeight="1">
      <c r="K22" s="136"/>
    </row>
    <row r="23" spans="2:11" ht="15" customHeight="1">
      <c r="B23" s="150" t="s">
        <v>32</v>
      </c>
    </row>
    <row r="24" spans="2:11" ht="15" customHeight="1">
      <c r="B24" s="33" t="s">
        <v>1280</v>
      </c>
    </row>
    <row r="25" spans="2:11" ht="15" customHeight="1">
      <c r="B25" s="33" t="s">
        <v>1281</v>
      </c>
    </row>
    <row r="26" spans="2:11" ht="15" customHeight="1">
      <c r="B26" s="33" t="s">
        <v>1282</v>
      </c>
    </row>
    <row r="27" spans="2:11" ht="15" customHeight="1">
      <c r="B27" s="33" t="s">
        <v>1283</v>
      </c>
    </row>
    <row r="28" spans="2:11" ht="15" customHeight="1">
      <c r="B28" s="33" t="s">
        <v>1284</v>
      </c>
    </row>
    <row r="29" spans="2:11" ht="15" customHeight="1">
      <c r="B29" s="33" t="s">
        <v>1285</v>
      </c>
    </row>
    <row r="30" spans="2:11" ht="15" customHeight="1">
      <c r="B30" s="33" t="s">
        <v>1286</v>
      </c>
    </row>
    <row r="31" spans="2:11">
      <c r="C31" s="151"/>
    </row>
  </sheetData>
  <mergeCells count="1">
    <mergeCell ref="B2:J2"/>
  </mergeCells>
  <conditionalFormatting sqref="B14:C19 B7:C12">
    <cfRule type="expression" dxfId="19" priority="15">
      <formula>"(blank)"</formula>
    </cfRule>
  </conditionalFormatting>
  <conditionalFormatting sqref="B14:C19 B7:C12">
    <cfRule type="expression" dxfId="18" priority="16">
      <formula>#REF!</formula>
    </cfRule>
  </conditionalFormatting>
  <conditionalFormatting sqref="B20">
    <cfRule type="expression" dxfId="17" priority="13">
      <formula>"(blank)"</formula>
    </cfRule>
  </conditionalFormatting>
  <conditionalFormatting sqref="B20">
    <cfRule type="expression" dxfId="16" priority="14">
      <formula>#REF!</formula>
    </cfRule>
  </conditionalFormatting>
  <printOptions horizontalCentered="1"/>
  <pageMargins left="0.7" right="0.7" top="1.25" bottom="0.75" header="0.3" footer="0.3"/>
  <pageSetup scale="57" orientation="landscape" useFirstPageNumber="1" r:id="rId1"/>
  <headerFooter>
    <oddHeader>&amp;RDocket No. 56165
Exhibit AEB-3
Page &amp;P of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09"/>
  <sheetViews>
    <sheetView view="pageBreakPreview" topLeftCell="A41" zoomScale="40" zoomScaleNormal="60" zoomScaleSheetLayoutView="40" workbookViewId="0">
      <selection activeCell="J28" sqref="J28"/>
    </sheetView>
  </sheetViews>
  <sheetFormatPr defaultColWidth="11.5546875" defaultRowHeight="15.6"/>
  <cols>
    <col min="1" max="1" width="42.5546875" style="124" customWidth="1"/>
    <col min="2" max="2" width="11.5546875" style="124" bestFit="1" customWidth="1"/>
    <col min="3" max="4" width="11.5546875" style="123" bestFit="1" customWidth="1"/>
    <col min="5" max="5" width="11.5546875" style="123" customWidth="1"/>
    <col min="6" max="6" width="12.21875" style="123" customWidth="1"/>
    <col min="7" max="7" width="11.5546875" style="123" customWidth="1"/>
    <col min="8" max="8" width="11.77734375" style="123" bestFit="1" customWidth="1"/>
    <col min="9" max="9" width="11.5546875" style="123" customWidth="1"/>
    <col min="10" max="10" width="11.5546875" style="123" bestFit="1" customWidth="1"/>
    <col min="11" max="11" width="10" style="123" bestFit="1" customWidth="1"/>
    <col min="12" max="13" width="12.109375" style="123" customWidth="1"/>
    <col min="14" max="16384" width="11.5546875" style="124"/>
  </cols>
  <sheetData>
    <row r="1" spans="1:13">
      <c r="A1" s="121"/>
      <c r="B1" s="121"/>
      <c r="C1" s="122"/>
    </row>
    <row r="2" spans="1:13">
      <c r="A2" s="394" t="s">
        <v>1312</v>
      </c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</row>
    <row r="4" spans="1:13" ht="16.2" thickBot="1">
      <c r="C4" s="123" t="s">
        <v>14</v>
      </c>
      <c r="D4" s="123" t="s">
        <v>15</v>
      </c>
      <c r="E4" s="88" t="s">
        <v>16</v>
      </c>
      <c r="F4" s="88" t="s">
        <v>17</v>
      </c>
      <c r="G4" s="123" t="s">
        <v>18</v>
      </c>
      <c r="H4" s="123" t="s">
        <v>19</v>
      </c>
      <c r="I4" s="123" t="s">
        <v>50</v>
      </c>
      <c r="J4" s="123" t="s">
        <v>51</v>
      </c>
      <c r="K4" s="123" t="s">
        <v>52</v>
      </c>
      <c r="L4" s="123" t="s">
        <v>53</v>
      </c>
      <c r="M4" s="123" t="s">
        <v>54</v>
      </c>
    </row>
    <row r="5" spans="1:13" ht="47.55" customHeight="1">
      <c r="A5" s="125" t="s">
        <v>20</v>
      </c>
      <c r="B5" s="126" t="s">
        <v>21</v>
      </c>
      <c r="C5" s="127" t="s">
        <v>34</v>
      </c>
      <c r="D5" s="127" t="s">
        <v>35</v>
      </c>
      <c r="E5" s="128" t="s">
        <v>36</v>
      </c>
      <c r="F5" s="128" t="s">
        <v>37</v>
      </c>
      <c r="G5" s="127" t="s">
        <v>1093</v>
      </c>
      <c r="H5" s="127" t="s">
        <v>1094</v>
      </c>
      <c r="I5" s="127" t="s">
        <v>1095</v>
      </c>
      <c r="J5" s="127" t="s">
        <v>1047</v>
      </c>
      <c r="K5" s="129" t="s">
        <v>1048</v>
      </c>
      <c r="L5" s="128" t="s">
        <v>1049</v>
      </c>
      <c r="M5" s="129" t="s">
        <v>1050</v>
      </c>
    </row>
    <row r="6" spans="1:13">
      <c r="A6" s="130" t="str">
        <f>'AEB-3 Proxy Selection'!B6</f>
        <v>ALLETE, Inc.</v>
      </c>
      <c r="B6" s="131" t="str">
        <f>'AEB-3 Proxy Selection'!C6</f>
        <v>ALE</v>
      </c>
      <c r="C6" s="132">
        <v>2.71</v>
      </c>
      <c r="D6" s="132">
        <v>60.598000000000006</v>
      </c>
      <c r="E6" s="133">
        <f>C6/D6</f>
        <v>4.472094788606884E-2</v>
      </c>
      <c r="F6" s="133">
        <f>IFERROR(E6*(1+0.5*J6),"")</f>
        <v>4.6375622957853385E-2</v>
      </c>
      <c r="G6" s="134">
        <v>0.06</v>
      </c>
      <c r="H6" s="134">
        <v>8.1000000000000003E-2</v>
      </c>
      <c r="I6" s="134">
        <v>8.1000000000000003E-2</v>
      </c>
      <c r="J6" s="135">
        <f t="shared" ref="J6" si="0">AVERAGE(G6:I6)</f>
        <v>7.400000000000001E-2</v>
      </c>
      <c r="K6" s="28">
        <f t="shared" ref="K6:K20" si="1">$E6*(1+0.5*MIN($G6:$I6))+MIN($G6:$I6)</f>
        <v>0.1060625763226509</v>
      </c>
      <c r="L6" s="133">
        <f t="shared" ref="L6" si="2">F6+J6</f>
        <v>0.1203756229578534</v>
      </c>
      <c r="M6" s="136">
        <f t="shared" ref="M6:M20" si="3">$E6*(1+0.5*MAX($G6:$I6))+MAX($G6:$I6)</f>
        <v>0.12753214627545462</v>
      </c>
    </row>
    <row r="7" spans="1:13">
      <c r="A7" s="130" t="str">
        <f>'AEB-3 Proxy Selection'!B7</f>
        <v>Alliant Energy Corporation</v>
      </c>
      <c r="B7" s="131" t="str">
        <f>'AEB-3 Proxy Selection'!C7</f>
        <v>LNT</v>
      </c>
      <c r="C7" s="132">
        <v>1.92</v>
      </c>
      <c r="D7" s="132">
        <v>49.881496666666671</v>
      </c>
      <c r="E7" s="133">
        <f t="shared" ref="E7:E20" si="4">C7/D7</f>
        <v>3.8491226773535059E-2</v>
      </c>
      <c r="F7" s="133">
        <f t="shared" ref="F7:F20" si="5">IFERROR(E7*(1+0.5*J7),"")</f>
        <v>3.9732568836981563E-2</v>
      </c>
      <c r="G7" s="134">
        <v>6.5000000000000002E-2</v>
      </c>
      <c r="H7" s="134">
        <v>6.5500000000000003E-2</v>
      </c>
      <c r="I7" s="134">
        <v>6.3E-2</v>
      </c>
      <c r="J7" s="135">
        <f t="shared" ref="J7:J20" si="6">AVERAGE(G7:I7)</f>
        <v>6.4500000000000002E-2</v>
      </c>
      <c r="K7" s="28">
        <f t="shared" si="1"/>
        <v>0.10270370041690141</v>
      </c>
      <c r="L7" s="133">
        <f t="shared" ref="L7:L20" si="7">F7+J7</f>
        <v>0.10423256883698157</v>
      </c>
      <c r="M7" s="136">
        <f t="shared" si="3"/>
        <v>0.10525181445036834</v>
      </c>
    </row>
    <row r="8" spans="1:13">
      <c r="A8" s="130" t="str">
        <f>'AEB-3 Proxy Selection'!B8</f>
        <v>Ameren Corporation</v>
      </c>
      <c r="B8" s="131" t="str">
        <f>'AEB-3 Proxy Selection'!C8</f>
        <v>AEE</v>
      </c>
      <c r="C8" s="132">
        <v>2.52</v>
      </c>
      <c r="D8" s="132">
        <v>71.507333333333321</v>
      </c>
      <c r="E8" s="133">
        <f t="shared" si="4"/>
        <v>3.5241140768778968E-2</v>
      </c>
      <c r="F8" s="133">
        <f t="shared" si="5"/>
        <v>3.626900737453502E-2</v>
      </c>
      <c r="G8" s="134">
        <v>6.5000000000000002E-2</v>
      </c>
      <c r="H8" s="134">
        <v>4.8000000000000001E-2</v>
      </c>
      <c r="I8" s="134">
        <v>6.2E-2</v>
      </c>
      <c r="J8" s="135">
        <f t="shared" si="6"/>
        <v>5.8333333333333327E-2</v>
      </c>
      <c r="K8" s="28">
        <f t="shared" si="1"/>
        <v>8.4086928147229664E-2</v>
      </c>
      <c r="L8" s="133">
        <f t="shared" si="7"/>
        <v>9.4602340707868354E-2</v>
      </c>
      <c r="M8" s="136">
        <f t="shared" si="3"/>
        <v>0.10138647784376428</v>
      </c>
    </row>
    <row r="9" spans="1:13">
      <c r="A9" s="130" t="str">
        <f>'AEB-3 Proxy Selection'!B9</f>
        <v>Duke Energy Corporation</v>
      </c>
      <c r="B9" s="131" t="str">
        <f>'AEB-3 Proxy Selection'!C9</f>
        <v>DUK</v>
      </c>
      <c r="C9" s="132">
        <v>4.0999999999999996</v>
      </c>
      <c r="D9" s="132">
        <v>96.902666666666676</v>
      </c>
      <c r="E9" s="133">
        <f t="shared" si="4"/>
        <v>4.2310497131141891E-2</v>
      </c>
      <c r="F9" s="133">
        <f t="shared" si="5"/>
        <v>4.3569234420793364E-2</v>
      </c>
      <c r="G9" s="134">
        <v>0.05</v>
      </c>
      <c r="H9" s="134">
        <v>6.5500000000000003E-2</v>
      </c>
      <c r="I9" s="134">
        <v>6.3E-2</v>
      </c>
      <c r="J9" s="135">
        <f t="shared" si="6"/>
        <v>5.9499999999999997E-2</v>
      </c>
      <c r="K9" s="28">
        <f t="shared" si="1"/>
        <v>9.3368259559420436E-2</v>
      </c>
      <c r="L9" s="133">
        <f t="shared" si="7"/>
        <v>0.10306923442079335</v>
      </c>
      <c r="M9" s="136">
        <f t="shared" si="3"/>
        <v>0.1091961659121868</v>
      </c>
    </row>
    <row r="10" spans="1:13">
      <c r="A10" s="130" t="str">
        <f>'AEB-3 Proxy Selection'!B10</f>
        <v>Edison International</v>
      </c>
      <c r="B10" s="131" t="str">
        <f>'AEB-3 Proxy Selection'!C10</f>
        <v>EIX</v>
      </c>
      <c r="C10" s="132">
        <v>3.12</v>
      </c>
      <c r="D10" s="132">
        <v>69.709010000000006</v>
      </c>
      <c r="E10" s="133">
        <f t="shared" si="4"/>
        <v>4.4757485438395979E-2</v>
      </c>
      <c r="F10" s="133">
        <f t="shared" si="5"/>
        <v>4.5712311794415095E-2</v>
      </c>
      <c r="G10" s="134">
        <v>4.4999999999999998E-2</v>
      </c>
      <c r="H10" s="134">
        <v>4.5999999999999999E-2</v>
      </c>
      <c r="I10" s="134">
        <v>3.7000000000000005E-2</v>
      </c>
      <c r="J10" s="135">
        <f t="shared" si="6"/>
        <v>4.2666666666666665E-2</v>
      </c>
      <c r="K10" s="28">
        <f t="shared" si="1"/>
        <v>8.2585498919006309E-2</v>
      </c>
      <c r="L10" s="133">
        <f t="shared" si="7"/>
        <v>8.8378978461081753E-2</v>
      </c>
      <c r="M10" s="136">
        <f t="shared" si="3"/>
        <v>9.1786907603479073E-2</v>
      </c>
    </row>
    <row r="11" spans="1:13">
      <c r="A11" s="130" t="str">
        <f>'AEB-3 Proxy Selection'!B11</f>
        <v>Entergy Corporation</v>
      </c>
      <c r="B11" s="131" t="str">
        <f>'AEB-3 Proxy Selection'!C11</f>
        <v>ETR</v>
      </c>
      <c r="C11" s="132">
        <v>4.5199999999999996</v>
      </c>
      <c r="D11" s="132">
        <v>101.03066666666668</v>
      </c>
      <c r="E11" s="133">
        <f t="shared" si="4"/>
        <v>4.4738891161759456E-2</v>
      </c>
      <c r="F11" s="133">
        <f t="shared" si="5"/>
        <v>4.6118340305913705E-2</v>
      </c>
      <c r="G11" s="134">
        <v>5.0000000000000001E-3</v>
      </c>
      <c r="H11" s="134">
        <v>0.11</v>
      </c>
      <c r="I11" s="134">
        <v>7.0000000000000007E-2</v>
      </c>
      <c r="J11" s="135">
        <f t="shared" si="6"/>
        <v>6.1666666666666668E-2</v>
      </c>
      <c r="K11" s="28">
        <f t="shared" si="1"/>
        <v>4.9850738389663848E-2</v>
      </c>
      <c r="L11" s="133">
        <f t="shared" si="7"/>
        <v>0.10778500697258037</v>
      </c>
      <c r="M11" s="136">
        <f t="shared" si="3"/>
        <v>0.15719953017565622</v>
      </c>
    </row>
    <row r="12" spans="1:13">
      <c r="A12" s="130" t="str">
        <f>'AEB-3 Proxy Selection'!B12</f>
        <v>Eversource Energy</v>
      </c>
      <c r="B12" s="131" t="str">
        <f>'AEB-3 Proxy Selection'!C12</f>
        <v>ES</v>
      </c>
      <c r="C12" s="132">
        <v>2.7</v>
      </c>
      <c r="D12" s="132">
        <v>58.34</v>
      </c>
      <c r="E12" s="133">
        <f t="shared" si="4"/>
        <v>4.6280425094274942E-2</v>
      </c>
      <c r="F12" s="133">
        <f t="shared" si="5"/>
        <v>4.734487487144326E-2</v>
      </c>
      <c r="G12" s="134">
        <v>0.06</v>
      </c>
      <c r="H12" s="134">
        <v>3.6000000000000004E-2</v>
      </c>
      <c r="I12" s="134">
        <v>4.2000000000000003E-2</v>
      </c>
      <c r="J12" s="135">
        <f t="shared" si="6"/>
        <v>4.6000000000000006E-2</v>
      </c>
      <c r="K12" s="28">
        <f t="shared" si="1"/>
        <v>8.3113472745971889E-2</v>
      </c>
      <c r="L12" s="133">
        <f t="shared" si="7"/>
        <v>9.3344874871443273E-2</v>
      </c>
      <c r="M12" s="136">
        <f t="shared" si="3"/>
        <v>0.10766883784710318</v>
      </c>
    </row>
    <row r="13" spans="1:13">
      <c r="A13" s="130" t="str">
        <f>'AEB-3 Proxy Selection'!B13</f>
        <v>Evergy, Inc.</v>
      </c>
      <c r="B13" s="131" t="str">
        <f>'AEB-3 Proxy Selection'!C13</f>
        <v>EVRG</v>
      </c>
      <c r="C13" s="132">
        <v>2.57</v>
      </c>
      <c r="D13" s="132">
        <v>51.868000000000002</v>
      </c>
      <c r="E13" s="133">
        <f t="shared" si="4"/>
        <v>4.9548854785224028E-2</v>
      </c>
      <c r="F13" s="133">
        <f t="shared" si="5"/>
        <v>5.0729769157605201E-2</v>
      </c>
      <c r="G13" s="134">
        <v>7.4999999999999997E-2</v>
      </c>
      <c r="H13" s="134">
        <v>2.5000000000000001E-2</v>
      </c>
      <c r="I13" s="134">
        <v>4.2999999999999997E-2</v>
      </c>
      <c r="J13" s="135">
        <f t="shared" si="6"/>
        <v>4.766666666666667E-2</v>
      </c>
      <c r="K13" s="28">
        <f t="shared" si="1"/>
        <v>7.5168215470039323E-2</v>
      </c>
      <c r="L13" s="133">
        <f t="shared" si="7"/>
        <v>9.8396435824271877E-2</v>
      </c>
      <c r="M13" s="136">
        <f t="shared" si="3"/>
        <v>0.12640693683966991</v>
      </c>
    </row>
    <row r="14" spans="1:13">
      <c r="A14" s="130" t="str">
        <f>'AEB-3 Proxy Selection'!B14</f>
        <v>IDACORP, Inc.</v>
      </c>
      <c r="B14" s="131" t="str">
        <f>'AEB-3 Proxy Selection'!C14</f>
        <v>IDA</v>
      </c>
      <c r="C14" s="132">
        <v>3.32</v>
      </c>
      <c r="D14" s="132">
        <v>95.875333333333344</v>
      </c>
      <c r="E14" s="133">
        <f t="shared" si="4"/>
        <v>3.4628302031109837E-2</v>
      </c>
      <c r="F14" s="133">
        <f t="shared" si="5"/>
        <v>3.5367039141106851E-2</v>
      </c>
      <c r="G14" s="134">
        <v>0.04</v>
      </c>
      <c r="H14" s="134">
        <v>4.4000000000000004E-2</v>
      </c>
      <c r="I14" s="134">
        <v>4.4000000000000004E-2</v>
      </c>
      <c r="J14" s="135">
        <f t="shared" si="6"/>
        <v>4.2666666666666665E-2</v>
      </c>
      <c r="K14" s="28">
        <f t="shared" si="1"/>
        <v>7.5320868071732036E-2</v>
      </c>
      <c r="L14" s="133">
        <f t="shared" si="7"/>
        <v>7.8033705807773523E-2</v>
      </c>
      <c r="M14" s="136">
        <f t="shared" si="3"/>
        <v>7.939012467579426E-2</v>
      </c>
    </row>
    <row r="15" spans="1:13">
      <c r="A15" s="130" t="str">
        <f>'AEB-3 Proxy Selection'!B15</f>
        <v>NextEra Energy, Inc.</v>
      </c>
      <c r="B15" s="131" t="str">
        <f>'AEB-3 Proxy Selection'!C15</f>
        <v>NEE</v>
      </c>
      <c r="C15" s="132">
        <v>1.87</v>
      </c>
      <c r="D15" s="132">
        <v>59.980999999999987</v>
      </c>
      <c r="E15" s="133">
        <f t="shared" si="4"/>
        <v>3.1176539237425194E-2</v>
      </c>
      <c r="F15" s="133">
        <f t="shared" si="5"/>
        <v>3.2502061764003061E-2</v>
      </c>
      <c r="G15" s="134">
        <v>9.5000000000000001E-2</v>
      </c>
      <c r="H15" s="134">
        <v>7.8100000000000003E-2</v>
      </c>
      <c r="I15" s="134">
        <v>8.199999999999999E-2</v>
      </c>
      <c r="J15" s="135">
        <f t="shared" si="6"/>
        <v>8.5033333333333336E-2</v>
      </c>
      <c r="K15" s="28">
        <f t="shared" si="1"/>
        <v>0.11049398309464664</v>
      </c>
      <c r="L15" s="133">
        <f t="shared" si="7"/>
        <v>0.1175353950973364</v>
      </c>
      <c r="M15" s="136">
        <f t="shared" si="3"/>
        <v>0.12765742485120291</v>
      </c>
    </row>
    <row r="16" spans="1:13">
      <c r="A16" s="130" t="str">
        <f>'AEB-3 Proxy Selection'!B16</f>
        <v>NorthWestern Corporation</v>
      </c>
      <c r="B16" s="131" t="str">
        <f>'AEB-3 Proxy Selection'!C16</f>
        <v>NWE</v>
      </c>
      <c r="C16" s="132">
        <v>2.56</v>
      </c>
      <c r="D16" s="132">
        <v>49.778999999999989</v>
      </c>
      <c r="E16" s="133">
        <f t="shared" si="4"/>
        <v>5.1427308704473783E-2</v>
      </c>
      <c r="F16" s="133">
        <f t="shared" si="5"/>
        <v>5.252271037987908E-2</v>
      </c>
      <c r="G16" s="134">
        <v>3.5000000000000003E-2</v>
      </c>
      <c r="H16" s="134">
        <v>4.0800000000000003E-2</v>
      </c>
      <c r="I16" s="134">
        <v>5.2000000000000005E-2</v>
      </c>
      <c r="J16" s="135">
        <f t="shared" si="6"/>
        <v>4.2600000000000006E-2</v>
      </c>
      <c r="K16" s="28">
        <f t="shared" si="1"/>
        <v>8.7327286606802085E-2</v>
      </c>
      <c r="L16" s="133">
        <f t="shared" si="7"/>
        <v>9.5122710379879086E-2</v>
      </c>
      <c r="M16" s="136">
        <f t="shared" si="3"/>
        <v>0.10476441873079011</v>
      </c>
    </row>
    <row r="17" spans="1:13">
      <c r="A17" s="130" t="str">
        <f>'AEB-3 Proxy Selection'!B17</f>
        <v>OGE Energy Corporation</v>
      </c>
      <c r="B17" s="131" t="str">
        <f>'AEB-3 Proxy Selection'!C17</f>
        <v>OGE</v>
      </c>
      <c r="C17" s="132">
        <v>1.6728000000000001</v>
      </c>
      <c r="D17" s="132">
        <v>34.14228</v>
      </c>
      <c r="E17" s="133">
        <f t="shared" si="4"/>
        <v>4.899497045891487E-2</v>
      </c>
      <c r="F17" s="133">
        <f t="shared" si="5"/>
        <v>5.0281088433461393E-2</v>
      </c>
      <c r="G17" s="134">
        <v>6.5000000000000002E-2</v>
      </c>
      <c r="H17" s="134" t="s">
        <v>1288</v>
      </c>
      <c r="I17" s="134">
        <v>0.04</v>
      </c>
      <c r="J17" s="135">
        <f t="shared" si="6"/>
        <v>5.2500000000000005E-2</v>
      </c>
      <c r="K17" s="28">
        <f t="shared" si="1"/>
        <v>8.9974869868093166E-2</v>
      </c>
      <c r="L17" s="133">
        <f t="shared" si="7"/>
        <v>0.1027810884334614</v>
      </c>
      <c r="M17" s="136">
        <f t="shared" si="3"/>
        <v>0.1155873069988296</v>
      </c>
    </row>
    <row r="18" spans="1:13">
      <c r="A18" s="130" t="str">
        <f>'AEB-3 Proxy Selection'!B18</f>
        <v>Pinnacle West Capital Corporation</v>
      </c>
      <c r="B18" s="131" t="str">
        <f>'AEB-3 Proxy Selection'!C18</f>
        <v>PNW</v>
      </c>
      <c r="C18" s="132">
        <v>3.52</v>
      </c>
      <c r="D18" s="132">
        <v>70.492386666666647</v>
      </c>
      <c r="E18" s="133">
        <f t="shared" si="4"/>
        <v>4.9934470464801033E-2</v>
      </c>
      <c r="F18" s="133">
        <f t="shared" si="5"/>
        <v>5.0966449521073584E-2</v>
      </c>
      <c r="G18" s="134">
        <v>2.5000000000000001E-2</v>
      </c>
      <c r="H18" s="134">
        <v>5.9000000000000004E-2</v>
      </c>
      <c r="I18" s="134">
        <v>0.04</v>
      </c>
      <c r="J18" s="135">
        <f t="shared" si="6"/>
        <v>4.1333333333333333E-2</v>
      </c>
      <c r="K18" s="28">
        <f t="shared" si="1"/>
        <v>7.5558651345611044E-2</v>
      </c>
      <c r="L18" s="133">
        <f t="shared" si="7"/>
        <v>9.2299782854406917E-2</v>
      </c>
      <c r="M18" s="136">
        <f t="shared" si="3"/>
        <v>0.11040753734351266</v>
      </c>
    </row>
    <row r="19" spans="1:13">
      <c r="A19" s="130" t="str">
        <f>'AEB-3 Proxy Selection'!B19</f>
        <v>Portland General Electric Company</v>
      </c>
      <c r="B19" s="131" t="str">
        <f>'AEB-3 Proxy Selection'!C19</f>
        <v>POR</v>
      </c>
      <c r="C19" s="132">
        <v>1.9</v>
      </c>
      <c r="D19" s="132">
        <v>42.268436666666652</v>
      </c>
      <c r="E19" s="133">
        <f t="shared" si="4"/>
        <v>4.4950798984679755E-2</v>
      </c>
      <c r="F19" s="133">
        <f t="shared" si="5"/>
        <v>4.6119519758281428E-2</v>
      </c>
      <c r="G19" s="134">
        <v>0.05</v>
      </c>
      <c r="H19" s="134">
        <v>4.5999999999999999E-2</v>
      </c>
      <c r="I19" s="134">
        <v>0.06</v>
      </c>
      <c r="J19" s="135">
        <f t="shared" si="6"/>
        <v>5.1999999999999998E-2</v>
      </c>
      <c r="K19" s="28">
        <f t="shared" si="1"/>
        <v>9.1984667361327377E-2</v>
      </c>
      <c r="L19" s="133">
        <f t="shared" si="7"/>
        <v>9.8119519758281426E-2</v>
      </c>
      <c r="M19" s="136">
        <f t="shared" si="3"/>
        <v>0.10629932295422015</v>
      </c>
    </row>
    <row r="20" spans="1:13">
      <c r="A20" s="130" t="str">
        <f>'AEB-3 Proxy Selection'!B20</f>
        <v>Xcel Energy Inc.</v>
      </c>
      <c r="B20" s="131" t="str">
        <f>'AEB-3 Proxy Selection'!C20</f>
        <v>XEL</v>
      </c>
      <c r="C20" s="132">
        <v>2.08</v>
      </c>
      <c r="D20" s="132">
        <v>61.142860000000006</v>
      </c>
      <c r="E20" s="133">
        <f t="shared" si="4"/>
        <v>3.4018689999126633E-2</v>
      </c>
      <c r="F20" s="133">
        <f t="shared" si="5"/>
        <v>3.5071568454599605E-2</v>
      </c>
      <c r="G20" s="134">
        <v>0.06</v>
      </c>
      <c r="H20" s="134">
        <v>6.5700000000000008E-2</v>
      </c>
      <c r="I20" s="134">
        <v>0.06</v>
      </c>
      <c r="J20" s="135">
        <f t="shared" si="6"/>
        <v>6.1900000000000004E-2</v>
      </c>
      <c r="K20" s="28">
        <f t="shared" si="1"/>
        <v>9.5039250699100436E-2</v>
      </c>
      <c r="L20" s="133">
        <f t="shared" si="7"/>
        <v>9.6971568454599616E-2</v>
      </c>
      <c r="M20" s="136">
        <f t="shared" si="3"/>
        <v>0.10083620396559795</v>
      </c>
    </row>
    <row r="21" spans="1:13">
      <c r="A21" s="137" t="s">
        <v>38</v>
      </c>
      <c r="B21" s="138"/>
      <c r="C21" s="166"/>
      <c r="D21" s="166"/>
      <c r="E21" s="140">
        <f t="shared" ref="E21:M21" si="8">AVERAGE(E6:E20)</f>
        <v>4.2748036594647348E-2</v>
      </c>
      <c r="F21" s="140">
        <f t="shared" si="8"/>
        <v>4.3912144478129703E-2</v>
      </c>
      <c r="G21" s="140">
        <f t="shared" si="8"/>
        <v>5.2999999999999999E-2</v>
      </c>
      <c r="H21" s="140">
        <f t="shared" si="8"/>
        <v>5.79E-2</v>
      </c>
      <c r="I21" s="140">
        <f t="shared" si="8"/>
        <v>5.5933333333333349E-2</v>
      </c>
      <c r="J21" s="140">
        <f t="shared" si="8"/>
        <v>5.5491111111111109E-2</v>
      </c>
      <c r="K21" s="140">
        <f t="shared" si="8"/>
        <v>8.6842597801213103E-2</v>
      </c>
      <c r="L21" s="140">
        <f t="shared" si="8"/>
        <v>9.9403255589240819E-2</v>
      </c>
      <c r="M21" s="140">
        <f t="shared" si="8"/>
        <v>0.11142474376450866</v>
      </c>
    </row>
    <row r="22" spans="1:13">
      <c r="A22" s="130" t="s">
        <v>39</v>
      </c>
      <c r="C22" s="167"/>
      <c r="D22" s="167"/>
      <c r="E22" s="141">
        <f t="shared" ref="E22:M22" si="9">MEDIAN(E6:E20)</f>
        <v>4.4738891161759456E-2</v>
      </c>
      <c r="F22" s="141">
        <f t="shared" si="9"/>
        <v>4.6118340305913705E-2</v>
      </c>
      <c r="G22" s="141">
        <f t="shared" si="9"/>
        <v>0.06</v>
      </c>
      <c r="H22" s="141">
        <f t="shared" si="9"/>
        <v>5.3500000000000006E-2</v>
      </c>
      <c r="I22" s="141">
        <f t="shared" si="9"/>
        <v>0.06</v>
      </c>
      <c r="J22" s="141">
        <f t="shared" si="9"/>
        <v>5.2500000000000005E-2</v>
      </c>
      <c r="K22" s="141">
        <f t="shared" si="9"/>
        <v>8.7327286606802085E-2</v>
      </c>
      <c r="L22" s="141">
        <f t="shared" si="9"/>
        <v>9.8119519758281426E-2</v>
      </c>
      <c r="M22" s="141">
        <f t="shared" si="9"/>
        <v>0.10766883784710318</v>
      </c>
    </row>
    <row r="24" spans="1:13">
      <c r="A24" s="37" t="s">
        <v>32</v>
      </c>
    </row>
    <row r="25" spans="1:13">
      <c r="A25" s="36" t="s">
        <v>33</v>
      </c>
    </row>
    <row r="26" spans="1:13">
      <c r="A26" s="36" t="s">
        <v>1540</v>
      </c>
    </row>
    <row r="27" spans="1:13">
      <c r="A27" s="4" t="s">
        <v>1051</v>
      </c>
      <c r="K27" s="142"/>
    </row>
    <row r="28" spans="1:13">
      <c r="A28" s="4" t="s">
        <v>1052</v>
      </c>
      <c r="K28" s="142"/>
    </row>
    <row r="29" spans="1:13">
      <c r="A29" s="4" t="s">
        <v>1053</v>
      </c>
    </row>
    <row r="30" spans="1:13">
      <c r="A30" s="4" t="s">
        <v>1054</v>
      </c>
    </row>
    <row r="31" spans="1:13">
      <c r="A31" s="4" t="s">
        <v>1055</v>
      </c>
    </row>
    <row r="32" spans="1:13">
      <c r="A32" s="5" t="s">
        <v>1056</v>
      </c>
    </row>
    <row r="33" spans="1:13">
      <c r="A33" s="5" t="s">
        <v>1057</v>
      </c>
    </row>
    <row r="34" spans="1:13">
      <c r="A34" s="30" t="s">
        <v>40</v>
      </c>
    </row>
    <row r="35" spans="1:13">
      <c r="A35" s="5" t="s">
        <v>1058</v>
      </c>
    </row>
    <row r="36" spans="1:13">
      <c r="A36" s="36"/>
    </row>
    <row r="37" spans="1:13">
      <c r="A37" s="36"/>
    </row>
    <row r="38" spans="1:13">
      <c r="A38" s="394" t="s">
        <v>1313</v>
      </c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</row>
    <row r="40" spans="1:13" ht="16.2" thickBot="1">
      <c r="C40" s="123" t="s">
        <v>14</v>
      </c>
      <c r="D40" s="123" t="s">
        <v>15</v>
      </c>
      <c r="E40" s="88" t="s">
        <v>16</v>
      </c>
      <c r="F40" s="88" t="s">
        <v>17</v>
      </c>
      <c r="G40" s="123" t="s">
        <v>18</v>
      </c>
      <c r="H40" s="123" t="s">
        <v>19</v>
      </c>
      <c r="I40" s="123" t="s">
        <v>50</v>
      </c>
      <c r="J40" s="123" t="s">
        <v>51</v>
      </c>
      <c r="K40" s="123" t="s">
        <v>52</v>
      </c>
      <c r="L40" s="123" t="s">
        <v>53</v>
      </c>
      <c r="M40" s="123" t="s">
        <v>54</v>
      </c>
    </row>
    <row r="41" spans="1:13" ht="48.75" customHeight="1">
      <c r="A41" s="125" t="s">
        <v>20</v>
      </c>
      <c r="B41" s="126" t="s">
        <v>21</v>
      </c>
      <c r="C41" s="127" t="s">
        <v>34</v>
      </c>
      <c r="D41" s="127" t="s">
        <v>35</v>
      </c>
      <c r="E41" s="128" t="s">
        <v>36</v>
      </c>
      <c r="F41" s="128" t="s">
        <v>37</v>
      </c>
      <c r="G41" s="127" t="s">
        <v>1093</v>
      </c>
      <c r="H41" s="127" t="s">
        <v>1094</v>
      </c>
      <c r="I41" s="127" t="s">
        <v>1095</v>
      </c>
      <c r="J41" s="127" t="s">
        <v>1047</v>
      </c>
      <c r="K41" s="129" t="s">
        <v>1048</v>
      </c>
      <c r="L41" s="128" t="s">
        <v>1049</v>
      </c>
      <c r="M41" s="129" t="s">
        <v>1050</v>
      </c>
    </row>
    <row r="42" spans="1:13">
      <c r="A42" s="130" t="str">
        <f t="shared" ref="A42:C56" si="10">A6</f>
        <v>ALLETE, Inc.</v>
      </c>
      <c r="B42" s="131" t="str">
        <f t="shared" si="10"/>
        <v>ALE</v>
      </c>
      <c r="C42" s="132">
        <f t="shared" si="10"/>
        <v>2.71</v>
      </c>
      <c r="D42" s="132">
        <v>56.725875555555568</v>
      </c>
      <c r="E42" s="133">
        <f>C42/D42</f>
        <v>4.7773612543818907E-2</v>
      </c>
      <c r="F42" s="133">
        <f>IFERROR(E42*(1+0.5*J42),"")</f>
        <v>4.9541236207940202E-2</v>
      </c>
      <c r="G42" s="134">
        <f t="shared" ref="G42:I56" si="11">G6</f>
        <v>0.06</v>
      </c>
      <c r="H42" s="134">
        <f t="shared" si="11"/>
        <v>8.1000000000000003E-2</v>
      </c>
      <c r="I42" s="134">
        <f t="shared" si="11"/>
        <v>8.1000000000000003E-2</v>
      </c>
      <c r="J42" s="135">
        <f>AVERAGE(G42:I42)</f>
        <v>7.400000000000001E-2</v>
      </c>
      <c r="K42" s="28">
        <f>$E42*(1+0.5*MIN($G42:$I42))+MIN($G42:$I42)</f>
        <v>0.10920682092013348</v>
      </c>
      <c r="L42" s="133">
        <f t="shared" ref="L42" si="12">F42+J42</f>
        <v>0.12354123620794022</v>
      </c>
      <c r="M42" s="136">
        <f>$E42*(1+0.5*MAX($G42:$I42))+MAX($G42:$I42)</f>
        <v>0.13070844385184358</v>
      </c>
    </row>
    <row r="43" spans="1:13">
      <c r="A43" s="130" t="str">
        <f t="shared" si="10"/>
        <v>Alliant Energy Corporation</v>
      </c>
      <c r="B43" s="131" t="str">
        <f t="shared" si="10"/>
        <v>LNT</v>
      </c>
      <c r="C43" s="132">
        <f t="shared" si="10"/>
        <v>1.92</v>
      </c>
      <c r="D43" s="132">
        <v>49.294666666666643</v>
      </c>
      <c r="E43" s="133">
        <f t="shared" ref="E43:E56" si="13">C43/D43</f>
        <v>3.8949446863758098E-2</v>
      </c>
      <c r="F43" s="133">
        <f t="shared" ref="F43:F56" si="14">IFERROR(E43*(1+0.5*J43),"")</f>
        <v>4.020556652511429E-2</v>
      </c>
      <c r="G43" s="134">
        <f t="shared" si="11"/>
        <v>6.5000000000000002E-2</v>
      </c>
      <c r="H43" s="134">
        <f t="shared" si="11"/>
        <v>6.5500000000000003E-2</v>
      </c>
      <c r="I43" s="134">
        <f t="shared" si="11"/>
        <v>6.3E-2</v>
      </c>
      <c r="J43" s="135">
        <f t="shared" ref="J43:J56" si="15">AVERAGE(G43:I43)</f>
        <v>6.4500000000000002E-2</v>
      </c>
      <c r="K43" s="28">
        <f t="shared" ref="K43:K56" si="16">$E43*(1+0.5*MIN($G43:$I43))+MIN($G43:$I43)</f>
        <v>0.10317635443996648</v>
      </c>
      <c r="L43" s="133">
        <f t="shared" ref="L43:L56" si="17">F43+J43</f>
        <v>0.10470556652511429</v>
      </c>
      <c r="M43" s="136">
        <f t="shared" ref="M43:M56" si="18">$E43*(1+0.5*MAX($G43:$I43))+MAX($G43:$I43)</f>
        <v>0.10572504124854618</v>
      </c>
    </row>
    <row r="44" spans="1:13">
      <c r="A44" s="130" t="str">
        <f t="shared" si="10"/>
        <v>Ameren Corporation</v>
      </c>
      <c r="B44" s="131" t="str">
        <f t="shared" si="10"/>
        <v>AEE</v>
      </c>
      <c r="C44" s="132">
        <f t="shared" si="10"/>
        <v>2.52</v>
      </c>
      <c r="D44" s="132">
        <v>74.628454444444458</v>
      </c>
      <c r="E44" s="133">
        <f t="shared" si="13"/>
        <v>3.3767281109592852E-2</v>
      </c>
      <c r="F44" s="133">
        <f t="shared" si="14"/>
        <v>3.4752160141955972E-2</v>
      </c>
      <c r="G44" s="134">
        <f t="shared" si="11"/>
        <v>6.5000000000000002E-2</v>
      </c>
      <c r="H44" s="134">
        <f t="shared" si="11"/>
        <v>4.8000000000000001E-2</v>
      </c>
      <c r="I44" s="134">
        <f t="shared" si="11"/>
        <v>6.2E-2</v>
      </c>
      <c r="J44" s="135">
        <f t="shared" si="15"/>
        <v>5.8333333333333327E-2</v>
      </c>
      <c r="K44" s="28">
        <f t="shared" si="16"/>
        <v>8.2577695856223085E-2</v>
      </c>
      <c r="L44" s="133">
        <f t="shared" si="17"/>
        <v>9.3085493475289299E-2</v>
      </c>
      <c r="M44" s="136">
        <f t="shared" si="18"/>
        <v>9.9864717745654613E-2</v>
      </c>
    </row>
    <row r="45" spans="1:13">
      <c r="A45" s="130" t="str">
        <f t="shared" si="10"/>
        <v>Duke Energy Corporation</v>
      </c>
      <c r="B45" s="131" t="str">
        <f t="shared" si="10"/>
        <v>DUK</v>
      </c>
      <c r="C45" s="132">
        <f t="shared" si="10"/>
        <v>4.0999999999999996</v>
      </c>
      <c r="D45" s="132">
        <v>91.918215555555562</v>
      </c>
      <c r="E45" s="133">
        <f t="shared" si="13"/>
        <v>4.4604869396337996E-2</v>
      </c>
      <c r="F45" s="133">
        <f t="shared" si="14"/>
        <v>4.593186426087905E-2</v>
      </c>
      <c r="G45" s="134">
        <f t="shared" si="11"/>
        <v>0.05</v>
      </c>
      <c r="H45" s="134">
        <f t="shared" si="11"/>
        <v>6.5500000000000003E-2</v>
      </c>
      <c r="I45" s="134">
        <f t="shared" si="11"/>
        <v>6.3E-2</v>
      </c>
      <c r="J45" s="135">
        <f t="shared" si="15"/>
        <v>5.9499999999999997E-2</v>
      </c>
      <c r="K45" s="28">
        <f t="shared" si="16"/>
        <v>9.5719991131246435E-2</v>
      </c>
      <c r="L45" s="133">
        <f t="shared" si="17"/>
        <v>0.10543186426087905</v>
      </c>
      <c r="M45" s="136">
        <f t="shared" si="18"/>
        <v>0.11156567886906807</v>
      </c>
    </row>
    <row r="46" spans="1:13">
      <c r="A46" s="130" t="str">
        <f t="shared" si="10"/>
        <v>Edison International</v>
      </c>
      <c r="B46" s="131" t="str">
        <f t="shared" si="10"/>
        <v>EIX</v>
      </c>
      <c r="C46" s="132">
        <f t="shared" si="10"/>
        <v>3.12</v>
      </c>
      <c r="D46" s="132">
        <v>66.060797777777807</v>
      </c>
      <c r="E46" s="133">
        <f t="shared" si="13"/>
        <v>4.7229220732322684E-2</v>
      </c>
      <c r="F46" s="133">
        <f t="shared" si="14"/>
        <v>4.8236777441278904E-2</v>
      </c>
      <c r="G46" s="134">
        <f t="shared" si="11"/>
        <v>4.4999999999999998E-2</v>
      </c>
      <c r="H46" s="134">
        <f t="shared" si="11"/>
        <v>4.5999999999999999E-2</v>
      </c>
      <c r="I46" s="134">
        <f t="shared" si="11"/>
        <v>3.7000000000000005E-2</v>
      </c>
      <c r="J46" s="135">
        <f t="shared" si="15"/>
        <v>4.2666666666666665E-2</v>
      </c>
      <c r="K46" s="28">
        <f t="shared" si="16"/>
        <v>8.5102961315870654E-2</v>
      </c>
      <c r="L46" s="133">
        <f t="shared" si="17"/>
        <v>9.0903444107945569E-2</v>
      </c>
      <c r="M46" s="136">
        <f t="shared" si="18"/>
        <v>9.4315492809166096E-2</v>
      </c>
    </row>
    <row r="47" spans="1:13">
      <c r="A47" s="130" t="str">
        <f t="shared" si="10"/>
        <v>Entergy Corporation</v>
      </c>
      <c r="B47" s="131" t="str">
        <f t="shared" si="10"/>
        <v>ETR</v>
      </c>
      <c r="C47" s="132">
        <f t="shared" si="10"/>
        <v>4.5199999999999996</v>
      </c>
      <c r="D47" s="132">
        <v>97.775229999999993</v>
      </c>
      <c r="E47" s="133">
        <f t="shared" si="13"/>
        <v>4.6228477294300407E-2</v>
      </c>
      <c r="F47" s="133">
        <f t="shared" si="14"/>
        <v>4.7653855344207997E-2</v>
      </c>
      <c r="G47" s="134">
        <f t="shared" si="11"/>
        <v>5.0000000000000001E-3</v>
      </c>
      <c r="H47" s="134">
        <f t="shared" si="11"/>
        <v>0.11</v>
      </c>
      <c r="I47" s="134">
        <f t="shared" si="11"/>
        <v>7.0000000000000007E-2</v>
      </c>
      <c r="J47" s="135">
        <f t="shared" si="15"/>
        <v>6.1666666666666668E-2</v>
      </c>
      <c r="K47" s="28">
        <f t="shared" si="16"/>
        <v>5.1344048487536154E-2</v>
      </c>
      <c r="L47" s="133">
        <f t="shared" si="17"/>
        <v>0.10932052201087467</v>
      </c>
      <c r="M47" s="136">
        <f t="shared" si="18"/>
        <v>0.15877104354548693</v>
      </c>
    </row>
    <row r="48" spans="1:13">
      <c r="A48" s="130" t="str">
        <f t="shared" si="10"/>
        <v>Eversource Energy</v>
      </c>
      <c r="B48" s="131" t="str">
        <f t="shared" si="10"/>
        <v>ES</v>
      </c>
      <c r="C48" s="132">
        <f t="shared" si="10"/>
        <v>2.7</v>
      </c>
      <c r="D48" s="132">
        <v>57.245786666666675</v>
      </c>
      <c r="E48" s="133">
        <f t="shared" si="13"/>
        <v>4.7165043179888171E-2</v>
      </c>
      <c r="F48" s="133">
        <f t="shared" si="14"/>
        <v>4.8249839173025597E-2</v>
      </c>
      <c r="G48" s="134">
        <f t="shared" si="11"/>
        <v>0.06</v>
      </c>
      <c r="H48" s="134">
        <f t="shared" si="11"/>
        <v>3.6000000000000004E-2</v>
      </c>
      <c r="I48" s="134">
        <f t="shared" si="11"/>
        <v>4.2000000000000003E-2</v>
      </c>
      <c r="J48" s="135">
        <f t="shared" si="15"/>
        <v>4.6000000000000006E-2</v>
      </c>
      <c r="K48" s="28">
        <f t="shared" si="16"/>
        <v>8.4014013957126155E-2</v>
      </c>
      <c r="L48" s="133">
        <f t="shared" si="17"/>
        <v>9.4249839173025596E-2</v>
      </c>
      <c r="M48" s="136">
        <f t="shared" si="18"/>
        <v>0.10857999447528482</v>
      </c>
    </row>
    <row r="49" spans="1:13">
      <c r="A49" s="130" t="str">
        <f t="shared" si="10"/>
        <v>Evergy, Inc.</v>
      </c>
      <c r="B49" s="131" t="str">
        <f t="shared" si="10"/>
        <v>EVRG</v>
      </c>
      <c r="C49" s="132">
        <f t="shared" si="10"/>
        <v>2.57</v>
      </c>
      <c r="D49" s="132">
        <v>50.509025555555553</v>
      </c>
      <c r="E49" s="133">
        <f t="shared" si="13"/>
        <v>5.088199528167936E-2</v>
      </c>
      <c r="F49" s="133">
        <f t="shared" si="14"/>
        <v>5.2094682835892719E-2</v>
      </c>
      <c r="G49" s="134">
        <f t="shared" si="11"/>
        <v>7.4999999999999997E-2</v>
      </c>
      <c r="H49" s="134">
        <f t="shared" si="11"/>
        <v>2.5000000000000001E-2</v>
      </c>
      <c r="I49" s="134">
        <f t="shared" si="11"/>
        <v>4.2999999999999997E-2</v>
      </c>
      <c r="J49" s="135">
        <f t="shared" si="15"/>
        <v>4.766666666666667E-2</v>
      </c>
      <c r="K49" s="28">
        <f t="shared" si="16"/>
        <v>7.651802022270035E-2</v>
      </c>
      <c r="L49" s="133">
        <f t="shared" si="17"/>
        <v>9.9761349502559382E-2</v>
      </c>
      <c r="M49" s="136">
        <f t="shared" si="18"/>
        <v>0.12779007010474233</v>
      </c>
    </row>
    <row r="50" spans="1:13">
      <c r="A50" s="130" t="str">
        <f t="shared" si="10"/>
        <v>IDACORP, Inc.</v>
      </c>
      <c r="B50" s="131" t="str">
        <f t="shared" si="10"/>
        <v>IDA</v>
      </c>
      <c r="C50" s="132">
        <f t="shared" si="10"/>
        <v>3.32</v>
      </c>
      <c r="D50" s="132">
        <v>96.064384444444457</v>
      </c>
      <c r="E50" s="133">
        <f t="shared" si="13"/>
        <v>3.4560154829493629E-2</v>
      </c>
      <c r="F50" s="133">
        <f t="shared" si="14"/>
        <v>3.5297438132522826E-2</v>
      </c>
      <c r="G50" s="134">
        <f t="shared" si="11"/>
        <v>0.04</v>
      </c>
      <c r="H50" s="134">
        <f t="shared" si="11"/>
        <v>4.4000000000000004E-2</v>
      </c>
      <c r="I50" s="134">
        <f t="shared" si="11"/>
        <v>4.4000000000000004E-2</v>
      </c>
      <c r="J50" s="135">
        <f t="shared" si="15"/>
        <v>4.2666666666666665E-2</v>
      </c>
      <c r="K50" s="28">
        <f t="shared" si="16"/>
        <v>7.5251357926083506E-2</v>
      </c>
      <c r="L50" s="133">
        <f t="shared" si="17"/>
        <v>7.7964104799189499E-2</v>
      </c>
      <c r="M50" s="136">
        <f t="shared" si="18"/>
        <v>7.9320478235742495E-2</v>
      </c>
    </row>
    <row r="51" spans="1:13">
      <c r="A51" s="130" t="str">
        <f t="shared" si="10"/>
        <v>NextEra Energy, Inc.</v>
      </c>
      <c r="B51" s="131" t="str">
        <f t="shared" si="10"/>
        <v>NEE</v>
      </c>
      <c r="C51" s="132">
        <f t="shared" si="10"/>
        <v>1.87</v>
      </c>
      <c r="D51" s="132">
        <v>57.788178888888865</v>
      </c>
      <c r="E51" s="133">
        <f t="shared" si="13"/>
        <v>3.2359559272416377E-2</v>
      </c>
      <c r="F51" s="133">
        <f t="shared" si="14"/>
        <v>3.373537986748195E-2</v>
      </c>
      <c r="G51" s="134">
        <f t="shared" si="11"/>
        <v>9.5000000000000001E-2</v>
      </c>
      <c r="H51" s="134">
        <f t="shared" si="11"/>
        <v>7.8100000000000003E-2</v>
      </c>
      <c r="I51" s="134">
        <f t="shared" si="11"/>
        <v>8.199999999999999E-2</v>
      </c>
      <c r="J51" s="135">
        <f t="shared" si="15"/>
        <v>8.5033333333333336E-2</v>
      </c>
      <c r="K51" s="28">
        <f t="shared" si="16"/>
        <v>0.11172320006200424</v>
      </c>
      <c r="L51" s="133">
        <f t="shared" si="17"/>
        <v>0.11876871320081528</v>
      </c>
      <c r="M51" s="136">
        <f t="shared" si="18"/>
        <v>0.12889663833785617</v>
      </c>
    </row>
    <row r="52" spans="1:13">
      <c r="A52" s="130" t="str">
        <f t="shared" si="10"/>
        <v>NorthWestern Corporation</v>
      </c>
      <c r="B52" s="131" t="str">
        <f t="shared" si="10"/>
        <v>NWE</v>
      </c>
      <c r="C52" s="132">
        <f t="shared" si="10"/>
        <v>2.56</v>
      </c>
      <c r="D52" s="132">
        <v>49.312858888888876</v>
      </c>
      <c r="E52" s="133">
        <f t="shared" si="13"/>
        <v>5.1913437137525539E-2</v>
      </c>
      <c r="F52" s="133">
        <f t="shared" si="14"/>
        <v>5.3019193348554837E-2</v>
      </c>
      <c r="G52" s="134">
        <f t="shared" si="11"/>
        <v>3.5000000000000003E-2</v>
      </c>
      <c r="H52" s="134">
        <f t="shared" si="11"/>
        <v>4.0800000000000003E-2</v>
      </c>
      <c r="I52" s="134">
        <f t="shared" si="11"/>
        <v>5.2000000000000005E-2</v>
      </c>
      <c r="J52" s="135">
        <f t="shared" si="15"/>
        <v>4.2600000000000006E-2</v>
      </c>
      <c r="K52" s="28">
        <f t="shared" si="16"/>
        <v>8.7821922287432241E-2</v>
      </c>
      <c r="L52" s="133">
        <f t="shared" si="17"/>
        <v>9.5619193348554843E-2</v>
      </c>
      <c r="M52" s="136">
        <f t="shared" si="18"/>
        <v>0.10526318650310121</v>
      </c>
    </row>
    <row r="53" spans="1:13">
      <c r="A53" s="130" t="str">
        <f t="shared" si="10"/>
        <v>OGE Energy Corporation</v>
      </c>
      <c r="B53" s="131" t="str">
        <f t="shared" si="10"/>
        <v>OGE</v>
      </c>
      <c r="C53" s="132">
        <f t="shared" si="10"/>
        <v>1.6728000000000001</v>
      </c>
      <c r="D53" s="132">
        <v>33.977051111111109</v>
      </c>
      <c r="E53" s="133">
        <f t="shared" si="13"/>
        <v>4.9233230821875661E-2</v>
      </c>
      <c r="F53" s="133">
        <f t="shared" si="14"/>
        <v>5.0525603130949899E-2</v>
      </c>
      <c r="G53" s="134">
        <f t="shared" si="11"/>
        <v>6.5000000000000002E-2</v>
      </c>
      <c r="H53" s="134" t="str">
        <f t="shared" si="11"/>
        <v>negative</v>
      </c>
      <c r="I53" s="134">
        <f t="shared" si="11"/>
        <v>0.04</v>
      </c>
      <c r="J53" s="135">
        <f t="shared" si="15"/>
        <v>5.2500000000000005E-2</v>
      </c>
      <c r="K53" s="28">
        <f t="shared" si="16"/>
        <v>9.0217895438313184E-2</v>
      </c>
      <c r="L53" s="133">
        <f t="shared" si="17"/>
        <v>0.10302560313094991</v>
      </c>
      <c r="M53" s="136">
        <f t="shared" si="18"/>
        <v>0.11583331082358661</v>
      </c>
    </row>
    <row r="54" spans="1:13">
      <c r="A54" s="130" t="str">
        <f t="shared" si="10"/>
        <v>Pinnacle West Capital Corporation</v>
      </c>
      <c r="B54" s="131" t="str">
        <f t="shared" si="10"/>
        <v>PNW</v>
      </c>
      <c r="C54" s="132">
        <f t="shared" si="10"/>
        <v>3.52</v>
      </c>
      <c r="D54" s="132">
        <v>71.918588888888891</v>
      </c>
      <c r="E54" s="133">
        <f t="shared" si="13"/>
        <v>4.8944230613843773E-2</v>
      </c>
      <c r="F54" s="133">
        <f t="shared" si="14"/>
        <v>4.995574471319654E-2</v>
      </c>
      <c r="G54" s="134">
        <f t="shared" si="11"/>
        <v>2.5000000000000001E-2</v>
      </c>
      <c r="H54" s="134">
        <f t="shared" si="11"/>
        <v>5.9000000000000004E-2</v>
      </c>
      <c r="I54" s="134">
        <f t="shared" si="11"/>
        <v>0.04</v>
      </c>
      <c r="J54" s="135">
        <f t="shared" si="15"/>
        <v>4.1333333333333333E-2</v>
      </c>
      <c r="K54" s="28">
        <f t="shared" si="16"/>
        <v>7.4556033496516821E-2</v>
      </c>
      <c r="L54" s="133">
        <f t="shared" si="17"/>
        <v>9.1289078046529873E-2</v>
      </c>
      <c r="M54" s="136">
        <f t="shared" si="18"/>
        <v>0.10938808541695216</v>
      </c>
    </row>
    <row r="55" spans="1:13">
      <c r="A55" s="130" t="str">
        <f t="shared" si="10"/>
        <v>Portland General Electric Company</v>
      </c>
      <c r="B55" s="131" t="str">
        <f t="shared" si="10"/>
        <v>POR</v>
      </c>
      <c r="C55" s="132">
        <f t="shared" si="10"/>
        <v>1.9</v>
      </c>
      <c r="D55" s="132">
        <v>41.301626666666671</v>
      </c>
      <c r="E55" s="133">
        <f t="shared" si="13"/>
        <v>4.6003030711946127E-2</v>
      </c>
      <c r="F55" s="133">
        <f t="shared" si="14"/>
        <v>4.7199109510456728E-2</v>
      </c>
      <c r="G55" s="134">
        <f t="shared" si="11"/>
        <v>0.05</v>
      </c>
      <c r="H55" s="134">
        <f t="shared" si="11"/>
        <v>4.5999999999999999E-2</v>
      </c>
      <c r="I55" s="134">
        <f t="shared" si="11"/>
        <v>0.06</v>
      </c>
      <c r="J55" s="135">
        <f t="shared" si="15"/>
        <v>5.1999999999999998E-2</v>
      </c>
      <c r="K55" s="28">
        <f t="shared" si="16"/>
        <v>9.3061100418320886E-2</v>
      </c>
      <c r="L55" s="133">
        <f t="shared" si="17"/>
        <v>9.9199109510456726E-2</v>
      </c>
      <c r="M55" s="136">
        <f t="shared" si="18"/>
        <v>0.10738312163330452</v>
      </c>
    </row>
    <row r="56" spans="1:13">
      <c r="A56" s="130" t="str">
        <f t="shared" si="10"/>
        <v>Xcel Energy Inc.</v>
      </c>
      <c r="B56" s="131" t="str">
        <f t="shared" si="10"/>
        <v>XEL</v>
      </c>
      <c r="C56" s="132">
        <f t="shared" si="10"/>
        <v>2.08</v>
      </c>
      <c r="D56" s="132">
        <v>59.728513333333339</v>
      </c>
      <c r="E56" s="133">
        <f t="shared" si="13"/>
        <v>3.4824238607646572E-2</v>
      </c>
      <c r="F56" s="133">
        <f t="shared" si="14"/>
        <v>3.5902048792553237E-2</v>
      </c>
      <c r="G56" s="134">
        <f t="shared" si="11"/>
        <v>0.06</v>
      </c>
      <c r="H56" s="134">
        <f t="shared" si="11"/>
        <v>6.5700000000000008E-2</v>
      </c>
      <c r="I56" s="134">
        <f t="shared" si="11"/>
        <v>0.06</v>
      </c>
      <c r="J56" s="135">
        <f t="shared" si="15"/>
        <v>6.1900000000000004E-2</v>
      </c>
      <c r="K56" s="28">
        <f t="shared" si="16"/>
        <v>9.5868965765875974E-2</v>
      </c>
      <c r="L56" s="133">
        <f t="shared" si="17"/>
        <v>9.7802048792553248E-2</v>
      </c>
      <c r="M56" s="136">
        <f t="shared" si="18"/>
        <v>0.10166821484590777</v>
      </c>
    </row>
    <row r="57" spans="1:13">
      <c r="A57" s="137" t="s">
        <v>38</v>
      </c>
      <c r="B57" s="138"/>
      <c r="C57" s="139"/>
      <c r="D57" s="139"/>
      <c r="E57" s="140">
        <f t="shared" ref="E57:M57" si="19">AVERAGE(E42:E56)</f>
        <v>4.3629188559763082E-2</v>
      </c>
      <c r="F57" s="140">
        <f t="shared" si="19"/>
        <v>4.4820033295067375E-2</v>
      </c>
      <c r="G57" s="140">
        <f t="shared" si="19"/>
        <v>5.2999999999999999E-2</v>
      </c>
      <c r="H57" s="140">
        <f t="shared" si="19"/>
        <v>5.79E-2</v>
      </c>
      <c r="I57" s="140">
        <f t="shared" si="19"/>
        <v>5.5933333333333349E-2</v>
      </c>
      <c r="J57" s="140">
        <f t="shared" si="19"/>
        <v>5.5491111111111109E-2</v>
      </c>
      <c r="K57" s="140">
        <f t="shared" si="19"/>
        <v>8.7744025448356633E-2</v>
      </c>
      <c r="L57" s="140">
        <f t="shared" si="19"/>
        <v>0.10031114440617848</v>
      </c>
      <c r="M57" s="140">
        <f t="shared" si="19"/>
        <v>0.11233823456308291</v>
      </c>
    </row>
    <row r="58" spans="1:13">
      <c r="A58" s="130" t="s">
        <v>39</v>
      </c>
      <c r="E58" s="141">
        <f t="shared" ref="E58:M58" si="20">MEDIAN(E42:E56)</f>
        <v>4.6228477294300407E-2</v>
      </c>
      <c r="F58" s="141">
        <f t="shared" si="20"/>
        <v>4.7653855344207997E-2</v>
      </c>
      <c r="G58" s="141">
        <f t="shared" si="20"/>
        <v>0.06</v>
      </c>
      <c r="H58" s="141">
        <f t="shared" si="20"/>
        <v>5.3500000000000006E-2</v>
      </c>
      <c r="I58" s="141">
        <f t="shared" si="20"/>
        <v>0.06</v>
      </c>
      <c r="J58" s="141">
        <f t="shared" si="20"/>
        <v>5.2500000000000005E-2</v>
      </c>
      <c r="K58" s="141">
        <f t="shared" si="20"/>
        <v>8.7821922287432241E-2</v>
      </c>
      <c r="L58" s="141">
        <f t="shared" si="20"/>
        <v>9.9199109510456726E-2</v>
      </c>
      <c r="M58" s="141">
        <f t="shared" si="20"/>
        <v>0.10857999447528482</v>
      </c>
    </row>
    <row r="59" spans="1:13">
      <c r="A59" s="130"/>
      <c r="K59" s="141"/>
      <c r="L59" s="141"/>
      <c r="M59" s="141"/>
    </row>
    <row r="60" spans="1:13">
      <c r="A60" s="37" t="s">
        <v>32</v>
      </c>
      <c r="K60" s="141"/>
      <c r="L60" s="141"/>
      <c r="M60" s="141"/>
    </row>
    <row r="61" spans="1:13">
      <c r="A61" s="36" t="s">
        <v>33</v>
      </c>
      <c r="K61" s="141"/>
      <c r="L61" s="141"/>
      <c r="M61" s="141"/>
    </row>
    <row r="62" spans="1:13">
      <c r="A62" s="36" t="s">
        <v>1541</v>
      </c>
      <c r="K62" s="141"/>
      <c r="L62" s="141"/>
      <c r="M62" s="141"/>
    </row>
    <row r="63" spans="1:13">
      <c r="A63" s="4" t="s">
        <v>1051</v>
      </c>
      <c r="K63" s="141"/>
      <c r="L63" s="141"/>
      <c r="M63" s="141"/>
    </row>
    <row r="64" spans="1:13">
      <c r="A64" s="4" t="s">
        <v>1052</v>
      </c>
      <c r="K64" s="141"/>
      <c r="L64" s="141"/>
      <c r="M64" s="141"/>
    </row>
    <row r="65" spans="1:13">
      <c r="A65" s="4" t="s">
        <v>1053</v>
      </c>
      <c r="K65" s="141"/>
      <c r="L65" s="141"/>
      <c r="M65" s="141"/>
    </row>
    <row r="66" spans="1:13">
      <c r="A66" s="4" t="s">
        <v>1054</v>
      </c>
      <c r="K66" s="141"/>
      <c r="L66" s="141"/>
      <c r="M66" s="141"/>
    </row>
    <row r="67" spans="1:13">
      <c r="A67" s="4" t="s">
        <v>1055</v>
      </c>
    </row>
    <row r="68" spans="1:13">
      <c r="A68" s="5" t="s">
        <v>1056</v>
      </c>
    </row>
    <row r="69" spans="1:13">
      <c r="A69" s="5" t="s">
        <v>1057</v>
      </c>
    </row>
    <row r="70" spans="1:13">
      <c r="A70" s="30" t="s">
        <v>40</v>
      </c>
    </row>
    <row r="71" spans="1:13">
      <c r="A71" s="5" t="s">
        <v>1058</v>
      </c>
    </row>
    <row r="72" spans="1:13">
      <c r="A72" s="36"/>
    </row>
    <row r="74" spans="1:13">
      <c r="A74" s="394" t="s">
        <v>1314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</row>
    <row r="76" spans="1:13" ht="16.2" thickBot="1">
      <c r="C76" s="123" t="s">
        <v>14</v>
      </c>
      <c r="D76" s="123" t="s">
        <v>15</v>
      </c>
      <c r="E76" s="88" t="s">
        <v>16</v>
      </c>
      <c r="F76" s="88" t="s">
        <v>17</v>
      </c>
      <c r="G76" s="123" t="s">
        <v>18</v>
      </c>
      <c r="H76" s="123" t="s">
        <v>19</v>
      </c>
      <c r="I76" s="123" t="s">
        <v>50</v>
      </c>
      <c r="J76" s="123" t="s">
        <v>51</v>
      </c>
      <c r="K76" s="123" t="s">
        <v>52</v>
      </c>
      <c r="L76" s="123" t="s">
        <v>53</v>
      </c>
      <c r="M76" s="123" t="s">
        <v>54</v>
      </c>
    </row>
    <row r="77" spans="1:13" ht="49.5" customHeight="1">
      <c r="A77" s="125" t="s">
        <v>20</v>
      </c>
      <c r="B77" s="126" t="s">
        <v>21</v>
      </c>
      <c r="C77" s="127" t="s">
        <v>34</v>
      </c>
      <c r="D77" s="127" t="s">
        <v>35</v>
      </c>
      <c r="E77" s="128" t="s">
        <v>36</v>
      </c>
      <c r="F77" s="128" t="s">
        <v>37</v>
      </c>
      <c r="G77" s="127" t="s">
        <v>1093</v>
      </c>
      <c r="H77" s="127" t="s">
        <v>1094</v>
      </c>
      <c r="I77" s="127" t="s">
        <v>1095</v>
      </c>
      <c r="J77" s="127" t="s">
        <v>1047</v>
      </c>
      <c r="K77" s="129" t="s">
        <v>1048</v>
      </c>
      <c r="L77" s="128" t="s">
        <v>1049</v>
      </c>
      <c r="M77" s="129" t="s">
        <v>1050</v>
      </c>
    </row>
    <row r="78" spans="1:13">
      <c r="A78" s="130" t="str">
        <f t="shared" ref="A78:C92" si="21">A42</f>
        <v>ALLETE, Inc.</v>
      </c>
      <c r="B78" s="131" t="str">
        <f t="shared" si="21"/>
        <v>ALE</v>
      </c>
      <c r="C78" s="132">
        <f t="shared" si="21"/>
        <v>2.71</v>
      </c>
      <c r="D78" s="132">
        <v>56.706133333333327</v>
      </c>
      <c r="E78" s="133">
        <f>C78/D78</f>
        <v>4.7790244911779092E-2</v>
      </c>
      <c r="F78" s="133">
        <f>IFERROR(E78*(1+0.5*J78),"")</f>
        <v>4.9558483973514915E-2</v>
      </c>
      <c r="G78" s="134">
        <f t="shared" ref="G78:I92" si="22">G42</f>
        <v>0.06</v>
      </c>
      <c r="H78" s="134">
        <f t="shared" si="22"/>
        <v>8.1000000000000003E-2</v>
      </c>
      <c r="I78" s="134">
        <f t="shared" si="22"/>
        <v>8.1000000000000003E-2</v>
      </c>
      <c r="J78" s="135">
        <f>AVERAGE(G78:I78)</f>
        <v>7.400000000000001E-2</v>
      </c>
      <c r="K78" s="28">
        <f>$E78*(1+0.5*MIN($G78:$I78))+MIN($G78:$I78)</f>
        <v>0.10922395225913246</v>
      </c>
      <c r="L78" s="133">
        <f t="shared" ref="L78" si="23">F78+J78</f>
        <v>0.12355848397351493</v>
      </c>
      <c r="M78" s="136">
        <f>$E78*(1+0.5*MAX($G78:$I78))+MAX($G78:$I78)</f>
        <v>0.13072574983070614</v>
      </c>
    </row>
    <row r="79" spans="1:13">
      <c r="A79" s="130" t="str">
        <f t="shared" si="21"/>
        <v>Alliant Energy Corporation</v>
      </c>
      <c r="B79" s="131" t="str">
        <f t="shared" si="21"/>
        <v>LNT</v>
      </c>
      <c r="C79" s="132">
        <f t="shared" si="21"/>
        <v>1.92</v>
      </c>
      <c r="D79" s="132">
        <v>50.156307777777762</v>
      </c>
      <c r="E79" s="133">
        <f t="shared" ref="E79:E92" si="24">C79/D79</f>
        <v>3.8280329734531902E-2</v>
      </c>
      <c r="F79" s="133">
        <f t="shared" ref="F79:F92" si="25">IFERROR(E79*(1+0.5*J79),"")</f>
        <v>3.9514870368470553E-2</v>
      </c>
      <c r="G79" s="134">
        <f t="shared" si="22"/>
        <v>6.5000000000000002E-2</v>
      </c>
      <c r="H79" s="134">
        <f t="shared" si="22"/>
        <v>6.5500000000000003E-2</v>
      </c>
      <c r="I79" s="134">
        <f t="shared" si="22"/>
        <v>6.3E-2</v>
      </c>
      <c r="J79" s="135">
        <f t="shared" ref="J79:J92" si="26">AVERAGE(G79:I79)</f>
        <v>6.4500000000000002E-2</v>
      </c>
      <c r="K79" s="28">
        <f t="shared" ref="K79:K92" si="27">$E79*(1+0.5*MIN($G79:$I79))+MIN($G79:$I79)</f>
        <v>0.10248616012116966</v>
      </c>
      <c r="L79" s="133">
        <f t="shared" ref="L79:L92" si="28">F79+J79</f>
        <v>0.10401487036847056</v>
      </c>
      <c r="M79" s="136">
        <f t="shared" ref="M79:M92" si="29">$E79*(1+0.5*MAX($G79:$I79))+MAX($G79:$I79)</f>
        <v>0.10503401053333783</v>
      </c>
    </row>
    <row r="80" spans="1:13">
      <c r="A80" s="130" t="str">
        <f t="shared" si="21"/>
        <v>Ameren Corporation</v>
      </c>
      <c r="B80" s="131" t="str">
        <f t="shared" si="21"/>
        <v>AEE</v>
      </c>
      <c r="C80" s="132">
        <f t="shared" si="21"/>
        <v>2.52</v>
      </c>
      <c r="D80" s="132">
        <v>77.704048333333347</v>
      </c>
      <c r="E80" s="133">
        <f t="shared" si="24"/>
        <v>3.2430742722563848E-2</v>
      </c>
      <c r="F80" s="133">
        <f t="shared" si="25"/>
        <v>3.3376639385305287E-2</v>
      </c>
      <c r="G80" s="134">
        <f t="shared" si="22"/>
        <v>6.5000000000000002E-2</v>
      </c>
      <c r="H80" s="134">
        <f t="shared" si="22"/>
        <v>4.8000000000000001E-2</v>
      </c>
      <c r="I80" s="134">
        <f t="shared" si="22"/>
        <v>6.2E-2</v>
      </c>
      <c r="J80" s="135">
        <f t="shared" si="26"/>
        <v>5.8333333333333327E-2</v>
      </c>
      <c r="K80" s="28">
        <f t="shared" si="27"/>
        <v>8.1209080547905377E-2</v>
      </c>
      <c r="L80" s="133">
        <f t="shared" si="28"/>
        <v>9.1709972718638622E-2</v>
      </c>
      <c r="M80" s="136">
        <f t="shared" si="29"/>
        <v>9.8484741861047165E-2</v>
      </c>
    </row>
    <row r="81" spans="1:13">
      <c r="A81" s="130" t="str">
        <f t="shared" si="21"/>
        <v>Duke Energy Corporation</v>
      </c>
      <c r="B81" s="131" t="str">
        <f t="shared" si="21"/>
        <v>DUK</v>
      </c>
      <c r="C81" s="132">
        <f t="shared" si="21"/>
        <v>4.0999999999999996</v>
      </c>
      <c r="D81" s="132">
        <v>90.790561666666633</v>
      </c>
      <c r="E81" s="133">
        <f t="shared" si="24"/>
        <v>4.5158879125045626E-2</v>
      </c>
      <c r="F81" s="133">
        <f t="shared" si="25"/>
        <v>4.6502355779015729E-2</v>
      </c>
      <c r="G81" s="134">
        <f t="shared" si="22"/>
        <v>0.05</v>
      </c>
      <c r="H81" s="134">
        <f t="shared" si="22"/>
        <v>6.5500000000000003E-2</v>
      </c>
      <c r="I81" s="134">
        <f t="shared" si="22"/>
        <v>6.3E-2</v>
      </c>
      <c r="J81" s="135">
        <f t="shared" si="26"/>
        <v>5.9499999999999997E-2</v>
      </c>
      <c r="K81" s="28">
        <f t="shared" si="27"/>
        <v>9.6287851103171757E-2</v>
      </c>
      <c r="L81" s="133">
        <f t="shared" si="28"/>
        <v>0.10600235577901573</v>
      </c>
      <c r="M81" s="136">
        <f t="shared" si="29"/>
        <v>0.11213783241639087</v>
      </c>
    </row>
    <row r="82" spans="1:13">
      <c r="A82" s="130" t="str">
        <f t="shared" si="21"/>
        <v>Edison International</v>
      </c>
      <c r="B82" s="131" t="str">
        <f t="shared" si="21"/>
        <v>EIX</v>
      </c>
      <c r="C82" s="132">
        <f t="shared" si="21"/>
        <v>3.12</v>
      </c>
      <c r="D82" s="132">
        <v>66.834095555555535</v>
      </c>
      <c r="E82" s="133">
        <f t="shared" si="24"/>
        <v>4.6682759362046196E-2</v>
      </c>
      <c r="F82" s="133">
        <f t="shared" si="25"/>
        <v>4.7678658228436518E-2</v>
      </c>
      <c r="G82" s="134">
        <f t="shared" si="22"/>
        <v>4.4999999999999998E-2</v>
      </c>
      <c r="H82" s="134">
        <f t="shared" si="22"/>
        <v>4.5999999999999999E-2</v>
      </c>
      <c r="I82" s="134">
        <f t="shared" si="22"/>
        <v>3.7000000000000005E-2</v>
      </c>
      <c r="J82" s="135">
        <f t="shared" si="26"/>
        <v>4.2666666666666665E-2</v>
      </c>
      <c r="K82" s="28">
        <f t="shared" si="27"/>
        <v>8.454639041024406E-2</v>
      </c>
      <c r="L82" s="133">
        <f t="shared" si="28"/>
        <v>9.0345324895103191E-2</v>
      </c>
      <c r="M82" s="136">
        <f t="shared" si="29"/>
        <v>9.3756462827373252E-2</v>
      </c>
    </row>
    <row r="83" spans="1:13">
      <c r="A83" s="130" t="str">
        <f t="shared" si="21"/>
        <v>Entergy Corporation</v>
      </c>
      <c r="B83" s="131" t="str">
        <f t="shared" si="21"/>
        <v>ETR</v>
      </c>
      <c r="C83" s="132">
        <f t="shared" si="21"/>
        <v>4.5199999999999996</v>
      </c>
      <c r="D83" s="132">
        <v>97.247480555555597</v>
      </c>
      <c r="E83" s="133">
        <f t="shared" si="24"/>
        <v>4.6479353235457974E-2</v>
      </c>
      <c r="F83" s="133">
        <f t="shared" si="25"/>
        <v>4.7912466626884594E-2</v>
      </c>
      <c r="G83" s="134">
        <f t="shared" si="22"/>
        <v>5.0000000000000001E-3</v>
      </c>
      <c r="H83" s="134">
        <f t="shared" si="22"/>
        <v>0.11</v>
      </c>
      <c r="I83" s="134">
        <f t="shared" si="22"/>
        <v>7.0000000000000007E-2</v>
      </c>
      <c r="J83" s="135">
        <f t="shared" si="26"/>
        <v>6.1666666666666668E-2</v>
      </c>
      <c r="K83" s="28">
        <f t="shared" si="27"/>
        <v>5.1595551618546613E-2</v>
      </c>
      <c r="L83" s="133">
        <f t="shared" si="28"/>
        <v>0.10957913329355126</v>
      </c>
      <c r="M83" s="136">
        <f t="shared" si="29"/>
        <v>0.15903571766340815</v>
      </c>
    </row>
    <row r="84" spans="1:13">
      <c r="A84" s="130" t="str">
        <f t="shared" si="21"/>
        <v>Eversource Energy</v>
      </c>
      <c r="B84" s="131" t="str">
        <f t="shared" si="21"/>
        <v>ES</v>
      </c>
      <c r="C84" s="132">
        <f t="shared" si="21"/>
        <v>2.7</v>
      </c>
      <c r="D84" s="132">
        <v>62.275433333333311</v>
      </c>
      <c r="E84" s="133">
        <f t="shared" si="24"/>
        <v>4.3355780208675136E-2</v>
      </c>
      <c r="F84" s="133">
        <f t="shared" si="25"/>
        <v>4.4352963153474659E-2</v>
      </c>
      <c r="G84" s="134">
        <f t="shared" si="22"/>
        <v>0.06</v>
      </c>
      <c r="H84" s="134">
        <f t="shared" si="22"/>
        <v>3.6000000000000004E-2</v>
      </c>
      <c r="I84" s="134">
        <f t="shared" si="22"/>
        <v>4.2000000000000003E-2</v>
      </c>
      <c r="J84" s="135">
        <f t="shared" si="26"/>
        <v>4.6000000000000006E-2</v>
      </c>
      <c r="K84" s="28">
        <f t="shared" si="27"/>
        <v>8.0136184252431297E-2</v>
      </c>
      <c r="L84" s="133">
        <f t="shared" si="28"/>
        <v>9.0352963153474658E-2</v>
      </c>
      <c r="M84" s="136">
        <f t="shared" si="29"/>
        <v>0.10465645361493539</v>
      </c>
    </row>
    <row r="85" spans="1:13">
      <c r="A85" s="130" t="str">
        <f t="shared" si="21"/>
        <v>Evergy, Inc.</v>
      </c>
      <c r="B85" s="131" t="str">
        <f t="shared" si="21"/>
        <v>EVRG</v>
      </c>
      <c r="C85" s="132">
        <f t="shared" si="21"/>
        <v>2.57</v>
      </c>
      <c r="D85" s="132">
        <v>53.558343888888878</v>
      </c>
      <c r="E85" s="133">
        <f t="shared" si="24"/>
        <v>4.7985053558259251E-2</v>
      </c>
      <c r="F85" s="133">
        <f t="shared" si="25"/>
        <v>4.9128697334731096E-2</v>
      </c>
      <c r="G85" s="134">
        <f t="shared" si="22"/>
        <v>7.4999999999999997E-2</v>
      </c>
      <c r="H85" s="134">
        <f t="shared" si="22"/>
        <v>2.5000000000000001E-2</v>
      </c>
      <c r="I85" s="134">
        <f t="shared" si="22"/>
        <v>4.2999999999999997E-2</v>
      </c>
      <c r="J85" s="135">
        <f t="shared" si="26"/>
        <v>4.766666666666667E-2</v>
      </c>
      <c r="K85" s="28">
        <f t="shared" si="27"/>
        <v>7.3584866727737494E-2</v>
      </c>
      <c r="L85" s="133">
        <f t="shared" si="28"/>
        <v>9.6795364001397766E-2</v>
      </c>
      <c r="M85" s="136">
        <f t="shared" si="29"/>
        <v>0.12478449306669398</v>
      </c>
    </row>
    <row r="86" spans="1:13">
      <c r="A86" s="130" t="str">
        <f t="shared" si="21"/>
        <v>IDACORP, Inc.</v>
      </c>
      <c r="B86" s="131" t="str">
        <f t="shared" si="21"/>
        <v>IDA</v>
      </c>
      <c r="C86" s="132">
        <f t="shared" si="21"/>
        <v>3.32</v>
      </c>
      <c r="D86" s="132">
        <v>97.924135000000007</v>
      </c>
      <c r="E86" s="133">
        <f t="shared" si="24"/>
        <v>3.3903797056772565E-2</v>
      </c>
      <c r="F86" s="133">
        <f t="shared" si="25"/>
        <v>3.4627078060650386E-2</v>
      </c>
      <c r="G86" s="134">
        <f t="shared" si="22"/>
        <v>0.04</v>
      </c>
      <c r="H86" s="134">
        <f t="shared" si="22"/>
        <v>4.4000000000000004E-2</v>
      </c>
      <c r="I86" s="134">
        <f t="shared" si="22"/>
        <v>4.4000000000000004E-2</v>
      </c>
      <c r="J86" s="135">
        <f t="shared" si="26"/>
        <v>4.2666666666666665E-2</v>
      </c>
      <c r="K86" s="28">
        <f t="shared" si="27"/>
        <v>7.4581872997908027E-2</v>
      </c>
      <c r="L86" s="133">
        <f t="shared" si="28"/>
        <v>7.7293744727317051E-2</v>
      </c>
      <c r="M86" s="136">
        <f t="shared" si="29"/>
        <v>7.864968059202157E-2</v>
      </c>
    </row>
    <row r="87" spans="1:13">
      <c r="A87" s="130" t="str">
        <f t="shared" si="21"/>
        <v>NextEra Energy, Inc.</v>
      </c>
      <c r="B87" s="131" t="str">
        <f t="shared" si="21"/>
        <v>NEE</v>
      </c>
      <c r="C87" s="132">
        <f t="shared" si="21"/>
        <v>1.87</v>
      </c>
      <c r="D87" s="132">
        <v>64.150122777777781</v>
      </c>
      <c r="E87" s="133">
        <f t="shared" si="24"/>
        <v>2.9150372891379502E-2</v>
      </c>
      <c r="F87" s="133">
        <f t="shared" si="25"/>
        <v>3.0389749578811322E-2</v>
      </c>
      <c r="G87" s="134">
        <f t="shared" si="22"/>
        <v>9.5000000000000001E-2</v>
      </c>
      <c r="H87" s="134">
        <f t="shared" si="22"/>
        <v>7.8100000000000003E-2</v>
      </c>
      <c r="I87" s="134">
        <f t="shared" si="22"/>
        <v>8.199999999999999E-2</v>
      </c>
      <c r="J87" s="135">
        <f t="shared" si="26"/>
        <v>8.5033333333333336E-2</v>
      </c>
      <c r="K87" s="28">
        <f t="shared" si="27"/>
        <v>0.10838869495278788</v>
      </c>
      <c r="L87" s="133">
        <f t="shared" si="28"/>
        <v>0.11542308291214466</v>
      </c>
      <c r="M87" s="136">
        <f t="shared" si="29"/>
        <v>0.12553501560372005</v>
      </c>
    </row>
    <row r="88" spans="1:13">
      <c r="A88" s="130" t="str">
        <f t="shared" si="21"/>
        <v>NorthWestern Corporation</v>
      </c>
      <c r="B88" s="131" t="str">
        <f t="shared" si="21"/>
        <v>NWE</v>
      </c>
      <c r="C88" s="132">
        <f t="shared" si="21"/>
        <v>2.56</v>
      </c>
      <c r="D88" s="132">
        <v>51.543922777777766</v>
      </c>
      <c r="E88" s="133">
        <f t="shared" si="24"/>
        <v>4.9666378925736283E-2</v>
      </c>
      <c r="F88" s="133">
        <f t="shared" si="25"/>
        <v>5.0724272796854472E-2</v>
      </c>
      <c r="G88" s="134">
        <f t="shared" si="22"/>
        <v>3.5000000000000003E-2</v>
      </c>
      <c r="H88" s="134">
        <f t="shared" si="22"/>
        <v>4.0800000000000003E-2</v>
      </c>
      <c r="I88" s="134">
        <f t="shared" si="22"/>
        <v>5.2000000000000005E-2</v>
      </c>
      <c r="J88" s="135">
        <f t="shared" si="26"/>
        <v>4.2600000000000006E-2</v>
      </c>
      <c r="K88" s="28">
        <f t="shared" si="27"/>
        <v>8.5535540556936684E-2</v>
      </c>
      <c r="L88" s="133">
        <f t="shared" si="28"/>
        <v>9.3324272796854485E-2</v>
      </c>
      <c r="M88" s="136">
        <f t="shared" si="29"/>
        <v>0.10295770477780544</v>
      </c>
    </row>
    <row r="89" spans="1:13">
      <c r="A89" s="130" t="str">
        <f t="shared" si="21"/>
        <v>OGE Energy Corporation</v>
      </c>
      <c r="B89" s="131" t="str">
        <f t="shared" si="21"/>
        <v>OGE</v>
      </c>
      <c r="C89" s="132">
        <f t="shared" si="21"/>
        <v>1.6728000000000001</v>
      </c>
      <c r="D89" s="132">
        <v>34.207858888888872</v>
      </c>
      <c r="E89" s="133">
        <f t="shared" si="24"/>
        <v>4.8901043629577937E-2</v>
      </c>
      <c r="F89" s="133">
        <f t="shared" si="25"/>
        <v>5.0184696024854362E-2</v>
      </c>
      <c r="G89" s="134">
        <f t="shared" si="22"/>
        <v>6.5000000000000002E-2</v>
      </c>
      <c r="H89" s="134" t="str">
        <f t="shared" si="22"/>
        <v>negative</v>
      </c>
      <c r="I89" s="134">
        <f t="shared" si="22"/>
        <v>0.04</v>
      </c>
      <c r="J89" s="135">
        <f t="shared" si="26"/>
        <v>5.2500000000000005E-2</v>
      </c>
      <c r="K89" s="28">
        <f t="shared" si="27"/>
        <v>8.9879064502169495E-2</v>
      </c>
      <c r="L89" s="133">
        <f t="shared" si="28"/>
        <v>0.10268469602485436</v>
      </c>
      <c r="M89" s="136">
        <f t="shared" si="29"/>
        <v>0.11549032754753921</v>
      </c>
    </row>
    <row r="90" spans="1:13">
      <c r="A90" s="130" t="str">
        <f t="shared" si="21"/>
        <v>Pinnacle West Capital Corporation</v>
      </c>
      <c r="B90" s="131" t="str">
        <f t="shared" si="21"/>
        <v>PNW</v>
      </c>
      <c r="C90" s="132">
        <f t="shared" si="21"/>
        <v>3.52</v>
      </c>
      <c r="D90" s="132">
        <v>74.656955555555555</v>
      </c>
      <c r="E90" s="133">
        <f t="shared" si="24"/>
        <v>4.7148989317955935E-2</v>
      </c>
      <c r="F90" s="133">
        <f t="shared" si="25"/>
        <v>4.8123401763860353E-2</v>
      </c>
      <c r="G90" s="134">
        <f t="shared" si="22"/>
        <v>2.5000000000000001E-2</v>
      </c>
      <c r="H90" s="134">
        <f t="shared" si="22"/>
        <v>5.9000000000000004E-2</v>
      </c>
      <c r="I90" s="134">
        <f t="shared" si="22"/>
        <v>0.04</v>
      </c>
      <c r="J90" s="135">
        <f t="shared" si="26"/>
        <v>4.1333333333333333E-2</v>
      </c>
      <c r="K90" s="28">
        <f t="shared" si="27"/>
        <v>7.273835168443038E-2</v>
      </c>
      <c r="L90" s="133">
        <f t="shared" si="28"/>
        <v>8.9456735097193679E-2</v>
      </c>
      <c r="M90" s="136">
        <f t="shared" si="29"/>
        <v>0.10753988450283564</v>
      </c>
    </row>
    <row r="91" spans="1:13">
      <c r="A91" s="130" t="str">
        <f t="shared" si="21"/>
        <v>Portland General Electric Company</v>
      </c>
      <c r="B91" s="131" t="str">
        <f t="shared" si="21"/>
        <v>POR</v>
      </c>
      <c r="C91" s="132">
        <f t="shared" si="21"/>
        <v>1.9</v>
      </c>
      <c r="D91" s="132">
        <v>43.459111111111106</v>
      </c>
      <c r="E91" s="133">
        <f t="shared" si="24"/>
        <v>4.3719255903377892E-2</v>
      </c>
      <c r="F91" s="133">
        <f t="shared" si="25"/>
        <v>4.4855956556865716E-2</v>
      </c>
      <c r="G91" s="134">
        <f t="shared" si="22"/>
        <v>0.05</v>
      </c>
      <c r="H91" s="134">
        <f t="shared" si="22"/>
        <v>4.5999999999999999E-2</v>
      </c>
      <c r="I91" s="134">
        <f t="shared" si="22"/>
        <v>0.06</v>
      </c>
      <c r="J91" s="135">
        <f t="shared" si="26"/>
        <v>5.1999999999999998E-2</v>
      </c>
      <c r="K91" s="28">
        <f t="shared" si="27"/>
        <v>9.072479878915557E-2</v>
      </c>
      <c r="L91" s="133">
        <f t="shared" si="28"/>
        <v>9.6855956556865713E-2</v>
      </c>
      <c r="M91" s="136">
        <f t="shared" si="29"/>
        <v>0.10503083358047922</v>
      </c>
    </row>
    <row r="92" spans="1:13">
      <c r="A92" s="130" t="str">
        <f t="shared" si="21"/>
        <v>Xcel Energy Inc.</v>
      </c>
      <c r="B92" s="131" t="str">
        <f t="shared" si="21"/>
        <v>XEL</v>
      </c>
      <c r="C92" s="132">
        <f t="shared" si="21"/>
        <v>2.08</v>
      </c>
      <c r="D92" s="132">
        <v>60.121226666666708</v>
      </c>
      <c r="E92" s="133">
        <f t="shared" si="24"/>
        <v>3.4596765823363088E-2</v>
      </c>
      <c r="F92" s="133">
        <f t="shared" si="25"/>
        <v>3.5667535725596174E-2</v>
      </c>
      <c r="G92" s="134">
        <f t="shared" si="22"/>
        <v>0.06</v>
      </c>
      <c r="H92" s="134">
        <f t="shared" si="22"/>
        <v>6.5700000000000008E-2</v>
      </c>
      <c r="I92" s="134">
        <f t="shared" si="22"/>
        <v>0.06</v>
      </c>
      <c r="J92" s="135">
        <f t="shared" si="26"/>
        <v>6.1900000000000004E-2</v>
      </c>
      <c r="K92" s="28">
        <f t="shared" si="27"/>
        <v>9.5634668798063982E-2</v>
      </c>
      <c r="L92" s="133">
        <f t="shared" si="28"/>
        <v>9.7567535725596177E-2</v>
      </c>
      <c r="M92" s="136">
        <f t="shared" si="29"/>
        <v>0.10143326958066057</v>
      </c>
    </row>
    <row r="93" spans="1:13">
      <c r="A93" s="137" t="s">
        <v>38</v>
      </c>
      <c r="B93" s="138"/>
      <c r="C93" s="139"/>
      <c r="D93" s="139"/>
      <c r="E93" s="140">
        <f t="shared" ref="E93:M93" si="30">AVERAGE(E78:E92)</f>
        <v>4.2349983093768154E-2</v>
      </c>
      <c r="F93" s="140">
        <f t="shared" si="30"/>
        <v>4.3506521690488402E-2</v>
      </c>
      <c r="G93" s="140">
        <f t="shared" si="30"/>
        <v>5.2999999999999999E-2</v>
      </c>
      <c r="H93" s="140">
        <f t="shared" si="30"/>
        <v>5.79E-2</v>
      </c>
      <c r="I93" s="140">
        <f t="shared" si="30"/>
        <v>5.5933333333333349E-2</v>
      </c>
      <c r="J93" s="140">
        <f t="shared" si="30"/>
        <v>5.5491111111111109E-2</v>
      </c>
      <c r="K93" s="140">
        <f t="shared" si="30"/>
        <v>8.6436868621452709E-2</v>
      </c>
      <c r="L93" s="140">
        <f t="shared" si="30"/>
        <v>9.8997632801599525E-2</v>
      </c>
      <c r="M93" s="140">
        <f t="shared" si="30"/>
        <v>0.11101681186659698</v>
      </c>
    </row>
    <row r="94" spans="1:13">
      <c r="A94" s="130" t="s">
        <v>39</v>
      </c>
      <c r="E94" s="141">
        <f t="shared" ref="E94:M94" si="31">MEDIAN(E78:E92)</f>
        <v>4.5158879125045626E-2</v>
      </c>
      <c r="F94" s="141">
        <f t="shared" si="31"/>
        <v>4.6502355779015729E-2</v>
      </c>
      <c r="G94" s="141">
        <f t="shared" si="31"/>
        <v>0.06</v>
      </c>
      <c r="H94" s="141">
        <f t="shared" si="31"/>
        <v>5.3500000000000006E-2</v>
      </c>
      <c r="I94" s="141">
        <f t="shared" si="31"/>
        <v>0.06</v>
      </c>
      <c r="J94" s="141">
        <f t="shared" si="31"/>
        <v>5.2500000000000005E-2</v>
      </c>
      <c r="K94" s="141">
        <f t="shared" si="31"/>
        <v>8.5535540556936684E-2</v>
      </c>
      <c r="L94" s="141">
        <f t="shared" si="31"/>
        <v>9.6855956556865713E-2</v>
      </c>
      <c r="M94" s="141">
        <f t="shared" si="31"/>
        <v>0.10503401053333783</v>
      </c>
    </row>
    <row r="96" spans="1:13">
      <c r="A96" s="37" t="s">
        <v>32</v>
      </c>
    </row>
    <row r="97" spans="1:1">
      <c r="A97" s="36" t="s">
        <v>33</v>
      </c>
    </row>
    <row r="98" spans="1:1">
      <c r="A98" s="36" t="s">
        <v>1542</v>
      </c>
    </row>
    <row r="99" spans="1:1">
      <c r="A99" s="4" t="s">
        <v>1051</v>
      </c>
    </row>
    <row r="100" spans="1:1">
      <c r="A100" s="4" t="s">
        <v>1052</v>
      </c>
    </row>
    <row r="101" spans="1:1">
      <c r="A101" s="4" t="s">
        <v>1053</v>
      </c>
    </row>
    <row r="102" spans="1:1">
      <c r="A102" s="4" t="s">
        <v>1054</v>
      </c>
    </row>
    <row r="103" spans="1:1">
      <c r="A103" s="4" t="s">
        <v>1055</v>
      </c>
    </row>
    <row r="104" spans="1:1">
      <c r="A104" s="5" t="s">
        <v>1056</v>
      </c>
    </row>
    <row r="105" spans="1:1">
      <c r="A105" s="5" t="s">
        <v>1057</v>
      </c>
    </row>
    <row r="106" spans="1:1">
      <c r="A106" s="30" t="s">
        <v>40</v>
      </c>
    </row>
    <row r="107" spans="1:1">
      <c r="A107" s="5" t="s">
        <v>1058</v>
      </c>
    </row>
    <row r="108" spans="1:1">
      <c r="A108" s="36"/>
    </row>
    <row r="109" spans="1:1">
      <c r="A109" s="36"/>
    </row>
  </sheetData>
  <mergeCells count="3">
    <mergeCell ref="A2:M2"/>
    <mergeCell ref="A38:M38"/>
    <mergeCell ref="A74:M74"/>
  </mergeCells>
  <pageMargins left="0.7" right="0.7" top="0.75" bottom="0.75" header="0.3" footer="0.3"/>
  <pageSetup scale="57" orientation="landscape" useFirstPageNumber="1" horizontalDpi="300" verticalDpi="300" r:id="rId1"/>
  <headerFooter>
    <oddHeader>&amp;RDocket No. 56165
Exhibit AEB-4
Page &amp;P of 3</oddHeader>
  </headerFooter>
  <rowBreaks count="2" manualBreakCount="2">
    <brk id="36" max="12" man="1"/>
    <brk id="72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N305"/>
  <sheetViews>
    <sheetView zoomScale="70" zoomScaleNormal="70" zoomScaleSheetLayoutView="100" zoomScalePageLayoutView="90" workbookViewId="0">
      <selection activeCell="J28" sqref="J28"/>
    </sheetView>
  </sheetViews>
  <sheetFormatPr defaultColWidth="9.109375" defaultRowHeight="15.6"/>
  <cols>
    <col min="1" max="1" width="5.77734375" style="102" customWidth="1"/>
    <col min="2" max="2" width="39.5546875" style="102" customWidth="1"/>
    <col min="3" max="3" width="10.33203125" style="378" customWidth="1"/>
    <col min="4" max="4" width="20.33203125" style="102" customWidth="1"/>
    <col min="5" max="5" width="9.21875" style="102" bestFit="1" customWidth="1"/>
    <col min="6" max="6" width="9.109375" style="102"/>
    <col min="7" max="7" width="9.33203125" style="102" customWidth="1"/>
    <col min="8" max="16384" width="9.109375" style="102"/>
  </cols>
  <sheetData>
    <row r="2" spans="2:9" ht="13.35" customHeight="1">
      <c r="B2" s="395" t="s">
        <v>1059</v>
      </c>
      <c r="C2" s="395"/>
      <c r="D2" s="395"/>
      <c r="E2" s="395"/>
      <c r="F2" s="395"/>
      <c r="G2" s="395"/>
      <c r="H2" s="395"/>
      <c r="I2" s="395"/>
    </row>
    <row r="4" spans="2:9">
      <c r="B4" s="395" t="s">
        <v>41</v>
      </c>
      <c r="C4" s="395"/>
      <c r="D4" s="395"/>
      <c r="E4" s="395"/>
      <c r="F4" s="395"/>
      <c r="G4" s="395"/>
      <c r="H4" s="395"/>
      <c r="I4" s="395"/>
    </row>
    <row r="5" spans="2:9">
      <c r="B5" s="395" t="s">
        <v>42</v>
      </c>
      <c r="C5" s="395"/>
      <c r="D5" s="395"/>
      <c r="E5" s="395"/>
      <c r="F5" s="395"/>
      <c r="G5" s="395"/>
      <c r="H5" s="395"/>
      <c r="I5" s="395"/>
    </row>
    <row r="7" spans="2:9" ht="16.2" thickBot="1">
      <c r="D7" s="103" t="s">
        <v>14</v>
      </c>
      <c r="E7" s="103" t="s">
        <v>15</v>
      </c>
      <c r="F7" s="103" t="s">
        <v>16</v>
      </c>
      <c r="G7" s="103" t="s">
        <v>17</v>
      </c>
      <c r="H7" s="103" t="s">
        <v>18</v>
      </c>
      <c r="I7" s="103" t="s">
        <v>19</v>
      </c>
    </row>
    <row r="8" spans="2:9" ht="63.75" customHeight="1">
      <c r="B8" s="90" t="s">
        <v>20</v>
      </c>
      <c r="C8" s="90" t="s">
        <v>21</v>
      </c>
      <c r="D8" s="104" t="s">
        <v>43</v>
      </c>
      <c r="E8" s="104" t="s">
        <v>44</v>
      </c>
      <c r="F8" s="104" t="s">
        <v>45</v>
      </c>
      <c r="G8" s="104" t="s">
        <v>46</v>
      </c>
      <c r="H8" s="105" t="s">
        <v>1096</v>
      </c>
      <c r="I8" s="105" t="s">
        <v>47</v>
      </c>
    </row>
    <row r="9" spans="2:9">
      <c r="B9" s="102" t="str">
        <f>'AEB-4 CGDCF'!A6</f>
        <v>ALLETE, Inc.</v>
      </c>
      <c r="C9" s="378" t="str">
        <f>'AEB-4 CGDCF'!B6</f>
        <v>ALE</v>
      </c>
      <c r="D9" s="106">
        <f>'AEB-8 Risk Premium'!J47</f>
        <v>4.1926666666666661E-2</v>
      </c>
      <c r="E9" s="107">
        <v>0.95</v>
      </c>
      <c r="F9" s="108">
        <f>'AEB-7 Market Return'!B8</f>
        <v>0.12219337835467461</v>
      </c>
      <c r="G9" s="109">
        <f>F9-D9</f>
        <v>8.0266711688007947E-2</v>
      </c>
      <c r="H9" s="109">
        <f>IFERROR(G9*E9+D9, "")</f>
        <v>0.11818004277027422</v>
      </c>
      <c r="I9" s="109">
        <f>IFERROR((0.25*G9)+(0.75*E9*G9)+D9, "")</f>
        <v>0.1191833766663743</v>
      </c>
    </row>
    <row r="10" spans="2:9">
      <c r="B10" s="102" t="str">
        <f>'AEB-4 CGDCF'!A7</f>
        <v>Alliant Energy Corporation</v>
      </c>
      <c r="C10" s="378" t="str">
        <f>'AEB-4 CGDCF'!B7</f>
        <v>LNT</v>
      </c>
      <c r="D10" s="106">
        <f>$D$9</f>
        <v>4.1926666666666661E-2</v>
      </c>
      <c r="E10" s="110">
        <v>0.9</v>
      </c>
      <c r="F10" s="108">
        <f>$F$9</f>
        <v>0.12219337835467461</v>
      </c>
      <c r="G10" s="109">
        <f t="shared" ref="G10" si="0">F10-D10</f>
        <v>8.0266711688007947E-2</v>
      </c>
      <c r="H10" s="109">
        <f t="shared" ref="H10" si="1">IFERROR(G10*E10+D10, "")</f>
        <v>0.11416670718587382</v>
      </c>
      <c r="I10" s="109">
        <f t="shared" ref="I10" si="2">IFERROR((0.25*G10)+(0.75*E10*G10)+D10, "")</f>
        <v>0.11617337497807401</v>
      </c>
    </row>
    <row r="11" spans="2:9">
      <c r="B11" s="102" t="str">
        <f>'AEB-4 CGDCF'!A8</f>
        <v>Ameren Corporation</v>
      </c>
      <c r="C11" s="378" t="str">
        <f>'AEB-4 CGDCF'!B8</f>
        <v>AEE</v>
      </c>
      <c r="D11" s="106">
        <f t="shared" ref="D11:D23" si="3">$D$9</f>
        <v>4.1926666666666661E-2</v>
      </c>
      <c r="E11" s="110">
        <v>0.9</v>
      </c>
      <c r="F11" s="108">
        <f t="shared" ref="F11:F23" si="4">$F$9</f>
        <v>0.12219337835467461</v>
      </c>
      <c r="G11" s="109">
        <f t="shared" ref="G11:G23" si="5">F11-D11</f>
        <v>8.0266711688007947E-2</v>
      </c>
      <c r="H11" s="109">
        <f t="shared" ref="H11:H23" si="6">IFERROR(G11*E11+D11, "")</f>
        <v>0.11416670718587382</v>
      </c>
      <c r="I11" s="109">
        <f t="shared" ref="I11:I23" si="7">IFERROR((0.25*G11)+(0.75*E11*G11)+D11, "")</f>
        <v>0.11617337497807401</v>
      </c>
    </row>
    <row r="12" spans="2:9">
      <c r="B12" s="102" t="str">
        <f>'AEB-4 CGDCF'!A9</f>
        <v>Duke Energy Corporation</v>
      </c>
      <c r="C12" s="378" t="str">
        <f>'AEB-4 CGDCF'!B9</f>
        <v>DUK</v>
      </c>
      <c r="D12" s="106">
        <f t="shared" si="3"/>
        <v>4.1926666666666661E-2</v>
      </c>
      <c r="E12" s="110">
        <v>0.85</v>
      </c>
      <c r="F12" s="108">
        <f t="shared" si="4"/>
        <v>0.12219337835467461</v>
      </c>
      <c r="G12" s="109">
        <f t="shared" si="5"/>
        <v>8.0266711688007947E-2</v>
      </c>
      <c r="H12" s="109">
        <f t="shared" si="6"/>
        <v>0.11015337160147343</v>
      </c>
      <c r="I12" s="109">
        <f t="shared" si="7"/>
        <v>0.11316337328977372</v>
      </c>
    </row>
    <row r="13" spans="2:9">
      <c r="B13" s="102" t="str">
        <f>'AEB-4 CGDCF'!A10</f>
        <v>Edison International</v>
      </c>
      <c r="C13" s="378" t="str">
        <f>'AEB-4 CGDCF'!B10</f>
        <v>EIX</v>
      </c>
      <c r="D13" s="106">
        <f t="shared" si="3"/>
        <v>4.1926666666666661E-2</v>
      </c>
      <c r="E13" s="110">
        <v>1</v>
      </c>
      <c r="F13" s="108">
        <f t="shared" si="4"/>
        <v>0.12219337835467461</v>
      </c>
      <c r="G13" s="109">
        <f t="shared" si="5"/>
        <v>8.0266711688007947E-2</v>
      </c>
      <c r="H13" s="109">
        <f t="shared" si="6"/>
        <v>0.12219337835467461</v>
      </c>
      <c r="I13" s="109">
        <f t="shared" si="7"/>
        <v>0.12219337835467461</v>
      </c>
    </row>
    <row r="14" spans="2:9">
      <c r="B14" s="102" t="str">
        <f>'AEB-4 CGDCF'!A11</f>
        <v>Entergy Corporation</v>
      </c>
      <c r="C14" s="378" t="str">
        <f>'AEB-4 CGDCF'!B11</f>
        <v>ETR</v>
      </c>
      <c r="D14" s="106">
        <f t="shared" si="3"/>
        <v>4.1926666666666661E-2</v>
      </c>
      <c r="E14" s="110">
        <v>0.95</v>
      </c>
      <c r="F14" s="108">
        <f t="shared" si="4"/>
        <v>0.12219337835467461</v>
      </c>
      <c r="G14" s="109">
        <f t="shared" si="5"/>
        <v>8.0266711688007947E-2</v>
      </c>
      <c r="H14" s="109">
        <f t="shared" si="6"/>
        <v>0.11818004277027422</v>
      </c>
      <c r="I14" s="109">
        <f t="shared" si="7"/>
        <v>0.1191833766663743</v>
      </c>
    </row>
    <row r="15" spans="2:9">
      <c r="B15" s="102" t="str">
        <f>'AEB-4 CGDCF'!A12</f>
        <v>Eversource Energy</v>
      </c>
      <c r="C15" s="378" t="str">
        <f>'AEB-4 CGDCF'!B12</f>
        <v>ES</v>
      </c>
      <c r="D15" s="106">
        <f t="shared" si="3"/>
        <v>4.1926666666666661E-2</v>
      </c>
      <c r="E15" s="110">
        <v>0.9</v>
      </c>
      <c r="F15" s="108">
        <f t="shared" si="4"/>
        <v>0.12219337835467461</v>
      </c>
      <c r="G15" s="109">
        <f t="shared" si="5"/>
        <v>8.0266711688007947E-2</v>
      </c>
      <c r="H15" s="109">
        <f t="shared" si="6"/>
        <v>0.11416670718587382</v>
      </c>
      <c r="I15" s="109">
        <f t="shared" si="7"/>
        <v>0.11617337497807401</v>
      </c>
    </row>
    <row r="16" spans="2:9">
      <c r="B16" s="102" t="str">
        <f>'AEB-4 CGDCF'!A13</f>
        <v>Evergy, Inc.</v>
      </c>
      <c r="C16" s="378" t="str">
        <f>'AEB-4 CGDCF'!B13</f>
        <v>EVRG</v>
      </c>
      <c r="D16" s="106">
        <f t="shared" si="3"/>
        <v>4.1926666666666661E-2</v>
      </c>
      <c r="E16" s="110">
        <v>0.95</v>
      </c>
      <c r="F16" s="108">
        <f t="shared" si="4"/>
        <v>0.12219337835467461</v>
      </c>
      <c r="G16" s="109">
        <f t="shared" si="5"/>
        <v>8.0266711688007947E-2</v>
      </c>
      <c r="H16" s="109">
        <f t="shared" si="6"/>
        <v>0.11818004277027422</v>
      </c>
      <c r="I16" s="109">
        <f t="shared" si="7"/>
        <v>0.1191833766663743</v>
      </c>
    </row>
    <row r="17" spans="2:9">
      <c r="B17" s="102" t="str">
        <f>'AEB-4 CGDCF'!A14</f>
        <v>IDACORP, Inc.</v>
      </c>
      <c r="C17" s="378" t="str">
        <f>'AEB-4 CGDCF'!B14</f>
        <v>IDA</v>
      </c>
      <c r="D17" s="106">
        <f t="shared" si="3"/>
        <v>4.1926666666666661E-2</v>
      </c>
      <c r="E17" s="110">
        <v>0.85</v>
      </c>
      <c r="F17" s="108">
        <f t="shared" si="4"/>
        <v>0.12219337835467461</v>
      </c>
      <c r="G17" s="109">
        <f t="shared" si="5"/>
        <v>8.0266711688007947E-2</v>
      </c>
      <c r="H17" s="109">
        <f t="shared" si="6"/>
        <v>0.11015337160147343</v>
      </c>
      <c r="I17" s="109">
        <f t="shared" si="7"/>
        <v>0.11316337328977372</v>
      </c>
    </row>
    <row r="18" spans="2:9">
      <c r="B18" s="102" t="str">
        <f>'AEB-4 CGDCF'!A15</f>
        <v>NextEra Energy, Inc.</v>
      </c>
      <c r="C18" s="378" t="str">
        <f>'AEB-4 CGDCF'!B15</f>
        <v>NEE</v>
      </c>
      <c r="D18" s="106">
        <f t="shared" si="3"/>
        <v>4.1926666666666661E-2</v>
      </c>
      <c r="E18" s="110">
        <v>0.95</v>
      </c>
      <c r="F18" s="108">
        <f t="shared" si="4"/>
        <v>0.12219337835467461</v>
      </c>
      <c r="G18" s="109">
        <f t="shared" si="5"/>
        <v>8.0266711688007947E-2</v>
      </c>
      <c r="H18" s="109">
        <f t="shared" si="6"/>
        <v>0.11818004277027422</v>
      </c>
      <c r="I18" s="109">
        <f t="shared" si="7"/>
        <v>0.1191833766663743</v>
      </c>
    </row>
    <row r="19" spans="2:9">
      <c r="B19" s="102" t="str">
        <f>'AEB-4 CGDCF'!A16</f>
        <v>NorthWestern Corporation</v>
      </c>
      <c r="C19" s="378" t="str">
        <f>'AEB-4 CGDCF'!B16</f>
        <v>NWE</v>
      </c>
      <c r="D19" s="106">
        <f t="shared" si="3"/>
        <v>4.1926666666666661E-2</v>
      </c>
      <c r="E19" s="110">
        <v>0.95</v>
      </c>
      <c r="F19" s="108">
        <f t="shared" si="4"/>
        <v>0.12219337835467461</v>
      </c>
      <c r="G19" s="109">
        <f t="shared" si="5"/>
        <v>8.0266711688007947E-2</v>
      </c>
      <c r="H19" s="109">
        <f t="shared" si="6"/>
        <v>0.11818004277027422</v>
      </c>
      <c r="I19" s="109">
        <f t="shared" si="7"/>
        <v>0.1191833766663743</v>
      </c>
    </row>
    <row r="20" spans="2:9">
      <c r="B20" s="102" t="str">
        <f>'AEB-4 CGDCF'!A17</f>
        <v>OGE Energy Corporation</v>
      </c>
      <c r="C20" s="378" t="str">
        <f>'AEB-4 CGDCF'!B17</f>
        <v>OGE</v>
      </c>
      <c r="D20" s="106">
        <f t="shared" si="3"/>
        <v>4.1926666666666661E-2</v>
      </c>
      <c r="E20" s="110">
        <v>1.05</v>
      </c>
      <c r="F20" s="108">
        <f t="shared" si="4"/>
        <v>0.12219337835467461</v>
      </c>
      <c r="G20" s="109">
        <f t="shared" si="5"/>
        <v>8.0266711688007947E-2</v>
      </c>
      <c r="H20" s="109">
        <f t="shared" si="6"/>
        <v>0.12620671393907501</v>
      </c>
      <c r="I20" s="109">
        <f t="shared" si="7"/>
        <v>0.12520338004297493</v>
      </c>
    </row>
    <row r="21" spans="2:9">
      <c r="B21" s="102" t="str">
        <f>'AEB-4 CGDCF'!A18</f>
        <v>Pinnacle West Capital Corporation</v>
      </c>
      <c r="C21" s="378" t="str">
        <f>'AEB-4 CGDCF'!B18</f>
        <v>PNW</v>
      </c>
      <c r="D21" s="106">
        <f t="shared" si="3"/>
        <v>4.1926666666666661E-2</v>
      </c>
      <c r="E21" s="110">
        <v>0.95</v>
      </c>
      <c r="F21" s="108">
        <f t="shared" si="4"/>
        <v>0.12219337835467461</v>
      </c>
      <c r="G21" s="109">
        <f t="shared" si="5"/>
        <v>8.0266711688007947E-2</v>
      </c>
      <c r="H21" s="109">
        <f t="shared" si="6"/>
        <v>0.11818004277027422</v>
      </c>
      <c r="I21" s="109">
        <f t="shared" si="7"/>
        <v>0.1191833766663743</v>
      </c>
    </row>
    <row r="22" spans="2:9">
      <c r="B22" s="102" t="str">
        <f>'AEB-4 CGDCF'!A19</f>
        <v>Portland General Electric Company</v>
      </c>
      <c r="C22" s="378" t="str">
        <f>'AEB-4 CGDCF'!B19</f>
        <v>POR</v>
      </c>
      <c r="D22" s="106">
        <f t="shared" si="3"/>
        <v>4.1926666666666661E-2</v>
      </c>
      <c r="E22" s="110">
        <v>0.9</v>
      </c>
      <c r="F22" s="108">
        <f t="shared" si="4"/>
        <v>0.12219337835467461</v>
      </c>
      <c r="G22" s="109">
        <f t="shared" si="5"/>
        <v>8.0266711688007947E-2</v>
      </c>
      <c r="H22" s="109">
        <f t="shared" si="6"/>
        <v>0.11416670718587382</v>
      </c>
      <c r="I22" s="109">
        <f t="shared" si="7"/>
        <v>0.11617337497807401</v>
      </c>
    </row>
    <row r="23" spans="2:9">
      <c r="B23" s="102" t="str">
        <f>'AEB-4 CGDCF'!A20</f>
        <v>Xcel Energy Inc.</v>
      </c>
      <c r="C23" s="378" t="str">
        <f>'AEB-4 CGDCF'!B20</f>
        <v>XEL</v>
      </c>
      <c r="D23" s="106">
        <f t="shared" si="3"/>
        <v>4.1926666666666661E-2</v>
      </c>
      <c r="E23" s="110">
        <v>0.85</v>
      </c>
      <c r="F23" s="108">
        <f t="shared" si="4"/>
        <v>0.12219337835467461</v>
      </c>
      <c r="G23" s="109">
        <f t="shared" si="5"/>
        <v>8.0266711688007947E-2</v>
      </c>
      <c r="H23" s="109">
        <f t="shared" si="6"/>
        <v>0.11015337160147343</v>
      </c>
      <c r="I23" s="109">
        <f t="shared" si="7"/>
        <v>0.11316337328977372</v>
      </c>
    </row>
    <row r="24" spans="2:9">
      <c r="B24" s="111" t="s">
        <v>38</v>
      </c>
      <c r="C24" s="379"/>
      <c r="D24" s="111"/>
      <c r="E24" s="107"/>
      <c r="F24" s="111"/>
      <c r="G24" s="111"/>
      <c r="H24" s="112">
        <f>AVERAGE(H9:H23)</f>
        <v>0.11630715283088736</v>
      </c>
      <c r="I24" s="112">
        <f>AVERAGE(I9:I23)</f>
        <v>0.11777870921183416</v>
      </c>
    </row>
    <row r="25" spans="2:9" ht="16.2" thickBot="1">
      <c r="B25" s="113" t="s">
        <v>39</v>
      </c>
      <c r="C25" s="380"/>
      <c r="D25" s="113"/>
      <c r="E25" s="114"/>
      <c r="F25" s="113"/>
      <c r="G25" s="113"/>
      <c r="H25" s="115">
        <f>MEDIAN(H9:H23)</f>
        <v>0.11818004277027422</v>
      </c>
      <c r="I25" s="115">
        <f>MEDIAN(I9:I23)</f>
        <v>0.1191833766663743</v>
      </c>
    </row>
    <row r="27" spans="2:9">
      <c r="B27" s="116" t="s">
        <v>32</v>
      </c>
    </row>
    <row r="28" spans="2:9">
      <c r="B28" s="102" t="s">
        <v>1559</v>
      </c>
    </row>
    <row r="29" spans="2:9">
      <c r="B29" s="102" t="s">
        <v>1097</v>
      </c>
    </row>
    <row r="30" spans="2:9">
      <c r="B30" s="102" t="s">
        <v>1098</v>
      </c>
    </row>
    <row r="31" spans="2:9">
      <c r="B31" s="102" t="s">
        <v>1060</v>
      </c>
    </row>
    <row r="32" spans="2:9">
      <c r="B32" s="102" t="s">
        <v>48</v>
      </c>
    </row>
    <row r="33" spans="2:9">
      <c r="B33" s="102" t="s">
        <v>49</v>
      </c>
    </row>
    <row r="36" spans="2:9" ht="13.35" customHeight="1">
      <c r="B36" s="395" t="s">
        <v>1061</v>
      </c>
      <c r="C36" s="395"/>
      <c r="D36" s="395"/>
      <c r="E36" s="395"/>
      <c r="F36" s="395"/>
      <c r="G36" s="395"/>
      <c r="H36" s="395"/>
      <c r="I36" s="395"/>
    </row>
    <row r="38" spans="2:9">
      <c r="B38" s="395" t="s">
        <v>41</v>
      </c>
      <c r="C38" s="395"/>
      <c r="D38" s="395"/>
      <c r="E38" s="395"/>
      <c r="F38" s="395"/>
      <c r="G38" s="395"/>
      <c r="H38" s="395"/>
      <c r="I38" s="395"/>
    </row>
    <row r="39" spans="2:9">
      <c r="B39" s="395" t="s">
        <v>42</v>
      </c>
      <c r="C39" s="395"/>
      <c r="D39" s="395"/>
      <c r="E39" s="395"/>
      <c r="F39" s="395"/>
      <c r="G39" s="395"/>
      <c r="H39" s="395"/>
      <c r="I39" s="395"/>
    </row>
    <row r="41" spans="2:9" ht="16.2" thickBot="1">
      <c r="D41" s="103" t="s">
        <v>14</v>
      </c>
      <c r="E41" s="103" t="s">
        <v>15</v>
      </c>
      <c r="F41" s="103" t="s">
        <v>16</v>
      </c>
      <c r="G41" s="103" t="s">
        <v>17</v>
      </c>
      <c r="H41" s="103" t="s">
        <v>18</v>
      </c>
      <c r="I41" s="103" t="s">
        <v>19</v>
      </c>
    </row>
    <row r="42" spans="2:9" ht="78">
      <c r="B42" s="90" t="s">
        <v>20</v>
      </c>
      <c r="C42" s="90" t="s">
        <v>21</v>
      </c>
      <c r="D42" s="104" t="s">
        <v>1558</v>
      </c>
      <c r="E42" s="104" t="s">
        <v>44</v>
      </c>
      <c r="F42" s="104" t="s">
        <v>45</v>
      </c>
      <c r="G42" s="104" t="s">
        <v>46</v>
      </c>
      <c r="H42" s="105" t="s">
        <v>1096</v>
      </c>
      <c r="I42" s="105" t="s">
        <v>47</v>
      </c>
    </row>
    <row r="43" spans="2:9">
      <c r="B43" s="102" t="str">
        <f t="shared" ref="B43:C57" si="8">B9</f>
        <v>ALLETE, Inc.</v>
      </c>
      <c r="C43" s="378" t="str">
        <f t="shared" si="8"/>
        <v>ALE</v>
      </c>
      <c r="D43" s="109">
        <f>'AEB-8 Risk Premium'!J48</f>
        <v>4.1000000000000002E-2</v>
      </c>
      <c r="E43" s="107">
        <f t="shared" ref="E43:F57" si="9">E9</f>
        <v>0.95</v>
      </c>
      <c r="F43" s="109">
        <f t="shared" si="9"/>
        <v>0.12219337835467461</v>
      </c>
      <c r="G43" s="109">
        <f>F43-D43</f>
        <v>8.1193378354674606E-2</v>
      </c>
      <c r="H43" s="112">
        <f>IFERROR(G43*E43+D43,"")</f>
        <v>0.11813370943694088</v>
      </c>
      <c r="I43" s="112">
        <f>IFERROR((0.25*G43)+(0.75*E43*G43)+D43,"")</f>
        <v>0.1191486266663743</v>
      </c>
    </row>
    <row r="44" spans="2:9">
      <c r="B44" s="102" t="str">
        <f t="shared" si="8"/>
        <v>Alliant Energy Corporation</v>
      </c>
      <c r="C44" s="378" t="str">
        <f t="shared" si="8"/>
        <v>LNT</v>
      </c>
      <c r="D44" s="109">
        <f>$D$43</f>
        <v>4.1000000000000002E-2</v>
      </c>
      <c r="E44" s="119">
        <f t="shared" si="9"/>
        <v>0.9</v>
      </c>
      <c r="F44" s="109">
        <f t="shared" si="9"/>
        <v>0.12219337835467461</v>
      </c>
      <c r="G44" s="109">
        <f t="shared" ref="G44" si="10">F44-D44</f>
        <v>8.1193378354674606E-2</v>
      </c>
      <c r="H44" s="109">
        <f t="shared" ref="H44" si="11">IFERROR(G44*E44+D44,"")</f>
        <v>0.11407404051920714</v>
      </c>
      <c r="I44" s="109">
        <f t="shared" ref="I44" si="12">IFERROR((0.25*G44)+(0.75*E44*G44)+D44,"")</f>
        <v>0.11610387497807401</v>
      </c>
    </row>
    <row r="45" spans="2:9">
      <c r="B45" s="102" t="str">
        <f t="shared" si="8"/>
        <v>Ameren Corporation</v>
      </c>
      <c r="C45" s="378" t="str">
        <f t="shared" si="8"/>
        <v>AEE</v>
      </c>
      <c r="D45" s="109">
        <f t="shared" ref="D45:D57" si="13">$D$43</f>
        <v>4.1000000000000002E-2</v>
      </c>
      <c r="E45" s="119">
        <f t="shared" si="9"/>
        <v>0.9</v>
      </c>
      <c r="F45" s="109">
        <f t="shared" si="9"/>
        <v>0.12219337835467461</v>
      </c>
      <c r="G45" s="109">
        <f t="shared" ref="G45:G57" si="14">F45-D45</f>
        <v>8.1193378354674606E-2</v>
      </c>
      <c r="H45" s="109">
        <f t="shared" ref="H45:H57" si="15">IFERROR(G45*E45+D45,"")</f>
        <v>0.11407404051920714</v>
      </c>
      <c r="I45" s="109">
        <f t="shared" ref="I45:I57" si="16">IFERROR((0.25*G45)+(0.75*E45*G45)+D45,"")</f>
        <v>0.11610387497807401</v>
      </c>
    </row>
    <row r="46" spans="2:9">
      <c r="B46" s="102" t="str">
        <f t="shared" si="8"/>
        <v>Duke Energy Corporation</v>
      </c>
      <c r="C46" s="378" t="str">
        <f t="shared" si="8"/>
        <v>DUK</v>
      </c>
      <c r="D46" s="109">
        <f t="shared" si="13"/>
        <v>4.1000000000000002E-2</v>
      </c>
      <c r="E46" s="119">
        <f t="shared" si="9"/>
        <v>0.85</v>
      </c>
      <c r="F46" s="109">
        <f t="shared" si="9"/>
        <v>0.12219337835467461</v>
      </c>
      <c r="G46" s="109">
        <f t="shared" si="14"/>
        <v>8.1193378354674606E-2</v>
      </c>
      <c r="H46" s="109">
        <f t="shared" si="15"/>
        <v>0.11001437160147343</v>
      </c>
      <c r="I46" s="109">
        <f t="shared" si="16"/>
        <v>0.11305912328977372</v>
      </c>
    </row>
    <row r="47" spans="2:9">
      <c r="B47" s="102" t="str">
        <f t="shared" si="8"/>
        <v>Edison International</v>
      </c>
      <c r="C47" s="378" t="str">
        <f t="shared" si="8"/>
        <v>EIX</v>
      </c>
      <c r="D47" s="109">
        <f t="shared" si="13"/>
        <v>4.1000000000000002E-2</v>
      </c>
      <c r="E47" s="119">
        <f t="shared" si="9"/>
        <v>1</v>
      </c>
      <c r="F47" s="109">
        <f t="shared" si="9"/>
        <v>0.12219337835467461</v>
      </c>
      <c r="G47" s="109">
        <f t="shared" si="14"/>
        <v>8.1193378354674606E-2</v>
      </c>
      <c r="H47" s="109">
        <f t="shared" si="15"/>
        <v>0.12219337835467461</v>
      </c>
      <c r="I47" s="109">
        <f t="shared" si="16"/>
        <v>0.12219337835467461</v>
      </c>
    </row>
    <row r="48" spans="2:9">
      <c r="B48" s="102" t="str">
        <f t="shared" si="8"/>
        <v>Entergy Corporation</v>
      </c>
      <c r="C48" s="378" t="str">
        <f t="shared" si="8"/>
        <v>ETR</v>
      </c>
      <c r="D48" s="109">
        <f t="shared" si="13"/>
        <v>4.1000000000000002E-2</v>
      </c>
      <c r="E48" s="119">
        <f t="shared" si="9"/>
        <v>0.95</v>
      </c>
      <c r="F48" s="109">
        <f t="shared" si="9"/>
        <v>0.12219337835467461</v>
      </c>
      <c r="G48" s="109">
        <f t="shared" si="14"/>
        <v>8.1193378354674606E-2</v>
      </c>
      <c r="H48" s="109">
        <f t="shared" si="15"/>
        <v>0.11813370943694088</v>
      </c>
      <c r="I48" s="109">
        <f t="shared" si="16"/>
        <v>0.1191486266663743</v>
      </c>
    </row>
    <row r="49" spans="2:9">
      <c r="B49" s="102" t="str">
        <f t="shared" si="8"/>
        <v>Eversource Energy</v>
      </c>
      <c r="C49" s="378" t="str">
        <f t="shared" si="8"/>
        <v>ES</v>
      </c>
      <c r="D49" s="109">
        <f t="shared" si="13"/>
        <v>4.1000000000000002E-2</v>
      </c>
      <c r="E49" s="119">
        <f t="shared" si="9"/>
        <v>0.9</v>
      </c>
      <c r="F49" s="109">
        <f t="shared" si="9"/>
        <v>0.12219337835467461</v>
      </c>
      <c r="G49" s="109">
        <f t="shared" si="14"/>
        <v>8.1193378354674606E-2</v>
      </c>
      <c r="H49" s="109">
        <f t="shared" si="15"/>
        <v>0.11407404051920714</v>
      </c>
      <c r="I49" s="109">
        <f t="shared" si="16"/>
        <v>0.11610387497807401</v>
      </c>
    </row>
    <row r="50" spans="2:9">
      <c r="B50" s="102" t="str">
        <f t="shared" si="8"/>
        <v>Evergy, Inc.</v>
      </c>
      <c r="C50" s="378" t="str">
        <f t="shared" si="8"/>
        <v>EVRG</v>
      </c>
      <c r="D50" s="109">
        <f t="shared" si="13"/>
        <v>4.1000000000000002E-2</v>
      </c>
      <c r="E50" s="119">
        <f t="shared" si="9"/>
        <v>0.95</v>
      </c>
      <c r="F50" s="109">
        <f t="shared" si="9"/>
        <v>0.12219337835467461</v>
      </c>
      <c r="G50" s="109">
        <f t="shared" si="14"/>
        <v>8.1193378354674606E-2</v>
      </c>
      <c r="H50" s="109">
        <f t="shared" si="15"/>
        <v>0.11813370943694088</v>
      </c>
      <c r="I50" s="109">
        <f t="shared" si="16"/>
        <v>0.1191486266663743</v>
      </c>
    </row>
    <row r="51" spans="2:9">
      <c r="B51" s="102" t="str">
        <f t="shared" si="8"/>
        <v>IDACORP, Inc.</v>
      </c>
      <c r="C51" s="378" t="str">
        <f t="shared" si="8"/>
        <v>IDA</v>
      </c>
      <c r="D51" s="109">
        <f t="shared" si="13"/>
        <v>4.1000000000000002E-2</v>
      </c>
      <c r="E51" s="119">
        <f t="shared" si="9"/>
        <v>0.85</v>
      </c>
      <c r="F51" s="109">
        <f t="shared" si="9"/>
        <v>0.12219337835467461</v>
      </c>
      <c r="G51" s="109">
        <f t="shared" si="14"/>
        <v>8.1193378354674606E-2</v>
      </c>
      <c r="H51" s="109">
        <f t="shared" si="15"/>
        <v>0.11001437160147343</v>
      </c>
      <c r="I51" s="109">
        <f t="shared" si="16"/>
        <v>0.11305912328977372</v>
      </c>
    </row>
    <row r="52" spans="2:9">
      <c r="B52" s="102" t="str">
        <f t="shared" si="8"/>
        <v>NextEra Energy, Inc.</v>
      </c>
      <c r="C52" s="378" t="str">
        <f t="shared" si="8"/>
        <v>NEE</v>
      </c>
      <c r="D52" s="109">
        <f t="shared" si="13"/>
        <v>4.1000000000000002E-2</v>
      </c>
      <c r="E52" s="119">
        <f t="shared" si="9"/>
        <v>0.95</v>
      </c>
      <c r="F52" s="109">
        <f t="shared" si="9"/>
        <v>0.12219337835467461</v>
      </c>
      <c r="G52" s="109">
        <f t="shared" si="14"/>
        <v>8.1193378354674606E-2</v>
      </c>
      <c r="H52" s="109">
        <f t="shared" si="15"/>
        <v>0.11813370943694088</v>
      </c>
      <c r="I52" s="109">
        <f t="shared" si="16"/>
        <v>0.1191486266663743</v>
      </c>
    </row>
    <row r="53" spans="2:9">
      <c r="B53" s="102" t="str">
        <f t="shared" si="8"/>
        <v>NorthWestern Corporation</v>
      </c>
      <c r="C53" s="378" t="str">
        <f t="shared" si="8"/>
        <v>NWE</v>
      </c>
      <c r="D53" s="109">
        <f t="shared" si="13"/>
        <v>4.1000000000000002E-2</v>
      </c>
      <c r="E53" s="119">
        <f t="shared" si="9"/>
        <v>0.95</v>
      </c>
      <c r="F53" s="109">
        <f t="shared" si="9"/>
        <v>0.12219337835467461</v>
      </c>
      <c r="G53" s="109">
        <f t="shared" si="14"/>
        <v>8.1193378354674606E-2</v>
      </c>
      <c r="H53" s="109">
        <f t="shared" si="15"/>
        <v>0.11813370943694088</v>
      </c>
      <c r="I53" s="109">
        <f t="shared" si="16"/>
        <v>0.1191486266663743</v>
      </c>
    </row>
    <row r="54" spans="2:9">
      <c r="B54" s="102" t="str">
        <f t="shared" si="8"/>
        <v>OGE Energy Corporation</v>
      </c>
      <c r="C54" s="378" t="str">
        <f t="shared" si="8"/>
        <v>OGE</v>
      </c>
      <c r="D54" s="109">
        <f t="shared" si="13"/>
        <v>4.1000000000000002E-2</v>
      </c>
      <c r="E54" s="119">
        <f t="shared" si="9"/>
        <v>1.05</v>
      </c>
      <c r="F54" s="109">
        <f t="shared" si="9"/>
        <v>0.12219337835467461</v>
      </c>
      <c r="G54" s="109">
        <f t="shared" si="14"/>
        <v>8.1193378354674606E-2</v>
      </c>
      <c r="H54" s="109">
        <f t="shared" si="15"/>
        <v>0.12625304727240835</v>
      </c>
      <c r="I54" s="109">
        <f t="shared" si="16"/>
        <v>0.1252381300429749</v>
      </c>
    </row>
    <row r="55" spans="2:9">
      <c r="B55" s="102" t="str">
        <f t="shared" si="8"/>
        <v>Pinnacle West Capital Corporation</v>
      </c>
      <c r="C55" s="378" t="str">
        <f t="shared" si="8"/>
        <v>PNW</v>
      </c>
      <c r="D55" s="109">
        <f t="shared" si="13"/>
        <v>4.1000000000000002E-2</v>
      </c>
      <c r="E55" s="119">
        <f t="shared" si="9"/>
        <v>0.95</v>
      </c>
      <c r="F55" s="109">
        <f t="shared" si="9"/>
        <v>0.12219337835467461</v>
      </c>
      <c r="G55" s="109">
        <f t="shared" si="14"/>
        <v>8.1193378354674606E-2</v>
      </c>
      <c r="H55" s="109">
        <f t="shared" si="15"/>
        <v>0.11813370943694088</v>
      </c>
      <c r="I55" s="109">
        <f t="shared" si="16"/>
        <v>0.1191486266663743</v>
      </c>
    </row>
    <row r="56" spans="2:9">
      <c r="B56" s="102" t="str">
        <f t="shared" si="8"/>
        <v>Portland General Electric Company</v>
      </c>
      <c r="C56" s="378" t="str">
        <f t="shared" si="8"/>
        <v>POR</v>
      </c>
      <c r="D56" s="109">
        <f t="shared" si="13"/>
        <v>4.1000000000000002E-2</v>
      </c>
      <c r="E56" s="119">
        <f t="shared" si="9"/>
        <v>0.9</v>
      </c>
      <c r="F56" s="109">
        <f t="shared" si="9"/>
        <v>0.12219337835467461</v>
      </c>
      <c r="G56" s="109">
        <f t="shared" si="14"/>
        <v>8.1193378354674606E-2</v>
      </c>
      <c r="H56" s="109">
        <f t="shared" si="15"/>
        <v>0.11407404051920714</v>
      </c>
      <c r="I56" s="109">
        <f t="shared" si="16"/>
        <v>0.11610387497807401</v>
      </c>
    </row>
    <row r="57" spans="2:9">
      <c r="B57" s="102" t="str">
        <f t="shared" si="8"/>
        <v>Xcel Energy Inc.</v>
      </c>
      <c r="C57" s="378" t="str">
        <f t="shared" si="8"/>
        <v>XEL</v>
      </c>
      <c r="D57" s="109">
        <f t="shared" si="13"/>
        <v>4.1000000000000002E-2</v>
      </c>
      <c r="E57" s="119">
        <f t="shared" si="9"/>
        <v>0.85</v>
      </c>
      <c r="F57" s="109">
        <f t="shared" si="9"/>
        <v>0.12219337835467461</v>
      </c>
      <c r="G57" s="109">
        <f t="shared" si="14"/>
        <v>8.1193378354674606E-2</v>
      </c>
      <c r="H57" s="109">
        <f t="shared" si="15"/>
        <v>0.11001437160147343</v>
      </c>
      <c r="I57" s="109">
        <f t="shared" si="16"/>
        <v>0.11305912328977372</v>
      </c>
    </row>
    <row r="58" spans="2:9">
      <c r="B58" s="111" t="s">
        <v>38</v>
      </c>
      <c r="C58" s="379"/>
      <c r="D58" s="111"/>
      <c r="E58" s="107"/>
      <c r="F58" s="111"/>
      <c r="G58" s="111"/>
      <c r="H58" s="112">
        <f>AVERAGE(H43:H57)</f>
        <v>0.11623919727533179</v>
      </c>
      <c r="I58" s="112">
        <f>AVERAGE(I43:I57)</f>
        <v>0.1177277425451675</v>
      </c>
    </row>
    <row r="59" spans="2:9" ht="16.2" thickBot="1">
      <c r="B59" s="113" t="s">
        <v>39</v>
      </c>
      <c r="C59" s="380"/>
      <c r="D59" s="113"/>
      <c r="E59" s="114"/>
      <c r="F59" s="113"/>
      <c r="G59" s="113"/>
      <c r="H59" s="115">
        <f>MEDIAN(H43:H57)</f>
        <v>0.11813370943694088</v>
      </c>
      <c r="I59" s="115">
        <f>MEDIAN(I43:I57)</f>
        <v>0.1191486266663743</v>
      </c>
    </row>
    <row r="61" spans="2:9">
      <c r="B61" s="116" t="s">
        <v>32</v>
      </c>
    </row>
    <row r="62" spans="2:9">
      <c r="B62" s="102" t="s">
        <v>1560</v>
      </c>
    </row>
    <row r="63" spans="2:9">
      <c r="B63" s="102" t="s">
        <v>1097</v>
      </c>
    </row>
    <row r="64" spans="2:9">
      <c r="B64" s="102" t="str">
        <f>$B$30</f>
        <v>[3] Source: Market Return</v>
      </c>
    </row>
    <row r="65" spans="2:9">
      <c r="B65" s="102" t="s">
        <v>1060</v>
      </c>
    </row>
    <row r="66" spans="2:9">
      <c r="B66" s="102" t="s">
        <v>48</v>
      </c>
    </row>
    <row r="67" spans="2:9">
      <c r="B67" s="102" t="s">
        <v>49</v>
      </c>
    </row>
    <row r="70" spans="2:9" ht="13.35" customHeight="1">
      <c r="B70" s="395" t="s">
        <v>1062</v>
      </c>
      <c r="C70" s="395"/>
      <c r="D70" s="395"/>
      <c r="E70" s="395"/>
      <c r="F70" s="395"/>
      <c r="G70" s="395"/>
      <c r="H70" s="395"/>
      <c r="I70" s="395"/>
    </row>
    <row r="72" spans="2:9">
      <c r="B72" s="395" t="s">
        <v>41</v>
      </c>
      <c r="C72" s="395"/>
      <c r="D72" s="395"/>
      <c r="E72" s="395"/>
      <c r="F72" s="395"/>
      <c r="G72" s="395"/>
      <c r="H72" s="395"/>
      <c r="I72" s="395"/>
    </row>
    <row r="73" spans="2:9">
      <c r="B73" s="395" t="s">
        <v>42</v>
      </c>
      <c r="C73" s="395"/>
      <c r="D73" s="395"/>
      <c r="E73" s="395"/>
      <c r="F73" s="395"/>
      <c r="G73" s="395"/>
      <c r="H73" s="395"/>
      <c r="I73" s="395"/>
    </row>
    <row r="75" spans="2:9" ht="16.2" thickBot="1">
      <c r="D75" s="103" t="s">
        <v>14</v>
      </c>
      <c r="E75" s="103" t="s">
        <v>15</v>
      </c>
      <c r="F75" s="103" t="s">
        <v>16</v>
      </c>
      <c r="G75" s="103" t="s">
        <v>17</v>
      </c>
      <c r="H75" s="103" t="s">
        <v>18</v>
      </c>
      <c r="I75" s="103" t="s">
        <v>19</v>
      </c>
    </row>
    <row r="76" spans="2:9" ht="78">
      <c r="B76" s="90" t="s">
        <v>20</v>
      </c>
      <c r="C76" s="90" t="s">
        <v>21</v>
      </c>
      <c r="D76" s="104" t="s">
        <v>1263</v>
      </c>
      <c r="E76" s="104" t="s">
        <v>44</v>
      </c>
      <c r="F76" s="104" t="s">
        <v>45</v>
      </c>
      <c r="G76" s="104" t="s">
        <v>46</v>
      </c>
      <c r="H76" s="105" t="s">
        <v>1096</v>
      </c>
      <c r="I76" s="105" t="s">
        <v>47</v>
      </c>
    </row>
    <row r="77" spans="2:9">
      <c r="B77" s="111" t="str">
        <f t="shared" ref="B77:C91" si="17">B9</f>
        <v>ALLETE, Inc.</v>
      </c>
      <c r="C77" s="379" t="str">
        <f t="shared" si="17"/>
        <v>ALE</v>
      </c>
      <c r="D77" s="109">
        <f>'AEB-8 Risk Premium'!J49</f>
        <v>4.1000000000000002E-2</v>
      </c>
      <c r="E77" s="107">
        <f t="shared" ref="E77:E91" si="18">E43</f>
        <v>0.95</v>
      </c>
      <c r="F77" s="109">
        <f t="shared" ref="F77:F91" si="19">F9</f>
        <v>0.12219337835467461</v>
      </c>
      <c r="G77" s="109">
        <f>F77-D77</f>
        <v>8.1193378354674606E-2</v>
      </c>
      <c r="H77" s="109">
        <f>IFERROR(G77*E77+D77,"")</f>
        <v>0.11813370943694088</v>
      </c>
      <c r="I77" s="112">
        <f>IFERROR((0.25*G77)+(0.75*E77*G77)+D77,"")</f>
        <v>0.1191486266663743</v>
      </c>
    </row>
    <row r="78" spans="2:9">
      <c r="B78" s="102" t="str">
        <f t="shared" si="17"/>
        <v>Alliant Energy Corporation</v>
      </c>
      <c r="C78" s="378" t="str">
        <f t="shared" si="17"/>
        <v>LNT</v>
      </c>
      <c r="D78" s="109">
        <f>$D$77</f>
        <v>4.1000000000000002E-2</v>
      </c>
      <c r="E78" s="110">
        <f t="shared" si="18"/>
        <v>0.9</v>
      </c>
      <c r="F78" s="109">
        <f t="shared" si="19"/>
        <v>0.12219337835467461</v>
      </c>
      <c r="G78" s="109">
        <f t="shared" ref="G78" si="20">F78-D78</f>
        <v>8.1193378354674606E-2</v>
      </c>
      <c r="H78" s="109">
        <f t="shared" ref="H78" si="21">IFERROR(G78*E78+D78,"")</f>
        <v>0.11407404051920714</v>
      </c>
      <c r="I78" s="109">
        <f t="shared" ref="I78" si="22">IFERROR((0.25*G78)+(0.75*E78*G78)+D78,"")</f>
        <v>0.11610387497807401</v>
      </c>
    </row>
    <row r="79" spans="2:9">
      <c r="B79" s="102" t="str">
        <f t="shared" si="17"/>
        <v>Ameren Corporation</v>
      </c>
      <c r="C79" s="378" t="str">
        <f t="shared" si="17"/>
        <v>AEE</v>
      </c>
      <c r="D79" s="109">
        <f t="shared" ref="D79:D91" si="23">$D$77</f>
        <v>4.1000000000000002E-2</v>
      </c>
      <c r="E79" s="110">
        <f t="shared" si="18"/>
        <v>0.9</v>
      </c>
      <c r="F79" s="109">
        <f t="shared" si="19"/>
        <v>0.12219337835467461</v>
      </c>
      <c r="G79" s="109">
        <f t="shared" ref="G79:G91" si="24">F79-D79</f>
        <v>8.1193378354674606E-2</v>
      </c>
      <c r="H79" s="109">
        <f t="shared" ref="H79:H91" si="25">IFERROR(G79*E79+D79,"")</f>
        <v>0.11407404051920714</v>
      </c>
      <c r="I79" s="109">
        <f t="shared" ref="I79:I91" si="26">IFERROR((0.25*G79)+(0.75*E79*G79)+D79,"")</f>
        <v>0.11610387497807401</v>
      </c>
    </row>
    <row r="80" spans="2:9">
      <c r="B80" s="102" t="str">
        <f t="shared" si="17"/>
        <v>Duke Energy Corporation</v>
      </c>
      <c r="C80" s="378" t="str">
        <f t="shared" si="17"/>
        <v>DUK</v>
      </c>
      <c r="D80" s="109">
        <f t="shared" si="23"/>
        <v>4.1000000000000002E-2</v>
      </c>
      <c r="E80" s="110">
        <f t="shared" si="18"/>
        <v>0.85</v>
      </c>
      <c r="F80" s="109">
        <f t="shared" si="19"/>
        <v>0.12219337835467461</v>
      </c>
      <c r="G80" s="109">
        <f t="shared" si="24"/>
        <v>8.1193378354674606E-2</v>
      </c>
      <c r="H80" s="109">
        <f t="shared" si="25"/>
        <v>0.11001437160147343</v>
      </c>
      <c r="I80" s="109">
        <f t="shared" si="26"/>
        <v>0.11305912328977372</v>
      </c>
    </row>
    <row r="81" spans="2:9">
      <c r="B81" s="102" t="str">
        <f t="shared" si="17"/>
        <v>Edison International</v>
      </c>
      <c r="C81" s="378" t="str">
        <f t="shared" si="17"/>
        <v>EIX</v>
      </c>
      <c r="D81" s="109">
        <f t="shared" si="23"/>
        <v>4.1000000000000002E-2</v>
      </c>
      <c r="E81" s="110">
        <f t="shared" si="18"/>
        <v>1</v>
      </c>
      <c r="F81" s="109">
        <f t="shared" si="19"/>
        <v>0.12219337835467461</v>
      </c>
      <c r="G81" s="109">
        <f t="shared" si="24"/>
        <v>8.1193378354674606E-2</v>
      </c>
      <c r="H81" s="109">
        <f t="shared" si="25"/>
        <v>0.12219337835467461</v>
      </c>
      <c r="I81" s="109">
        <f t="shared" si="26"/>
        <v>0.12219337835467461</v>
      </c>
    </row>
    <row r="82" spans="2:9">
      <c r="B82" s="102" t="str">
        <f t="shared" si="17"/>
        <v>Entergy Corporation</v>
      </c>
      <c r="C82" s="378" t="str">
        <f t="shared" si="17"/>
        <v>ETR</v>
      </c>
      <c r="D82" s="109">
        <f t="shared" si="23"/>
        <v>4.1000000000000002E-2</v>
      </c>
      <c r="E82" s="110">
        <f t="shared" si="18"/>
        <v>0.95</v>
      </c>
      <c r="F82" s="109">
        <f t="shared" si="19"/>
        <v>0.12219337835467461</v>
      </c>
      <c r="G82" s="109">
        <f t="shared" si="24"/>
        <v>8.1193378354674606E-2</v>
      </c>
      <c r="H82" s="109">
        <f t="shared" si="25"/>
        <v>0.11813370943694088</v>
      </c>
      <c r="I82" s="109">
        <f t="shared" si="26"/>
        <v>0.1191486266663743</v>
      </c>
    </row>
    <row r="83" spans="2:9">
      <c r="B83" s="102" t="str">
        <f t="shared" si="17"/>
        <v>Eversource Energy</v>
      </c>
      <c r="C83" s="378" t="str">
        <f t="shared" si="17"/>
        <v>ES</v>
      </c>
      <c r="D83" s="109">
        <f t="shared" si="23"/>
        <v>4.1000000000000002E-2</v>
      </c>
      <c r="E83" s="110">
        <f t="shared" si="18"/>
        <v>0.9</v>
      </c>
      <c r="F83" s="109">
        <f t="shared" si="19"/>
        <v>0.12219337835467461</v>
      </c>
      <c r="G83" s="109">
        <f t="shared" si="24"/>
        <v>8.1193378354674606E-2</v>
      </c>
      <c r="H83" s="109">
        <f t="shared" si="25"/>
        <v>0.11407404051920714</v>
      </c>
      <c r="I83" s="109">
        <f t="shared" si="26"/>
        <v>0.11610387497807401</v>
      </c>
    </row>
    <row r="84" spans="2:9">
      <c r="B84" s="102" t="str">
        <f t="shared" si="17"/>
        <v>Evergy, Inc.</v>
      </c>
      <c r="C84" s="378" t="str">
        <f t="shared" si="17"/>
        <v>EVRG</v>
      </c>
      <c r="D84" s="109">
        <f t="shared" si="23"/>
        <v>4.1000000000000002E-2</v>
      </c>
      <c r="E84" s="110">
        <f t="shared" si="18"/>
        <v>0.95</v>
      </c>
      <c r="F84" s="109">
        <f t="shared" si="19"/>
        <v>0.12219337835467461</v>
      </c>
      <c r="G84" s="109">
        <f t="shared" si="24"/>
        <v>8.1193378354674606E-2</v>
      </c>
      <c r="H84" s="109">
        <f t="shared" si="25"/>
        <v>0.11813370943694088</v>
      </c>
      <c r="I84" s="109">
        <f t="shared" si="26"/>
        <v>0.1191486266663743</v>
      </c>
    </row>
    <row r="85" spans="2:9">
      <c r="B85" s="102" t="str">
        <f t="shared" si="17"/>
        <v>IDACORP, Inc.</v>
      </c>
      <c r="C85" s="378" t="str">
        <f t="shared" si="17"/>
        <v>IDA</v>
      </c>
      <c r="D85" s="109">
        <f t="shared" si="23"/>
        <v>4.1000000000000002E-2</v>
      </c>
      <c r="E85" s="110">
        <f t="shared" si="18"/>
        <v>0.85</v>
      </c>
      <c r="F85" s="109">
        <f t="shared" si="19"/>
        <v>0.12219337835467461</v>
      </c>
      <c r="G85" s="109">
        <f t="shared" si="24"/>
        <v>8.1193378354674606E-2</v>
      </c>
      <c r="H85" s="109">
        <f t="shared" si="25"/>
        <v>0.11001437160147343</v>
      </c>
      <c r="I85" s="109">
        <f t="shared" si="26"/>
        <v>0.11305912328977372</v>
      </c>
    </row>
    <row r="86" spans="2:9">
      <c r="B86" s="102" t="str">
        <f t="shared" si="17"/>
        <v>NextEra Energy, Inc.</v>
      </c>
      <c r="C86" s="378" t="str">
        <f t="shared" si="17"/>
        <v>NEE</v>
      </c>
      <c r="D86" s="109">
        <f t="shared" si="23"/>
        <v>4.1000000000000002E-2</v>
      </c>
      <c r="E86" s="110">
        <f t="shared" si="18"/>
        <v>0.95</v>
      </c>
      <c r="F86" s="109">
        <f t="shared" si="19"/>
        <v>0.12219337835467461</v>
      </c>
      <c r="G86" s="109">
        <f t="shared" si="24"/>
        <v>8.1193378354674606E-2</v>
      </c>
      <c r="H86" s="109">
        <f t="shared" si="25"/>
        <v>0.11813370943694088</v>
      </c>
      <c r="I86" s="109">
        <f t="shared" si="26"/>
        <v>0.1191486266663743</v>
      </c>
    </row>
    <row r="87" spans="2:9">
      <c r="B87" s="102" t="str">
        <f t="shared" si="17"/>
        <v>NorthWestern Corporation</v>
      </c>
      <c r="C87" s="378" t="str">
        <f t="shared" si="17"/>
        <v>NWE</v>
      </c>
      <c r="D87" s="109">
        <f t="shared" si="23"/>
        <v>4.1000000000000002E-2</v>
      </c>
      <c r="E87" s="110">
        <f t="shared" si="18"/>
        <v>0.95</v>
      </c>
      <c r="F87" s="109">
        <f t="shared" si="19"/>
        <v>0.12219337835467461</v>
      </c>
      <c r="G87" s="109">
        <f t="shared" si="24"/>
        <v>8.1193378354674606E-2</v>
      </c>
      <c r="H87" s="109">
        <f t="shared" si="25"/>
        <v>0.11813370943694088</v>
      </c>
      <c r="I87" s="109">
        <f t="shared" si="26"/>
        <v>0.1191486266663743</v>
      </c>
    </row>
    <row r="88" spans="2:9">
      <c r="B88" s="102" t="str">
        <f t="shared" si="17"/>
        <v>OGE Energy Corporation</v>
      </c>
      <c r="C88" s="378" t="str">
        <f t="shared" si="17"/>
        <v>OGE</v>
      </c>
      <c r="D88" s="109">
        <f t="shared" si="23"/>
        <v>4.1000000000000002E-2</v>
      </c>
      <c r="E88" s="110">
        <f t="shared" si="18"/>
        <v>1.05</v>
      </c>
      <c r="F88" s="109">
        <f t="shared" si="19"/>
        <v>0.12219337835467461</v>
      </c>
      <c r="G88" s="109">
        <f t="shared" si="24"/>
        <v>8.1193378354674606E-2</v>
      </c>
      <c r="H88" s="109">
        <f t="shared" si="25"/>
        <v>0.12625304727240835</v>
      </c>
      <c r="I88" s="109">
        <f t="shared" si="26"/>
        <v>0.1252381300429749</v>
      </c>
    </row>
    <row r="89" spans="2:9">
      <c r="B89" s="102" t="str">
        <f t="shared" si="17"/>
        <v>Pinnacle West Capital Corporation</v>
      </c>
      <c r="C89" s="378" t="str">
        <f t="shared" si="17"/>
        <v>PNW</v>
      </c>
      <c r="D89" s="109">
        <f t="shared" si="23"/>
        <v>4.1000000000000002E-2</v>
      </c>
      <c r="E89" s="110">
        <f t="shared" si="18"/>
        <v>0.95</v>
      </c>
      <c r="F89" s="109">
        <f t="shared" si="19"/>
        <v>0.12219337835467461</v>
      </c>
      <c r="G89" s="109">
        <f t="shared" si="24"/>
        <v>8.1193378354674606E-2</v>
      </c>
      <c r="H89" s="109">
        <f t="shared" si="25"/>
        <v>0.11813370943694088</v>
      </c>
      <c r="I89" s="109">
        <f t="shared" si="26"/>
        <v>0.1191486266663743</v>
      </c>
    </row>
    <row r="90" spans="2:9">
      <c r="B90" s="102" t="str">
        <f t="shared" si="17"/>
        <v>Portland General Electric Company</v>
      </c>
      <c r="C90" s="378" t="str">
        <f t="shared" si="17"/>
        <v>POR</v>
      </c>
      <c r="D90" s="109">
        <f t="shared" si="23"/>
        <v>4.1000000000000002E-2</v>
      </c>
      <c r="E90" s="110">
        <f t="shared" si="18"/>
        <v>0.9</v>
      </c>
      <c r="F90" s="109">
        <f t="shared" si="19"/>
        <v>0.12219337835467461</v>
      </c>
      <c r="G90" s="109">
        <f t="shared" si="24"/>
        <v>8.1193378354674606E-2</v>
      </c>
      <c r="H90" s="109">
        <f t="shared" si="25"/>
        <v>0.11407404051920714</v>
      </c>
      <c r="I90" s="109">
        <f t="shared" si="26"/>
        <v>0.11610387497807401</v>
      </c>
    </row>
    <row r="91" spans="2:9">
      <c r="B91" s="102" t="str">
        <f t="shared" si="17"/>
        <v>Xcel Energy Inc.</v>
      </c>
      <c r="C91" s="378" t="str">
        <f t="shared" si="17"/>
        <v>XEL</v>
      </c>
      <c r="D91" s="109">
        <f t="shared" si="23"/>
        <v>4.1000000000000002E-2</v>
      </c>
      <c r="E91" s="110">
        <f t="shared" si="18"/>
        <v>0.85</v>
      </c>
      <c r="F91" s="109">
        <f t="shared" si="19"/>
        <v>0.12219337835467461</v>
      </c>
      <c r="G91" s="109">
        <f t="shared" si="24"/>
        <v>8.1193378354674606E-2</v>
      </c>
      <c r="H91" s="109">
        <f t="shared" si="25"/>
        <v>0.11001437160147343</v>
      </c>
      <c r="I91" s="109">
        <f t="shared" si="26"/>
        <v>0.11305912328977372</v>
      </c>
    </row>
    <row r="92" spans="2:9">
      <c r="B92" s="111" t="s">
        <v>38</v>
      </c>
      <c r="C92" s="379"/>
      <c r="D92" s="111"/>
      <c r="E92" s="107"/>
      <c r="F92" s="111"/>
      <c r="G92" s="111"/>
      <c r="H92" s="112">
        <f>AVERAGE(H77:H91)</f>
        <v>0.11623919727533179</v>
      </c>
      <c r="I92" s="112">
        <f>AVERAGE(I77:I91)</f>
        <v>0.1177277425451675</v>
      </c>
    </row>
    <row r="93" spans="2:9" ht="16.2" thickBot="1">
      <c r="B93" s="113" t="s">
        <v>39</v>
      </c>
      <c r="C93" s="380"/>
      <c r="D93" s="113"/>
      <c r="E93" s="114"/>
      <c r="F93" s="113"/>
      <c r="G93" s="113"/>
      <c r="H93" s="115">
        <f>MEDIAN(H77:H91)</f>
        <v>0.11813370943694088</v>
      </c>
      <c r="I93" s="115">
        <f>MEDIAN(I77:I91)</f>
        <v>0.1191486266663743</v>
      </c>
    </row>
    <row r="95" spans="2:9">
      <c r="B95" s="116" t="s">
        <v>32</v>
      </c>
    </row>
    <row r="96" spans="2:9">
      <c r="B96" s="102" t="s">
        <v>1531</v>
      </c>
    </row>
    <row r="97" spans="2:9">
      <c r="B97" s="102" t="s">
        <v>1097</v>
      </c>
    </row>
    <row r="98" spans="2:9">
      <c r="B98" s="102" t="str">
        <f>$B$30</f>
        <v>[3] Source: Market Return</v>
      </c>
    </row>
    <row r="99" spans="2:9">
      <c r="B99" s="102" t="s">
        <v>1060</v>
      </c>
    </row>
    <row r="100" spans="2:9">
      <c r="B100" s="102" t="s">
        <v>48</v>
      </c>
    </row>
    <row r="101" spans="2:9">
      <c r="B101" s="102" t="s">
        <v>49</v>
      </c>
    </row>
    <row r="104" spans="2:9" ht="13.35" customHeight="1">
      <c r="B104" s="395" t="s">
        <v>1063</v>
      </c>
      <c r="C104" s="395"/>
      <c r="D104" s="395"/>
      <c r="E104" s="395"/>
      <c r="F104" s="395"/>
      <c r="G104" s="395"/>
      <c r="H104" s="395"/>
      <c r="I104" s="395"/>
    </row>
    <row r="106" spans="2:9">
      <c r="B106" s="395" t="s">
        <v>41</v>
      </c>
      <c r="C106" s="395"/>
      <c r="D106" s="395"/>
      <c r="E106" s="395"/>
      <c r="F106" s="395"/>
      <c r="G106" s="395"/>
      <c r="H106" s="395"/>
      <c r="I106" s="395"/>
    </row>
    <row r="107" spans="2:9">
      <c r="B107" s="395" t="s">
        <v>42</v>
      </c>
      <c r="C107" s="395"/>
      <c r="D107" s="395"/>
      <c r="E107" s="395"/>
      <c r="F107" s="395"/>
      <c r="G107" s="395"/>
      <c r="H107" s="395"/>
      <c r="I107" s="395"/>
    </row>
    <row r="109" spans="2:9" ht="16.2" thickBot="1">
      <c r="D109" s="103" t="s">
        <v>14</v>
      </c>
      <c r="E109" s="103" t="s">
        <v>15</v>
      </c>
      <c r="F109" s="103" t="s">
        <v>16</v>
      </c>
      <c r="G109" s="103" t="s">
        <v>17</v>
      </c>
      <c r="H109" s="103" t="s">
        <v>18</v>
      </c>
      <c r="I109" s="103" t="s">
        <v>19</v>
      </c>
    </row>
    <row r="110" spans="2:9" ht="78">
      <c r="B110" s="90" t="s">
        <v>20</v>
      </c>
      <c r="C110" s="90" t="s">
        <v>21</v>
      </c>
      <c r="D110" s="104" t="str">
        <f t="shared" ref="D110:D125" si="27">D8</f>
        <v>Current 30-day average of 30-year U.S. Treasury bond yield</v>
      </c>
      <c r="E110" s="104" t="s">
        <v>44</v>
      </c>
      <c r="F110" s="104" t="s">
        <v>45</v>
      </c>
      <c r="G110" s="104" t="s">
        <v>46</v>
      </c>
      <c r="H110" s="105" t="s">
        <v>1096</v>
      </c>
      <c r="I110" s="105" t="s">
        <v>47</v>
      </c>
    </row>
    <row r="111" spans="2:9">
      <c r="B111" s="102" t="str">
        <f t="shared" ref="B111:C125" si="28">B77</f>
        <v>ALLETE, Inc.</v>
      </c>
      <c r="C111" s="378" t="str">
        <f t="shared" si="28"/>
        <v>ALE</v>
      </c>
      <c r="D111" s="112">
        <f t="shared" si="27"/>
        <v>4.1926666666666661E-2</v>
      </c>
      <c r="E111" s="107">
        <v>0.81983002174167829</v>
      </c>
      <c r="F111" s="109">
        <f t="shared" ref="F111:F125" si="29">F9</f>
        <v>0.12219337835467461</v>
      </c>
      <c r="G111" s="112">
        <f>F111-D111</f>
        <v>8.0266711688007947E-2</v>
      </c>
      <c r="H111" s="112">
        <f>IFERROR(G111*E111+D111,"")</f>
        <v>0.10773172665497924</v>
      </c>
      <c r="I111" s="112">
        <f>IFERROR((0.25*G111)+(0.75*E111*G111)+D111,"")</f>
        <v>0.11134713957990308</v>
      </c>
    </row>
    <row r="112" spans="2:9">
      <c r="B112" s="102" t="str">
        <f t="shared" si="28"/>
        <v>Alliant Energy Corporation</v>
      </c>
      <c r="C112" s="378" t="str">
        <f t="shared" si="28"/>
        <v>LNT</v>
      </c>
      <c r="D112" s="109">
        <f t="shared" si="27"/>
        <v>4.1926666666666661E-2</v>
      </c>
      <c r="E112" s="110">
        <v>0.7837338542961203</v>
      </c>
      <c r="F112" s="109">
        <f t="shared" si="29"/>
        <v>0.12219337835467461</v>
      </c>
      <c r="G112" s="109">
        <f t="shared" ref="G112" si="30">F112-D112</f>
        <v>8.0266711688007947E-2</v>
      </c>
      <c r="H112" s="109">
        <f t="shared" ref="H112" si="31">IFERROR(G112*E112+D112,"")</f>
        <v>0.10483440598958457</v>
      </c>
      <c r="I112" s="109">
        <f t="shared" ref="I112" si="32">IFERROR((0.25*G112)+(0.75*E112*G112)+D112,"")</f>
        <v>0.1091741490808571</v>
      </c>
    </row>
    <row r="113" spans="2:9">
      <c r="B113" s="102" t="str">
        <f t="shared" si="28"/>
        <v>Ameren Corporation</v>
      </c>
      <c r="C113" s="378" t="str">
        <f t="shared" si="28"/>
        <v>AEE</v>
      </c>
      <c r="D113" s="109">
        <f t="shared" si="27"/>
        <v>4.1926666666666661E-2</v>
      </c>
      <c r="E113" s="110">
        <v>0.74071411701862888</v>
      </c>
      <c r="F113" s="109">
        <f t="shared" si="29"/>
        <v>0.12219337835467461</v>
      </c>
      <c r="G113" s="109">
        <f t="shared" ref="G113:G125" si="33">F113-D113</f>
        <v>8.0266711688007947E-2</v>
      </c>
      <c r="H113" s="109">
        <f t="shared" ref="H113:H125" si="34">IFERROR(G113*E113+D113,"")</f>
        <v>0.10138135314063833</v>
      </c>
      <c r="I113" s="109">
        <f t="shared" ref="I113:I125" si="35">IFERROR((0.25*G113)+(0.75*E113*G113)+D113,"")</f>
        <v>0.1065843594441474</v>
      </c>
    </row>
    <row r="114" spans="2:9">
      <c r="B114" s="102" t="str">
        <f t="shared" si="28"/>
        <v>Duke Energy Corporation</v>
      </c>
      <c r="C114" s="378" t="str">
        <f t="shared" si="28"/>
        <v>DUK</v>
      </c>
      <c r="D114" s="109">
        <f t="shared" si="27"/>
        <v>4.1926666666666661E-2</v>
      </c>
      <c r="E114" s="110">
        <v>0.71476289636068868</v>
      </c>
      <c r="F114" s="109">
        <f t="shared" si="29"/>
        <v>0.12219337835467461</v>
      </c>
      <c r="G114" s="109">
        <f t="shared" si="33"/>
        <v>8.0266711688007947E-2</v>
      </c>
      <c r="H114" s="109">
        <f t="shared" si="34"/>
        <v>9.9298333994135568E-2</v>
      </c>
      <c r="I114" s="109">
        <f t="shared" si="35"/>
        <v>0.10502209508427032</v>
      </c>
    </row>
    <row r="115" spans="2:9">
      <c r="B115" s="102" t="str">
        <f t="shared" si="28"/>
        <v>Edison International</v>
      </c>
      <c r="C115" s="378" t="str">
        <f t="shared" si="28"/>
        <v>EIX</v>
      </c>
      <c r="D115" s="109">
        <f t="shared" si="27"/>
        <v>4.1926666666666661E-2</v>
      </c>
      <c r="E115" s="110">
        <v>0.84737518931324551</v>
      </c>
      <c r="F115" s="109">
        <f t="shared" si="29"/>
        <v>0.12219337835467461</v>
      </c>
      <c r="G115" s="109">
        <f t="shared" si="33"/>
        <v>8.0266711688007947E-2</v>
      </c>
      <c r="H115" s="109">
        <f t="shared" si="34"/>
        <v>0.1099426866788441</v>
      </c>
      <c r="I115" s="109">
        <f t="shared" si="35"/>
        <v>0.11300535959780172</v>
      </c>
    </row>
    <row r="116" spans="2:9">
      <c r="B116" s="102" t="str">
        <f t="shared" si="28"/>
        <v>Entergy Corporation</v>
      </c>
      <c r="C116" s="378" t="str">
        <f t="shared" si="28"/>
        <v>ETR</v>
      </c>
      <c r="D116" s="109">
        <f t="shared" si="27"/>
        <v>4.1926666666666661E-2</v>
      </c>
      <c r="E116" s="110">
        <v>0.85395940752963595</v>
      </c>
      <c r="F116" s="109">
        <f t="shared" si="29"/>
        <v>0.12219337835467461</v>
      </c>
      <c r="G116" s="109">
        <f t="shared" si="33"/>
        <v>8.0266711688007947E-2</v>
      </c>
      <c r="H116" s="109">
        <f t="shared" si="34"/>
        <v>0.11047118022411004</v>
      </c>
      <c r="I116" s="109">
        <f t="shared" si="35"/>
        <v>0.11340172975675117</v>
      </c>
    </row>
    <row r="117" spans="2:9">
      <c r="B117" s="102" t="str">
        <f t="shared" si="28"/>
        <v>Eversource Energy</v>
      </c>
      <c r="C117" s="378" t="str">
        <f t="shared" si="28"/>
        <v>ES</v>
      </c>
      <c r="D117" s="109">
        <f t="shared" si="27"/>
        <v>4.1926666666666661E-2</v>
      </c>
      <c r="E117" s="110">
        <v>0.80328157674224765</v>
      </c>
      <c r="F117" s="109">
        <f t="shared" si="29"/>
        <v>0.12219337835467461</v>
      </c>
      <c r="G117" s="109">
        <f t="shared" si="33"/>
        <v>8.0266711688007947E-2</v>
      </c>
      <c r="H117" s="109">
        <f t="shared" si="34"/>
        <v>0.10640343739132507</v>
      </c>
      <c r="I117" s="109">
        <f t="shared" si="35"/>
        <v>0.11035092263216245</v>
      </c>
    </row>
    <row r="118" spans="2:9">
      <c r="B118" s="102" t="str">
        <f t="shared" si="28"/>
        <v>Evergy, Inc.</v>
      </c>
      <c r="C118" s="378" t="str">
        <f t="shared" si="28"/>
        <v>EVRG</v>
      </c>
      <c r="D118" s="109">
        <f t="shared" si="27"/>
        <v>4.1926666666666661E-2</v>
      </c>
      <c r="E118" s="110">
        <v>0.77577740265594763</v>
      </c>
      <c r="F118" s="109">
        <f t="shared" si="29"/>
        <v>0.12219337835467461</v>
      </c>
      <c r="G118" s="109">
        <f t="shared" si="33"/>
        <v>8.0266711688007947E-2</v>
      </c>
      <c r="H118" s="109">
        <f t="shared" si="34"/>
        <v>0.10419576777972325</v>
      </c>
      <c r="I118" s="109">
        <f t="shared" si="35"/>
        <v>0.10869517042346111</v>
      </c>
    </row>
    <row r="119" spans="2:9">
      <c r="B119" s="102" t="str">
        <f t="shared" si="28"/>
        <v>IDACORP, Inc.</v>
      </c>
      <c r="C119" s="378" t="str">
        <f t="shared" si="28"/>
        <v>IDA</v>
      </c>
      <c r="D119" s="109">
        <f t="shared" si="27"/>
        <v>4.1926666666666661E-2</v>
      </c>
      <c r="E119" s="110">
        <v>0.79180001342872197</v>
      </c>
      <c r="F119" s="109">
        <f t="shared" si="29"/>
        <v>0.12219337835467461</v>
      </c>
      <c r="G119" s="109">
        <f t="shared" si="33"/>
        <v>8.0266711688007947E-2</v>
      </c>
      <c r="H119" s="109">
        <f t="shared" si="34"/>
        <v>0.1054818500591107</v>
      </c>
      <c r="I119" s="109">
        <f t="shared" si="35"/>
        <v>0.10965973213300167</v>
      </c>
    </row>
    <row r="120" spans="2:9">
      <c r="B120" s="102" t="str">
        <f t="shared" si="28"/>
        <v>NextEra Energy, Inc.</v>
      </c>
      <c r="C120" s="378" t="str">
        <f t="shared" si="28"/>
        <v>NEE</v>
      </c>
      <c r="D120" s="109">
        <f t="shared" si="27"/>
        <v>4.1926666666666661E-2</v>
      </c>
      <c r="E120" s="110">
        <v>0.81059786860118888</v>
      </c>
      <c r="F120" s="109">
        <f t="shared" si="29"/>
        <v>0.12219337835467461</v>
      </c>
      <c r="G120" s="109">
        <f t="shared" si="33"/>
        <v>8.0266711688007947E-2</v>
      </c>
      <c r="H120" s="109">
        <f t="shared" si="34"/>
        <v>0.10699069208059203</v>
      </c>
      <c r="I120" s="109">
        <f t="shared" si="35"/>
        <v>0.11079136364911268</v>
      </c>
    </row>
    <row r="121" spans="2:9">
      <c r="B121" s="102" t="str">
        <f t="shared" si="28"/>
        <v>NorthWestern Corporation</v>
      </c>
      <c r="C121" s="378" t="str">
        <f t="shared" si="28"/>
        <v>NWE</v>
      </c>
      <c r="D121" s="109">
        <f t="shared" si="27"/>
        <v>4.1926666666666661E-2</v>
      </c>
      <c r="E121" s="110">
        <v>0.86379980928879041</v>
      </c>
      <c r="F121" s="109">
        <f t="shared" si="29"/>
        <v>0.12219337835467461</v>
      </c>
      <c r="G121" s="109">
        <f t="shared" si="33"/>
        <v>8.0266711688007947E-2</v>
      </c>
      <c r="H121" s="109">
        <f t="shared" si="34"/>
        <v>0.11126103691500625</v>
      </c>
      <c r="I121" s="109">
        <f t="shared" si="35"/>
        <v>0.11399412227492334</v>
      </c>
    </row>
    <row r="122" spans="2:9">
      <c r="B122" s="102" t="str">
        <f t="shared" si="28"/>
        <v>OGE Energy Corporation</v>
      </c>
      <c r="C122" s="378" t="str">
        <f t="shared" si="28"/>
        <v>OGE</v>
      </c>
      <c r="D122" s="109">
        <f t="shared" si="27"/>
        <v>4.1926666666666661E-2</v>
      </c>
      <c r="E122" s="110">
        <v>0.90970958257894829</v>
      </c>
      <c r="F122" s="109">
        <f t="shared" si="29"/>
        <v>0.12219337835467461</v>
      </c>
      <c r="G122" s="109">
        <f t="shared" si="33"/>
        <v>8.0266711688007947E-2</v>
      </c>
      <c r="H122" s="109">
        <f t="shared" si="34"/>
        <v>0.11494606345134917</v>
      </c>
      <c r="I122" s="109">
        <f t="shared" si="35"/>
        <v>0.11675789217718052</v>
      </c>
    </row>
    <row r="123" spans="2:9">
      <c r="B123" s="102" t="str">
        <f t="shared" si="28"/>
        <v>Pinnacle West Capital Corporation</v>
      </c>
      <c r="C123" s="378" t="str">
        <f t="shared" si="28"/>
        <v>PNW</v>
      </c>
      <c r="D123" s="109">
        <f t="shared" si="27"/>
        <v>4.1926666666666661E-2</v>
      </c>
      <c r="E123" s="110">
        <v>0.8125539917251543</v>
      </c>
      <c r="F123" s="109">
        <f t="shared" si="29"/>
        <v>0.12219337835467461</v>
      </c>
      <c r="G123" s="109">
        <f t="shared" si="33"/>
        <v>8.0266711688007947E-2</v>
      </c>
      <c r="H123" s="109">
        <f t="shared" si="34"/>
        <v>0.1071477036514096</v>
      </c>
      <c r="I123" s="109">
        <f t="shared" si="35"/>
        <v>0.11090912232722586</v>
      </c>
    </row>
    <row r="124" spans="2:9">
      <c r="B124" s="102" t="str">
        <f t="shared" si="28"/>
        <v>Portland General Electric Company</v>
      </c>
      <c r="C124" s="378" t="str">
        <f t="shared" si="28"/>
        <v>POR</v>
      </c>
      <c r="D124" s="109">
        <f t="shared" si="27"/>
        <v>4.1926666666666661E-2</v>
      </c>
      <c r="E124" s="110">
        <v>0.78366983902327014</v>
      </c>
      <c r="F124" s="109">
        <f t="shared" si="29"/>
        <v>0.12219337835467461</v>
      </c>
      <c r="G124" s="109">
        <f t="shared" si="33"/>
        <v>8.0266711688007947E-2</v>
      </c>
      <c r="H124" s="109">
        <f t="shared" si="34"/>
        <v>0.10482926769413509</v>
      </c>
      <c r="I124" s="109">
        <f t="shared" si="35"/>
        <v>0.10917029535926998</v>
      </c>
    </row>
    <row r="125" spans="2:9">
      <c r="B125" s="102" t="str">
        <f t="shared" si="28"/>
        <v>Xcel Energy Inc.</v>
      </c>
      <c r="C125" s="378" t="str">
        <f t="shared" si="28"/>
        <v>XEL</v>
      </c>
      <c r="D125" s="109">
        <f t="shared" si="27"/>
        <v>4.1926666666666661E-2</v>
      </c>
      <c r="E125" s="110">
        <v>0.732403130784814</v>
      </c>
      <c r="F125" s="109">
        <f t="shared" si="29"/>
        <v>0.12219337835467461</v>
      </c>
      <c r="G125" s="109">
        <f t="shared" si="33"/>
        <v>8.0266711688007947E-2</v>
      </c>
      <c r="H125" s="109">
        <f t="shared" si="34"/>
        <v>0.10071425760476571</v>
      </c>
      <c r="I125" s="109">
        <f t="shared" si="35"/>
        <v>0.10608403779224293</v>
      </c>
    </row>
    <row r="126" spans="2:9">
      <c r="B126" s="111" t="s">
        <v>38</v>
      </c>
      <c r="C126" s="379"/>
      <c r="D126" s="111"/>
      <c r="E126" s="107"/>
      <c r="F126" s="111"/>
      <c r="G126" s="111"/>
      <c r="H126" s="112">
        <f>AVERAGE(H111:H125)</f>
        <v>0.10637531755398058</v>
      </c>
      <c r="I126" s="112">
        <f>AVERAGE(I111:I125)</f>
        <v>0.11032983275415408</v>
      </c>
    </row>
    <row r="127" spans="2:9" ht="16.2" thickBot="1">
      <c r="B127" s="113" t="s">
        <v>39</v>
      </c>
      <c r="C127" s="380"/>
      <c r="D127" s="113"/>
      <c r="E127" s="114"/>
      <c r="F127" s="113"/>
      <c r="G127" s="113"/>
      <c r="H127" s="115">
        <f>MEDIAN(H111:H125)</f>
        <v>0.10640343739132507</v>
      </c>
      <c r="I127" s="115">
        <f>MEDIAN(I111:I125)</f>
        <v>0.11035092263216245</v>
      </c>
    </row>
    <row r="129" spans="2:9">
      <c r="B129" s="116" t="s">
        <v>32</v>
      </c>
    </row>
    <row r="130" spans="2:9">
      <c r="B130" s="102" t="str">
        <f>B28</f>
        <v>[1] Source: Bloomberg Professional, as of January 31, 2024</v>
      </c>
    </row>
    <row r="131" spans="2:9">
      <c r="B131" s="102" t="s">
        <v>1099</v>
      </c>
    </row>
    <row r="132" spans="2:9">
      <c r="B132" s="102" t="str">
        <f>$B$30</f>
        <v>[3] Source: Market Return</v>
      </c>
    </row>
    <row r="133" spans="2:9">
      <c r="B133" s="102" t="s">
        <v>1060</v>
      </c>
    </row>
    <row r="134" spans="2:9">
      <c r="B134" s="102" t="s">
        <v>48</v>
      </c>
    </row>
    <row r="135" spans="2:9">
      <c r="B135" s="102" t="s">
        <v>49</v>
      </c>
    </row>
    <row r="138" spans="2:9" ht="13.35" customHeight="1">
      <c r="B138" s="395" t="s">
        <v>1064</v>
      </c>
      <c r="C138" s="395"/>
      <c r="D138" s="395"/>
      <c r="E138" s="395"/>
      <c r="F138" s="395"/>
      <c r="G138" s="395"/>
      <c r="H138" s="395"/>
      <c r="I138" s="395"/>
    </row>
    <row r="140" spans="2:9">
      <c r="B140" s="395" t="s">
        <v>41</v>
      </c>
      <c r="C140" s="395"/>
      <c r="D140" s="395"/>
      <c r="E140" s="395"/>
      <c r="F140" s="395"/>
      <c r="G140" s="395"/>
      <c r="H140" s="395"/>
      <c r="I140" s="395"/>
    </row>
    <row r="141" spans="2:9">
      <c r="B141" s="395" t="s">
        <v>42</v>
      </c>
      <c r="C141" s="395"/>
      <c r="D141" s="395"/>
      <c r="E141" s="395"/>
      <c r="F141" s="395"/>
      <c r="G141" s="395"/>
      <c r="H141" s="395"/>
      <c r="I141" s="395"/>
    </row>
    <row r="143" spans="2:9" ht="16.2" thickBot="1">
      <c r="D143" s="103" t="s">
        <v>14</v>
      </c>
      <c r="E143" s="103" t="s">
        <v>15</v>
      </c>
      <c r="F143" s="103" t="s">
        <v>16</v>
      </c>
      <c r="G143" s="103" t="s">
        <v>17</v>
      </c>
      <c r="H143" s="103" t="s">
        <v>18</v>
      </c>
      <c r="I143" s="103" t="s">
        <v>19</v>
      </c>
    </row>
    <row r="144" spans="2:9" ht="78">
      <c r="B144" s="90" t="s">
        <v>20</v>
      </c>
      <c r="C144" s="90" t="s">
        <v>21</v>
      </c>
      <c r="D144" s="104" t="str">
        <f t="shared" ref="D144:D159" si="36">D42</f>
        <v>Near-term projected 30-year U.S. Treasury bond yield 
(Q2 2024 - Q2 2025)</v>
      </c>
      <c r="E144" s="104" t="s">
        <v>44</v>
      </c>
      <c r="F144" s="104" t="s">
        <v>45</v>
      </c>
      <c r="G144" s="104" t="s">
        <v>46</v>
      </c>
      <c r="H144" s="105" t="s">
        <v>1096</v>
      </c>
      <c r="I144" s="105" t="s">
        <v>47</v>
      </c>
    </row>
    <row r="145" spans="2:9">
      <c r="B145" s="102" t="str">
        <f t="shared" ref="B145:C159" si="37">B111</f>
        <v>ALLETE, Inc.</v>
      </c>
      <c r="C145" s="378" t="str">
        <f t="shared" si="37"/>
        <v>ALE</v>
      </c>
      <c r="D145" s="109">
        <f t="shared" si="36"/>
        <v>4.1000000000000002E-2</v>
      </c>
      <c r="E145" s="110">
        <f t="shared" ref="E145:E159" si="38">E111</f>
        <v>0.81983002174167829</v>
      </c>
      <c r="F145" s="112">
        <f t="shared" ref="F145:F159" si="39">F9</f>
        <v>0.12219337835467461</v>
      </c>
      <c r="G145" s="112">
        <f>F145-D145</f>
        <v>8.1193378354674606E-2</v>
      </c>
      <c r="H145" s="112">
        <f>IFERROR(G145*E145+D145,"")</f>
        <v>0.10756476914179319</v>
      </c>
      <c r="I145" s="112">
        <f>IFERROR((0.25*G145)+(0.75*E145*G145)+D145,"")</f>
        <v>0.11122192144501356</v>
      </c>
    </row>
    <row r="146" spans="2:9">
      <c r="B146" s="102" t="str">
        <f t="shared" si="37"/>
        <v>Alliant Energy Corporation</v>
      </c>
      <c r="C146" s="378" t="str">
        <f t="shared" si="37"/>
        <v>LNT</v>
      </c>
      <c r="D146" s="109">
        <f t="shared" si="36"/>
        <v>4.1000000000000002E-2</v>
      </c>
      <c r="E146" s="110">
        <f t="shared" si="38"/>
        <v>0.7837338542961203</v>
      </c>
      <c r="F146" s="109">
        <f t="shared" si="39"/>
        <v>0.12219337835467461</v>
      </c>
      <c r="G146" s="109">
        <f t="shared" ref="G146" si="40">F146-D146</f>
        <v>8.1193378354674606E-2</v>
      </c>
      <c r="H146" s="109">
        <f t="shared" ref="H146" si="41">IFERROR(G146*E146+D146,"")</f>
        <v>0.10463399936123233</v>
      </c>
      <c r="I146" s="109">
        <f t="shared" ref="I146" si="42">IFERROR((0.25*G146)+(0.75*E146*G146)+D146,"")</f>
        <v>0.1090238441095929</v>
      </c>
    </row>
    <row r="147" spans="2:9">
      <c r="B147" s="102" t="str">
        <f t="shared" si="37"/>
        <v>Ameren Corporation</v>
      </c>
      <c r="C147" s="378" t="str">
        <f t="shared" si="37"/>
        <v>AEE</v>
      </c>
      <c r="D147" s="109">
        <f t="shared" si="36"/>
        <v>4.1000000000000002E-2</v>
      </c>
      <c r="E147" s="110">
        <f t="shared" si="38"/>
        <v>0.74071411701862888</v>
      </c>
      <c r="F147" s="109">
        <f t="shared" si="39"/>
        <v>0.12219337835467461</v>
      </c>
      <c r="G147" s="109">
        <f t="shared" ref="G147:G159" si="43">F147-D147</f>
        <v>8.1193378354674606E-2</v>
      </c>
      <c r="H147" s="109">
        <f t="shared" ref="H147:H159" si="44">IFERROR(G147*E147+D147,"")</f>
        <v>0.10114108155574225</v>
      </c>
      <c r="I147" s="109">
        <f t="shared" ref="I147:I159" si="45">IFERROR((0.25*G147)+(0.75*E147*G147)+D147,"")</f>
        <v>0.10640415575547535</v>
      </c>
    </row>
    <row r="148" spans="2:9">
      <c r="B148" s="102" t="str">
        <f t="shared" si="37"/>
        <v>Duke Energy Corporation</v>
      </c>
      <c r="C148" s="378" t="str">
        <f t="shared" si="37"/>
        <v>DUK</v>
      </c>
      <c r="D148" s="109">
        <f t="shared" si="36"/>
        <v>4.1000000000000002E-2</v>
      </c>
      <c r="E148" s="110">
        <f t="shared" si="38"/>
        <v>0.71476289636068868</v>
      </c>
      <c r="F148" s="109">
        <f t="shared" si="39"/>
        <v>0.12219337835467461</v>
      </c>
      <c r="G148" s="109">
        <f t="shared" si="43"/>
        <v>8.1193378354674606E-2</v>
      </c>
      <c r="H148" s="109">
        <f t="shared" si="44"/>
        <v>9.9034014278096466E-2</v>
      </c>
      <c r="I148" s="109">
        <f t="shared" si="45"/>
        <v>0.104823855297241</v>
      </c>
    </row>
    <row r="149" spans="2:9">
      <c r="B149" s="102" t="str">
        <f t="shared" si="37"/>
        <v>Edison International</v>
      </c>
      <c r="C149" s="378" t="str">
        <f t="shared" si="37"/>
        <v>EIX</v>
      </c>
      <c r="D149" s="109">
        <f t="shared" si="36"/>
        <v>4.1000000000000002E-2</v>
      </c>
      <c r="E149" s="110">
        <f t="shared" si="38"/>
        <v>0.84737518931324551</v>
      </c>
      <c r="F149" s="109">
        <f t="shared" si="39"/>
        <v>0.12219337835467461</v>
      </c>
      <c r="G149" s="109">
        <f t="shared" si="43"/>
        <v>8.1193378354674606E-2</v>
      </c>
      <c r="H149" s="109">
        <f t="shared" si="44"/>
        <v>0.10980125435427437</v>
      </c>
      <c r="I149" s="109">
        <f t="shared" si="45"/>
        <v>0.11289928535437443</v>
      </c>
    </row>
    <row r="150" spans="2:9">
      <c r="B150" s="102" t="str">
        <f t="shared" si="37"/>
        <v>Entergy Corporation</v>
      </c>
      <c r="C150" s="378" t="str">
        <f t="shared" si="37"/>
        <v>ETR</v>
      </c>
      <c r="D150" s="109">
        <f t="shared" si="36"/>
        <v>4.1000000000000002E-2</v>
      </c>
      <c r="E150" s="110">
        <f t="shared" si="38"/>
        <v>0.85395940752963595</v>
      </c>
      <c r="F150" s="109">
        <f t="shared" si="39"/>
        <v>0.12219337835467461</v>
      </c>
      <c r="G150" s="109">
        <f t="shared" si="43"/>
        <v>8.1193378354674606E-2</v>
      </c>
      <c r="H150" s="109">
        <f t="shared" si="44"/>
        <v>0.11033584927508749</v>
      </c>
      <c r="I150" s="109">
        <f t="shared" si="45"/>
        <v>0.11330023154498428</v>
      </c>
    </row>
    <row r="151" spans="2:9">
      <c r="B151" s="102" t="str">
        <f t="shared" si="37"/>
        <v>Eversource Energy</v>
      </c>
      <c r="C151" s="378" t="str">
        <f t="shared" si="37"/>
        <v>ES</v>
      </c>
      <c r="D151" s="109">
        <f t="shared" si="36"/>
        <v>4.1000000000000002E-2</v>
      </c>
      <c r="E151" s="110">
        <f t="shared" si="38"/>
        <v>0.80328157674224765</v>
      </c>
      <c r="F151" s="109">
        <f t="shared" si="39"/>
        <v>0.12219337835467461</v>
      </c>
      <c r="G151" s="109">
        <f t="shared" si="43"/>
        <v>8.1193378354674606E-2</v>
      </c>
      <c r="H151" s="109">
        <f t="shared" si="44"/>
        <v>0.1062211449857729</v>
      </c>
      <c r="I151" s="109">
        <f t="shared" si="45"/>
        <v>0.11021420332799833</v>
      </c>
    </row>
    <row r="152" spans="2:9">
      <c r="B152" s="102" t="str">
        <f t="shared" si="37"/>
        <v>Evergy, Inc.</v>
      </c>
      <c r="C152" s="378" t="str">
        <f t="shared" si="37"/>
        <v>EVRG</v>
      </c>
      <c r="D152" s="109">
        <f t="shared" si="36"/>
        <v>4.1000000000000002E-2</v>
      </c>
      <c r="E152" s="110">
        <f t="shared" si="38"/>
        <v>0.77577740265594763</v>
      </c>
      <c r="F152" s="109">
        <f t="shared" si="39"/>
        <v>0.12219337835467461</v>
      </c>
      <c r="G152" s="109">
        <f t="shared" si="43"/>
        <v>8.1193378354674606E-2</v>
      </c>
      <c r="H152" s="109">
        <f t="shared" si="44"/>
        <v>0.1039879881728511</v>
      </c>
      <c r="I152" s="109">
        <f t="shared" si="45"/>
        <v>0.10853933571830698</v>
      </c>
    </row>
    <row r="153" spans="2:9">
      <c r="B153" s="102" t="str">
        <f t="shared" si="37"/>
        <v>IDACORP, Inc.</v>
      </c>
      <c r="C153" s="378" t="str">
        <f t="shared" si="37"/>
        <v>IDA</v>
      </c>
      <c r="D153" s="109">
        <f t="shared" si="36"/>
        <v>4.1000000000000002E-2</v>
      </c>
      <c r="E153" s="110">
        <f t="shared" si="38"/>
        <v>0.79180001342872197</v>
      </c>
      <c r="F153" s="109">
        <f t="shared" si="39"/>
        <v>0.12219337835467461</v>
      </c>
      <c r="G153" s="109">
        <f t="shared" si="43"/>
        <v>8.1193378354674606E-2</v>
      </c>
      <c r="H153" s="109">
        <f t="shared" si="44"/>
        <v>0.10528891807155466</v>
      </c>
      <c r="I153" s="109">
        <f t="shared" si="45"/>
        <v>0.10951503314233466</v>
      </c>
    </row>
    <row r="154" spans="2:9">
      <c r="B154" s="102" t="str">
        <f t="shared" si="37"/>
        <v>NextEra Energy, Inc.</v>
      </c>
      <c r="C154" s="378" t="str">
        <f t="shared" si="37"/>
        <v>NEE</v>
      </c>
      <c r="D154" s="109">
        <f t="shared" si="36"/>
        <v>4.1000000000000002E-2</v>
      </c>
      <c r="E154" s="110">
        <f t="shared" si="38"/>
        <v>0.81059786860118888</v>
      </c>
      <c r="F154" s="109">
        <f t="shared" si="39"/>
        <v>0.12219337835467461</v>
      </c>
      <c r="G154" s="109">
        <f t="shared" si="43"/>
        <v>8.1193378354674606E-2</v>
      </c>
      <c r="H154" s="109">
        <f t="shared" si="44"/>
        <v>0.10681517943882915</v>
      </c>
      <c r="I154" s="109">
        <f t="shared" si="45"/>
        <v>0.11065972916779052</v>
      </c>
    </row>
    <row r="155" spans="2:9">
      <c r="B155" s="102" t="str">
        <f t="shared" si="37"/>
        <v>NorthWestern Corporation</v>
      </c>
      <c r="C155" s="378" t="str">
        <f t="shared" si="37"/>
        <v>NWE</v>
      </c>
      <c r="D155" s="109">
        <f t="shared" si="36"/>
        <v>4.1000000000000002E-2</v>
      </c>
      <c r="E155" s="110">
        <f t="shared" si="38"/>
        <v>0.86379980928879041</v>
      </c>
      <c r="F155" s="109">
        <f t="shared" si="39"/>
        <v>0.12219337835467461</v>
      </c>
      <c r="G155" s="109">
        <f t="shared" si="43"/>
        <v>8.1193378354674606E-2</v>
      </c>
      <c r="H155" s="109">
        <f t="shared" si="44"/>
        <v>0.11113482473828054</v>
      </c>
      <c r="I155" s="109">
        <f t="shared" si="45"/>
        <v>0.11389946314237906</v>
      </c>
    </row>
    <row r="156" spans="2:9">
      <c r="B156" s="102" t="str">
        <f t="shared" si="37"/>
        <v>OGE Energy Corporation</v>
      </c>
      <c r="C156" s="378" t="str">
        <f t="shared" si="37"/>
        <v>OGE</v>
      </c>
      <c r="D156" s="109">
        <f t="shared" si="36"/>
        <v>4.1000000000000002E-2</v>
      </c>
      <c r="E156" s="110">
        <f t="shared" si="38"/>
        <v>0.90970958257894829</v>
      </c>
      <c r="F156" s="109">
        <f t="shared" si="39"/>
        <v>0.12219337835467461</v>
      </c>
      <c r="G156" s="109">
        <f t="shared" si="43"/>
        <v>8.1193378354674606E-2</v>
      </c>
      <c r="H156" s="109">
        <f t="shared" si="44"/>
        <v>0.11486239433120565</v>
      </c>
      <c r="I156" s="109">
        <f t="shared" si="45"/>
        <v>0.1166951403370729</v>
      </c>
    </row>
    <row r="157" spans="2:9">
      <c r="B157" s="102" t="str">
        <f t="shared" si="37"/>
        <v>Pinnacle West Capital Corporation</v>
      </c>
      <c r="C157" s="378" t="str">
        <f t="shared" si="37"/>
        <v>PNW</v>
      </c>
      <c r="D157" s="109">
        <f t="shared" si="36"/>
        <v>4.1000000000000002E-2</v>
      </c>
      <c r="E157" s="110">
        <f t="shared" si="38"/>
        <v>0.8125539917251543</v>
      </c>
      <c r="F157" s="109">
        <f t="shared" si="39"/>
        <v>0.12219337835467461</v>
      </c>
      <c r="G157" s="109">
        <f t="shared" si="43"/>
        <v>8.1193378354674606E-2</v>
      </c>
      <c r="H157" s="109">
        <f t="shared" si="44"/>
        <v>0.1069740036837416</v>
      </c>
      <c r="I157" s="109">
        <f t="shared" si="45"/>
        <v>0.11077884735147486</v>
      </c>
    </row>
    <row r="158" spans="2:9" ht="15" customHeight="1">
      <c r="B158" s="102" t="str">
        <f t="shared" si="37"/>
        <v>Portland General Electric Company</v>
      </c>
      <c r="C158" s="378" t="str">
        <f t="shared" si="37"/>
        <v>POR</v>
      </c>
      <c r="D158" s="109">
        <f t="shared" si="36"/>
        <v>4.1000000000000002E-2</v>
      </c>
      <c r="E158" s="110">
        <f t="shared" si="38"/>
        <v>0.78366983902327014</v>
      </c>
      <c r="F158" s="109">
        <f t="shared" si="39"/>
        <v>0.12219337835467461</v>
      </c>
      <c r="G158" s="109">
        <f t="shared" si="43"/>
        <v>8.1193378354674606E-2</v>
      </c>
      <c r="H158" s="109">
        <f t="shared" si="44"/>
        <v>0.10462880174496331</v>
      </c>
      <c r="I158" s="109">
        <f t="shared" si="45"/>
        <v>0.10901994589739114</v>
      </c>
    </row>
    <row r="159" spans="2:9">
      <c r="B159" s="102" t="str">
        <f t="shared" si="37"/>
        <v>Xcel Energy Inc.</v>
      </c>
      <c r="C159" s="378" t="str">
        <f t="shared" si="37"/>
        <v>XEL</v>
      </c>
      <c r="D159" s="109">
        <f t="shared" si="36"/>
        <v>4.1000000000000002E-2</v>
      </c>
      <c r="E159" s="110">
        <f t="shared" si="38"/>
        <v>0.732403130784814</v>
      </c>
      <c r="F159" s="109">
        <f t="shared" si="39"/>
        <v>0.12219337835467461</v>
      </c>
      <c r="G159" s="109">
        <f t="shared" si="43"/>
        <v>8.1193378354674606E-2</v>
      </c>
      <c r="H159" s="109">
        <f t="shared" si="44"/>
        <v>0.10046628450595962</v>
      </c>
      <c r="I159" s="109">
        <f t="shared" si="45"/>
        <v>0.10589805796813839</v>
      </c>
    </row>
    <row r="160" spans="2:9">
      <c r="B160" s="111" t="s">
        <v>38</v>
      </c>
      <c r="C160" s="379"/>
      <c r="D160" s="111"/>
      <c r="E160" s="107"/>
      <c r="F160" s="111"/>
      <c r="G160" s="111"/>
      <c r="H160" s="112">
        <f>AVERAGE(H145:H159)</f>
        <v>0.10619270050929232</v>
      </c>
      <c r="I160" s="112">
        <f>AVERAGE(I145:I159)</f>
        <v>0.11019286997063787</v>
      </c>
    </row>
    <row r="161" spans="2:9" ht="16.2" thickBot="1">
      <c r="B161" s="113" t="s">
        <v>39</v>
      </c>
      <c r="C161" s="380"/>
      <c r="D161" s="113"/>
      <c r="E161" s="114"/>
      <c r="F161" s="113"/>
      <c r="G161" s="113"/>
      <c r="H161" s="115">
        <f>MEDIAN(H145:H159)</f>
        <v>0.1062211449857729</v>
      </c>
      <c r="I161" s="115">
        <f>MEDIAN(I145:I159)</f>
        <v>0.11021420332799833</v>
      </c>
    </row>
    <row r="163" spans="2:9">
      <c r="B163" s="116" t="s">
        <v>32</v>
      </c>
    </row>
    <row r="164" spans="2:9">
      <c r="B164" s="102" t="str">
        <f>B62</f>
        <v>[1] Blue Chip Financial Forecasts, Vol. 43, No. 2, February 1, 2024, at 2</v>
      </c>
    </row>
    <row r="165" spans="2:9">
      <c r="B165" s="102" t="str">
        <f>B131</f>
        <v>[2] Source: Bloomberg Professional, based on 10-year weekly returns</v>
      </c>
    </row>
    <row r="166" spans="2:9">
      <c r="B166" s="102" t="str">
        <f>$B$30</f>
        <v>[3] Source: Market Return</v>
      </c>
    </row>
    <row r="167" spans="2:9">
      <c r="B167" s="102" t="s">
        <v>1060</v>
      </c>
    </row>
    <row r="168" spans="2:9">
      <c r="B168" s="102" t="s">
        <v>48</v>
      </c>
    </row>
    <row r="169" spans="2:9">
      <c r="B169" s="102" t="s">
        <v>49</v>
      </c>
    </row>
    <row r="172" spans="2:9" ht="13.35" customHeight="1">
      <c r="B172" s="395" t="s">
        <v>1065</v>
      </c>
      <c r="C172" s="395"/>
      <c r="D172" s="395"/>
      <c r="E172" s="395"/>
      <c r="F172" s="395"/>
      <c r="G172" s="395"/>
      <c r="H172" s="395"/>
      <c r="I172" s="395"/>
    </row>
    <row r="174" spans="2:9">
      <c r="B174" s="395" t="s">
        <v>41</v>
      </c>
      <c r="C174" s="395"/>
      <c r="D174" s="395"/>
      <c r="E174" s="395"/>
      <c r="F174" s="395"/>
      <c r="G174" s="395"/>
      <c r="H174" s="395"/>
      <c r="I174" s="395"/>
    </row>
    <row r="175" spans="2:9">
      <c r="B175" s="395" t="s">
        <v>42</v>
      </c>
      <c r="C175" s="395"/>
      <c r="D175" s="395"/>
      <c r="E175" s="395"/>
      <c r="F175" s="395"/>
      <c r="G175" s="395"/>
      <c r="H175" s="395"/>
      <c r="I175" s="395"/>
    </row>
    <row r="177" spans="2:9" ht="16.2" thickBot="1">
      <c r="D177" s="103" t="s">
        <v>14</v>
      </c>
      <c r="E177" s="103" t="s">
        <v>15</v>
      </c>
      <c r="F177" s="103" t="s">
        <v>16</v>
      </c>
      <c r="G177" s="103" t="s">
        <v>17</v>
      </c>
      <c r="H177" s="103" t="s">
        <v>18</v>
      </c>
      <c r="I177" s="103" t="s">
        <v>19</v>
      </c>
    </row>
    <row r="178" spans="2:9" ht="78">
      <c r="B178" s="90" t="s">
        <v>20</v>
      </c>
      <c r="C178" s="90" t="s">
        <v>21</v>
      </c>
      <c r="D178" s="104" t="str">
        <f t="shared" ref="D178:D193" si="46">D76</f>
        <v>Projected 30-year U.S. Treasury bond yield 
(2025 - 2029)</v>
      </c>
      <c r="E178" s="104" t="s">
        <v>44</v>
      </c>
      <c r="F178" s="104" t="s">
        <v>45</v>
      </c>
      <c r="G178" s="104" t="s">
        <v>46</v>
      </c>
      <c r="H178" s="105" t="s">
        <v>1096</v>
      </c>
      <c r="I178" s="105" t="s">
        <v>47</v>
      </c>
    </row>
    <row r="179" spans="2:9">
      <c r="B179" s="102" t="str">
        <f t="shared" ref="B179:C193" si="47">B145</f>
        <v>ALLETE, Inc.</v>
      </c>
      <c r="C179" s="378" t="str">
        <f t="shared" si="47"/>
        <v>ALE</v>
      </c>
      <c r="D179" s="109">
        <f t="shared" si="46"/>
        <v>4.1000000000000002E-2</v>
      </c>
      <c r="E179" s="110">
        <f t="shared" ref="E179:E193" si="48">E145</f>
        <v>0.81983002174167829</v>
      </c>
      <c r="F179" s="109">
        <f t="shared" ref="F179:F193" si="49">F9</f>
        <v>0.12219337835467461</v>
      </c>
      <c r="G179" s="109">
        <f>F179-D179</f>
        <v>8.1193378354674606E-2</v>
      </c>
      <c r="H179" s="109">
        <f>IFERROR(G179*E179+D179,"")</f>
        <v>0.10756476914179319</v>
      </c>
      <c r="I179" s="109">
        <f>IFERROR((0.25*G179)+(0.75*E179*G179)+D179,"")</f>
        <v>0.11122192144501356</v>
      </c>
    </row>
    <row r="180" spans="2:9">
      <c r="B180" s="102" t="str">
        <f t="shared" si="47"/>
        <v>Alliant Energy Corporation</v>
      </c>
      <c r="C180" s="378" t="str">
        <f t="shared" si="47"/>
        <v>LNT</v>
      </c>
      <c r="D180" s="109">
        <f t="shared" si="46"/>
        <v>4.1000000000000002E-2</v>
      </c>
      <c r="E180" s="110">
        <f t="shared" si="48"/>
        <v>0.7837338542961203</v>
      </c>
      <c r="F180" s="109">
        <f t="shared" si="49"/>
        <v>0.12219337835467461</v>
      </c>
      <c r="G180" s="109">
        <f t="shared" ref="G180" si="50">F180-D180</f>
        <v>8.1193378354674606E-2</v>
      </c>
      <c r="H180" s="109">
        <f t="shared" ref="H180" si="51">IFERROR(G180*E180+D180,"")</f>
        <v>0.10463399936123233</v>
      </c>
      <c r="I180" s="109">
        <f t="shared" ref="I180" si="52">IFERROR((0.25*G180)+(0.75*E180*G180)+D180,"")</f>
        <v>0.1090238441095929</v>
      </c>
    </row>
    <row r="181" spans="2:9">
      <c r="B181" s="102" t="str">
        <f t="shared" si="47"/>
        <v>Ameren Corporation</v>
      </c>
      <c r="C181" s="378" t="str">
        <f t="shared" si="47"/>
        <v>AEE</v>
      </c>
      <c r="D181" s="109">
        <f t="shared" si="46"/>
        <v>4.1000000000000002E-2</v>
      </c>
      <c r="E181" s="110">
        <f t="shared" si="48"/>
        <v>0.74071411701862888</v>
      </c>
      <c r="F181" s="109">
        <f t="shared" si="49"/>
        <v>0.12219337835467461</v>
      </c>
      <c r="G181" s="109">
        <f t="shared" ref="G181:G193" si="53">F181-D181</f>
        <v>8.1193378354674606E-2</v>
      </c>
      <c r="H181" s="109">
        <f t="shared" ref="H181:H193" si="54">IFERROR(G181*E181+D181,"")</f>
        <v>0.10114108155574225</v>
      </c>
      <c r="I181" s="109">
        <f t="shared" ref="I181:I193" si="55">IFERROR((0.25*G181)+(0.75*E181*G181)+D181,"")</f>
        <v>0.10640415575547535</v>
      </c>
    </row>
    <row r="182" spans="2:9">
      <c r="B182" s="102" t="str">
        <f t="shared" si="47"/>
        <v>Duke Energy Corporation</v>
      </c>
      <c r="C182" s="378" t="str">
        <f t="shared" si="47"/>
        <v>DUK</v>
      </c>
      <c r="D182" s="109">
        <f t="shared" si="46"/>
        <v>4.1000000000000002E-2</v>
      </c>
      <c r="E182" s="110">
        <f t="shared" si="48"/>
        <v>0.71476289636068868</v>
      </c>
      <c r="F182" s="109">
        <f t="shared" si="49"/>
        <v>0.12219337835467461</v>
      </c>
      <c r="G182" s="109">
        <f t="shared" si="53"/>
        <v>8.1193378354674606E-2</v>
      </c>
      <c r="H182" s="109">
        <f t="shared" si="54"/>
        <v>9.9034014278096466E-2</v>
      </c>
      <c r="I182" s="109">
        <f t="shared" si="55"/>
        <v>0.104823855297241</v>
      </c>
    </row>
    <row r="183" spans="2:9">
      <c r="B183" s="102" t="str">
        <f t="shared" si="47"/>
        <v>Edison International</v>
      </c>
      <c r="C183" s="378" t="str">
        <f t="shared" si="47"/>
        <v>EIX</v>
      </c>
      <c r="D183" s="109">
        <f t="shared" si="46"/>
        <v>4.1000000000000002E-2</v>
      </c>
      <c r="E183" s="110">
        <f t="shared" si="48"/>
        <v>0.84737518931324551</v>
      </c>
      <c r="F183" s="109">
        <f t="shared" si="49"/>
        <v>0.12219337835467461</v>
      </c>
      <c r="G183" s="109">
        <f t="shared" si="53"/>
        <v>8.1193378354674606E-2</v>
      </c>
      <c r="H183" s="109">
        <f t="shared" si="54"/>
        <v>0.10980125435427437</v>
      </c>
      <c r="I183" s="109">
        <f t="shared" si="55"/>
        <v>0.11289928535437443</v>
      </c>
    </row>
    <row r="184" spans="2:9">
      <c r="B184" s="102" t="str">
        <f t="shared" si="47"/>
        <v>Entergy Corporation</v>
      </c>
      <c r="C184" s="378" t="str">
        <f t="shared" si="47"/>
        <v>ETR</v>
      </c>
      <c r="D184" s="109">
        <f t="shared" si="46"/>
        <v>4.1000000000000002E-2</v>
      </c>
      <c r="E184" s="110">
        <f t="shared" si="48"/>
        <v>0.85395940752963595</v>
      </c>
      <c r="F184" s="109">
        <f t="shared" si="49"/>
        <v>0.12219337835467461</v>
      </c>
      <c r="G184" s="109">
        <f t="shared" si="53"/>
        <v>8.1193378354674606E-2</v>
      </c>
      <c r="H184" s="109">
        <f t="shared" si="54"/>
        <v>0.11033584927508749</v>
      </c>
      <c r="I184" s="109">
        <f t="shared" si="55"/>
        <v>0.11330023154498428</v>
      </c>
    </row>
    <row r="185" spans="2:9">
      <c r="B185" s="102" t="str">
        <f t="shared" si="47"/>
        <v>Eversource Energy</v>
      </c>
      <c r="C185" s="378" t="str">
        <f t="shared" si="47"/>
        <v>ES</v>
      </c>
      <c r="D185" s="109">
        <f t="shared" si="46"/>
        <v>4.1000000000000002E-2</v>
      </c>
      <c r="E185" s="110">
        <f t="shared" si="48"/>
        <v>0.80328157674224765</v>
      </c>
      <c r="F185" s="109">
        <f t="shared" si="49"/>
        <v>0.12219337835467461</v>
      </c>
      <c r="G185" s="109">
        <f t="shared" si="53"/>
        <v>8.1193378354674606E-2</v>
      </c>
      <c r="H185" s="109">
        <f t="shared" si="54"/>
        <v>0.1062211449857729</v>
      </c>
      <c r="I185" s="109">
        <f t="shared" si="55"/>
        <v>0.11021420332799833</v>
      </c>
    </row>
    <row r="186" spans="2:9">
      <c r="B186" s="102" t="str">
        <f t="shared" si="47"/>
        <v>Evergy, Inc.</v>
      </c>
      <c r="C186" s="378" t="str">
        <f t="shared" si="47"/>
        <v>EVRG</v>
      </c>
      <c r="D186" s="109">
        <f t="shared" si="46"/>
        <v>4.1000000000000002E-2</v>
      </c>
      <c r="E186" s="110">
        <f t="shared" si="48"/>
        <v>0.77577740265594763</v>
      </c>
      <c r="F186" s="109">
        <f t="shared" si="49"/>
        <v>0.12219337835467461</v>
      </c>
      <c r="G186" s="109">
        <f t="shared" si="53"/>
        <v>8.1193378354674606E-2</v>
      </c>
      <c r="H186" s="109">
        <f t="shared" si="54"/>
        <v>0.1039879881728511</v>
      </c>
      <c r="I186" s="109">
        <f t="shared" si="55"/>
        <v>0.10853933571830698</v>
      </c>
    </row>
    <row r="187" spans="2:9">
      <c r="B187" s="102" t="str">
        <f t="shared" si="47"/>
        <v>IDACORP, Inc.</v>
      </c>
      <c r="C187" s="378" t="str">
        <f t="shared" si="47"/>
        <v>IDA</v>
      </c>
      <c r="D187" s="109">
        <f t="shared" si="46"/>
        <v>4.1000000000000002E-2</v>
      </c>
      <c r="E187" s="110">
        <f t="shared" si="48"/>
        <v>0.79180001342872197</v>
      </c>
      <c r="F187" s="109">
        <f t="shared" si="49"/>
        <v>0.12219337835467461</v>
      </c>
      <c r="G187" s="109">
        <f t="shared" si="53"/>
        <v>8.1193378354674606E-2</v>
      </c>
      <c r="H187" s="109">
        <f t="shared" si="54"/>
        <v>0.10528891807155466</v>
      </c>
      <c r="I187" s="109">
        <f t="shared" si="55"/>
        <v>0.10951503314233466</v>
      </c>
    </row>
    <row r="188" spans="2:9">
      <c r="B188" s="102" t="str">
        <f t="shared" si="47"/>
        <v>NextEra Energy, Inc.</v>
      </c>
      <c r="C188" s="378" t="str">
        <f t="shared" si="47"/>
        <v>NEE</v>
      </c>
      <c r="D188" s="109">
        <f t="shared" si="46"/>
        <v>4.1000000000000002E-2</v>
      </c>
      <c r="E188" s="110">
        <f t="shared" si="48"/>
        <v>0.81059786860118888</v>
      </c>
      <c r="F188" s="109">
        <f t="shared" si="49"/>
        <v>0.12219337835467461</v>
      </c>
      <c r="G188" s="109">
        <f t="shared" si="53"/>
        <v>8.1193378354674606E-2</v>
      </c>
      <c r="H188" s="109">
        <f t="shared" si="54"/>
        <v>0.10681517943882915</v>
      </c>
      <c r="I188" s="109">
        <f t="shared" si="55"/>
        <v>0.11065972916779052</v>
      </c>
    </row>
    <row r="189" spans="2:9">
      <c r="B189" s="102" t="str">
        <f t="shared" si="47"/>
        <v>NorthWestern Corporation</v>
      </c>
      <c r="C189" s="378" t="str">
        <f t="shared" si="47"/>
        <v>NWE</v>
      </c>
      <c r="D189" s="109">
        <f t="shared" si="46"/>
        <v>4.1000000000000002E-2</v>
      </c>
      <c r="E189" s="110">
        <f t="shared" si="48"/>
        <v>0.86379980928879041</v>
      </c>
      <c r="F189" s="109">
        <f t="shared" si="49"/>
        <v>0.12219337835467461</v>
      </c>
      <c r="G189" s="109">
        <f t="shared" si="53"/>
        <v>8.1193378354674606E-2</v>
      </c>
      <c r="H189" s="109">
        <f t="shared" si="54"/>
        <v>0.11113482473828054</v>
      </c>
      <c r="I189" s="109">
        <f t="shared" si="55"/>
        <v>0.11389946314237906</v>
      </c>
    </row>
    <row r="190" spans="2:9">
      <c r="B190" s="102" t="str">
        <f t="shared" si="47"/>
        <v>OGE Energy Corporation</v>
      </c>
      <c r="C190" s="378" t="str">
        <f t="shared" si="47"/>
        <v>OGE</v>
      </c>
      <c r="D190" s="109">
        <f t="shared" si="46"/>
        <v>4.1000000000000002E-2</v>
      </c>
      <c r="E190" s="110">
        <f t="shared" si="48"/>
        <v>0.90970958257894829</v>
      </c>
      <c r="F190" s="109">
        <f t="shared" si="49"/>
        <v>0.12219337835467461</v>
      </c>
      <c r="G190" s="109">
        <f t="shared" si="53"/>
        <v>8.1193378354674606E-2</v>
      </c>
      <c r="H190" s="109">
        <f t="shared" si="54"/>
        <v>0.11486239433120565</v>
      </c>
      <c r="I190" s="109">
        <f t="shared" si="55"/>
        <v>0.1166951403370729</v>
      </c>
    </row>
    <row r="191" spans="2:9">
      <c r="B191" s="102" t="str">
        <f t="shared" si="47"/>
        <v>Pinnacle West Capital Corporation</v>
      </c>
      <c r="C191" s="378" t="str">
        <f t="shared" si="47"/>
        <v>PNW</v>
      </c>
      <c r="D191" s="109">
        <f t="shared" si="46"/>
        <v>4.1000000000000002E-2</v>
      </c>
      <c r="E191" s="110">
        <f t="shared" si="48"/>
        <v>0.8125539917251543</v>
      </c>
      <c r="F191" s="109">
        <f t="shared" si="49"/>
        <v>0.12219337835467461</v>
      </c>
      <c r="G191" s="109">
        <f t="shared" si="53"/>
        <v>8.1193378354674606E-2</v>
      </c>
      <c r="H191" s="109">
        <f t="shared" si="54"/>
        <v>0.1069740036837416</v>
      </c>
      <c r="I191" s="109">
        <f t="shared" si="55"/>
        <v>0.11077884735147486</v>
      </c>
    </row>
    <row r="192" spans="2:9">
      <c r="B192" s="102" t="str">
        <f t="shared" si="47"/>
        <v>Portland General Electric Company</v>
      </c>
      <c r="C192" s="378" t="str">
        <f t="shared" si="47"/>
        <v>POR</v>
      </c>
      <c r="D192" s="109">
        <f t="shared" si="46"/>
        <v>4.1000000000000002E-2</v>
      </c>
      <c r="E192" s="110">
        <f t="shared" si="48"/>
        <v>0.78366983902327014</v>
      </c>
      <c r="F192" s="109">
        <f t="shared" si="49"/>
        <v>0.12219337835467461</v>
      </c>
      <c r="G192" s="109">
        <f t="shared" si="53"/>
        <v>8.1193378354674606E-2</v>
      </c>
      <c r="H192" s="109">
        <f t="shared" si="54"/>
        <v>0.10462880174496331</v>
      </c>
      <c r="I192" s="109">
        <f t="shared" si="55"/>
        <v>0.10901994589739114</v>
      </c>
    </row>
    <row r="193" spans="2:9">
      <c r="B193" s="102" t="str">
        <f t="shared" si="47"/>
        <v>Xcel Energy Inc.</v>
      </c>
      <c r="C193" s="378" t="str">
        <f t="shared" si="47"/>
        <v>XEL</v>
      </c>
      <c r="D193" s="109">
        <f t="shared" si="46"/>
        <v>4.1000000000000002E-2</v>
      </c>
      <c r="E193" s="110">
        <f t="shared" si="48"/>
        <v>0.732403130784814</v>
      </c>
      <c r="F193" s="109">
        <f t="shared" si="49"/>
        <v>0.12219337835467461</v>
      </c>
      <c r="G193" s="109">
        <f t="shared" si="53"/>
        <v>8.1193378354674606E-2</v>
      </c>
      <c r="H193" s="109">
        <f t="shared" si="54"/>
        <v>0.10046628450595962</v>
      </c>
      <c r="I193" s="109">
        <f t="shared" si="55"/>
        <v>0.10589805796813839</v>
      </c>
    </row>
    <row r="194" spans="2:9">
      <c r="B194" s="111" t="s">
        <v>38</v>
      </c>
      <c r="C194" s="379"/>
      <c r="D194" s="111"/>
      <c r="E194" s="107"/>
      <c r="F194" s="111"/>
      <c r="G194" s="111"/>
      <c r="H194" s="112">
        <f>AVERAGE(H179:H193)</f>
        <v>0.10619270050929232</v>
      </c>
      <c r="I194" s="112">
        <f>AVERAGE(I179:I193)</f>
        <v>0.11019286997063787</v>
      </c>
    </row>
    <row r="195" spans="2:9" ht="16.2" thickBot="1">
      <c r="B195" s="113" t="s">
        <v>39</v>
      </c>
      <c r="C195" s="380"/>
      <c r="D195" s="113"/>
      <c r="E195" s="114"/>
      <c r="F195" s="113"/>
      <c r="G195" s="113"/>
      <c r="H195" s="115">
        <f>MEDIAN(H179:H193)</f>
        <v>0.1062211449857729</v>
      </c>
      <c r="I195" s="115">
        <f>MEDIAN(I179:I193)</f>
        <v>0.11021420332799833</v>
      </c>
    </row>
    <row r="197" spans="2:9">
      <c r="B197" s="116" t="s">
        <v>32</v>
      </c>
    </row>
    <row r="198" spans="2:9">
      <c r="B198" s="102" t="str">
        <f>B96</f>
        <v>[1] Source: Blue Chip Financial Forecasts, Vol. 42, No. 12, December 1, 2023, at 14</v>
      </c>
    </row>
    <row r="199" spans="2:9">
      <c r="B199" s="102" t="str">
        <f>B131</f>
        <v>[2] Source: Bloomberg Professional, based on 10-year weekly returns</v>
      </c>
    </row>
    <row r="200" spans="2:9">
      <c r="B200" s="102" t="str">
        <f>$B$30</f>
        <v>[3] Source: Market Return</v>
      </c>
    </row>
    <row r="201" spans="2:9">
      <c r="B201" s="102" t="s">
        <v>1060</v>
      </c>
    </row>
    <row r="202" spans="2:9">
      <c r="B202" s="102" t="s">
        <v>48</v>
      </c>
    </row>
    <row r="203" spans="2:9">
      <c r="B203" s="102" t="s">
        <v>49</v>
      </c>
    </row>
    <row r="206" spans="2:9" ht="13.35" customHeight="1">
      <c r="B206" s="395" t="s">
        <v>1066</v>
      </c>
      <c r="C206" s="395"/>
      <c r="D206" s="395"/>
      <c r="E206" s="395"/>
      <c r="F206" s="395"/>
      <c r="G206" s="395"/>
      <c r="H206" s="395"/>
      <c r="I206" s="395"/>
    </row>
    <row r="208" spans="2:9">
      <c r="B208" s="395" t="s">
        <v>41</v>
      </c>
      <c r="C208" s="395"/>
      <c r="D208" s="395"/>
      <c r="E208" s="395"/>
      <c r="F208" s="395"/>
      <c r="G208" s="395"/>
      <c r="H208" s="395"/>
      <c r="I208" s="395"/>
    </row>
    <row r="209" spans="2:14">
      <c r="B209" s="395" t="s">
        <v>42</v>
      </c>
      <c r="C209" s="395"/>
      <c r="D209" s="395"/>
      <c r="E209" s="395"/>
      <c r="F209" s="395"/>
      <c r="G209" s="395"/>
      <c r="H209" s="395"/>
      <c r="I209" s="395"/>
    </row>
    <row r="211" spans="2:14" ht="16.2" thickBot="1">
      <c r="D211" s="103" t="s">
        <v>14</v>
      </c>
      <c r="E211" s="103" t="s">
        <v>15</v>
      </c>
      <c r="F211" s="103" t="s">
        <v>16</v>
      </c>
      <c r="G211" s="103" t="s">
        <v>17</v>
      </c>
      <c r="H211" s="103" t="s">
        <v>18</v>
      </c>
      <c r="I211" s="103" t="s">
        <v>19</v>
      </c>
    </row>
    <row r="212" spans="2:14" ht="78">
      <c r="B212" s="90" t="s">
        <v>20</v>
      </c>
      <c r="C212" s="90" t="s">
        <v>21</v>
      </c>
      <c r="D212" s="104" t="str">
        <f t="shared" ref="D212:D227" si="56">D110</f>
        <v>Current 30-day average of 30-year U.S. Treasury bond yield</v>
      </c>
      <c r="E212" s="104" t="s">
        <v>44</v>
      </c>
      <c r="F212" s="104" t="s">
        <v>45</v>
      </c>
      <c r="G212" s="104" t="s">
        <v>46</v>
      </c>
      <c r="H212" s="105" t="s">
        <v>1096</v>
      </c>
      <c r="I212" s="105" t="s">
        <v>47</v>
      </c>
    </row>
    <row r="213" spans="2:14">
      <c r="B213" s="102" t="str">
        <f t="shared" ref="B213:C227" si="57">B179</f>
        <v>ALLETE, Inc.</v>
      </c>
      <c r="C213" s="378" t="str">
        <f t="shared" si="57"/>
        <v>ALE</v>
      </c>
      <c r="D213" s="109">
        <f t="shared" si="56"/>
        <v>4.1926666666666661E-2</v>
      </c>
      <c r="E213" s="117">
        <f>INDEX('AEB-6 LT Beta'!$N$6:$N$20,MATCH('AEB-5 CAPM'!$C213,'AEB-6 LT Beta'!$B$6:$B$20,0))</f>
        <v>0.79545454545454564</v>
      </c>
      <c r="F213" s="109">
        <f t="shared" ref="F213:F227" si="58">F111</f>
        <v>0.12219337835467461</v>
      </c>
      <c r="G213" s="109">
        <f>F213-D213</f>
        <v>8.0266711688007947E-2</v>
      </c>
      <c r="H213" s="109">
        <f>IFERROR(G213*E213+D213,"")</f>
        <v>0.10577518732758209</v>
      </c>
      <c r="I213" s="109">
        <f>IFERROR((0.25*G213)+(0.75*E213*G213)+D213,"")</f>
        <v>0.10987973508435522</v>
      </c>
      <c r="K213" s="190"/>
      <c r="L213" s="190"/>
      <c r="M213" s="120"/>
      <c r="N213" s="120"/>
    </row>
    <row r="214" spans="2:14">
      <c r="B214" s="102" t="str">
        <f t="shared" si="57"/>
        <v>Alliant Energy Corporation</v>
      </c>
      <c r="C214" s="378" t="str">
        <f t="shared" si="57"/>
        <v>LNT</v>
      </c>
      <c r="D214" s="109">
        <f t="shared" si="56"/>
        <v>4.1926666666666661E-2</v>
      </c>
      <c r="E214" s="118">
        <f>INDEX('AEB-6 LT Beta'!$N$6:$N$20,MATCH('AEB-5 CAPM'!$C214,'AEB-6 LT Beta'!$B$6:$B$20,0))</f>
        <v>0.76363636363636356</v>
      </c>
      <c r="F214" s="109">
        <f t="shared" si="58"/>
        <v>0.12219337835467461</v>
      </c>
      <c r="G214" s="109">
        <f t="shared" ref="G214" si="59">F214-D214</f>
        <v>8.0266711688007947E-2</v>
      </c>
      <c r="H214" s="109">
        <f t="shared" ref="H214" si="60">IFERROR(G214*E214+D214,"")</f>
        <v>0.10322124650114545</v>
      </c>
      <c r="I214" s="109">
        <f t="shared" ref="I214" si="61">IFERROR((0.25*G214)+(0.75*E214*G214)+D214,"")</f>
        <v>0.10796427946452775</v>
      </c>
      <c r="K214" s="190"/>
      <c r="L214" s="190"/>
      <c r="M214" s="120"/>
      <c r="N214" s="120"/>
    </row>
    <row r="215" spans="2:14">
      <c r="B215" s="102" t="str">
        <f t="shared" si="57"/>
        <v>Ameren Corporation</v>
      </c>
      <c r="C215" s="378" t="str">
        <f t="shared" si="57"/>
        <v>AEE</v>
      </c>
      <c r="D215" s="109">
        <f t="shared" si="56"/>
        <v>4.1926666666666661E-2</v>
      </c>
      <c r="E215" s="118">
        <f>INDEX('AEB-6 LT Beta'!$N$6:$N$20,MATCH('AEB-5 CAPM'!$C215,'AEB-6 LT Beta'!$B$6:$B$20,0))</f>
        <v>0.74090909090909074</v>
      </c>
      <c r="F215" s="109">
        <f t="shared" si="58"/>
        <v>0.12219337835467461</v>
      </c>
      <c r="G215" s="109">
        <f t="shared" ref="G215:G227" si="62">F215-D215</f>
        <v>8.0266711688007947E-2</v>
      </c>
      <c r="H215" s="109">
        <f t="shared" ref="H215:H227" si="63">IFERROR(G215*E215+D215,"")</f>
        <v>0.10139700305369072</v>
      </c>
      <c r="I215" s="109">
        <f t="shared" ref="I215:I227" si="64">IFERROR((0.25*G215)+(0.75*E215*G215)+D215,"")</f>
        <v>0.1065960968789367</v>
      </c>
      <c r="K215" s="190"/>
      <c r="L215" s="190"/>
      <c r="M215" s="120"/>
      <c r="N215" s="120"/>
    </row>
    <row r="216" spans="2:14">
      <c r="B216" s="102" t="str">
        <f t="shared" si="57"/>
        <v>Duke Energy Corporation</v>
      </c>
      <c r="C216" s="378" t="str">
        <f t="shared" si="57"/>
        <v>DUK</v>
      </c>
      <c r="D216" s="109">
        <f t="shared" si="56"/>
        <v>4.1926666666666661E-2</v>
      </c>
      <c r="E216" s="118">
        <f>INDEX('AEB-6 LT Beta'!$N$6:$N$20,MATCH('AEB-5 CAPM'!$C216,'AEB-6 LT Beta'!$B$6:$B$20,0))</f>
        <v>0.68636363636363629</v>
      </c>
      <c r="F216" s="109">
        <f t="shared" si="58"/>
        <v>0.12219337835467461</v>
      </c>
      <c r="G216" s="109">
        <f t="shared" si="62"/>
        <v>8.0266711688007947E-2</v>
      </c>
      <c r="H216" s="109">
        <f t="shared" si="63"/>
        <v>9.7018818779799385E-2</v>
      </c>
      <c r="I216" s="109">
        <f t="shared" si="64"/>
        <v>0.10331245867351818</v>
      </c>
      <c r="K216" s="190"/>
      <c r="L216" s="190"/>
      <c r="M216" s="120"/>
      <c r="N216" s="120"/>
    </row>
    <row r="217" spans="2:14">
      <c r="B217" s="102" t="str">
        <f t="shared" si="57"/>
        <v>Edison International</v>
      </c>
      <c r="C217" s="378" t="str">
        <f t="shared" si="57"/>
        <v>EIX</v>
      </c>
      <c r="D217" s="109">
        <f t="shared" si="56"/>
        <v>4.1926666666666661E-2</v>
      </c>
      <c r="E217" s="118">
        <f>INDEX('AEB-6 LT Beta'!$N$6:$N$20,MATCH('AEB-5 CAPM'!$C217,'AEB-6 LT Beta'!$B$6:$B$20,0))</f>
        <v>0.77272727272727271</v>
      </c>
      <c r="F217" s="109">
        <f t="shared" si="58"/>
        <v>0.12219337835467461</v>
      </c>
      <c r="G217" s="109">
        <f t="shared" si="62"/>
        <v>8.0266711688007947E-2</v>
      </c>
      <c r="H217" s="109">
        <f t="shared" si="63"/>
        <v>0.10395094388012735</v>
      </c>
      <c r="I217" s="109">
        <f t="shared" si="64"/>
        <v>0.10851155249876418</v>
      </c>
      <c r="K217" s="190"/>
      <c r="L217" s="190"/>
      <c r="M217" s="120"/>
      <c r="N217" s="120"/>
    </row>
    <row r="218" spans="2:14">
      <c r="B218" s="102" t="str">
        <f t="shared" si="57"/>
        <v>Entergy Corporation</v>
      </c>
      <c r="C218" s="378" t="str">
        <f t="shared" si="57"/>
        <v>ETR</v>
      </c>
      <c r="D218" s="109">
        <f t="shared" si="56"/>
        <v>4.1926666666666661E-2</v>
      </c>
      <c r="E218" s="118">
        <f>INDEX('AEB-6 LT Beta'!$N$6:$N$20,MATCH('AEB-5 CAPM'!$C218,'AEB-6 LT Beta'!$B$6:$B$20,0))</f>
        <v>0.76363636363636367</v>
      </c>
      <c r="F218" s="109">
        <f t="shared" si="58"/>
        <v>0.12219337835467461</v>
      </c>
      <c r="G218" s="109">
        <f t="shared" si="62"/>
        <v>8.0266711688007947E-2</v>
      </c>
      <c r="H218" s="109">
        <f t="shared" si="63"/>
        <v>0.10322124650114546</v>
      </c>
      <c r="I218" s="109">
        <f t="shared" si="64"/>
        <v>0.10796427946452775</v>
      </c>
      <c r="K218" s="190"/>
      <c r="L218" s="190"/>
      <c r="M218" s="120"/>
      <c r="N218" s="120"/>
    </row>
    <row r="219" spans="2:14">
      <c r="B219" s="102" t="str">
        <f t="shared" si="57"/>
        <v>Eversource Energy</v>
      </c>
      <c r="C219" s="378" t="str">
        <f t="shared" si="57"/>
        <v>ES</v>
      </c>
      <c r="D219" s="109">
        <f t="shared" si="56"/>
        <v>4.1926666666666661E-2</v>
      </c>
      <c r="E219" s="118">
        <f>INDEX('AEB-6 LT Beta'!$N$6:$N$20,MATCH('AEB-5 CAPM'!$C219,'AEB-6 LT Beta'!$B$6:$B$20,0))</f>
        <v>0.76111111111111129</v>
      </c>
      <c r="F219" s="109">
        <f t="shared" si="58"/>
        <v>0.12219337835467461</v>
      </c>
      <c r="G219" s="109">
        <f t="shared" si="62"/>
        <v>8.0266711688007947E-2</v>
      </c>
      <c r="H219" s="109">
        <f t="shared" si="63"/>
        <v>0.1030185527847616</v>
      </c>
      <c r="I219" s="109">
        <f t="shared" si="64"/>
        <v>0.10781225917723988</v>
      </c>
      <c r="K219" s="190"/>
      <c r="L219" s="190"/>
      <c r="M219" s="120"/>
      <c r="N219" s="120"/>
    </row>
    <row r="220" spans="2:14">
      <c r="B220" s="102" t="str">
        <f t="shared" si="57"/>
        <v>Evergy, Inc.</v>
      </c>
      <c r="C220" s="378" t="str">
        <f t="shared" si="57"/>
        <v>EVRG</v>
      </c>
      <c r="D220" s="109">
        <f t="shared" si="56"/>
        <v>4.1926666666666661E-2</v>
      </c>
      <c r="E220" s="118">
        <f>INDEX('AEB-6 LT Beta'!$N$6:$N$20,MATCH('AEB-5 CAPM'!$C220,'AEB-6 LT Beta'!$B$6:$B$20,0))</f>
        <v>0.9375</v>
      </c>
      <c r="F220" s="109">
        <f t="shared" si="58"/>
        <v>0.12219337835467461</v>
      </c>
      <c r="G220" s="109">
        <f t="shared" si="62"/>
        <v>8.0266711688007947E-2</v>
      </c>
      <c r="H220" s="109">
        <f t="shared" si="63"/>
        <v>0.11717670887417411</v>
      </c>
      <c r="I220" s="109">
        <f t="shared" si="64"/>
        <v>0.11843087624429924</v>
      </c>
      <c r="K220" s="190"/>
      <c r="L220" s="190"/>
      <c r="M220" s="120"/>
      <c r="N220" s="120"/>
    </row>
    <row r="221" spans="2:14">
      <c r="B221" s="102" t="str">
        <f t="shared" si="57"/>
        <v>IDACORP, Inc.</v>
      </c>
      <c r="C221" s="378" t="str">
        <f t="shared" si="57"/>
        <v>IDA</v>
      </c>
      <c r="D221" s="109">
        <f t="shared" si="56"/>
        <v>4.1926666666666661E-2</v>
      </c>
      <c r="E221" s="118">
        <f>INDEX('AEB-6 LT Beta'!$N$6:$N$20,MATCH('AEB-5 CAPM'!$C221,'AEB-6 LT Beta'!$B$6:$B$20,0))</f>
        <v>0.74090909090909074</v>
      </c>
      <c r="F221" s="109">
        <f t="shared" si="58"/>
        <v>0.12219337835467461</v>
      </c>
      <c r="G221" s="109">
        <f t="shared" si="62"/>
        <v>8.0266711688007947E-2</v>
      </c>
      <c r="H221" s="109">
        <f t="shared" si="63"/>
        <v>0.10139700305369072</v>
      </c>
      <c r="I221" s="109">
        <f t="shared" si="64"/>
        <v>0.1065960968789367</v>
      </c>
      <c r="K221" s="190"/>
      <c r="L221" s="190"/>
      <c r="M221" s="120"/>
      <c r="N221" s="120"/>
    </row>
    <row r="222" spans="2:14">
      <c r="B222" s="102" t="str">
        <f t="shared" si="57"/>
        <v>NextEra Energy, Inc.</v>
      </c>
      <c r="C222" s="378" t="str">
        <f t="shared" si="57"/>
        <v>NEE</v>
      </c>
      <c r="D222" s="109">
        <f t="shared" si="56"/>
        <v>4.1926666666666661E-2</v>
      </c>
      <c r="E222" s="118">
        <f>INDEX('AEB-6 LT Beta'!$N$6:$N$20,MATCH('AEB-5 CAPM'!$C222,'AEB-6 LT Beta'!$B$6:$B$20,0))</f>
        <v>0.75454545454545463</v>
      </c>
      <c r="F222" s="109">
        <f t="shared" si="58"/>
        <v>0.12219337835467461</v>
      </c>
      <c r="G222" s="109">
        <f t="shared" si="62"/>
        <v>8.0266711688007947E-2</v>
      </c>
      <c r="H222" s="109">
        <f t="shared" si="63"/>
        <v>0.10249154912216357</v>
      </c>
      <c r="I222" s="109">
        <f t="shared" si="64"/>
        <v>0.10741700643029134</v>
      </c>
      <c r="K222" s="190"/>
      <c r="L222" s="190"/>
      <c r="M222" s="120"/>
      <c r="N222" s="120"/>
    </row>
    <row r="223" spans="2:14">
      <c r="B223" s="102" t="str">
        <f t="shared" si="57"/>
        <v>NorthWestern Corporation</v>
      </c>
      <c r="C223" s="378" t="str">
        <f t="shared" si="57"/>
        <v>NWE</v>
      </c>
      <c r="D223" s="109">
        <f t="shared" si="56"/>
        <v>4.1926666666666661E-2</v>
      </c>
      <c r="E223" s="118">
        <f>INDEX('AEB-6 LT Beta'!$N$6:$N$20,MATCH('AEB-5 CAPM'!$C223,'AEB-6 LT Beta'!$B$6:$B$20,0))</f>
        <v>0.76363636363636367</v>
      </c>
      <c r="F223" s="109">
        <f t="shared" si="58"/>
        <v>0.12219337835467461</v>
      </c>
      <c r="G223" s="109">
        <f t="shared" si="62"/>
        <v>8.0266711688007947E-2</v>
      </c>
      <c r="H223" s="109">
        <f t="shared" si="63"/>
        <v>0.10322124650114546</v>
      </c>
      <c r="I223" s="109">
        <f t="shared" si="64"/>
        <v>0.10796427946452775</v>
      </c>
      <c r="K223" s="190"/>
      <c r="L223" s="190"/>
      <c r="M223" s="120"/>
      <c r="N223" s="120"/>
    </row>
    <row r="224" spans="2:14">
      <c r="B224" s="102" t="str">
        <f t="shared" si="57"/>
        <v>OGE Energy Corporation</v>
      </c>
      <c r="C224" s="378" t="str">
        <f t="shared" si="57"/>
        <v>OGE</v>
      </c>
      <c r="D224" s="109">
        <f t="shared" si="56"/>
        <v>4.1926666666666661E-2</v>
      </c>
      <c r="E224" s="118">
        <f>INDEX('AEB-6 LT Beta'!$N$6:$N$20,MATCH('AEB-5 CAPM'!$C224,'AEB-6 LT Beta'!$B$6:$B$20,0))</f>
        <v>0.94090909090909103</v>
      </c>
      <c r="F224" s="109">
        <f t="shared" si="58"/>
        <v>0.12219337835467461</v>
      </c>
      <c r="G224" s="109">
        <f t="shared" si="62"/>
        <v>8.0266711688007947E-2</v>
      </c>
      <c r="H224" s="109">
        <f t="shared" si="63"/>
        <v>0.11745034539129232</v>
      </c>
      <c r="I224" s="109">
        <f t="shared" si="64"/>
        <v>0.11863610363213792</v>
      </c>
      <c r="K224" s="190"/>
      <c r="L224" s="190"/>
      <c r="M224" s="120"/>
      <c r="N224" s="120"/>
    </row>
    <row r="225" spans="2:14">
      <c r="B225" s="102" t="str">
        <f t="shared" si="57"/>
        <v>Pinnacle West Capital Corporation</v>
      </c>
      <c r="C225" s="378" t="str">
        <f t="shared" si="57"/>
        <v>PNW</v>
      </c>
      <c r="D225" s="109">
        <f t="shared" si="56"/>
        <v>4.1926666666666661E-2</v>
      </c>
      <c r="E225" s="118">
        <f>INDEX('AEB-6 LT Beta'!$N$6:$N$20,MATCH('AEB-5 CAPM'!$C225,'AEB-6 LT Beta'!$B$6:$B$20,0))</f>
        <v>0.75454545454545463</v>
      </c>
      <c r="F225" s="109">
        <f t="shared" si="58"/>
        <v>0.12219337835467461</v>
      </c>
      <c r="G225" s="109">
        <f t="shared" si="62"/>
        <v>8.0266711688007947E-2</v>
      </c>
      <c r="H225" s="109">
        <f t="shared" si="63"/>
        <v>0.10249154912216357</v>
      </c>
      <c r="I225" s="109">
        <f t="shared" si="64"/>
        <v>0.10741700643029134</v>
      </c>
      <c r="K225" s="190"/>
      <c r="L225" s="190"/>
      <c r="M225" s="120"/>
      <c r="N225" s="120"/>
    </row>
    <row r="226" spans="2:14">
      <c r="B226" s="102" t="str">
        <f t="shared" si="57"/>
        <v>Portland General Electric Company</v>
      </c>
      <c r="C226" s="378" t="str">
        <f t="shared" si="57"/>
        <v>POR</v>
      </c>
      <c r="D226" s="109">
        <f t="shared" si="56"/>
        <v>4.1926666666666661E-2</v>
      </c>
      <c r="E226" s="118">
        <f>INDEX('AEB-6 LT Beta'!$N$6:$N$20,MATCH('AEB-5 CAPM'!$C226,'AEB-6 LT Beta'!$B$6:$B$20,0))</f>
        <v>0.76363636363636356</v>
      </c>
      <c r="F226" s="109">
        <f t="shared" si="58"/>
        <v>0.12219337835467461</v>
      </c>
      <c r="G226" s="109">
        <f t="shared" si="62"/>
        <v>8.0266711688007947E-2</v>
      </c>
      <c r="H226" s="109">
        <f t="shared" si="63"/>
        <v>0.10322124650114545</v>
      </c>
      <c r="I226" s="109">
        <f t="shared" si="64"/>
        <v>0.10796427946452775</v>
      </c>
      <c r="K226" s="190"/>
      <c r="L226" s="190"/>
      <c r="M226" s="120"/>
      <c r="N226" s="120"/>
    </row>
    <row r="227" spans="2:14">
      <c r="B227" s="102" t="str">
        <f t="shared" si="57"/>
        <v>Xcel Energy Inc.</v>
      </c>
      <c r="C227" s="378" t="str">
        <f t="shared" si="57"/>
        <v>XEL</v>
      </c>
      <c r="D227" s="109">
        <f t="shared" si="56"/>
        <v>4.1926666666666661E-2</v>
      </c>
      <c r="E227" s="118">
        <f>INDEX('AEB-6 LT Beta'!$N$6:$N$20,MATCH('AEB-5 CAPM'!$C227,'AEB-6 LT Beta'!$B$6:$B$20,0))</f>
        <v>0.67272727272727273</v>
      </c>
      <c r="F227" s="109">
        <f t="shared" si="58"/>
        <v>0.12219337835467461</v>
      </c>
      <c r="G227" s="109">
        <f t="shared" si="62"/>
        <v>8.0266711688007947E-2</v>
      </c>
      <c r="H227" s="109">
        <f t="shared" si="63"/>
        <v>9.5924272711326558E-2</v>
      </c>
      <c r="I227" s="109">
        <f t="shared" si="64"/>
        <v>0.10249154912216357</v>
      </c>
      <c r="K227" s="190"/>
      <c r="L227" s="190"/>
      <c r="M227" s="120"/>
      <c r="N227" s="120"/>
    </row>
    <row r="228" spans="2:14">
      <c r="B228" s="111" t="s">
        <v>38</v>
      </c>
      <c r="C228" s="379"/>
      <c r="D228" s="111"/>
      <c r="E228" s="107"/>
      <c r="F228" s="111"/>
      <c r="G228" s="111"/>
      <c r="H228" s="112">
        <f>AVERAGE(H213:H227)</f>
        <v>0.10406512800702358</v>
      </c>
      <c r="I228" s="112">
        <f>AVERAGE(I213:I227)</f>
        <v>0.10859719059393634</v>
      </c>
    </row>
    <row r="229" spans="2:14" ht="16.2" thickBot="1">
      <c r="B229" s="113" t="s">
        <v>39</v>
      </c>
      <c r="C229" s="380"/>
      <c r="D229" s="113"/>
      <c r="E229" s="114"/>
      <c r="F229" s="113"/>
      <c r="G229" s="113"/>
      <c r="H229" s="115">
        <f>MEDIAN(H213:H227)</f>
        <v>0.10322124650114545</v>
      </c>
      <c r="I229" s="115">
        <f>MEDIAN(I213:I227)</f>
        <v>0.10796427946452775</v>
      </c>
    </row>
    <row r="231" spans="2:14">
      <c r="B231" s="116" t="s">
        <v>32</v>
      </c>
    </row>
    <row r="232" spans="2:14">
      <c r="B232" s="102" t="str">
        <f>B130</f>
        <v>[1] Source: Bloomberg Professional, as of January 31, 2024</v>
      </c>
    </row>
    <row r="233" spans="2:14">
      <c r="B233" s="102" t="s">
        <v>1100</v>
      </c>
    </row>
    <row r="234" spans="2:14">
      <c r="B234" s="102" t="str">
        <f>$B$30</f>
        <v>[3] Source: Market Return</v>
      </c>
    </row>
    <row r="235" spans="2:14">
      <c r="B235" s="102" t="s">
        <v>1060</v>
      </c>
    </row>
    <row r="236" spans="2:14">
      <c r="B236" s="102" t="s">
        <v>48</v>
      </c>
    </row>
    <row r="237" spans="2:14">
      <c r="B237" s="102" t="s">
        <v>49</v>
      </c>
    </row>
    <row r="240" spans="2:14" ht="13.35" customHeight="1">
      <c r="B240" s="395" t="s">
        <v>1067</v>
      </c>
      <c r="C240" s="395"/>
      <c r="D240" s="395"/>
      <c r="E240" s="395"/>
      <c r="F240" s="395"/>
      <c r="G240" s="395"/>
      <c r="H240" s="395"/>
      <c r="I240" s="395"/>
    </row>
    <row r="242" spans="2:9">
      <c r="B242" s="395" t="s">
        <v>41</v>
      </c>
      <c r="C242" s="395"/>
      <c r="D242" s="395"/>
      <c r="E242" s="395"/>
      <c r="F242" s="395"/>
      <c r="G242" s="395"/>
      <c r="H242" s="395"/>
      <c r="I242" s="395"/>
    </row>
    <row r="243" spans="2:9">
      <c r="B243" s="395" t="s">
        <v>42</v>
      </c>
      <c r="C243" s="395"/>
      <c r="D243" s="395"/>
      <c r="E243" s="395"/>
      <c r="F243" s="395"/>
      <c r="G243" s="395"/>
      <c r="H243" s="395"/>
      <c r="I243" s="395"/>
    </row>
    <row r="245" spans="2:9" ht="16.2" thickBot="1">
      <c r="D245" s="103" t="s">
        <v>14</v>
      </c>
      <c r="E245" s="103" t="s">
        <v>15</v>
      </c>
      <c r="F245" s="103" t="s">
        <v>16</v>
      </c>
      <c r="G245" s="103" t="s">
        <v>17</v>
      </c>
      <c r="H245" s="103" t="s">
        <v>18</v>
      </c>
      <c r="I245" s="103" t="s">
        <v>19</v>
      </c>
    </row>
    <row r="246" spans="2:9" ht="78">
      <c r="B246" s="90" t="s">
        <v>20</v>
      </c>
      <c r="C246" s="90" t="s">
        <v>21</v>
      </c>
      <c r="D246" s="104" t="str">
        <f t="shared" ref="D246:D261" si="65">D144</f>
        <v>Near-term projected 30-year U.S. Treasury bond yield 
(Q2 2024 - Q2 2025)</v>
      </c>
      <c r="E246" s="104" t="s">
        <v>44</v>
      </c>
      <c r="F246" s="104" t="s">
        <v>45</v>
      </c>
      <c r="G246" s="104" t="s">
        <v>46</v>
      </c>
      <c r="H246" s="105" t="s">
        <v>1096</v>
      </c>
      <c r="I246" s="105" t="s">
        <v>47</v>
      </c>
    </row>
    <row r="247" spans="2:9">
      <c r="B247" s="102" t="str">
        <f t="shared" ref="B247:C261" si="66">B213</f>
        <v>ALLETE, Inc.</v>
      </c>
      <c r="C247" s="378" t="str">
        <f t="shared" si="66"/>
        <v>ALE</v>
      </c>
      <c r="D247" s="109">
        <f t="shared" si="65"/>
        <v>4.1000000000000002E-2</v>
      </c>
      <c r="E247" s="107">
        <f t="shared" ref="E247:E261" si="67">E213</f>
        <v>0.79545454545454564</v>
      </c>
      <c r="F247" s="112">
        <f t="shared" ref="F247:F261" si="68">F111</f>
        <v>0.12219337835467461</v>
      </c>
      <c r="G247" s="112">
        <f>F247-D247</f>
        <v>8.1193378354674606E-2</v>
      </c>
      <c r="H247" s="112">
        <f>IFERROR(G247*E247+D247,"")</f>
        <v>0.10558564187303662</v>
      </c>
      <c r="I247" s="112">
        <f>IFERROR((0.25*G247)+(0.75*E247*G247)+D247,"")</f>
        <v>0.10973757599344613</v>
      </c>
    </row>
    <row r="248" spans="2:9">
      <c r="B248" s="102" t="str">
        <f t="shared" si="66"/>
        <v>Alliant Energy Corporation</v>
      </c>
      <c r="C248" s="378" t="str">
        <f t="shared" si="66"/>
        <v>LNT</v>
      </c>
      <c r="D248" s="109">
        <f t="shared" si="65"/>
        <v>4.1000000000000002E-2</v>
      </c>
      <c r="E248" s="119">
        <f t="shared" si="67"/>
        <v>0.76363636363636356</v>
      </c>
      <c r="F248" s="109">
        <f t="shared" si="68"/>
        <v>0.12219337835467461</v>
      </c>
      <c r="G248" s="109">
        <f t="shared" ref="G248" si="69">F248-D248</f>
        <v>8.1193378354674606E-2</v>
      </c>
      <c r="H248" s="109">
        <f t="shared" ref="H248" si="70">IFERROR(G248*E248+D248,"")</f>
        <v>0.10300221619811514</v>
      </c>
      <c r="I248" s="109">
        <f t="shared" ref="I248" si="71">IFERROR((0.25*G248)+(0.75*E248*G248)+D248,"")</f>
        <v>0.10780000673725501</v>
      </c>
    </row>
    <row r="249" spans="2:9">
      <c r="B249" s="102" t="str">
        <f t="shared" si="66"/>
        <v>Ameren Corporation</v>
      </c>
      <c r="C249" s="378" t="str">
        <f t="shared" si="66"/>
        <v>AEE</v>
      </c>
      <c r="D249" s="109">
        <f t="shared" si="65"/>
        <v>4.1000000000000002E-2</v>
      </c>
      <c r="E249" s="119">
        <f t="shared" si="67"/>
        <v>0.74090909090909074</v>
      </c>
      <c r="F249" s="109">
        <f t="shared" si="68"/>
        <v>0.12219337835467461</v>
      </c>
      <c r="G249" s="109">
        <f t="shared" ref="G249:G261" si="72">F249-D249</f>
        <v>8.1193378354674606E-2</v>
      </c>
      <c r="H249" s="109">
        <f t="shared" ref="H249:H261" si="73">IFERROR(G249*E249+D249,"")</f>
        <v>0.10115691214459982</v>
      </c>
      <c r="I249" s="109">
        <f t="shared" ref="I249:I261" si="74">IFERROR((0.25*G249)+(0.75*E249*G249)+D249,"")</f>
        <v>0.10641602869711853</v>
      </c>
    </row>
    <row r="250" spans="2:9">
      <c r="B250" s="102" t="str">
        <f t="shared" si="66"/>
        <v>Duke Energy Corporation</v>
      </c>
      <c r="C250" s="378" t="str">
        <f t="shared" si="66"/>
        <v>DUK</v>
      </c>
      <c r="D250" s="109">
        <f t="shared" si="65"/>
        <v>4.1000000000000002E-2</v>
      </c>
      <c r="E250" s="119">
        <f t="shared" si="67"/>
        <v>0.68636363636363629</v>
      </c>
      <c r="F250" s="109">
        <f t="shared" si="68"/>
        <v>0.12219337835467461</v>
      </c>
      <c r="G250" s="109">
        <f t="shared" si="72"/>
        <v>8.1193378354674606E-2</v>
      </c>
      <c r="H250" s="109">
        <f t="shared" si="73"/>
        <v>9.6728182416163017E-2</v>
      </c>
      <c r="I250" s="109">
        <f t="shared" si="74"/>
        <v>0.10309448140079092</v>
      </c>
    </row>
    <row r="251" spans="2:9">
      <c r="B251" s="102" t="str">
        <f t="shared" si="66"/>
        <v>Edison International</v>
      </c>
      <c r="C251" s="378" t="str">
        <f t="shared" si="66"/>
        <v>EIX</v>
      </c>
      <c r="D251" s="109">
        <f t="shared" si="65"/>
        <v>4.1000000000000002E-2</v>
      </c>
      <c r="E251" s="119">
        <f t="shared" si="67"/>
        <v>0.77272727272727271</v>
      </c>
      <c r="F251" s="109">
        <f t="shared" si="68"/>
        <v>0.12219337835467461</v>
      </c>
      <c r="G251" s="109">
        <f t="shared" si="72"/>
        <v>8.1193378354674606E-2</v>
      </c>
      <c r="H251" s="109">
        <f t="shared" si="73"/>
        <v>0.1037403378195213</v>
      </c>
      <c r="I251" s="109">
        <f t="shared" si="74"/>
        <v>0.10835359795330962</v>
      </c>
    </row>
    <row r="252" spans="2:9">
      <c r="B252" s="102" t="str">
        <f t="shared" si="66"/>
        <v>Entergy Corporation</v>
      </c>
      <c r="C252" s="378" t="str">
        <f t="shared" si="66"/>
        <v>ETR</v>
      </c>
      <c r="D252" s="109">
        <f t="shared" si="65"/>
        <v>4.1000000000000002E-2</v>
      </c>
      <c r="E252" s="119">
        <f t="shared" si="67"/>
        <v>0.76363636363636367</v>
      </c>
      <c r="F252" s="109">
        <f t="shared" si="68"/>
        <v>0.12219337835467461</v>
      </c>
      <c r="G252" s="109">
        <f t="shared" si="72"/>
        <v>8.1193378354674606E-2</v>
      </c>
      <c r="H252" s="109">
        <f t="shared" si="73"/>
        <v>0.10300221619811516</v>
      </c>
      <c r="I252" s="109">
        <f t="shared" si="74"/>
        <v>0.10780000673725501</v>
      </c>
    </row>
    <row r="253" spans="2:9">
      <c r="B253" s="102" t="str">
        <f t="shared" si="66"/>
        <v>Eversource Energy</v>
      </c>
      <c r="C253" s="378" t="str">
        <f t="shared" si="66"/>
        <v>ES</v>
      </c>
      <c r="D253" s="109">
        <f t="shared" si="65"/>
        <v>4.1000000000000002E-2</v>
      </c>
      <c r="E253" s="119">
        <f t="shared" si="67"/>
        <v>0.76111111111111129</v>
      </c>
      <c r="F253" s="109">
        <f t="shared" si="68"/>
        <v>0.12219337835467461</v>
      </c>
      <c r="G253" s="109">
        <f t="shared" si="72"/>
        <v>8.1193378354674606E-2</v>
      </c>
      <c r="H253" s="109">
        <f t="shared" si="73"/>
        <v>0.10279718241439124</v>
      </c>
      <c r="I253" s="109">
        <f t="shared" si="74"/>
        <v>0.10764623139946208</v>
      </c>
    </row>
    <row r="254" spans="2:9">
      <c r="B254" s="102" t="str">
        <f t="shared" si="66"/>
        <v>Evergy, Inc.</v>
      </c>
      <c r="C254" s="378" t="str">
        <f t="shared" si="66"/>
        <v>EVRG</v>
      </c>
      <c r="D254" s="109">
        <f t="shared" si="65"/>
        <v>4.1000000000000002E-2</v>
      </c>
      <c r="E254" s="119">
        <f t="shared" si="67"/>
        <v>0.9375</v>
      </c>
      <c r="F254" s="109">
        <f t="shared" si="68"/>
        <v>0.12219337835467461</v>
      </c>
      <c r="G254" s="109">
        <f t="shared" si="72"/>
        <v>8.1193378354674606E-2</v>
      </c>
      <c r="H254" s="109">
        <f t="shared" si="73"/>
        <v>0.11711879220750746</v>
      </c>
      <c r="I254" s="109">
        <f t="shared" si="74"/>
        <v>0.11838743874429924</v>
      </c>
    </row>
    <row r="255" spans="2:9">
      <c r="B255" s="102" t="str">
        <f t="shared" si="66"/>
        <v>IDACORP, Inc.</v>
      </c>
      <c r="C255" s="378" t="str">
        <f t="shared" si="66"/>
        <v>IDA</v>
      </c>
      <c r="D255" s="109">
        <f t="shared" si="65"/>
        <v>4.1000000000000002E-2</v>
      </c>
      <c r="E255" s="119">
        <f t="shared" si="67"/>
        <v>0.74090909090909074</v>
      </c>
      <c r="F255" s="109">
        <f t="shared" si="68"/>
        <v>0.12219337835467461</v>
      </c>
      <c r="G255" s="109">
        <f t="shared" si="72"/>
        <v>8.1193378354674606E-2</v>
      </c>
      <c r="H255" s="109">
        <f t="shared" si="73"/>
        <v>0.10115691214459982</v>
      </c>
      <c r="I255" s="109">
        <f t="shared" si="74"/>
        <v>0.10641602869711853</v>
      </c>
    </row>
    <row r="256" spans="2:9">
      <c r="B256" s="102" t="str">
        <f t="shared" si="66"/>
        <v>NextEra Energy, Inc.</v>
      </c>
      <c r="C256" s="378" t="str">
        <f t="shared" si="66"/>
        <v>NEE</v>
      </c>
      <c r="D256" s="109">
        <f t="shared" si="65"/>
        <v>4.1000000000000002E-2</v>
      </c>
      <c r="E256" s="119">
        <f t="shared" si="67"/>
        <v>0.75454545454545463</v>
      </c>
      <c r="F256" s="109">
        <f t="shared" si="68"/>
        <v>0.12219337835467461</v>
      </c>
      <c r="G256" s="109">
        <f t="shared" si="72"/>
        <v>8.1193378354674606E-2</v>
      </c>
      <c r="H256" s="109">
        <f t="shared" si="73"/>
        <v>0.10226409457670903</v>
      </c>
      <c r="I256" s="109">
        <f t="shared" si="74"/>
        <v>0.10724641552120043</v>
      </c>
    </row>
    <row r="257" spans="2:9">
      <c r="B257" s="102" t="str">
        <f t="shared" si="66"/>
        <v>NorthWestern Corporation</v>
      </c>
      <c r="C257" s="378" t="str">
        <f t="shared" si="66"/>
        <v>NWE</v>
      </c>
      <c r="D257" s="109">
        <f t="shared" si="65"/>
        <v>4.1000000000000002E-2</v>
      </c>
      <c r="E257" s="119">
        <f t="shared" si="67"/>
        <v>0.76363636363636367</v>
      </c>
      <c r="F257" s="109">
        <f t="shared" si="68"/>
        <v>0.12219337835467461</v>
      </c>
      <c r="G257" s="109">
        <f t="shared" si="72"/>
        <v>8.1193378354674606E-2</v>
      </c>
      <c r="H257" s="109">
        <f t="shared" si="73"/>
        <v>0.10300221619811516</v>
      </c>
      <c r="I257" s="109">
        <f t="shared" si="74"/>
        <v>0.10780000673725501</v>
      </c>
    </row>
    <row r="258" spans="2:9">
      <c r="B258" s="102" t="str">
        <f t="shared" si="66"/>
        <v>OGE Energy Corporation</v>
      </c>
      <c r="C258" s="378" t="str">
        <f t="shared" si="66"/>
        <v>OGE</v>
      </c>
      <c r="D258" s="109">
        <f t="shared" si="65"/>
        <v>4.1000000000000002E-2</v>
      </c>
      <c r="E258" s="119">
        <f t="shared" si="67"/>
        <v>0.94090909090909103</v>
      </c>
      <c r="F258" s="109">
        <f t="shared" si="68"/>
        <v>0.12219337835467461</v>
      </c>
      <c r="G258" s="109">
        <f t="shared" si="72"/>
        <v>8.1193378354674606E-2</v>
      </c>
      <c r="H258" s="109">
        <f t="shared" si="73"/>
        <v>0.11739558781553475</v>
      </c>
      <c r="I258" s="109">
        <f t="shared" si="74"/>
        <v>0.11859503545031971</v>
      </c>
    </row>
    <row r="259" spans="2:9">
      <c r="B259" s="102" t="str">
        <f t="shared" si="66"/>
        <v>Pinnacle West Capital Corporation</v>
      </c>
      <c r="C259" s="378" t="str">
        <f t="shared" si="66"/>
        <v>PNW</v>
      </c>
      <c r="D259" s="109">
        <f t="shared" si="65"/>
        <v>4.1000000000000002E-2</v>
      </c>
      <c r="E259" s="119">
        <f t="shared" si="67"/>
        <v>0.75454545454545463</v>
      </c>
      <c r="F259" s="109">
        <f t="shared" si="68"/>
        <v>0.12219337835467461</v>
      </c>
      <c r="G259" s="109">
        <f t="shared" si="72"/>
        <v>8.1193378354674606E-2</v>
      </c>
      <c r="H259" s="109">
        <f t="shared" si="73"/>
        <v>0.10226409457670903</v>
      </c>
      <c r="I259" s="109">
        <f t="shared" si="74"/>
        <v>0.10724641552120043</v>
      </c>
    </row>
    <row r="260" spans="2:9">
      <c r="B260" s="102" t="str">
        <f t="shared" si="66"/>
        <v>Portland General Electric Company</v>
      </c>
      <c r="C260" s="378" t="str">
        <f t="shared" si="66"/>
        <v>POR</v>
      </c>
      <c r="D260" s="109">
        <f t="shared" si="65"/>
        <v>4.1000000000000002E-2</v>
      </c>
      <c r="E260" s="119">
        <f t="shared" si="67"/>
        <v>0.76363636363636356</v>
      </c>
      <c r="F260" s="109">
        <f t="shared" si="68"/>
        <v>0.12219337835467461</v>
      </c>
      <c r="G260" s="109">
        <f t="shared" si="72"/>
        <v>8.1193378354674606E-2</v>
      </c>
      <c r="H260" s="109">
        <f t="shared" si="73"/>
        <v>0.10300221619811514</v>
      </c>
      <c r="I260" s="109">
        <f t="shared" si="74"/>
        <v>0.10780000673725501</v>
      </c>
    </row>
    <row r="261" spans="2:9">
      <c r="B261" s="102" t="str">
        <f t="shared" si="66"/>
        <v>Xcel Energy Inc.</v>
      </c>
      <c r="C261" s="378" t="str">
        <f t="shared" si="66"/>
        <v>XEL</v>
      </c>
      <c r="D261" s="109">
        <f t="shared" si="65"/>
        <v>4.1000000000000002E-2</v>
      </c>
      <c r="E261" s="119">
        <f t="shared" si="67"/>
        <v>0.67272727272727273</v>
      </c>
      <c r="F261" s="109">
        <f t="shared" si="68"/>
        <v>0.12219337835467461</v>
      </c>
      <c r="G261" s="109">
        <f t="shared" si="72"/>
        <v>8.1193378354674606E-2</v>
      </c>
      <c r="H261" s="109">
        <f t="shared" si="73"/>
        <v>9.5620999984053823E-2</v>
      </c>
      <c r="I261" s="109">
        <f t="shared" si="74"/>
        <v>0.10226409457670901</v>
      </c>
    </row>
    <row r="262" spans="2:9">
      <c r="B262" s="111" t="s">
        <v>38</v>
      </c>
      <c r="C262" s="379"/>
      <c r="D262" s="111"/>
      <c r="E262" s="107"/>
      <c r="F262" s="111"/>
      <c r="G262" s="111"/>
      <c r="H262" s="112">
        <f>AVERAGE(H247:H261)</f>
        <v>0.10385584018435244</v>
      </c>
      <c r="I262" s="112">
        <f>AVERAGE(I247:I261)</f>
        <v>0.10844022472693299</v>
      </c>
    </row>
    <row r="263" spans="2:9" ht="16.2" thickBot="1">
      <c r="B263" s="113" t="s">
        <v>39</v>
      </c>
      <c r="C263" s="380"/>
      <c r="D263" s="113"/>
      <c r="E263" s="114"/>
      <c r="F263" s="113"/>
      <c r="G263" s="113"/>
      <c r="H263" s="115">
        <f>MEDIAN(H247:H261)</f>
        <v>0.10300221619811514</v>
      </c>
      <c r="I263" s="115">
        <f>MEDIAN(I247:I261)</f>
        <v>0.10780000673725501</v>
      </c>
    </row>
    <row r="265" spans="2:9">
      <c r="B265" s="116" t="s">
        <v>32</v>
      </c>
    </row>
    <row r="266" spans="2:9">
      <c r="B266" s="102" t="str">
        <f>B164</f>
        <v>[1] Blue Chip Financial Forecasts, Vol. 43, No. 2, February 1, 2024, at 2</v>
      </c>
    </row>
    <row r="267" spans="2:9">
      <c r="B267" s="102" t="str">
        <f>B233</f>
        <v>[2] Source: LT Beta</v>
      </c>
    </row>
    <row r="268" spans="2:9">
      <c r="B268" s="102" t="str">
        <f>$B$30</f>
        <v>[3] Source: Market Return</v>
      </c>
    </row>
    <row r="269" spans="2:9">
      <c r="B269" s="102" t="s">
        <v>1060</v>
      </c>
    </row>
    <row r="270" spans="2:9">
      <c r="B270" s="102" t="s">
        <v>48</v>
      </c>
    </row>
    <row r="271" spans="2:9">
      <c r="B271" s="102" t="s">
        <v>49</v>
      </c>
    </row>
    <row r="274" spans="2:9" ht="13.35" customHeight="1">
      <c r="B274" s="395" t="s">
        <v>1101</v>
      </c>
      <c r="C274" s="395"/>
      <c r="D274" s="395"/>
      <c r="E274" s="395"/>
      <c r="F274" s="395"/>
      <c r="G274" s="395"/>
      <c r="H274" s="395"/>
      <c r="I274" s="395"/>
    </row>
    <row r="276" spans="2:9">
      <c r="B276" s="395" t="s">
        <v>41</v>
      </c>
      <c r="C276" s="395"/>
      <c r="D276" s="395"/>
      <c r="E276" s="395"/>
      <c r="F276" s="395"/>
      <c r="G276" s="395"/>
      <c r="H276" s="395"/>
      <c r="I276" s="395"/>
    </row>
    <row r="277" spans="2:9">
      <c r="B277" s="395" t="s">
        <v>42</v>
      </c>
      <c r="C277" s="395"/>
      <c r="D277" s="395"/>
      <c r="E277" s="395"/>
      <c r="F277" s="395"/>
      <c r="G277" s="395"/>
      <c r="H277" s="395"/>
      <c r="I277" s="395"/>
    </row>
    <row r="279" spans="2:9" ht="16.2" thickBot="1">
      <c r="D279" s="103" t="s">
        <v>14</v>
      </c>
      <c r="E279" s="103" t="s">
        <v>15</v>
      </c>
      <c r="F279" s="103" t="s">
        <v>16</v>
      </c>
      <c r="G279" s="103" t="s">
        <v>17</v>
      </c>
      <c r="H279" s="103" t="s">
        <v>18</v>
      </c>
      <c r="I279" s="103" t="s">
        <v>19</v>
      </c>
    </row>
    <row r="280" spans="2:9" ht="78">
      <c r="B280" s="90" t="s">
        <v>20</v>
      </c>
      <c r="C280" s="90" t="s">
        <v>21</v>
      </c>
      <c r="D280" s="104" t="str">
        <f t="shared" ref="D280:D295" si="75">D178</f>
        <v>Projected 30-year U.S. Treasury bond yield 
(2025 - 2029)</v>
      </c>
      <c r="E280" s="104" t="s">
        <v>44</v>
      </c>
      <c r="F280" s="104" t="s">
        <v>45</v>
      </c>
      <c r="G280" s="104" t="s">
        <v>46</v>
      </c>
      <c r="H280" s="105" t="s">
        <v>1096</v>
      </c>
      <c r="I280" s="105" t="s">
        <v>47</v>
      </c>
    </row>
    <row r="281" spans="2:9">
      <c r="B281" s="102" t="str">
        <f t="shared" ref="B281:C283" si="76">B247</f>
        <v>ALLETE, Inc.</v>
      </c>
      <c r="C281" s="378" t="str">
        <f t="shared" si="76"/>
        <v>ALE</v>
      </c>
      <c r="D281" s="109">
        <f t="shared" si="75"/>
        <v>4.1000000000000002E-2</v>
      </c>
      <c r="E281" s="110">
        <f t="shared" ref="E281:E295" si="77">E247</f>
        <v>0.79545454545454564</v>
      </c>
      <c r="F281" s="112">
        <f t="shared" ref="F281:F295" si="78">F111</f>
        <v>0.12219337835467461</v>
      </c>
      <c r="G281" s="112">
        <f>F281-D281</f>
        <v>8.1193378354674606E-2</v>
      </c>
      <c r="H281" s="112">
        <f>IFERROR(G281*E281+D281,"")</f>
        <v>0.10558564187303662</v>
      </c>
      <c r="I281" s="112">
        <f>IFERROR((0.25*G281)+(0.75*E281*G281)+D281,"")</f>
        <v>0.10973757599344613</v>
      </c>
    </row>
    <row r="282" spans="2:9">
      <c r="B282" s="102" t="str">
        <f t="shared" si="76"/>
        <v>Alliant Energy Corporation</v>
      </c>
      <c r="C282" s="378" t="str">
        <f t="shared" si="76"/>
        <v>LNT</v>
      </c>
      <c r="D282" s="109">
        <f t="shared" si="75"/>
        <v>4.1000000000000002E-2</v>
      </c>
      <c r="E282" s="110">
        <f t="shared" si="77"/>
        <v>0.76363636363636356</v>
      </c>
      <c r="F282" s="109">
        <f t="shared" si="78"/>
        <v>0.12219337835467461</v>
      </c>
      <c r="G282" s="109">
        <f t="shared" ref="G282" si="79">F282-D282</f>
        <v>8.1193378354674606E-2</v>
      </c>
      <c r="H282" s="109">
        <f t="shared" ref="H282" si="80">IFERROR(G282*E282+D282,"")</f>
        <v>0.10300221619811514</v>
      </c>
      <c r="I282" s="109">
        <f t="shared" ref="I282" si="81">IFERROR((0.25*G282)+(0.75*E282*G282)+D282,"")</f>
        <v>0.10780000673725501</v>
      </c>
    </row>
    <row r="283" spans="2:9">
      <c r="B283" s="102" t="str">
        <f t="shared" si="76"/>
        <v>Ameren Corporation</v>
      </c>
      <c r="C283" s="378" t="str">
        <f t="shared" si="76"/>
        <v>AEE</v>
      </c>
      <c r="D283" s="109">
        <f t="shared" si="75"/>
        <v>4.1000000000000002E-2</v>
      </c>
      <c r="E283" s="110">
        <f t="shared" si="77"/>
        <v>0.74090909090909074</v>
      </c>
      <c r="F283" s="109">
        <f t="shared" si="78"/>
        <v>0.12219337835467461</v>
      </c>
      <c r="G283" s="109">
        <f t="shared" ref="G283:G295" si="82">F283-D283</f>
        <v>8.1193378354674606E-2</v>
      </c>
      <c r="H283" s="109">
        <f t="shared" ref="H283:H295" si="83">IFERROR(G283*E283+D283,"")</f>
        <v>0.10115691214459982</v>
      </c>
      <c r="I283" s="109">
        <f t="shared" ref="I283:I295" si="84">IFERROR((0.25*G283)+(0.75*E283*G283)+D283,"")</f>
        <v>0.10641602869711853</v>
      </c>
    </row>
    <row r="284" spans="2:9">
      <c r="B284" s="102" t="str">
        <f t="shared" ref="B284:C284" si="85">B250</f>
        <v>Duke Energy Corporation</v>
      </c>
      <c r="C284" s="378" t="str">
        <f t="shared" si="85"/>
        <v>DUK</v>
      </c>
      <c r="D284" s="109">
        <f t="shared" si="75"/>
        <v>4.1000000000000002E-2</v>
      </c>
      <c r="E284" s="110">
        <f t="shared" si="77"/>
        <v>0.68636363636363629</v>
      </c>
      <c r="F284" s="109">
        <f t="shared" si="78"/>
        <v>0.12219337835467461</v>
      </c>
      <c r="G284" s="109">
        <f t="shared" si="82"/>
        <v>8.1193378354674606E-2</v>
      </c>
      <c r="H284" s="109">
        <f t="shared" si="83"/>
        <v>9.6728182416163017E-2</v>
      </c>
      <c r="I284" s="109">
        <f t="shared" si="84"/>
        <v>0.10309448140079092</v>
      </c>
    </row>
    <row r="285" spans="2:9">
      <c r="B285" s="102" t="str">
        <f t="shared" ref="B285:C285" si="86">B251</f>
        <v>Edison International</v>
      </c>
      <c r="C285" s="378" t="str">
        <f t="shared" si="86"/>
        <v>EIX</v>
      </c>
      <c r="D285" s="109">
        <f t="shared" si="75"/>
        <v>4.1000000000000002E-2</v>
      </c>
      <c r="E285" s="110">
        <f t="shared" si="77"/>
        <v>0.77272727272727271</v>
      </c>
      <c r="F285" s="109">
        <f t="shared" si="78"/>
        <v>0.12219337835467461</v>
      </c>
      <c r="G285" s="109">
        <f t="shared" si="82"/>
        <v>8.1193378354674606E-2</v>
      </c>
      <c r="H285" s="109">
        <f t="shared" si="83"/>
        <v>0.1037403378195213</v>
      </c>
      <c r="I285" s="109">
        <f t="shared" si="84"/>
        <v>0.10835359795330962</v>
      </c>
    </row>
    <row r="286" spans="2:9">
      <c r="B286" s="102" t="str">
        <f t="shared" ref="B286:C286" si="87">B252</f>
        <v>Entergy Corporation</v>
      </c>
      <c r="C286" s="378" t="str">
        <f t="shared" si="87"/>
        <v>ETR</v>
      </c>
      <c r="D286" s="109">
        <f t="shared" si="75"/>
        <v>4.1000000000000002E-2</v>
      </c>
      <c r="E286" s="110">
        <f t="shared" si="77"/>
        <v>0.76363636363636367</v>
      </c>
      <c r="F286" s="109">
        <f t="shared" si="78"/>
        <v>0.12219337835467461</v>
      </c>
      <c r="G286" s="109">
        <f t="shared" si="82"/>
        <v>8.1193378354674606E-2</v>
      </c>
      <c r="H286" s="109">
        <f t="shared" si="83"/>
        <v>0.10300221619811516</v>
      </c>
      <c r="I286" s="109">
        <f t="shared" si="84"/>
        <v>0.10780000673725501</v>
      </c>
    </row>
    <row r="287" spans="2:9">
      <c r="B287" s="102" t="str">
        <f t="shared" ref="B287:C287" si="88">B253</f>
        <v>Eversource Energy</v>
      </c>
      <c r="C287" s="378" t="str">
        <f t="shared" si="88"/>
        <v>ES</v>
      </c>
      <c r="D287" s="109">
        <f t="shared" si="75"/>
        <v>4.1000000000000002E-2</v>
      </c>
      <c r="E287" s="110">
        <f t="shared" si="77"/>
        <v>0.76111111111111129</v>
      </c>
      <c r="F287" s="109">
        <f t="shared" si="78"/>
        <v>0.12219337835467461</v>
      </c>
      <c r="G287" s="109">
        <f t="shared" si="82"/>
        <v>8.1193378354674606E-2</v>
      </c>
      <c r="H287" s="109">
        <f t="shared" si="83"/>
        <v>0.10279718241439124</v>
      </c>
      <c r="I287" s="109">
        <f t="shared" si="84"/>
        <v>0.10764623139946208</v>
      </c>
    </row>
    <row r="288" spans="2:9">
      <c r="B288" s="102" t="str">
        <f t="shared" ref="B288:C288" si="89">B254</f>
        <v>Evergy, Inc.</v>
      </c>
      <c r="C288" s="378" t="str">
        <f t="shared" si="89"/>
        <v>EVRG</v>
      </c>
      <c r="D288" s="109">
        <f t="shared" si="75"/>
        <v>4.1000000000000002E-2</v>
      </c>
      <c r="E288" s="110">
        <f t="shared" si="77"/>
        <v>0.9375</v>
      </c>
      <c r="F288" s="109">
        <f t="shared" si="78"/>
        <v>0.12219337835467461</v>
      </c>
      <c r="G288" s="109">
        <f t="shared" si="82"/>
        <v>8.1193378354674606E-2</v>
      </c>
      <c r="H288" s="109">
        <f t="shared" si="83"/>
        <v>0.11711879220750746</v>
      </c>
      <c r="I288" s="109">
        <f t="shared" si="84"/>
        <v>0.11838743874429924</v>
      </c>
    </row>
    <row r="289" spans="2:9">
      <c r="B289" s="102" t="str">
        <f t="shared" ref="B289:C289" si="90">B255</f>
        <v>IDACORP, Inc.</v>
      </c>
      <c r="C289" s="378" t="str">
        <f t="shared" si="90"/>
        <v>IDA</v>
      </c>
      <c r="D289" s="109">
        <f t="shared" si="75"/>
        <v>4.1000000000000002E-2</v>
      </c>
      <c r="E289" s="110">
        <f t="shared" si="77"/>
        <v>0.74090909090909074</v>
      </c>
      <c r="F289" s="109">
        <f t="shared" si="78"/>
        <v>0.12219337835467461</v>
      </c>
      <c r="G289" s="109">
        <f t="shared" si="82"/>
        <v>8.1193378354674606E-2</v>
      </c>
      <c r="H289" s="109">
        <f t="shared" si="83"/>
        <v>0.10115691214459982</v>
      </c>
      <c r="I289" s="109">
        <f t="shared" si="84"/>
        <v>0.10641602869711853</v>
      </c>
    </row>
    <row r="290" spans="2:9">
      <c r="B290" s="102" t="str">
        <f t="shared" ref="B290:C290" si="91">B256</f>
        <v>NextEra Energy, Inc.</v>
      </c>
      <c r="C290" s="378" t="str">
        <f t="shared" si="91"/>
        <v>NEE</v>
      </c>
      <c r="D290" s="109">
        <f t="shared" si="75"/>
        <v>4.1000000000000002E-2</v>
      </c>
      <c r="E290" s="110">
        <f t="shared" si="77"/>
        <v>0.75454545454545463</v>
      </c>
      <c r="F290" s="109">
        <f t="shared" si="78"/>
        <v>0.12219337835467461</v>
      </c>
      <c r="G290" s="109">
        <f t="shared" si="82"/>
        <v>8.1193378354674606E-2</v>
      </c>
      <c r="H290" s="109">
        <f t="shared" si="83"/>
        <v>0.10226409457670903</v>
      </c>
      <c r="I290" s="109">
        <f t="shared" si="84"/>
        <v>0.10724641552120043</v>
      </c>
    </row>
    <row r="291" spans="2:9">
      <c r="B291" s="102" t="str">
        <f t="shared" ref="B291:C291" si="92">B257</f>
        <v>NorthWestern Corporation</v>
      </c>
      <c r="C291" s="378" t="str">
        <f t="shared" si="92"/>
        <v>NWE</v>
      </c>
      <c r="D291" s="109">
        <f t="shared" si="75"/>
        <v>4.1000000000000002E-2</v>
      </c>
      <c r="E291" s="110">
        <f t="shared" si="77"/>
        <v>0.76363636363636367</v>
      </c>
      <c r="F291" s="109">
        <f t="shared" si="78"/>
        <v>0.12219337835467461</v>
      </c>
      <c r="G291" s="109">
        <f t="shared" si="82"/>
        <v>8.1193378354674606E-2</v>
      </c>
      <c r="H291" s="109">
        <f t="shared" si="83"/>
        <v>0.10300221619811516</v>
      </c>
      <c r="I291" s="109">
        <f t="shared" si="84"/>
        <v>0.10780000673725501</v>
      </c>
    </row>
    <row r="292" spans="2:9">
      <c r="B292" s="102" t="str">
        <f t="shared" ref="B292:C292" si="93">B258</f>
        <v>OGE Energy Corporation</v>
      </c>
      <c r="C292" s="378" t="str">
        <f t="shared" si="93"/>
        <v>OGE</v>
      </c>
      <c r="D292" s="109">
        <f t="shared" si="75"/>
        <v>4.1000000000000002E-2</v>
      </c>
      <c r="E292" s="110">
        <f t="shared" si="77"/>
        <v>0.94090909090909103</v>
      </c>
      <c r="F292" s="109">
        <f t="shared" si="78"/>
        <v>0.12219337835467461</v>
      </c>
      <c r="G292" s="109">
        <f t="shared" si="82"/>
        <v>8.1193378354674606E-2</v>
      </c>
      <c r="H292" s="109">
        <f t="shared" si="83"/>
        <v>0.11739558781553475</v>
      </c>
      <c r="I292" s="109">
        <f t="shared" si="84"/>
        <v>0.11859503545031971</v>
      </c>
    </row>
    <row r="293" spans="2:9">
      <c r="B293" s="102" t="str">
        <f t="shared" ref="B293:C293" si="94">B259</f>
        <v>Pinnacle West Capital Corporation</v>
      </c>
      <c r="C293" s="378" t="str">
        <f t="shared" si="94"/>
        <v>PNW</v>
      </c>
      <c r="D293" s="109">
        <f t="shared" si="75"/>
        <v>4.1000000000000002E-2</v>
      </c>
      <c r="E293" s="110">
        <f t="shared" si="77"/>
        <v>0.75454545454545463</v>
      </c>
      <c r="F293" s="109">
        <f t="shared" si="78"/>
        <v>0.12219337835467461</v>
      </c>
      <c r="G293" s="109">
        <f t="shared" si="82"/>
        <v>8.1193378354674606E-2</v>
      </c>
      <c r="H293" s="109">
        <f t="shared" si="83"/>
        <v>0.10226409457670903</v>
      </c>
      <c r="I293" s="109">
        <f t="shared" si="84"/>
        <v>0.10724641552120043</v>
      </c>
    </row>
    <row r="294" spans="2:9">
      <c r="B294" s="102" t="str">
        <f t="shared" ref="B294:C294" si="95">B260</f>
        <v>Portland General Electric Company</v>
      </c>
      <c r="C294" s="378" t="str">
        <f t="shared" si="95"/>
        <v>POR</v>
      </c>
      <c r="D294" s="109">
        <f t="shared" si="75"/>
        <v>4.1000000000000002E-2</v>
      </c>
      <c r="E294" s="110">
        <f t="shared" si="77"/>
        <v>0.76363636363636356</v>
      </c>
      <c r="F294" s="109">
        <f t="shared" si="78"/>
        <v>0.12219337835467461</v>
      </c>
      <c r="G294" s="109">
        <f t="shared" si="82"/>
        <v>8.1193378354674606E-2</v>
      </c>
      <c r="H294" s="109">
        <f t="shared" si="83"/>
        <v>0.10300221619811514</v>
      </c>
      <c r="I294" s="109">
        <f t="shared" si="84"/>
        <v>0.10780000673725501</v>
      </c>
    </row>
    <row r="295" spans="2:9">
      <c r="B295" s="102" t="str">
        <f t="shared" ref="B295:C295" si="96">B261</f>
        <v>Xcel Energy Inc.</v>
      </c>
      <c r="C295" s="378" t="str">
        <f t="shared" si="96"/>
        <v>XEL</v>
      </c>
      <c r="D295" s="109">
        <f t="shared" si="75"/>
        <v>4.1000000000000002E-2</v>
      </c>
      <c r="E295" s="110">
        <f t="shared" si="77"/>
        <v>0.67272727272727273</v>
      </c>
      <c r="F295" s="109">
        <f t="shared" si="78"/>
        <v>0.12219337835467461</v>
      </c>
      <c r="G295" s="109">
        <f t="shared" si="82"/>
        <v>8.1193378354674606E-2</v>
      </c>
      <c r="H295" s="109">
        <f t="shared" si="83"/>
        <v>9.5620999984053823E-2</v>
      </c>
      <c r="I295" s="109">
        <f t="shared" si="84"/>
        <v>0.10226409457670901</v>
      </c>
    </row>
    <row r="296" spans="2:9">
      <c r="B296" s="111" t="s">
        <v>38</v>
      </c>
      <c r="C296" s="379"/>
      <c r="D296" s="111"/>
      <c r="E296" s="107"/>
      <c r="F296" s="111"/>
      <c r="G296" s="111"/>
      <c r="H296" s="112">
        <f>AVERAGE(H281:H295)</f>
        <v>0.10385584018435244</v>
      </c>
      <c r="I296" s="112">
        <f>AVERAGE(I281:I295)</f>
        <v>0.10844022472693299</v>
      </c>
    </row>
    <row r="297" spans="2:9" ht="16.2" thickBot="1">
      <c r="B297" s="113" t="s">
        <v>39</v>
      </c>
      <c r="C297" s="380"/>
      <c r="D297" s="113"/>
      <c r="E297" s="114"/>
      <c r="F297" s="113"/>
      <c r="G297" s="113"/>
      <c r="H297" s="115">
        <f>MEDIAN(H281:H295)</f>
        <v>0.10300221619811514</v>
      </c>
      <c r="I297" s="115">
        <f>MEDIAN(I281:I295)</f>
        <v>0.10780000673725501</v>
      </c>
    </row>
    <row r="298" spans="2:9">
      <c r="H298" s="120"/>
      <c r="I298" s="120"/>
    </row>
    <row r="299" spans="2:9">
      <c r="B299" s="116" t="s">
        <v>32</v>
      </c>
    </row>
    <row r="300" spans="2:9">
      <c r="B300" s="102" t="str">
        <f>B198</f>
        <v>[1] Source: Blue Chip Financial Forecasts, Vol. 42, No. 12, December 1, 2023, at 14</v>
      </c>
    </row>
    <row r="301" spans="2:9">
      <c r="B301" s="102" t="str">
        <f>B233</f>
        <v>[2] Source: LT Beta</v>
      </c>
    </row>
    <row r="302" spans="2:9">
      <c r="B302" s="102" t="str">
        <f>$B$30</f>
        <v>[3] Source: Market Return</v>
      </c>
    </row>
    <row r="303" spans="2:9">
      <c r="B303" s="102" t="s">
        <v>1060</v>
      </c>
    </row>
    <row r="304" spans="2:9">
      <c r="B304" s="102" t="s">
        <v>48</v>
      </c>
    </row>
    <row r="305" spans="2:2">
      <c r="B305" s="102" t="s">
        <v>49</v>
      </c>
    </row>
  </sheetData>
  <mergeCells count="27">
    <mergeCell ref="B274:I274"/>
    <mergeCell ref="B276:I276"/>
    <mergeCell ref="B277:I277"/>
    <mergeCell ref="B206:I206"/>
    <mergeCell ref="B208:I208"/>
    <mergeCell ref="B209:I209"/>
    <mergeCell ref="B240:I240"/>
    <mergeCell ref="B242:I242"/>
    <mergeCell ref="B243:I243"/>
    <mergeCell ref="B175:I175"/>
    <mergeCell ref="B70:I70"/>
    <mergeCell ref="B72:I72"/>
    <mergeCell ref="B73:I73"/>
    <mergeCell ref="B104:I104"/>
    <mergeCell ref="B106:I106"/>
    <mergeCell ref="B107:I107"/>
    <mergeCell ref="B138:I138"/>
    <mergeCell ref="B140:I140"/>
    <mergeCell ref="B141:I141"/>
    <mergeCell ref="B172:I172"/>
    <mergeCell ref="B174:I174"/>
    <mergeCell ref="B39:I39"/>
    <mergeCell ref="B2:I2"/>
    <mergeCell ref="B4:I4"/>
    <mergeCell ref="B5:I5"/>
    <mergeCell ref="B36:I36"/>
    <mergeCell ref="B38:I38"/>
  </mergeCells>
  <pageMargins left="0.7" right="0.7" top="0.75" bottom="0.75" header="0.3" footer="0.3"/>
  <pageSetup scale="51" orientation="portrait" useFirstPageNumber="1" r:id="rId1"/>
  <headerFooter>
    <oddHeader>&amp;RDocket No. 56165
Exhibit AEB-5
Page &amp;P of 5</oddHeader>
  </headerFooter>
  <rowBreaks count="4" manualBreakCount="4">
    <brk id="68" max="16383" man="1"/>
    <brk id="136" max="16383" man="1"/>
    <brk id="204" max="16383" man="1"/>
    <brk id="272" max="16383" man="1"/>
  </rowBreaks>
  <ignoredErrors>
    <ignoredError sqref="D43:D57 D145:D159 D179:D193 D247:D261 D281:D295 E213:E2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2:O61"/>
  <sheetViews>
    <sheetView zoomScale="70" zoomScaleNormal="70" workbookViewId="0">
      <selection activeCell="J28" sqref="J28"/>
    </sheetView>
  </sheetViews>
  <sheetFormatPr defaultColWidth="8.77734375" defaultRowHeight="15.6"/>
  <cols>
    <col min="1" max="1" width="43.33203125" style="5" customWidth="1"/>
    <col min="2" max="2" width="8.77734375" style="382"/>
    <col min="3" max="13" width="11.77734375" style="5" customWidth="1"/>
    <col min="14" max="16384" width="8.77734375" style="5"/>
  </cols>
  <sheetData>
    <row r="2" spans="1:15">
      <c r="A2" s="396" t="s">
        <v>1102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</row>
    <row r="4" spans="1:15" ht="16.2" thickBot="1">
      <c r="A4" s="87"/>
      <c r="B4" s="383"/>
      <c r="C4" s="88" t="s">
        <v>14</v>
      </c>
      <c r="D4" s="88" t="s">
        <v>15</v>
      </c>
      <c r="E4" s="88" t="s">
        <v>16</v>
      </c>
      <c r="F4" s="88" t="s">
        <v>17</v>
      </c>
      <c r="G4" s="88" t="s">
        <v>18</v>
      </c>
      <c r="H4" s="88" t="s">
        <v>19</v>
      </c>
      <c r="I4" s="88" t="s">
        <v>50</v>
      </c>
      <c r="J4" s="88" t="s">
        <v>51</v>
      </c>
      <c r="K4" s="88" t="s">
        <v>52</v>
      </c>
      <c r="L4" s="88" t="s">
        <v>53</v>
      </c>
      <c r="M4" s="88" t="s">
        <v>54</v>
      </c>
      <c r="N4" s="88" t="s">
        <v>1483</v>
      </c>
    </row>
    <row r="5" spans="1:15">
      <c r="A5" s="89" t="s">
        <v>20</v>
      </c>
      <c r="B5" s="90" t="s">
        <v>21</v>
      </c>
      <c r="C5" s="91">
        <v>41639</v>
      </c>
      <c r="D5" s="91">
        <v>42004</v>
      </c>
      <c r="E5" s="91">
        <v>42369</v>
      </c>
      <c r="F5" s="91">
        <v>42735</v>
      </c>
      <c r="G5" s="92">
        <v>43100</v>
      </c>
      <c r="H5" s="91">
        <v>43465</v>
      </c>
      <c r="I5" s="92">
        <v>43830</v>
      </c>
      <c r="J5" s="91">
        <v>44196</v>
      </c>
      <c r="K5" s="91">
        <v>44561</v>
      </c>
      <c r="L5" s="91">
        <v>44926</v>
      </c>
      <c r="M5" s="91">
        <v>45291</v>
      </c>
      <c r="N5" s="91" t="s">
        <v>5</v>
      </c>
    </row>
    <row r="6" spans="1:15">
      <c r="A6" s="93" t="str">
        <f>'AEB-4 CGDCF'!A6</f>
        <v>ALLETE, Inc.</v>
      </c>
      <c r="B6" s="384" t="str">
        <f>'AEB-4 CGDCF'!B6</f>
        <v>ALE</v>
      </c>
      <c r="C6" s="94">
        <v>0.75</v>
      </c>
      <c r="D6" s="94">
        <v>0.8</v>
      </c>
      <c r="E6" s="94">
        <v>0.8</v>
      </c>
      <c r="F6" s="94">
        <v>0.75</v>
      </c>
      <c r="G6" s="94">
        <v>0.8</v>
      </c>
      <c r="H6" s="94">
        <v>0.65</v>
      </c>
      <c r="I6" s="94">
        <v>0.65</v>
      </c>
      <c r="J6" s="94">
        <v>0.85</v>
      </c>
      <c r="K6" s="94">
        <v>0.9</v>
      </c>
      <c r="L6" s="94">
        <v>0.9</v>
      </c>
      <c r="M6" s="94">
        <v>0.9</v>
      </c>
      <c r="N6" s="95">
        <f>AVERAGE(C6:M6)</f>
        <v>0.79545454545454564</v>
      </c>
    </row>
    <row r="7" spans="1:15">
      <c r="A7" s="93" t="str">
        <f>'AEB-4 CGDCF'!A7</f>
        <v>Alliant Energy Corporation</v>
      </c>
      <c r="B7" s="384" t="str">
        <f>'AEB-4 CGDCF'!B7</f>
        <v>LNT</v>
      </c>
      <c r="C7" s="94">
        <v>0.75</v>
      </c>
      <c r="D7" s="94">
        <v>0.8</v>
      </c>
      <c r="E7" s="94">
        <v>0.8</v>
      </c>
      <c r="F7" s="94">
        <v>0.7</v>
      </c>
      <c r="G7" s="94">
        <v>0.7</v>
      </c>
      <c r="H7" s="94">
        <v>0.6</v>
      </c>
      <c r="I7" s="94">
        <v>0.6</v>
      </c>
      <c r="J7" s="94">
        <v>0.85</v>
      </c>
      <c r="K7" s="94">
        <v>0.85</v>
      </c>
      <c r="L7" s="94">
        <v>0.85</v>
      </c>
      <c r="M7" s="94">
        <v>0.9</v>
      </c>
      <c r="N7" s="95">
        <f t="shared" ref="N7:N20" si="0">AVERAGE(C7:M7)</f>
        <v>0.76363636363636356</v>
      </c>
    </row>
    <row r="8" spans="1:15">
      <c r="A8" s="93" t="str">
        <f>'AEB-4 CGDCF'!A8</f>
        <v>Ameren Corporation</v>
      </c>
      <c r="B8" s="384" t="str">
        <f>'AEB-4 CGDCF'!B8</f>
        <v>AEE</v>
      </c>
      <c r="C8" s="94">
        <v>0.8</v>
      </c>
      <c r="D8" s="94">
        <v>0.75</v>
      </c>
      <c r="E8" s="94">
        <v>0.75</v>
      </c>
      <c r="F8" s="94">
        <v>0.65</v>
      </c>
      <c r="G8" s="94">
        <v>0.7</v>
      </c>
      <c r="H8" s="94">
        <v>0.55000000000000004</v>
      </c>
      <c r="I8" s="94">
        <v>0.55000000000000004</v>
      </c>
      <c r="J8" s="94">
        <v>0.85</v>
      </c>
      <c r="K8" s="94">
        <v>0.8</v>
      </c>
      <c r="L8" s="94">
        <v>0.85</v>
      </c>
      <c r="M8" s="94">
        <v>0.9</v>
      </c>
      <c r="N8" s="95">
        <f t="shared" si="0"/>
        <v>0.74090909090909074</v>
      </c>
    </row>
    <row r="9" spans="1:15">
      <c r="A9" s="93" t="str">
        <f>'AEB-4 CGDCF'!A9</f>
        <v>Duke Energy Corporation</v>
      </c>
      <c r="B9" s="384" t="str">
        <f>'AEB-4 CGDCF'!B9</f>
        <v>DUK</v>
      </c>
      <c r="C9" s="94">
        <v>0.65</v>
      </c>
      <c r="D9" s="94">
        <v>0.6</v>
      </c>
      <c r="E9" s="94">
        <v>0.65</v>
      </c>
      <c r="F9" s="94">
        <v>0.6</v>
      </c>
      <c r="G9" s="94">
        <v>0.6</v>
      </c>
      <c r="H9" s="94">
        <v>0.5</v>
      </c>
      <c r="I9" s="94">
        <v>0.5</v>
      </c>
      <c r="J9" s="94">
        <v>0.85</v>
      </c>
      <c r="K9" s="94">
        <v>0.85</v>
      </c>
      <c r="L9" s="94">
        <v>0.85</v>
      </c>
      <c r="M9" s="94">
        <v>0.9</v>
      </c>
      <c r="N9" s="95">
        <f t="shared" si="0"/>
        <v>0.68636363636363629</v>
      </c>
    </row>
    <row r="10" spans="1:15" s="96" customFormat="1">
      <c r="A10" s="93" t="str">
        <f>'AEB-4 CGDCF'!A10</f>
        <v>Edison International</v>
      </c>
      <c r="B10" s="384" t="str">
        <f>'AEB-4 CGDCF'!B10</f>
        <v>EIX</v>
      </c>
      <c r="C10" s="94">
        <v>0.8</v>
      </c>
      <c r="D10" s="94">
        <v>0.75</v>
      </c>
      <c r="E10" s="94">
        <v>0.7</v>
      </c>
      <c r="F10" s="94">
        <v>0.65</v>
      </c>
      <c r="G10" s="94">
        <v>0.65</v>
      </c>
      <c r="H10" s="94">
        <v>0.55000000000000004</v>
      </c>
      <c r="I10" s="94">
        <v>0.55000000000000004</v>
      </c>
      <c r="J10" s="94">
        <v>0.95</v>
      </c>
      <c r="K10" s="94">
        <v>0.95</v>
      </c>
      <c r="L10" s="94">
        <v>0.95</v>
      </c>
      <c r="M10" s="94">
        <v>1</v>
      </c>
      <c r="N10" s="95">
        <f t="shared" si="0"/>
        <v>0.77272727272727271</v>
      </c>
      <c r="O10" s="5"/>
    </row>
    <row r="11" spans="1:15" s="96" customFormat="1">
      <c r="A11" s="93" t="str">
        <f>'AEB-4 CGDCF'!A11</f>
        <v>Entergy Corporation</v>
      </c>
      <c r="B11" s="384" t="str">
        <f>'AEB-4 CGDCF'!B11</f>
        <v>ETR</v>
      </c>
      <c r="C11" s="94">
        <v>0.7</v>
      </c>
      <c r="D11" s="94">
        <v>0.7</v>
      </c>
      <c r="E11" s="94">
        <v>0.7</v>
      </c>
      <c r="F11" s="94">
        <v>0.65</v>
      </c>
      <c r="G11" s="94">
        <v>0.65</v>
      </c>
      <c r="H11" s="94">
        <v>0.6</v>
      </c>
      <c r="I11" s="94">
        <v>0.6</v>
      </c>
      <c r="J11" s="94">
        <v>0.95</v>
      </c>
      <c r="K11" s="94">
        <v>0.95</v>
      </c>
      <c r="L11" s="94">
        <v>0.95</v>
      </c>
      <c r="M11" s="94">
        <v>0.95</v>
      </c>
      <c r="N11" s="95">
        <f t="shared" si="0"/>
        <v>0.76363636363636367</v>
      </c>
      <c r="O11" s="5"/>
    </row>
    <row r="12" spans="1:15" s="96" customFormat="1">
      <c r="A12" s="93" t="str">
        <f>'AEB-4 CGDCF'!A12</f>
        <v>Eversource Energy</v>
      </c>
      <c r="B12" s="384" t="str">
        <f>'AEB-4 CGDCF'!B12</f>
        <v>ES</v>
      </c>
      <c r="C12" s="94"/>
      <c r="D12" s="94"/>
      <c r="E12" s="94">
        <v>0.75</v>
      </c>
      <c r="F12" s="94">
        <v>0.7</v>
      </c>
      <c r="G12" s="94">
        <v>0.65</v>
      </c>
      <c r="H12" s="94">
        <v>0.6</v>
      </c>
      <c r="I12" s="94">
        <v>0.55000000000000004</v>
      </c>
      <c r="J12" s="94">
        <v>0.9</v>
      </c>
      <c r="K12" s="94">
        <v>0.9</v>
      </c>
      <c r="L12" s="94">
        <v>0.9</v>
      </c>
      <c r="M12" s="94">
        <v>0.9</v>
      </c>
      <c r="N12" s="95">
        <f t="shared" si="0"/>
        <v>0.76111111111111129</v>
      </c>
      <c r="O12" s="5"/>
    </row>
    <row r="13" spans="1:15">
      <c r="A13" s="93" t="str">
        <f>'AEB-4 CGDCF'!A13</f>
        <v>Evergy, Inc.</v>
      </c>
      <c r="B13" s="384" t="str">
        <f>'AEB-4 CGDCF'!B13</f>
        <v>EVRG</v>
      </c>
      <c r="C13" s="94"/>
      <c r="D13" s="94"/>
      <c r="E13" s="94"/>
      <c r="F13" s="94"/>
      <c r="G13" s="94"/>
      <c r="H13" s="94" t="s">
        <v>55</v>
      </c>
      <c r="I13" s="94" t="s">
        <v>55</v>
      </c>
      <c r="J13" s="94">
        <v>1</v>
      </c>
      <c r="K13" s="94">
        <v>0.95</v>
      </c>
      <c r="L13" s="94">
        <v>0.9</v>
      </c>
      <c r="M13" s="94">
        <v>0.9</v>
      </c>
      <c r="N13" s="95">
        <f t="shared" si="0"/>
        <v>0.9375</v>
      </c>
    </row>
    <row r="14" spans="1:15">
      <c r="A14" s="93" t="str">
        <f>'AEB-4 CGDCF'!A14</f>
        <v>IDACORP, Inc.</v>
      </c>
      <c r="B14" s="384" t="str">
        <f>'AEB-4 CGDCF'!B14</f>
        <v>IDA</v>
      </c>
      <c r="C14" s="94">
        <v>0.75</v>
      </c>
      <c r="D14" s="94">
        <v>0.8</v>
      </c>
      <c r="E14" s="94">
        <v>0.8</v>
      </c>
      <c r="F14" s="94">
        <v>0.75</v>
      </c>
      <c r="G14" s="94">
        <v>0.7</v>
      </c>
      <c r="H14" s="94">
        <v>0.55000000000000004</v>
      </c>
      <c r="I14" s="94">
        <v>0.55000000000000004</v>
      </c>
      <c r="J14" s="94">
        <v>0.8</v>
      </c>
      <c r="K14" s="94">
        <v>0.8</v>
      </c>
      <c r="L14" s="94">
        <v>0.8</v>
      </c>
      <c r="M14" s="94">
        <v>0.85</v>
      </c>
      <c r="N14" s="95">
        <f t="shared" si="0"/>
        <v>0.74090909090909074</v>
      </c>
    </row>
    <row r="15" spans="1:15">
      <c r="A15" s="93" t="str">
        <f>'AEB-4 CGDCF'!A15</f>
        <v>NextEra Energy, Inc.</v>
      </c>
      <c r="B15" s="384" t="str">
        <f>'AEB-4 CGDCF'!B15</f>
        <v>NEE</v>
      </c>
      <c r="C15" s="94">
        <v>0.7</v>
      </c>
      <c r="D15" s="94">
        <v>0.7</v>
      </c>
      <c r="E15" s="94">
        <v>0.75</v>
      </c>
      <c r="F15" s="94">
        <v>0.65</v>
      </c>
      <c r="G15" s="94">
        <v>0.65</v>
      </c>
      <c r="H15" s="94">
        <v>0.55000000000000004</v>
      </c>
      <c r="I15" s="94">
        <v>0.55000000000000004</v>
      </c>
      <c r="J15" s="94">
        <v>0.9</v>
      </c>
      <c r="K15" s="94">
        <v>0.9</v>
      </c>
      <c r="L15" s="94">
        <v>0.95</v>
      </c>
      <c r="M15" s="94">
        <v>1</v>
      </c>
      <c r="N15" s="95">
        <f t="shared" si="0"/>
        <v>0.75454545454545463</v>
      </c>
    </row>
    <row r="16" spans="1:15">
      <c r="A16" s="93" t="str">
        <f>'AEB-4 CGDCF'!A16</f>
        <v>NorthWestern Corporation</v>
      </c>
      <c r="B16" s="384" t="str">
        <f>'AEB-4 CGDCF'!B16</f>
        <v>NWE</v>
      </c>
      <c r="C16" s="94">
        <v>0.7</v>
      </c>
      <c r="D16" s="94">
        <v>0.7</v>
      </c>
      <c r="E16" s="94">
        <v>0.7</v>
      </c>
      <c r="F16" s="94">
        <v>0.7</v>
      </c>
      <c r="G16" s="94">
        <v>0.7</v>
      </c>
      <c r="H16" s="94">
        <v>0.55000000000000004</v>
      </c>
      <c r="I16" s="94">
        <v>0.6</v>
      </c>
      <c r="J16" s="94">
        <v>0.95</v>
      </c>
      <c r="K16" s="94">
        <v>0.95</v>
      </c>
      <c r="L16" s="94">
        <v>0.9</v>
      </c>
      <c r="M16" s="94">
        <v>0.95</v>
      </c>
      <c r="N16" s="95">
        <f t="shared" si="0"/>
        <v>0.76363636363636367</v>
      </c>
    </row>
    <row r="17" spans="1:14">
      <c r="A17" s="93" t="str">
        <f>'AEB-4 CGDCF'!A17</f>
        <v>OGE Energy Corporation</v>
      </c>
      <c r="B17" s="384" t="str">
        <f>'AEB-4 CGDCF'!B17</f>
        <v>OGE</v>
      </c>
      <c r="C17" s="94">
        <v>0.85</v>
      </c>
      <c r="D17" s="94">
        <v>0.9</v>
      </c>
      <c r="E17" s="94">
        <v>0.95</v>
      </c>
      <c r="F17" s="94">
        <v>0.9</v>
      </c>
      <c r="G17" s="94">
        <v>0.95</v>
      </c>
      <c r="H17" s="94">
        <v>0.85</v>
      </c>
      <c r="I17" s="94">
        <v>0.75</v>
      </c>
      <c r="J17" s="94">
        <v>1.1000000000000001</v>
      </c>
      <c r="K17" s="94">
        <v>1.05</v>
      </c>
      <c r="L17" s="94">
        <v>1</v>
      </c>
      <c r="M17" s="94">
        <v>1.05</v>
      </c>
      <c r="N17" s="95">
        <f t="shared" si="0"/>
        <v>0.94090909090909103</v>
      </c>
    </row>
    <row r="18" spans="1:14">
      <c r="A18" s="93" t="str">
        <f>'AEB-4 CGDCF'!A18</f>
        <v>Pinnacle West Capital Corporation</v>
      </c>
      <c r="B18" s="384" t="str">
        <f>'AEB-4 CGDCF'!B18</f>
        <v>PNW</v>
      </c>
      <c r="C18" s="94">
        <v>0.75</v>
      </c>
      <c r="D18" s="94">
        <v>0.7</v>
      </c>
      <c r="E18" s="94">
        <v>0.75</v>
      </c>
      <c r="F18" s="94">
        <v>0.7</v>
      </c>
      <c r="G18" s="94">
        <v>0.7</v>
      </c>
      <c r="H18" s="94">
        <v>0.55000000000000004</v>
      </c>
      <c r="I18" s="94">
        <v>0.5</v>
      </c>
      <c r="J18" s="94">
        <v>0.9</v>
      </c>
      <c r="K18" s="94">
        <v>0.9</v>
      </c>
      <c r="L18" s="94">
        <v>0.9</v>
      </c>
      <c r="M18" s="94">
        <v>0.95</v>
      </c>
      <c r="N18" s="95">
        <f t="shared" si="0"/>
        <v>0.75454545454545463</v>
      </c>
    </row>
    <row r="19" spans="1:14">
      <c r="A19" s="93" t="str">
        <f>'AEB-4 CGDCF'!A19</f>
        <v>Portland General Electric Company</v>
      </c>
      <c r="B19" s="384" t="str">
        <f>'AEB-4 CGDCF'!B19</f>
        <v>POR</v>
      </c>
      <c r="C19" s="94">
        <v>0.75</v>
      </c>
      <c r="D19" s="94">
        <v>0.8</v>
      </c>
      <c r="E19" s="94">
        <v>0.8</v>
      </c>
      <c r="F19" s="94">
        <v>0.7</v>
      </c>
      <c r="G19" s="94">
        <v>0.7</v>
      </c>
      <c r="H19" s="94">
        <v>0.6</v>
      </c>
      <c r="I19" s="94">
        <v>0.55000000000000004</v>
      </c>
      <c r="J19" s="94">
        <v>0.85</v>
      </c>
      <c r="K19" s="94">
        <v>0.9</v>
      </c>
      <c r="L19" s="94">
        <v>0.85</v>
      </c>
      <c r="M19" s="94">
        <v>0.9</v>
      </c>
      <c r="N19" s="95">
        <f t="shared" si="0"/>
        <v>0.76363636363636356</v>
      </c>
    </row>
    <row r="20" spans="1:14">
      <c r="A20" s="97" t="str">
        <f>'AEB-4 CGDCF'!A20</f>
        <v>Xcel Energy Inc.</v>
      </c>
      <c r="B20" s="98" t="str">
        <f>'AEB-4 CGDCF'!B20</f>
        <v>XEL</v>
      </c>
      <c r="C20" s="94">
        <v>0.65</v>
      </c>
      <c r="D20" s="94">
        <v>0.65</v>
      </c>
      <c r="E20" s="94">
        <v>0.65</v>
      </c>
      <c r="F20" s="94">
        <v>0.6</v>
      </c>
      <c r="G20" s="94">
        <v>0.6</v>
      </c>
      <c r="H20" s="94">
        <v>0.5</v>
      </c>
      <c r="I20" s="94">
        <v>0.5</v>
      </c>
      <c r="J20" s="94">
        <v>0.8</v>
      </c>
      <c r="K20" s="94">
        <v>0.8</v>
      </c>
      <c r="L20" s="94">
        <v>0.8</v>
      </c>
      <c r="M20" s="94">
        <v>0.85</v>
      </c>
      <c r="N20" s="95">
        <f t="shared" si="0"/>
        <v>0.67272727272727273</v>
      </c>
    </row>
    <row r="21" spans="1:14">
      <c r="A21" s="97" t="s">
        <v>38</v>
      </c>
      <c r="B21" s="98"/>
      <c r="C21" s="99">
        <f>AVERAGE(C6:C20)</f>
        <v>0.73846153846153839</v>
      </c>
      <c r="D21" s="99">
        <f t="shared" ref="D21:N21" si="1">AVERAGE(D6:D20)</f>
        <v>0.74230769230769245</v>
      </c>
      <c r="E21" s="99">
        <f t="shared" si="1"/>
        <v>0.75357142857142867</v>
      </c>
      <c r="F21" s="99">
        <f t="shared" si="1"/>
        <v>0.69285714285714284</v>
      </c>
      <c r="G21" s="99">
        <f t="shared" si="1"/>
        <v>0.6964285714285714</v>
      </c>
      <c r="H21" s="99">
        <f t="shared" si="1"/>
        <v>0.58571428571428563</v>
      </c>
      <c r="I21" s="99">
        <f t="shared" si="1"/>
        <v>0.5714285714285714</v>
      </c>
      <c r="J21" s="99">
        <f t="shared" si="1"/>
        <v>0.9</v>
      </c>
      <c r="K21" s="99">
        <f t="shared" si="1"/>
        <v>0.89666666666666672</v>
      </c>
      <c r="L21" s="99">
        <f t="shared" si="1"/>
        <v>0.89000000000000012</v>
      </c>
      <c r="M21" s="99">
        <f t="shared" si="1"/>
        <v>0.92666666666666664</v>
      </c>
      <c r="N21" s="99">
        <f t="shared" si="1"/>
        <v>0.77414983164983164</v>
      </c>
    </row>
    <row r="23" spans="1:14">
      <c r="A23" s="100" t="s">
        <v>32</v>
      </c>
      <c r="N23" s="101"/>
    </row>
    <row r="24" spans="1:14">
      <c r="A24" s="4" t="s">
        <v>56</v>
      </c>
      <c r="B24" s="385"/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A25" s="4" t="s">
        <v>57</v>
      </c>
      <c r="B25" s="385"/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A26" s="4" t="s">
        <v>58</v>
      </c>
      <c r="B26" s="385"/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A27" s="4" t="s">
        <v>59</v>
      </c>
      <c r="B27" s="385"/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A28" s="5" t="s">
        <v>60</v>
      </c>
      <c r="B28" s="385"/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A29" s="5" t="s">
        <v>61</v>
      </c>
      <c r="B29" s="385"/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A30" s="30" t="s">
        <v>62</v>
      </c>
      <c r="B30" s="385"/>
      <c r="C30"/>
      <c r="D30"/>
      <c r="E30"/>
      <c r="F30"/>
      <c r="G30"/>
      <c r="H30"/>
      <c r="I30"/>
      <c r="J30"/>
      <c r="K30"/>
      <c r="L30"/>
      <c r="M30"/>
      <c r="N30"/>
    </row>
    <row r="31" spans="1:14">
      <c r="A31" s="5" t="s">
        <v>63</v>
      </c>
      <c r="B31" s="385"/>
      <c r="C31"/>
      <c r="D31"/>
      <c r="E31"/>
      <c r="F31"/>
      <c r="G31"/>
      <c r="H31"/>
      <c r="I31"/>
      <c r="J31"/>
      <c r="K31"/>
      <c r="L31"/>
      <c r="M31"/>
      <c r="N31"/>
    </row>
    <row r="32" spans="1:14">
      <c r="A32" s="5" t="s">
        <v>64</v>
      </c>
      <c r="B32" s="385"/>
      <c r="C32"/>
      <c r="D32"/>
      <c r="E32"/>
      <c r="F32"/>
      <c r="G32"/>
      <c r="H32"/>
      <c r="I32"/>
      <c r="J32"/>
      <c r="K32"/>
      <c r="L32"/>
      <c r="M32"/>
      <c r="N32"/>
    </row>
    <row r="33" spans="1:14">
      <c r="A33" s="5" t="s">
        <v>65</v>
      </c>
      <c r="B33" s="385"/>
      <c r="C33"/>
      <c r="D33"/>
      <c r="E33"/>
      <c r="F33"/>
      <c r="G33"/>
      <c r="H33"/>
      <c r="I33"/>
      <c r="J33"/>
      <c r="K33"/>
      <c r="L33"/>
      <c r="M33"/>
      <c r="N33"/>
    </row>
    <row r="34" spans="1:14">
      <c r="A34" s="5" t="s">
        <v>1556</v>
      </c>
      <c r="B34" s="385"/>
      <c r="C34"/>
      <c r="D34"/>
      <c r="E34"/>
      <c r="F34"/>
      <c r="G34"/>
      <c r="H34"/>
      <c r="I34"/>
      <c r="J34"/>
      <c r="K34"/>
      <c r="L34"/>
      <c r="M34"/>
      <c r="N34"/>
    </row>
    <row r="35" spans="1:14">
      <c r="A35" s="5" t="s">
        <v>1557</v>
      </c>
      <c r="B35" s="385"/>
      <c r="C35"/>
      <c r="D35"/>
      <c r="E35"/>
      <c r="F35"/>
      <c r="G35"/>
      <c r="H35"/>
      <c r="I35"/>
      <c r="J35"/>
      <c r="K35"/>
      <c r="L35"/>
      <c r="M35"/>
      <c r="N35"/>
    </row>
    <row r="36" spans="1:14">
      <c r="B36" s="385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B37" s="385"/>
      <c r="C37"/>
      <c r="D37"/>
      <c r="E37"/>
      <c r="F37"/>
      <c r="G37"/>
      <c r="H37"/>
      <c r="I37"/>
      <c r="J37"/>
      <c r="K37"/>
      <c r="L37"/>
      <c r="M37"/>
      <c r="N37"/>
    </row>
    <row r="38" spans="1:14">
      <c r="B38" s="385"/>
      <c r="C38"/>
      <c r="D38"/>
      <c r="E38"/>
      <c r="F38"/>
      <c r="G38"/>
      <c r="H38"/>
      <c r="I38"/>
      <c r="J38"/>
      <c r="K38"/>
      <c r="L38"/>
      <c r="M38"/>
      <c r="N38"/>
    </row>
    <row r="39" spans="1:14">
      <c r="B39" s="385"/>
      <c r="C39"/>
      <c r="D39"/>
      <c r="E39"/>
      <c r="F39"/>
      <c r="G39"/>
      <c r="H39"/>
      <c r="I39"/>
      <c r="J39"/>
      <c r="K39"/>
      <c r="L39"/>
      <c r="M39"/>
      <c r="N39"/>
    </row>
    <row r="40" spans="1:14">
      <c r="B40" s="385"/>
      <c r="C40"/>
      <c r="D40"/>
      <c r="E40"/>
      <c r="F40"/>
      <c r="G40"/>
      <c r="H40"/>
      <c r="I40"/>
      <c r="J40"/>
      <c r="K40"/>
      <c r="L40"/>
      <c r="M40"/>
      <c r="N40"/>
    </row>
    <row r="41" spans="1:14">
      <c r="B41" s="385"/>
      <c r="C41"/>
      <c r="D41"/>
      <c r="E41"/>
      <c r="F41"/>
      <c r="G41"/>
      <c r="H41"/>
      <c r="I41"/>
      <c r="J41"/>
      <c r="K41"/>
      <c r="L41"/>
      <c r="M41"/>
      <c r="N41"/>
    </row>
    <row r="42" spans="1:14">
      <c r="B42" s="385"/>
      <c r="C42"/>
      <c r="D42"/>
      <c r="E42"/>
      <c r="F42"/>
      <c r="G42"/>
      <c r="H42"/>
      <c r="I42"/>
      <c r="J42"/>
      <c r="K42"/>
      <c r="L42"/>
      <c r="M42"/>
      <c r="N42"/>
    </row>
    <row r="43" spans="1:14">
      <c r="B43" s="385"/>
      <c r="C43"/>
      <c r="D43"/>
      <c r="E43"/>
      <c r="F43"/>
      <c r="G43"/>
      <c r="H43"/>
      <c r="I43"/>
      <c r="J43"/>
      <c r="K43"/>
      <c r="L43"/>
      <c r="M43"/>
      <c r="N43"/>
    </row>
    <row r="44" spans="1:14">
      <c r="B44" s="385"/>
      <c r="C44"/>
      <c r="D44"/>
      <c r="E44"/>
      <c r="F44"/>
      <c r="G44"/>
      <c r="H44"/>
      <c r="I44"/>
      <c r="J44"/>
      <c r="K44"/>
      <c r="L44"/>
      <c r="M44"/>
      <c r="N44"/>
    </row>
    <row r="45" spans="1:14">
      <c r="B45" s="38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B46" s="385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B47" s="385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B48" s="385"/>
      <c r="C48"/>
      <c r="D48"/>
      <c r="E48"/>
      <c r="F48"/>
      <c r="G48"/>
      <c r="H48"/>
      <c r="I48"/>
      <c r="J48"/>
      <c r="K48"/>
      <c r="L48"/>
      <c r="M48"/>
      <c r="N48"/>
    </row>
    <row r="49" spans="2:14">
      <c r="B49" s="385"/>
      <c r="C49"/>
      <c r="D49"/>
      <c r="E49"/>
      <c r="F49"/>
      <c r="G49"/>
      <c r="H49"/>
      <c r="I49"/>
      <c r="J49"/>
      <c r="K49"/>
      <c r="L49"/>
      <c r="M49"/>
      <c r="N49"/>
    </row>
    <row r="50" spans="2:14">
      <c r="B50" s="385"/>
      <c r="C50"/>
      <c r="D50"/>
      <c r="E50"/>
      <c r="F50"/>
      <c r="G50"/>
      <c r="H50"/>
      <c r="I50"/>
      <c r="J50"/>
      <c r="K50"/>
      <c r="L50"/>
      <c r="M50"/>
      <c r="N50"/>
    </row>
    <row r="51" spans="2:14">
      <c r="B51" s="385"/>
      <c r="C51"/>
      <c r="D51"/>
      <c r="E51"/>
      <c r="F51"/>
      <c r="G51"/>
      <c r="H51"/>
      <c r="I51"/>
      <c r="J51"/>
      <c r="K51"/>
      <c r="L51"/>
      <c r="M51"/>
      <c r="N51"/>
    </row>
    <row r="52" spans="2:14">
      <c r="B52" s="385"/>
      <c r="C52"/>
      <c r="D52"/>
      <c r="E52"/>
      <c r="F52"/>
      <c r="G52"/>
      <c r="H52"/>
      <c r="I52"/>
      <c r="J52"/>
      <c r="K52"/>
      <c r="L52"/>
      <c r="M52"/>
      <c r="N52"/>
    </row>
    <row r="53" spans="2:14">
      <c r="B53" s="385"/>
      <c r="C53"/>
      <c r="D53"/>
      <c r="E53"/>
      <c r="F53"/>
      <c r="G53"/>
      <c r="H53"/>
      <c r="I53"/>
      <c r="J53"/>
      <c r="K53"/>
      <c r="L53"/>
      <c r="M53"/>
      <c r="N53"/>
    </row>
    <row r="54" spans="2:14">
      <c r="B54" s="385"/>
      <c r="C54"/>
      <c r="D54"/>
      <c r="E54"/>
      <c r="F54"/>
      <c r="G54"/>
      <c r="H54"/>
      <c r="I54"/>
      <c r="J54"/>
      <c r="K54"/>
      <c r="L54"/>
      <c r="M54"/>
      <c r="N54"/>
    </row>
    <row r="55" spans="2:14">
      <c r="B55" s="385"/>
      <c r="C55"/>
      <c r="D55"/>
      <c r="E55"/>
      <c r="F55"/>
      <c r="G55"/>
      <c r="H55"/>
      <c r="I55"/>
      <c r="J55"/>
      <c r="K55"/>
      <c r="L55"/>
      <c r="M55"/>
      <c r="N55"/>
    </row>
    <row r="56" spans="2:14">
      <c r="B56" s="385"/>
      <c r="C56"/>
      <c r="D56"/>
      <c r="E56"/>
      <c r="F56"/>
      <c r="G56"/>
      <c r="H56"/>
      <c r="I56"/>
      <c r="J56"/>
      <c r="K56"/>
      <c r="L56"/>
      <c r="M56"/>
      <c r="N56"/>
    </row>
    <row r="57" spans="2:14">
      <c r="B57" s="385"/>
      <c r="C57"/>
      <c r="D57"/>
      <c r="E57"/>
      <c r="F57"/>
      <c r="G57"/>
      <c r="H57"/>
      <c r="I57"/>
      <c r="J57"/>
      <c r="K57"/>
      <c r="L57"/>
      <c r="M57"/>
      <c r="N57"/>
    </row>
    <row r="58" spans="2:14">
      <c r="B58" s="385"/>
      <c r="C58"/>
      <c r="D58"/>
      <c r="E58"/>
      <c r="F58"/>
      <c r="G58"/>
      <c r="H58"/>
      <c r="I58"/>
      <c r="J58"/>
      <c r="K58"/>
      <c r="L58"/>
      <c r="M58"/>
      <c r="N58"/>
    </row>
    <row r="59" spans="2:14">
      <c r="B59" s="385"/>
      <c r="C59"/>
      <c r="D59"/>
      <c r="E59"/>
      <c r="F59"/>
      <c r="G59"/>
      <c r="H59"/>
      <c r="I59"/>
      <c r="J59"/>
      <c r="K59"/>
      <c r="L59"/>
      <c r="M59"/>
      <c r="N59"/>
    </row>
    <row r="60" spans="2:14">
      <c r="B60" s="385"/>
      <c r="C60"/>
      <c r="D60"/>
      <c r="E60"/>
      <c r="F60"/>
      <c r="G60"/>
      <c r="H60"/>
      <c r="I60"/>
      <c r="J60"/>
      <c r="K60"/>
      <c r="L60"/>
      <c r="M60"/>
      <c r="N60"/>
    </row>
    <row r="61" spans="2:14">
      <c r="B61" s="385"/>
      <c r="C61"/>
      <c r="D61"/>
      <c r="E61"/>
      <c r="F61"/>
      <c r="G61"/>
      <c r="H61"/>
      <c r="I61"/>
      <c r="J61"/>
      <c r="K61"/>
      <c r="L61"/>
      <c r="M61"/>
      <c r="N61"/>
    </row>
  </sheetData>
  <mergeCells count="1">
    <mergeCell ref="A2:N2"/>
  </mergeCells>
  <conditionalFormatting sqref="A6:B20">
    <cfRule type="expression" dxfId="15" priority="4">
      <formula>"(blank)"</formula>
    </cfRule>
  </conditionalFormatting>
  <conditionalFormatting sqref="A6:B20">
    <cfRule type="expression" dxfId="14" priority="5">
      <formula>#REF!</formula>
    </cfRule>
  </conditionalFormatting>
  <pageMargins left="0.7" right="0.7" top="0.75" bottom="0.75" header="0.3" footer="0.3"/>
  <pageSetup scale="64" orientation="landscape" useFirstPageNumber="1" r:id="rId1"/>
  <headerFooter>
    <oddHeader xml:space="preserve">&amp;RDocket No. 56165
Exhibit AEB-6
Page  &amp;P of 1 </oddHeader>
  </headerFooter>
  <ignoredErrors>
    <ignoredError sqref="C21:N2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J534"/>
  <sheetViews>
    <sheetView zoomScale="70" zoomScaleNormal="70" zoomScaleSheetLayoutView="85" zoomScalePageLayoutView="85" workbookViewId="0">
      <selection activeCell="J28" sqref="J28"/>
    </sheetView>
  </sheetViews>
  <sheetFormatPr defaultColWidth="9.109375" defaultRowHeight="15.6"/>
  <cols>
    <col min="1" max="1" width="49.21875" style="74" customWidth="1"/>
    <col min="2" max="2" width="15.5546875" style="74" customWidth="1"/>
    <col min="3" max="3" width="10.33203125" style="74" customWidth="1"/>
    <col min="4" max="4" width="12.5546875" style="74" bestFit="1" customWidth="1"/>
    <col min="5" max="5" width="12.77734375" style="74" bestFit="1" customWidth="1"/>
    <col min="6" max="6" width="10.88671875" style="74" bestFit="1" customWidth="1"/>
    <col min="7" max="8" width="14.5546875" style="74" bestFit="1" customWidth="1"/>
    <col min="9" max="9" width="11.5546875" style="74" bestFit="1" customWidth="1"/>
    <col min="10" max="10" width="14.5546875" style="74" bestFit="1" customWidth="1"/>
    <col min="11" max="16384" width="9.109375" style="74"/>
  </cols>
  <sheetData>
    <row r="1" spans="1:10" ht="15.6" customHeight="1">
      <c r="A1" s="186" t="s">
        <v>1068</v>
      </c>
      <c r="B1" s="186"/>
      <c r="C1" s="186"/>
      <c r="D1" s="186"/>
      <c r="E1" s="186"/>
      <c r="F1" s="186"/>
      <c r="G1" s="186"/>
      <c r="H1" s="75"/>
      <c r="I1" s="75"/>
      <c r="J1" s="75"/>
    </row>
    <row r="2" spans="1:10" s="29" customFormat="1"/>
    <row r="3" spans="1:10" s="29" customFormat="1">
      <c r="A3" s="35"/>
    </row>
    <row r="4" spans="1:10" s="29" customFormat="1">
      <c r="A4" s="35" t="s">
        <v>1069</v>
      </c>
      <c r="B4" s="397">
        <f>SUM(H19:H521)</f>
        <v>1.6275252155813307E-2</v>
      </c>
      <c r="C4" s="398"/>
      <c r="E4" s="6"/>
    </row>
    <row r="5" spans="1:10" s="29" customFormat="1">
      <c r="A5" s="35"/>
      <c r="E5" s="6"/>
    </row>
    <row r="6" spans="1:10" s="29" customFormat="1">
      <c r="A6" s="35" t="s">
        <v>1070</v>
      </c>
      <c r="B6" s="397">
        <f>SUM(J19:J521)</f>
        <v>0.10506316147620522</v>
      </c>
      <c r="C6" s="398"/>
      <c r="E6" s="6"/>
    </row>
    <row r="7" spans="1:10" s="29" customFormat="1">
      <c r="A7" s="35"/>
      <c r="E7" s="6"/>
    </row>
    <row r="8" spans="1:10" s="29" customFormat="1">
      <c r="A8" s="35" t="s">
        <v>66</v>
      </c>
      <c r="B8" s="399">
        <f>B4*(1+0.5*B6)+B6</f>
        <v>0.12219337835467461</v>
      </c>
      <c r="C8" s="400"/>
      <c r="E8" s="6"/>
    </row>
    <row r="9" spans="1:10" s="29" customFormat="1">
      <c r="A9" s="35"/>
    </row>
    <row r="10" spans="1:10" s="29" customFormat="1">
      <c r="A10" s="35"/>
    </row>
    <row r="11" spans="1:10" s="29" customFormat="1"/>
    <row r="12" spans="1:10">
      <c r="A12" s="75" t="s">
        <v>1071</v>
      </c>
      <c r="B12" s="75"/>
      <c r="C12" s="75"/>
      <c r="D12" s="75"/>
      <c r="E12" s="75"/>
      <c r="F12" s="75"/>
      <c r="G12" s="75"/>
      <c r="H12" s="75"/>
      <c r="I12" s="75"/>
      <c r="J12" s="75"/>
    </row>
    <row r="14" spans="1:10" ht="16.2" thickBot="1">
      <c r="C14" s="76" t="s">
        <v>17</v>
      </c>
      <c r="D14" s="76" t="s">
        <v>18</v>
      </c>
      <c r="E14" s="76" t="s">
        <v>19</v>
      </c>
      <c r="F14" s="76" t="s">
        <v>50</v>
      </c>
      <c r="G14" s="76" t="s">
        <v>51</v>
      </c>
      <c r="H14" s="76" t="s">
        <v>52</v>
      </c>
      <c r="I14" s="76" t="s">
        <v>53</v>
      </c>
      <c r="J14" s="76" t="s">
        <v>54</v>
      </c>
    </row>
    <row r="15" spans="1:10">
      <c r="A15" s="77"/>
      <c r="B15" s="77"/>
      <c r="C15" s="77"/>
      <c r="D15" s="77"/>
      <c r="E15" s="77"/>
      <c r="F15" s="78"/>
      <c r="G15" s="79"/>
      <c r="H15" s="77"/>
      <c r="I15" s="80" t="s">
        <v>1310</v>
      </c>
      <c r="J15" s="80" t="s">
        <v>67</v>
      </c>
    </row>
    <row r="16" spans="1:10">
      <c r="C16" s="76" t="s">
        <v>68</v>
      </c>
      <c r="E16" s="76" t="s">
        <v>69</v>
      </c>
      <c r="F16" s="32" t="s">
        <v>70</v>
      </c>
      <c r="G16" s="32" t="s">
        <v>71</v>
      </c>
      <c r="H16" s="76" t="s">
        <v>72</v>
      </c>
      <c r="I16" s="32" t="s">
        <v>73</v>
      </c>
      <c r="J16" s="76" t="s">
        <v>73</v>
      </c>
    </row>
    <row r="17" spans="1:10">
      <c r="A17" s="81" t="s">
        <v>74</v>
      </c>
      <c r="B17" s="81" t="s">
        <v>21</v>
      </c>
      <c r="C17" s="81" t="s">
        <v>75</v>
      </c>
      <c r="D17" s="81" t="s">
        <v>76</v>
      </c>
      <c r="E17" s="81" t="s">
        <v>77</v>
      </c>
      <c r="F17" s="82" t="s">
        <v>78</v>
      </c>
      <c r="G17" s="82" t="s">
        <v>36</v>
      </c>
      <c r="H17" s="81" t="s">
        <v>36</v>
      </c>
      <c r="I17" s="82" t="s">
        <v>79</v>
      </c>
      <c r="J17" s="81" t="s">
        <v>79</v>
      </c>
    </row>
    <row r="18" spans="1:10" s="29" customFormat="1"/>
    <row r="19" spans="1:10">
      <c r="A19" s="29" t="s">
        <v>80</v>
      </c>
      <c r="B19" s="34" t="s">
        <v>81</v>
      </c>
      <c r="C19" s="83">
        <v>324.36200000000002</v>
      </c>
      <c r="D19" s="83">
        <v>94.12</v>
      </c>
      <c r="E19" s="83">
        <f>IFERROR(C19*D19,"")</f>
        <v>30528.951440000004</v>
      </c>
      <c r="F19" s="84">
        <f>IF(AND(ISNUMBER($I19)), IF(AND($I19&lt;=20%,$I19&gt;0%), $E19/SUMIFS($E$19:$E$521,$I$19:$I$521, "&gt;"&amp;0%,$I$19:$I$521, "&lt;="&amp;20%),""),"")</f>
        <v>9.6447137937208513E-4</v>
      </c>
      <c r="G19" s="85">
        <v>5.3123671908202295E-2</v>
      </c>
      <c r="H19" s="84">
        <f>IFERROR($G19*$F19,"")</f>
        <v>5.1236261122613958E-5</v>
      </c>
      <c r="I19" s="84">
        <v>0.08</v>
      </c>
      <c r="J19" s="84">
        <f t="shared" ref="J19:J82" si="0">IFERROR($I19*$F19,"")</f>
        <v>7.7157710349766808E-5</v>
      </c>
    </row>
    <row r="20" spans="1:10">
      <c r="A20" s="29" t="s">
        <v>82</v>
      </c>
      <c r="B20" s="34" t="s">
        <v>83</v>
      </c>
      <c r="C20" s="83">
        <v>723</v>
      </c>
      <c r="D20" s="83">
        <v>200.74</v>
      </c>
      <c r="E20" s="83">
        <f t="shared" ref="E20:E83" si="1">IFERROR(C20*D20,"")</f>
        <v>145135.02000000002</v>
      </c>
      <c r="F20" s="84">
        <f t="shared" ref="F20:F83" si="2">IF(AND(ISNUMBER($I20)), IF(AND($I20&lt;=20%,$I20&gt;0%), $E20/SUMIFS($E$19:$E$521,$I$19:$I$521, "&gt;"&amp;0%,$I$19:$I$521, "&lt;="&amp;20%),""),"")</f>
        <v>4.5851090958594406E-3</v>
      </c>
      <c r="G20" s="85">
        <v>1.1955763674404702E-2</v>
      </c>
      <c r="H20" s="84">
        <f t="shared" ref="H20:H83" si="3">IFERROR($G20*$F20,"")</f>
        <v>5.4818480771458888E-5</v>
      </c>
      <c r="I20" s="84">
        <v>0.14169999999999999</v>
      </c>
      <c r="J20" s="84">
        <f t="shared" si="0"/>
        <v>6.4970995888328272E-4</v>
      </c>
    </row>
    <row r="21" spans="1:10">
      <c r="A21" s="29" t="s">
        <v>84</v>
      </c>
      <c r="B21" s="34" t="s">
        <v>85</v>
      </c>
      <c r="C21" s="83">
        <v>4204</v>
      </c>
      <c r="D21" s="83">
        <v>42.35</v>
      </c>
      <c r="E21" s="83">
        <f t="shared" si="1"/>
        <v>178039.4</v>
      </c>
      <c r="F21" s="84" t="str">
        <f t="shared" si="2"/>
        <v/>
      </c>
      <c r="G21" s="85">
        <v>6.2809917355371905E-2</v>
      </c>
      <c r="H21" s="84" t="str">
        <f t="shared" si="3"/>
        <v/>
      </c>
      <c r="I21" s="84">
        <v>-4.0999999999999995E-2</v>
      </c>
      <c r="J21" s="84" t="str">
        <f t="shared" si="0"/>
        <v/>
      </c>
    </row>
    <row r="22" spans="1:10">
      <c r="A22" s="29" t="s">
        <v>86</v>
      </c>
      <c r="B22" s="34" t="s">
        <v>87</v>
      </c>
      <c r="C22" s="83">
        <v>468.14100000000002</v>
      </c>
      <c r="D22" s="83">
        <v>1180</v>
      </c>
      <c r="E22" s="83">
        <f t="shared" si="1"/>
        <v>552406.38</v>
      </c>
      <c r="F22" s="84">
        <f t="shared" si="2"/>
        <v>1.745163584604726E-2</v>
      </c>
      <c r="G22" s="85">
        <v>1.7796610169491526E-2</v>
      </c>
      <c r="H22" s="84">
        <f t="shared" si="3"/>
        <v>3.105799599720275E-4</v>
      </c>
      <c r="I22" s="84">
        <v>0.13900000000000001</v>
      </c>
      <c r="J22" s="84">
        <f t="shared" si="0"/>
        <v>2.4257773826005693E-3</v>
      </c>
    </row>
    <row r="23" spans="1:10">
      <c r="A23" s="29" t="s">
        <v>88</v>
      </c>
      <c r="B23" s="34" t="s">
        <v>89</v>
      </c>
      <c r="C23" s="83">
        <v>610.13499999999999</v>
      </c>
      <c r="D23" s="83">
        <v>211.04</v>
      </c>
      <c r="E23" s="83">
        <f t="shared" si="1"/>
        <v>128762.89039999999</v>
      </c>
      <c r="F23" s="84" t="str">
        <f t="shared" si="2"/>
        <v/>
      </c>
      <c r="G23" s="85" t="s">
        <v>90</v>
      </c>
      <c r="H23" s="84" t="str">
        <f t="shared" si="3"/>
        <v/>
      </c>
      <c r="I23" s="84" t="s">
        <v>90</v>
      </c>
      <c r="J23" s="84" t="str">
        <f t="shared" si="0"/>
        <v/>
      </c>
    </row>
    <row r="24" spans="1:10">
      <c r="A24" s="29" t="s">
        <v>91</v>
      </c>
      <c r="B24" s="34" t="s">
        <v>92</v>
      </c>
      <c r="C24" s="83">
        <v>509.08499999999998</v>
      </c>
      <c r="D24" s="83">
        <v>300.31</v>
      </c>
      <c r="E24" s="83">
        <f t="shared" si="1"/>
        <v>152883.31635000001</v>
      </c>
      <c r="F24" s="84">
        <f t="shared" si="2"/>
        <v>4.8298934633525473E-3</v>
      </c>
      <c r="G24" s="85">
        <v>1.7315440711265027E-2</v>
      </c>
      <c r="H24" s="84">
        <f t="shared" si="3"/>
        <v>8.3631733906407542E-5</v>
      </c>
      <c r="I24" s="84">
        <v>0.2</v>
      </c>
      <c r="J24" s="84">
        <f t="shared" si="0"/>
        <v>9.6597869267050953E-4</v>
      </c>
    </row>
    <row r="25" spans="1:10">
      <c r="A25" s="29" t="s">
        <v>93</v>
      </c>
      <c r="B25" s="34" t="s">
        <v>94</v>
      </c>
      <c r="C25" s="83">
        <v>2891.0079999999998</v>
      </c>
      <c r="D25" s="83">
        <v>174.36</v>
      </c>
      <c r="E25" s="83">
        <f t="shared" si="1"/>
        <v>504076.15487999999</v>
      </c>
      <c r="F25" s="84">
        <f t="shared" si="2"/>
        <v>1.5924786193891313E-2</v>
      </c>
      <c r="G25" s="85">
        <v>2.4088093599449415E-2</v>
      </c>
      <c r="H25" s="84">
        <f t="shared" si="3"/>
        <v>3.8359774038967373E-4</v>
      </c>
      <c r="I25" s="84">
        <v>0.02</v>
      </c>
      <c r="J25" s="84">
        <f t="shared" si="0"/>
        <v>3.1849572387782624E-4</v>
      </c>
    </row>
    <row r="26" spans="1:10">
      <c r="A26" s="29" t="s">
        <v>95</v>
      </c>
      <c r="B26" s="34" t="s">
        <v>96</v>
      </c>
      <c r="C26" s="83">
        <v>1887.749</v>
      </c>
      <c r="D26" s="83">
        <v>147.43</v>
      </c>
      <c r="E26" s="83">
        <f t="shared" si="1"/>
        <v>278310.83507000003</v>
      </c>
      <c r="F26" s="84">
        <f t="shared" si="2"/>
        <v>8.7924026975411823E-3</v>
      </c>
      <c r="G26" s="85">
        <v>4.0968595265549752E-2</v>
      </c>
      <c r="H26" s="84">
        <f t="shared" si="3"/>
        <v>3.6021238752729254E-4</v>
      </c>
      <c r="I26" s="84">
        <v>7.2649999999999992E-2</v>
      </c>
      <c r="J26" s="84">
        <f t="shared" si="0"/>
        <v>6.3876805597636683E-4</v>
      </c>
    </row>
    <row r="27" spans="1:10">
      <c r="A27" s="29" t="s">
        <v>97</v>
      </c>
      <c r="B27" s="34" t="s">
        <v>98</v>
      </c>
      <c r="C27" s="83">
        <v>4323.4139999999998</v>
      </c>
      <c r="D27" s="83">
        <v>59.49</v>
      </c>
      <c r="E27" s="83">
        <f t="shared" si="1"/>
        <v>257199.89885999999</v>
      </c>
      <c r="F27" s="84">
        <f t="shared" si="2"/>
        <v>8.1254654852916542E-3</v>
      </c>
      <c r="G27" s="85">
        <v>3.0929567994620946E-2</v>
      </c>
      <c r="H27" s="84">
        <f t="shared" si="3"/>
        <v>2.513171372152739E-4</v>
      </c>
      <c r="I27" s="84">
        <v>6.5799999999999997E-2</v>
      </c>
      <c r="J27" s="84">
        <f t="shared" si="0"/>
        <v>5.3465562893219081E-4</v>
      </c>
    </row>
    <row r="28" spans="1:10">
      <c r="A28" s="29" t="s">
        <v>99</v>
      </c>
      <c r="B28" s="34" t="s">
        <v>100</v>
      </c>
      <c r="C28" s="83">
        <v>1765.537</v>
      </c>
      <c r="D28" s="83">
        <v>164.4</v>
      </c>
      <c r="E28" s="83">
        <f t="shared" si="1"/>
        <v>290254.28280000004</v>
      </c>
      <c r="F28" s="84">
        <f t="shared" si="2"/>
        <v>9.1697203898717088E-3</v>
      </c>
      <c r="G28" s="85">
        <v>3.7712895377128956E-2</v>
      </c>
      <c r="H28" s="84">
        <f t="shared" si="3"/>
        <v>3.4581670570075791E-4</v>
      </c>
      <c r="I28" s="84">
        <v>9.0879999999999989E-2</v>
      </c>
      <c r="J28" s="84">
        <f t="shared" si="0"/>
        <v>8.3334418903154082E-4</v>
      </c>
    </row>
    <row r="29" spans="1:10">
      <c r="A29" s="29" t="s">
        <v>101</v>
      </c>
      <c r="B29" s="34" t="s">
        <v>102</v>
      </c>
      <c r="C29" s="83">
        <v>1830.316</v>
      </c>
      <c r="D29" s="83">
        <v>96.05</v>
      </c>
      <c r="E29" s="83">
        <f t="shared" si="1"/>
        <v>175801.8518</v>
      </c>
      <c r="F29" s="84">
        <f t="shared" si="2"/>
        <v>5.5539363949315143E-3</v>
      </c>
      <c r="G29" s="85">
        <v>6.2467464862051014E-3</v>
      </c>
      <c r="H29" s="84">
        <f t="shared" si="3"/>
        <v>3.4694032659645066E-5</v>
      </c>
      <c r="I29" s="84">
        <v>0.18875</v>
      </c>
      <c r="J29" s="84">
        <f t="shared" si="0"/>
        <v>1.0483054945433234E-3</v>
      </c>
    </row>
    <row r="30" spans="1:10">
      <c r="A30" s="29" t="s">
        <v>103</v>
      </c>
      <c r="B30" s="34" t="s">
        <v>104</v>
      </c>
      <c r="C30" s="83">
        <v>72.203999999999994</v>
      </c>
      <c r="D30" s="83">
        <v>289.93</v>
      </c>
      <c r="E30" s="83">
        <f t="shared" si="1"/>
        <v>20934.10572</v>
      </c>
      <c r="F30" s="84">
        <f t="shared" si="2"/>
        <v>6.6135077909146344E-4</v>
      </c>
      <c r="G30" s="85" t="s">
        <v>90</v>
      </c>
      <c r="H30" s="84" t="str">
        <f t="shared" si="3"/>
        <v/>
      </c>
      <c r="I30" s="84">
        <v>0.12789999999999999</v>
      </c>
      <c r="J30" s="84">
        <f t="shared" si="0"/>
        <v>8.4586764645798169E-5</v>
      </c>
    </row>
    <row r="31" spans="1:10">
      <c r="A31" s="29" t="s">
        <v>105</v>
      </c>
      <c r="B31" s="34" t="s">
        <v>106</v>
      </c>
      <c r="C31" s="83">
        <v>211.27799999999999</v>
      </c>
      <c r="D31" s="83">
        <v>144.44</v>
      </c>
      <c r="E31" s="83">
        <f t="shared" si="1"/>
        <v>30516.994319999998</v>
      </c>
      <c r="F31" s="84">
        <f t="shared" si="2"/>
        <v>9.6409362974506671E-4</v>
      </c>
      <c r="G31" s="85">
        <v>4.4862918859041818E-2</v>
      </c>
      <c r="H31" s="84">
        <f t="shared" si="3"/>
        <v>4.3252054283772036E-5</v>
      </c>
      <c r="I31" s="84">
        <v>1.2E-2</v>
      </c>
      <c r="J31" s="84">
        <f t="shared" si="0"/>
        <v>1.1569123556940801E-5</v>
      </c>
    </row>
    <row r="32" spans="1:10">
      <c r="A32" s="29" t="s">
        <v>107</v>
      </c>
      <c r="B32" s="34" t="s">
        <v>108</v>
      </c>
      <c r="C32" s="83">
        <v>4006.1329999999998</v>
      </c>
      <c r="D32" s="83">
        <v>102.81</v>
      </c>
      <c r="E32" s="83">
        <f t="shared" si="1"/>
        <v>411870.53372999997</v>
      </c>
      <c r="F32" s="84">
        <f t="shared" si="2"/>
        <v>1.301182395897217E-2</v>
      </c>
      <c r="G32" s="85">
        <v>3.6961385079272442E-2</v>
      </c>
      <c r="H32" s="84">
        <f t="shared" si="3"/>
        <v>4.8093503593127362E-4</v>
      </c>
      <c r="I32" s="84">
        <v>0.1321</v>
      </c>
      <c r="J32" s="84">
        <f t="shared" si="0"/>
        <v>1.7188619449802235E-3</v>
      </c>
    </row>
    <row r="33" spans="1:10">
      <c r="A33" s="29" t="s">
        <v>109</v>
      </c>
      <c r="B33" s="34" t="s">
        <v>110</v>
      </c>
      <c r="C33" s="83">
        <v>439.95600000000002</v>
      </c>
      <c r="D33" s="83">
        <v>144.31</v>
      </c>
      <c r="E33" s="83">
        <f t="shared" si="1"/>
        <v>63490.050360000001</v>
      </c>
      <c r="F33" s="84" t="str">
        <f t="shared" si="2"/>
        <v/>
      </c>
      <c r="G33" s="85">
        <v>2.9104012195967015E-2</v>
      </c>
      <c r="H33" s="84" t="str">
        <f t="shared" si="3"/>
        <v/>
      </c>
      <c r="I33" s="84">
        <v>-7.5600000000000001E-2</v>
      </c>
      <c r="J33" s="84" t="str">
        <f t="shared" si="0"/>
        <v/>
      </c>
    </row>
    <row r="34" spans="1:10">
      <c r="A34" s="29" t="s">
        <v>111</v>
      </c>
      <c r="B34" s="34" t="s">
        <v>112</v>
      </c>
      <c r="C34" s="83">
        <v>1088.386</v>
      </c>
      <c r="D34" s="83">
        <v>132.41999999999999</v>
      </c>
      <c r="E34" s="83">
        <f t="shared" si="1"/>
        <v>144124.07411999998</v>
      </c>
      <c r="F34" s="84">
        <f t="shared" si="2"/>
        <v>4.5531712689324188E-3</v>
      </c>
      <c r="G34" s="85">
        <v>2.4165533907264765E-3</v>
      </c>
      <c r="H34" s="84">
        <f t="shared" si="3"/>
        <v>1.1002981468497011E-5</v>
      </c>
      <c r="I34" s="84">
        <v>7.0000000000000007E-2</v>
      </c>
      <c r="J34" s="84">
        <f t="shared" si="0"/>
        <v>3.1872198882526933E-4</v>
      </c>
    </row>
    <row r="35" spans="1:10">
      <c r="A35" s="29" t="s">
        <v>113</v>
      </c>
      <c r="B35" s="34" t="s">
        <v>114</v>
      </c>
      <c r="C35" s="83">
        <v>990.90200000000004</v>
      </c>
      <c r="D35" s="83">
        <v>28.71</v>
      </c>
      <c r="E35" s="83">
        <f t="shared" si="1"/>
        <v>28448.796420000002</v>
      </c>
      <c r="F35" s="84">
        <f t="shared" si="2"/>
        <v>8.9875507118540707E-4</v>
      </c>
      <c r="G35" s="85">
        <v>3.8397770811563918E-2</v>
      </c>
      <c r="H35" s="84">
        <f t="shared" si="3"/>
        <v>3.4510191239108073E-5</v>
      </c>
      <c r="I35" s="84">
        <v>0.03</v>
      </c>
      <c r="J35" s="84">
        <f t="shared" si="0"/>
        <v>2.696265213556221E-5</v>
      </c>
    </row>
    <row r="36" spans="1:10">
      <c r="A36" s="29" t="s">
        <v>115</v>
      </c>
      <c r="B36" s="34" t="s">
        <v>116</v>
      </c>
      <c r="C36" s="83">
        <v>995.26199999999994</v>
      </c>
      <c r="D36" s="83">
        <v>352.96</v>
      </c>
      <c r="E36" s="83">
        <f t="shared" si="1"/>
        <v>351287.67551999993</v>
      </c>
      <c r="F36" s="84">
        <f t="shared" si="2"/>
        <v>1.1097888823042648E-2</v>
      </c>
      <c r="G36" s="85">
        <v>2.3685403445149592E-2</v>
      </c>
      <c r="H36" s="84">
        <f t="shared" si="3"/>
        <v>2.6285797416318146E-4</v>
      </c>
      <c r="I36" s="84">
        <v>1.8200000000000001E-2</v>
      </c>
      <c r="J36" s="84">
        <f t="shared" si="0"/>
        <v>2.0198157657937621E-4</v>
      </c>
    </row>
    <row r="37" spans="1:10">
      <c r="A37" s="29" t="s">
        <v>117</v>
      </c>
      <c r="B37" s="34" t="s">
        <v>118</v>
      </c>
      <c r="C37" s="83">
        <v>47.911999999999999</v>
      </c>
      <c r="D37" s="83">
        <v>602.72</v>
      </c>
      <c r="E37" s="83">
        <f t="shared" si="1"/>
        <v>28877.520640000002</v>
      </c>
      <c r="F37" s="84">
        <f t="shared" si="2"/>
        <v>9.1229933721256743E-4</v>
      </c>
      <c r="G37" s="85">
        <v>6.6365808335545522E-3</v>
      </c>
      <c r="H37" s="84">
        <f t="shared" si="3"/>
        <v>6.0545482958094465E-6</v>
      </c>
      <c r="I37" s="84">
        <v>0.08</v>
      </c>
      <c r="J37" s="84">
        <f t="shared" si="0"/>
        <v>7.29839469770054E-5</v>
      </c>
    </row>
    <row r="38" spans="1:10">
      <c r="A38" s="29" t="s">
        <v>119</v>
      </c>
      <c r="B38" s="34" t="s">
        <v>120</v>
      </c>
      <c r="C38" s="83">
        <v>913.11900000000003</v>
      </c>
      <c r="D38" s="83">
        <v>183.66</v>
      </c>
      <c r="E38" s="83">
        <f t="shared" si="1"/>
        <v>167703.43554000001</v>
      </c>
      <c r="F38" s="84">
        <f t="shared" si="2"/>
        <v>5.2980910306921871E-3</v>
      </c>
      <c r="G38" s="85">
        <v>3.6153762387019492E-2</v>
      </c>
      <c r="H38" s="84">
        <f t="shared" si="3"/>
        <v>1.9154592422844453E-4</v>
      </c>
      <c r="I38" s="84">
        <v>5.1399999999999994E-2</v>
      </c>
      <c r="J38" s="84">
        <f t="shared" si="0"/>
        <v>2.723218789775784E-4</v>
      </c>
    </row>
    <row r="39" spans="1:10">
      <c r="A39" s="29" t="s">
        <v>121</v>
      </c>
      <c r="B39" s="34" t="s">
        <v>122</v>
      </c>
      <c r="C39" s="83">
        <v>2407.279</v>
      </c>
      <c r="D39" s="83">
        <v>158.9</v>
      </c>
      <c r="E39" s="83">
        <f t="shared" si="1"/>
        <v>382516.63310000004</v>
      </c>
      <c r="F39" s="84">
        <f t="shared" si="2"/>
        <v>1.2084474813482907E-2</v>
      </c>
      <c r="G39" s="85">
        <v>2.9955947136563875E-2</v>
      </c>
      <c r="H39" s="84">
        <f t="shared" si="3"/>
        <v>3.6200188868583155E-4</v>
      </c>
      <c r="I39" s="84">
        <v>3.7599999999999995E-2</v>
      </c>
      <c r="J39" s="84">
        <f t="shared" si="0"/>
        <v>4.5437625298695727E-4</v>
      </c>
    </row>
    <row r="40" spans="1:10">
      <c r="A40" s="29" t="s">
        <v>1522</v>
      </c>
      <c r="B40" s="34" t="s">
        <v>1523</v>
      </c>
      <c r="C40" s="83">
        <v>121.075</v>
      </c>
      <c r="D40" s="83">
        <v>453.82</v>
      </c>
      <c r="E40" s="83">
        <f t="shared" si="1"/>
        <v>54946.256500000003</v>
      </c>
      <c r="F40" s="84">
        <f t="shared" si="2"/>
        <v>1.7358634770682905E-3</v>
      </c>
      <c r="G40" s="85" t="s">
        <v>90</v>
      </c>
      <c r="H40" s="84" t="str">
        <f t="shared" si="3"/>
        <v/>
      </c>
      <c r="I40" s="84">
        <v>0.17</v>
      </c>
      <c r="J40" s="84">
        <f t="shared" si="0"/>
        <v>2.9509679110160941E-4</v>
      </c>
    </row>
    <row r="41" spans="1:10">
      <c r="A41" s="29" t="s">
        <v>123</v>
      </c>
      <c r="B41" s="34" t="s">
        <v>124</v>
      </c>
      <c r="C41" s="83">
        <v>725.34199999999998</v>
      </c>
      <c r="D41" s="83">
        <v>292.72000000000003</v>
      </c>
      <c r="E41" s="83">
        <f t="shared" si="1"/>
        <v>212322.11024000001</v>
      </c>
      <c r="F41" s="84">
        <f t="shared" si="2"/>
        <v>6.7076852913479784E-3</v>
      </c>
      <c r="G41" s="85">
        <v>2.28204427439191E-2</v>
      </c>
      <c r="H41" s="84">
        <f t="shared" si="3"/>
        <v>1.5307234813543484E-4</v>
      </c>
      <c r="I41" s="84">
        <v>9.5299999999999996E-2</v>
      </c>
      <c r="J41" s="84">
        <f t="shared" si="0"/>
        <v>6.3924240826546228E-4</v>
      </c>
    </row>
    <row r="42" spans="1:10">
      <c r="A42" s="29" t="s">
        <v>125</v>
      </c>
      <c r="B42" s="34" t="s">
        <v>126</v>
      </c>
      <c r="C42" s="83">
        <v>2534.0230000000001</v>
      </c>
      <c r="D42" s="83">
        <v>120.78</v>
      </c>
      <c r="E42" s="83">
        <f t="shared" si="1"/>
        <v>306059.29794000002</v>
      </c>
      <c r="F42" s="84">
        <f t="shared" si="2"/>
        <v>9.6690328141137011E-3</v>
      </c>
      <c r="G42" s="85">
        <v>2.5500910746812388E-2</v>
      </c>
      <c r="H42" s="84">
        <f t="shared" si="3"/>
        <v>2.4656914280071372E-4</v>
      </c>
      <c r="I42" s="84">
        <v>0.17329999999999998</v>
      </c>
      <c r="J42" s="84">
        <f t="shared" si="0"/>
        <v>1.6756433866859043E-3</v>
      </c>
    </row>
    <row r="43" spans="1:10">
      <c r="A43" s="29" t="s">
        <v>127</v>
      </c>
      <c r="B43" s="34" t="s">
        <v>128</v>
      </c>
      <c r="C43" s="83">
        <v>552.31700000000001</v>
      </c>
      <c r="D43" s="83">
        <v>94.35</v>
      </c>
      <c r="E43" s="83">
        <f t="shared" si="1"/>
        <v>52111.108949999994</v>
      </c>
      <c r="F43" s="84">
        <f t="shared" si="2"/>
        <v>1.6462954264378593E-3</v>
      </c>
      <c r="G43" s="85">
        <v>6.3593004769475367E-2</v>
      </c>
      <c r="H43" s="84">
        <f t="shared" si="3"/>
        <v>1.0469287290542827E-4</v>
      </c>
      <c r="I43" s="84">
        <v>5.5E-2</v>
      </c>
      <c r="J43" s="84">
        <f t="shared" si="0"/>
        <v>9.0546248454082256E-5</v>
      </c>
    </row>
    <row r="44" spans="1:10">
      <c r="A44" s="29" t="s">
        <v>129</v>
      </c>
      <c r="B44" s="34" t="s">
        <v>130</v>
      </c>
      <c r="C44" s="83">
        <v>194.70500000000001</v>
      </c>
      <c r="D44" s="83">
        <v>124.02</v>
      </c>
      <c r="E44" s="83">
        <f t="shared" si="1"/>
        <v>24147.3141</v>
      </c>
      <c r="F44" s="84">
        <f t="shared" si="2"/>
        <v>7.6286253669503672E-4</v>
      </c>
      <c r="G44" s="85">
        <v>2.2818900177390744E-2</v>
      </c>
      <c r="H44" s="84">
        <f t="shared" si="3"/>
        <v>1.7407684073915126E-5</v>
      </c>
      <c r="I44" s="84">
        <v>7.7549999999999994E-2</v>
      </c>
      <c r="J44" s="84">
        <f t="shared" si="0"/>
        <v>5.915998972070009E-5</v>
      </c>
    </row>
    <row r="45" spans="1:10">
      <c r="A45" s="29" t="s">
        <v>131</v>
      </c>
      <c r="B45" s="34" t="s">
        <v>132</v>
      </c>
      <c r="C45" s="83">
        <v>7895.5</v>
      </c>
      <c r="D45" s="83">
        <v>34.01</v>
      </c>
      <c r="E45" s="83">
        <f t="shared" si="1"/>
        <v>268525.95499999996</v>
      </c>
      <c r="F45" s="84" t="str">
        <f t="shared" si="2"/>
        <v/>
      </c>
      <c r="G45" s="85">
        <v>2.8226992061158484E-2</v>
      </c>
      <c r="H45" s="84" t="str">
        <f t="shared" si="3"/>
        <v/>
      </c>
      <c r="I45" s="84">
        <v>-7.0000000000000007E-2</v>
      </c>
      <c r="J45" s="84" t="str">
        <f t="shared" si="0"/>
        <v/>
      </c>
    </row>
    <row r="46" spans="1:10">
      <c r="A46" s="29" t="s">
        <v>133</v>
      </c>
      <c r="B46" s="34" t="s">
        <v>134</v>
      </c>
      <c r="C46" s="83">
        <v>5646.4129999999996</v>
      </c>
      <c r="D46" s="83">
        <v>27.08</v>
      </c>
      <c r="E46" s="83">
        <f t="shared" si="1"/>
        <v>152904.86403999999</v>
      </c>
      <c r="F46" s="84" t="str">
        <f t="shared" si="2"/>
        <v/>
      </c>
      <c r="G46" s="85">
        <v>6.2038404726735601E-2</v>
      </c>
      <c r="H46" s="84" t="str">
        <f t="shared" si="3"/>
        <v/>
      </c>
      <c r="I46" s="84">
        <v>0.33345999999999998</v>
      </c>
      <c r="J46" s="84" t="str">
        <f t="shared" si="0"/>
        <v/>
      </c>
    </row>
    <row r="47" spans="1:10">
      <c r="A47" s="29" t="s">
        <v>135</v>
      </c>
      <c r="B47" s="34" t="s">
        <v>136</v>
      </c>
      <c r="C47" s="83">
        <v>2353.0210000000002</v>
      </c>
      <c r="D47" s="83">
        <v>157.13999999999999</v>
      </c>
      <c r="E47" s="83">
        <f t="shared" si="1"/>
        <v>369753.71993999998</v>
      </c>
      <c r="F47" s="84">
        <f t="shared" si="2"/>
        <v>1.1681268549277478E-2</v>
      </c>
      <c r="G47" s="85">
        <v>2.3945526282296042E-2</v>
      </c>
      <c r="H47" s="84">
        <f t="shared" si="3"/>
        <v>2.79714123057282E-4</v>
      </c>
      <c r="I47" s="84">
        <v>7.5600000000000001E-2</v>
      </c>
      <c r="J47" s="84">
        <f t="shared" si="0"/>
        <v>8.8310390232537728E-4</v>
      </c>
    </row>
    <row r="48" spans="1:10">
      <c r="A48" s="29" t="s">
        <v>137</v>
      </c>
      <c r="B48" s="34" t="s">
        <v>138</v>
      </c>
      <c r="C48" s="83">
        <v>7150</v>
      </c>
      <c r="D48" s="83">
        <v>17.690000000000001</v>
      </c>
      <c r="E48" s="83">
        <f t="shared" si="1"/>
        <v>126483.50000000001</v>
      </c>
      <c r="F48" s="84" t="str">
        <f t="shared" si="2"/>
        <v/>
      </c>
      <c r="G48" s="85">
        <v>6.2747314867156581E-2</v>
      </c>
      <c r="H48" s="84" t="str">
        <f t="shared" si="3"/>
        <v/>
      </c>
      <c r="I48" s="84">
        <v>-4.6130000000000004E-2</v>
      </c>
      <c r="J48" s="84" t="str">
        <f t="shared" si="0"/>
        <v/>
      </c>
    </row>
    <row r="49" spans="1:10">
      <c r="A49" s="29" t="s">
        <v>139</v>
      </c>
      <c r="B49" s="34" t="s">
        <v>140</v>
      </c>
      <c r="C49" s="83">
        <v>228.2</v>
      </c>
      <c r="D49" s="83">
        <v>211.36</v>
      </c>
      <c r="E49" s="83">
        <f t="shared" si="1"/>
        <v>48232.351999999999</v>
      </c>
      <c r="F49" s="84">
        <f t="shared" si="2"/>
        <v>1.523757642158965E-3</v>
      </c>
      <c r="G49" s="85">
        <v>1.8925056775170323E-2</v>
      </c>
      <c r="H49" s="84">
        <f t="shared" si="3"/>
        <v>2.8837199889458079E-5</v>
      </c>
      <c r="I49" s="84">
        <v>0.19024999999999997</v>
      </c>
      <c r="J49" s="84">
        <f t="shared" si="0"/>
        <v>2.8989489142074306E-4</v>
      </c>
    </row>
    <row r="50" spans="1:10">
      <c r="A50" s="29" t="s">
        <v>1289</v>
      </c>
      <c r="B50" s="34" t="s">
        <v>141</v>
      </c>
      <c r="C50" s="83">
        <v>1437.9010000000001</v>
      </c>
      <c r="D50" s="83">
        <v>91.12</v>
      </c>
      <c r="E50" s="83">
        <f t="shared" si="1"/>
        <v>131021.53912000002</v>
      </c>
      <c r="F50" s="84">
        <f t="shared" si="2"/>
        <v>4.139235663264562E-3</v>
      </c>
      <c r="G50" s="85">
        <v>2.5899912203687443E-2</v>
      </c>
      <c r="H50" s="84">
        <f t="shared" si="3"/>
        <v>1.0720584026892412E-4</v>
      </c>
      <c r="I50" s="84">
        <v>0.10135</v>
      </c>
      <c r="J50" s="84">
        <f t="shared" si="0"/>
        <v>4.1951153447186332E-4</v>
      </c>
    </row>
    <row r="51" spans="1:10">
      <c r="A51" s="29" t="s">
        <v>142</v>
      </c>
      <c r="B51" s="34" t="s">
        <v>143</v>
      </c>
      <c r="C51" s="83">
        <v>495.84</v>
      </c>
      <c r="D51" s="83">
        <v>192.36</v>
      </c>
      <c r="E51" s="83">
        <f t="shared" si="1"/>
        <v>95379.782399999996</v>
      </c>
      <c r="F51" s="84">
        <f t="shared" si="2"/>
        <v>3.0132404146382733E-3</v>
      </c>
      <c r="G51" s="85">
        <v>1.7883135787065917E-2</v>
      </c>
      <c r="H51" s="84">
        <f t="shared" si="3"/>
        <v>5.3886187494051045E-5</v>
      </c>
      <c r="I51" s="84">
        <v>4.4999999999999998E-2</v>
      </c>
      <c r="J51" s="84">
        <f t="shared" si="0"/>
        <v>1.3559581865872229E-4</v>
      </c>
    </row>
    <row r="52" spans="1:10">
      <c r="A52" s="29" t="s">
        <v>144</v>
      </c>
      <c r="B52" s="34" t="s">
        <v>145</v>
      </c>
      <c r="C52" s="83">
        <v>2692.2339999999999</v>
      </c>
      <c r="D52" s="83">
        <v>165.25</v>
      </c>
      <c r="E52" s="83">
        <f t="shared" si="1"/>
        <v>444891.66849999997</v>
      </c>
      <c r="F52" s="84">
        <f t="shared" si="2"/>
        <v>1.4055028454961678E-2</v>
      </c>
      <c r="G52" s="85">
        <v>1.3797276853252646E-2</v>
      </c>
      <c r="H52" s="84">
        <f t="shared" si="3"/>
        <v>1.9392111877345006E-4</v>
      </c>
      <c r="I52" s="84">
        <v>0.03</v>
      </c>
      <c r="J52" s="84">
        <f t="shared" si="0"/>
        <v>4.2165085364885031E-4</v>
      </c>
    </row>
    <row r="53" spans="1:10">
      <c r="A53" s="29" t="s">
        <v>146</v>
      </c>
      <c r="B53" s="34" t="s">
        <v>147</v>
      </c>
      <c r="C53" s="83">
        <v>4063.4760000000001</v>
      </c>
      <c r="D53" s="83">
        <v>50.18</v>
      </c>
      <c r="E53" s="83">
        <f t="shared" si="1"/>
        <v>203905.22568</v>
      </c>
      <c r="F53" s="84">
        <f t="shared" si="2"/>
        <v>6.4417788687984459E-3</v>
      </c>
      <c r="G53" s="85">
        <v>3.1088082901554407E-2</v>
      </c>
      <c r="H53" s="84">
        <f t="shared" si="3"/>
        <v>2.0026255550668746E-4</v>
      </c>
      <c r="I53" s="84">
        <v>0.1</v>
      </c>
      <c r="J53" s="84">
        <f t="shared" si="0"/>
        <v>6.4417788687984464E-4</v>
      </c>
    </row>
    <row r="54" spans="1:10">
      <c r="A54" s="29" t="s">
        <v>148</v>
      </c>
      <c r="B54" s="34" t="s">
        <v>149</v>
      </c>
      <c r="C54" s="83">
        <v>4228</v>
      </c>
      <c r="D54" s="83">
        <v>43.08</v>
      </c>
      <c r="E54" s="83">
        <f t="shared" si="1"/>
        <v>182142.24</v>
      </c>
      <c r="F54" s="84" t="str">
        <f t="shared" si="2"/>
        <v/>
      </c>
      <c r="G54" s="85">
        <v>1.1606313834726092E-2</v>
      </c>
      <c r="H54" s="84" t="str">
        <f t="shared" si="3"/>
        <v/>
      </c>
      <c r="I54" s="84">
        <v>0.31129999999999997</v>
      </c>
      <c r="J54" s="84" t="str">
        <f t="shared" si="0"/>
        <v/>
      </c>
    </row>
    <row r="55" spans="1:10">
      <c r="A55" s="29" t="s">
        <v>150</v>
      </c>
      <c r="B55" s="34" t="s">
        <v>151</v>
      </c>
      <c r="C55" s="83">
        <v>1154.433</v>
      </c>
      <c r="D55" s="83">
        <v>38.799999999999997</v>
      </c>
      <c r="E55" s="83">
        <f t="shared" si="1"/>
        <v>44792.000399999997</v>
      </c>
      <c r="F55" s="84">
        <f t="shared" si="2"/>
        <v>1.4150699704025924E-3</v>
      </c>
      <c r="G55" s="85">
        <v>1.2371134020618558E-2</v>
      </c>
      <c r="H55" s="84">
        <f t="shared" si="3"/>
        <v>1.7506020252403207E-5</v>
      </c>
      <c r="I55" s="84">
        <v>0.15710000000000002</v>
      </c>
      <c r="J55" s="84">
        <f t="shared" si="0"/>
        <v>2.2230749235024728E-4</v>
      </c>
    </row>
    <row r="56" spans="1:10">
      <c r="A56" s="29" t="s">
        <v>152</v>
      </c>
      <c r="B56" s="34" t="s">
        <v>153</v>
      </c>
      <c r="C56" s="83">
        <v>7430.4359999999997</v>
      </c>
      <c r="D56" s="83">
        <v>397.58</v>
      </c>
      <c r="E56" s="83">
        <f t="shared" si="1"/>
        <v>2954192.7448799997</v>
      </c>
      <c r="F56" s="84">
        <f t="shared" si="2"/>
        <v>9.3328929334017735E-2</v>
      </c>
      <c r="G56" s="85">
        <v>7.5456511896976712E-3</v>
      </c>
      <c r="H56" s="84">
        <f t="shared" si="3"/>
        <v>7.0422754666244077E-4</v>
      </c>
      <c r="I56" s="84">
        <v>0.16620000000000001</v>
      </c>
      <c r="J56" s="84">
        <f t="shared" si="0"/>
        <v>1.5511268055313748E-2</v>
      </c>
    </row>
    <row r="57" spans="1:10">
      <c r="A57" s="29" t="s">
        <v>154</v>
      </c>
      <c r="B57" s="34" t="s">
        <v>155</v>
      </c>
      <c r="C57" s="83">
        <v>219.49700000000001</v>
      </c>
      <c r="D57" s="83">
        <v>132.07</v>
      </c>
      <c r="E57" s="83">
        <f t="shared" si="1"/>
        <v>28988.968789999999</v>
      </c>
      <c r="F57" s="84" t="str">
        <f t="shared" si="2"/>
        <v/>
      </c>
      <c r="G57" s="85">
        <v>1.7869311728628757E-2</v>
      </c>
      <c r="H57" s="84" t="str">
        <f t="shared" si="3"/>
        <v/>
      </c>
      <c r="I57" s="84">
        <v>-5.9349999999999993E-2</v>
      </c>
      <c r="J57" s="84" t="str">
        <f t="shared" si="0"/>
        <v/>
      </c>
    </row>
    <row r="58" spans="1:10">
      <c r="A58" s="29" t="s">
        <v>1252</v>
      </c>
      <c r="B58" s="34" t="s">
        <v>156</v>
      </c>
      <c r="C58" s="83">
        <v>292.62</v>
      </c>
      <c r="D58" s="83">
        <v>300.95</v>
      </c>
      <c r="E58" s="83">
        <f t="shared" si="1"/>
        <v>88063.989000000001</v>
      </c>
      <c r="F58" s="84">
        <f t="shared" si="2"/>
        <v>2.7821196909027582E-3</v>
      </c>
      <c r="G58" s="85">
        <v>1.6348230603090215E-2</v>
      </c>
      <c r="H58" s="84">
        <f t="shared" si="3"/>
        <v>4.5482734272276359E-5</v>
      </c>
      <c r="I58" s="84">
        <v>9.8000000000000004E-2</v>
      </c>
      <c r="J58" s="84">
        <f t="shared" si="0"/>
        <v>2.7264772970847029E-4</v>
      </c>
    </row>
    <row r="59" spans="1:10">
      <c r="A59" s="29" t="s">
        <v>157</v>
      </c>
      <c r="B59" s="34" t="s">
        <v>158</v>
      </c>
      <c r="C59" s="83">
        <v>2222.7739999999999</v>
      </c>
      <c r="D59" s="83">
        <v>16.920000000000002</v>
      </c>
      <c r="E59" s="83">
        <f t="shared" si="1"/>
        <v>37609.336080000001</v>
      </c>
      <c r="F59" s="84">
        <f t="shared" si="2"/>
        <v>1.1881550638132865E-3</v>
      </c>
      <c r="G59" s="85">
        <v>6.6784869976359323E-2</v>
      </c>
      <c r="H59" s="84">
        <f t="shared" si="3"/>
        <v>7.9350781448523245E-5</v>
      </c>
      <c r="I59" s="84">
        <v>0.03</v>
      </c>
      <c r="J59" s="84">
        <f t="shared" si="0"/>
        <v>3.5644651914398589E-5</v>
      </c>
    </row>
    <row r="60" spans="1:10">
      <c r="A60" s="29" t="s">
        <v>159</v>
      </c>
      <c r="B60" s="34" t="s">
        <v>160</v>
      </c>
      <c r="C60" s="83">
        <v>1903.1</v>
      </c>
      <c r="D60" s="83">
        <v>56.17</v>
      </c>
      <c r="E60" s="83">
        <f t="shared" si="1"/>
        <v>106897.12699999999</v>
      </c>
      <c r="F60" s="84" t="str">
        <f t="shared" si="2"/>
        <v/>
      </c>
      <c r="G60" s="85">
        <v>3.7742567206693965E-2</v>
      </c>
      <c r="H60" s="84" t="str">
        <f t="shared" si="3"/>
        <v/>
      </c>
      <c r="I60" s="84">
        <v>0.2167</v>
      </c>
      <c r="J60" s="84" t="str">
        <f t="shared" si="0"/>
        <v/>
      </c>
    </row>
    <row r="61" spans="1:10">
      <c r="A61" s="29" t="s">
        <v>161</v>
      </c>
      <c r="B61" s="34" t="s">
        <v>162</v>
      </c>
      <c r="C61" s="83">
        <v>702.04</v>
      </c>
      <c r="D61" s="83">
        <v>69.510000000000005</v>
      </c>
      <c r="E61" s="83">
        <f t="shared" si="1"/>
        <v>48798.8004</v>
      </c>
      <c r="F61" s="84">
        <f t="shared" si="2"/>
        <v>1.5416528938437411E-3</v>
      </c>
      <c r="G61" s="85">
        <v>2.0716443677168749E-2</v>
      </c>
      <c r="H61" s="84">
        <f t="shared" si="3"/>
        <v>3.1937565345058077E-5</v>
      </c>
      <c r="I61" s="84">
        <v>0.1</v>
      </c>
      <c r="J61" s="84">
        <f t="shared" si="0"/>
        <v>1.5416528938437413E-4</v>
      </c>
    </row>
    <row r="62" spans="1:10">
      <c r="A62" s="29" t="s">
        <v>163</v>
      </c>
      <c r="B62" s="34" t="s">
        <v>164</v>
      </c>
      <c r="C62" s="83">
        <v>1768.6469999999999</v>
      </c>
      <c r="D62" s="83">
        <v>40.119999999999997</v>
      </c>
      <c r="E62" s="83">
        <f t="shared" si="1"/>
        <v>70958.117639999997</v>
      </c>
      <c r="F62" s="84">
        <f t="shared" si="2"/>
        <v>2.2417105851932095E-3</v>
      </c>
      <c r="G62" s="85">
        <v>9.7706879361914259E-2</v>
      </c>
      <c r="H62" s="84">
        <f t="shared" si="3"/>
        <v>2.1903054571179915E-4</v>
      </c>
      <c r="I62" s="84">
        <v>4.4999999999999998E-2</v>
      </c>
      <c r="J62" s="84">
        <f t="shared" si="0"/>
        <v>1.0087697633369442E-4</v>
      </c>
    </row>
    <row r="63" spans="1:10">
      <c r="A63" s="29" t="s">
        <v>165</v>
      </c>
      <c r="B63" s="34" t="s">
        <v>166</v>
      </c>
      <c r="C63" s="83">
        <v>267.661</v>
      </c>
      <c r="D63" s="83">
        <v>304.89999999999998</v>
      </c>
      <c r="E63" s="83">
        <f t="shared" si="1"/>
        <v>81609.838899999988</v>
      </c>
      <c r="F63" s="84">
        <f t="shared" si="2"/>
        <v>2.5782200233411168E-3</v>
      </c>
      <c r="G63" s="85">
        <v>8.6585765824860623E-3</v>
      </c>
      <c r="H63" s="84">
        <f t="shared" si="3"/>
        <v>2.2323715518598062E-5</v>
      </c>
      <c r="I63" s="84">
        <v>7.7170000000000002E-2</v>
      </c>
      <c r="J63" s="84">
        <f t="shared" si="0"/>
        <v>1.9896123920123398E-4</v>
      </c>
    </row>
    <row r="64" spans="1:10">
      <c r="A64" s="29" t="s">
        <v>167</v>
      </c>
      <c r="B64" s="34" t="s">
        <v>168</v>
      </c>
      <c r="C64" s="83">
        <v>346.017</v>
      </c>
      <c r="D64" s="83">
        <v>35.83</v>
      </c>
      <c r="E64" s="83">
        <f t="shared" si="1"/>
        <v>12397.78911</v>
      </c>
      <c r="F64" s="84" t="str">
        <f t="shared" si="2"/>
        <v/>
      </c>
      <c r="G64" s="85">
        <v>5.1632710019536704E-2</v>
      </c>
      <c r="H64" s="84" t="str">
        <f t="shared" si="3"/>
        <v/>
      </c>
      <c r="I64" s="84">
        <v>-0.02</v>
      </c>
      <c r="J64" s="84" t="str">
        <f t="shared" si="0"/>
        <v/>
      </c>
    </row>
    <row r="65" spans="1:10">
      <c r="A65" s="29" t="s">
        <v>169</v>
      </c>
      <c r="B65" s="34" t="s">
        <v>170</v>
      </c>
      <c r="C65" s="83">
        <v>1300</v>
      </c>
      <c r="D65" s="83">
        <v>15.29</v>
      </c>
      <c r="E65" s="83">
        <f t="shared" si="1"/>
        <v>19877</v>
      </c>
      <c r="F65" s="84">
        <f t="shared" si="2"/>
        <v>6.2795466937199632E-4</v>
      </c>
      <c r="G65" s="85">
        <v>3.4009156311314591E-2</v>
      </c>
      <c r="H65" s="84">
        <f t="shared" si="3"/>
        <v>2.1356208507092096E-5</v>
      </c>
      <c r="I65" s="84">
        <v>2.64E-2</v>
      </c>
      <c r="J65" s="84">
        <f t="shared" si="0"/>
        <v>1.6578003271420704E-5</v>
      </c>
    </row>
    <row r="66" spans="1:10">
      <c r="A66" s="29" t="s">
        <v>171</v>
      </c>
      <c r="B66" s="34" t="s">
        <v>172</v>
      </c>
      <c r="C66" s="83">
        <v>1736.059</v>
      </c>
      <c r="D66" s="83">
        <v>113.15</v>
      </c>
      <c r="E66" s="83">
        <f t="shared" si="1"/>
        <v>196435.07584999999</v>
      </c>
      <c r="F66" s="84">
        <f t="shared" si="2"/>
        <v>6.2057817129571756E-3</v>
      </c>
      <c r="G66" s="85">
        <v>1.9443216968625717E-2</v>
      </c>
      <c r="H66" s="84">
        <f t="shared" si="3"/>
        <v>1.2066036030495613E-4</v>
      </c>
      <c r="I66" s="84">
        <v>0.08</v>
      </c>
      <c r="J66" s="84">
        <f t="shared" si="0"/>
        <v>4.964625370365741E-4</v>
      </c>
    </row>
    <row r="67" spans="1:10">
      <c r="A67" s="29" t="s">
        <v>173</v>
      </c>
      <c r="B67" s="34" t="s">
        <v>174</v>
      </c>
      <c r="C67" s="83">
        <v>584.38</v>
      </c>
      <c r="D67" s="83">
        <v>84.34</v>
      </c>
      <c r="E67" s="83">
        <f t="shared" si="1"/>
        <v>49286.609199999999</v>
      </c>
      <c r="F67" s="84">
        <f t="shared" si="2"/>
        <v>1.5570637613650346E-3</v>
      </c>
      <c r="G67" s="85">
        <v>2.3713540431586435E-2</v>
      </c>
      <c r="H67" s="84">
        <f t="shared" si="3"/>
        <v>3.6923494459687799E-5</v>
      </c>
      <c r="I67" s="84">
        <v>6.8499999999999991E-2</v>
      </c>
      <c r="J67" s="84">
        <f t="shared" si="0"/>
        <v>1.0665886765350486E-4</v>
      </c>
    </row>
    <row r="68" spans="1:10">
      <c r="A68" s="29" t="s">
        <v>175</v>
      </c>
      <c r="B68" s="34" t="s">
        <v>176</v>
      </c>
      <c r="C68" s="83">
        <v>222.22800000000001</v>
      </c>
      <c r="D68" s="83">
        <v>255.71</v>
      </c>
      <c r="E68" s="83">
        <f t="shared" si="1"/>
        <v>56825.921880000002</v>
      </c>
      <c r="F68" s="84">
        <f t="shared" si="2"/>
        <v>1.7952459116523769E-3</v>
      </c>
      <c r="G68" s="85">
        <v>2.7687614876226976E-2</v>
      </c>
      <c r="H68" s="84">
        <f t="shared" si="3"/>
        <v>4.9706077409952005E-5</v>
      </c>
      <c r="I68" s="84">
        <v>0.1206</v>
      </c>
      <c r="J68" s="84">
        <f t="shared" si="0"/>
        <v>2.1650665694527665E-4</v>
      </c>
    </row>
    <row r="69" spans="1:10">
      <c r="A69" s="29" t="s">
        <v>177</v>
      </c>
      <c r="B69" s="34" t="s">
        <v>178</v>
      </c>
      <c r="C69" s="83">
        <v>256.23500000000001</v>
      </c>
      <c r="D69" s="83">
        <v>127.5</v>
      </c>
      <c r="E69" s="83">
        <f t="shared" si="1"/>
        <v>32669.962500000001</v>
      </c>
      <c r="F69" s="84" t="str">
        <f t="shared" si="2"/>
        <v/>
      </c>
      <c r="G69" s="85" t="s">
        <v>90</v>
      </c>
      <c r="H69" s="84" t="str">
        <f t="shared" si="3"/>
        <v/>
      </c>
      <c r="I69" s="84" t="s">
        <v>90</v>
      </c>
      <c r="J69" s="84" t="str">
        <f t="shared" si="0"/>
        <v/>
      </c>
    </row>
    <row r="70" spans="1:10">
      <c r="A70" s="29" t="s">
        <v>179</v>
      </c>
      <c r="B70" s="34" t="s">
        <v>180</v>
      </c>
      <c r="C70" s="83">
        <v>307.15199999999999</v>
      </c>
      <c r="D70" s="83">
        <v>140.53</v>
      </c>
      <c r="E70" s="83">
        <f t="shared" si="1"/>
        <v>43164.07056</v>
      </c>
      <c r="F70" s="84">
        <f t="shared" si="2"/>
        <v>1.3636403711452594E-3</v>
      </c>
      <c r="G70" s="85">
        <v>1.2452857041201167E-2</v>
      </c>
      <c r="H70" s="84">
        <f t="shared" si="3"/>
        <v>1.6981218597482416E-5</v>
      </c>
      <c r="I70" s="84">
        <v>0.13500000000000001</v>
      </c>
      <c r="J70" s="84">
        <f t="shared" si="0"/>
        <v>1.8409145010461005E-4</v>
      </c>
    </row>
    <row r="71" spans="1:10">
      <c r="A71" s="29" t="s">
        <v>181</v>
      </c>
      <c r="B71" s="34" t="s">
        <v>182</v>
      </c>
      <c r="C71" s="83">
        <v>533.38099999999997</v>
      </c>
      <c r="D71" s="83">
        <v>55.58</v>
      </c>
      <c r="E71" s="83">
        <f t="shared" si="1"/>
        <v>29645.315979999996</v>
      </c>
      <c r="F71" s="84" t="str">
        <f t="shared" si="2"/>
        <v/>
      </c>
      <c r="G71" s="85">
        <v>3.5984166966534725E-2</v>
      </c>
      <c r="H71" s="84" t="str">
        <f t="shared" si="3"/>
        <v/>
      </c>
      <c r="I71" s="84">
        <v>-7.8100000000000003E-2</v>
      </c>
      <c r="J71" s="84" t="str">
        <f t="shared" si="0"/>
        <v/>
      </c>
    </row>
    <row r="72" spans="1:10">
      <c r="A72" s="29" t="s">
        <v>183</v>
      </c>
      <c r="B72" s="34" t="s">
        <v>184</v>
      </c>
      <c r="C72" s="83">
        <v>410.7</v>
      </c>
      <c r="D72" s="83">
        <v>245.78</v>
      </c>
      <c r="E72" s="83">
        <f t="shared" si="1"/>
        <v>100941.84599999999</v>
      </c>
      <c r="F72" s="84">
        <f t="shared" si="2"/>
        <v>3.1889572637082541E-3</v>
      </c>
      <c r="G72" s="85">
        <v>2.2784604117503458E-2</v>
      </c>
      <c r="H72" s="84">
        <f t="shared" si="3"/>
        <v>7.2659128801229648E-5</v>
      </c>
      <c r="I72" s="84">
        <v>0.16</v>
      </c>
      <c r="J72" s="84">
        <f t="shared" si="0"/>
        <v>5.1023316219332064E-4</v>
      </c>
    </row>
    <row r="73" spans="1:10">
      <c r="A73" s="29" t="s">
        <v>185</v>
      </c>
      <c r="B73" s="34" t="s">
        <v>186</v>
      </c>
      <c r="C73" s="83">
        <v>144.98699999999999</v>
      </c>
      <c r="D73" s="83">
        <v>241.53</v>
      </c>
      <c r="E73" s="83">
        <f t="shared" si="1"/>
        <v>35018.71011</v>
      </c>
      <c r="F73" s="84">
        <f t="shared" si="2"/>
        <v>1.1063119449091329E-3</v>
      </c>
      <c r="G73" s="85">
        <v>5.6307705046992097E-3</v>
      </c>
      <c r="H73" s="84">
        <f t="shared" si="3"/>
        <v>6.2293886683907626E-6</v>
      </c>
      <c r="I73" s="84">
        <v>0.11699999999999999</v>
      </c>
      <c r="J73" s="84">
        <f t="shared" si="0"/>
        <v>1.2943849755436856E-4</v>
      </c>
    </row>
    <row r="74" spans="1:10">
      <c r="A74" s="29" t="s">
        <v>187</v>
      </c>
      <c r="B74" s="34" t="s">
        <v>188</v>
      </c>
      <c r="C74" s="83">
        <v>17.292000000000002</v>
      </c>
      <c r="D74" s="83">
        <v>2762.13</v>
      </c>
      <c r="E74" s="83">
        <f t="shared" si="1"/>
        <v>47762.751960000009</v>
      </c>
      <c r="F74" s="84">
        <f t="shared" si="2"/>
        <v>1.5089220262282275E-3</v>
      </c>
      <c r="G74" s="85" t="s">
        <v>90</v>
      </c>
      <c r="H74" s="84" t="str">
        <f t="shared" si="3"/>
        <v/>
      </c>
      <c r="I74" s="84">
        <v>0.1429</v>
      </c>
      <c r="J74" s="84">
        <f t="shared" si="0"/>
        <v>2.1562495754801371E-4</v>
      </c>
    </row>
    <row r="75" spans="1:10">
      <c r="A75" s="29" t="s">
        <v>633</v>
      </c>
      <c r="B75" s="34" t="s">
        <v>634</v>
      </c>
      <c r="C75" s="83">
        <v>484.89</v>
      </c>
      <c r="D75" s="83">
        <v>404.83</v>
      </c>
      <c r="E75" s="83">
        <f t="shared" si="1"/>
        <v>196298.01869999999</v>
      </c>
      <c r="F75" s="84">
        <f t="shared" si="2"/>
        <v>6.2014518001276076E-3</v>
      </c>
      <c r="G75" s="85">
        <v>1.2597880591853371E-2</v>
      </c>
      <c r="H75" s="84">
        <f t="shared" si="3"/>
        <v>7.8125149274141742E-5</v>
      </c>
      <c r="I75" s="84">
        <v>0.14000000000000001</v>
      </c>
      <c r="J75" s="84">
        <f t="shared" si="0"/>
        <v>8.6820325201786514E-4</v>
      </c>
    </row>
    <row r="76" spans="1:10">
      <c r="A76" s="29" t="s">
        <v>189</v>
      </c>
      <c r="B76" s="34" t="s">
        <v>190</v>
      </c>
      <c r="C76" s="83">
        <v>80.531000000000006</v>
      </c>
      <c r="D76" s="83">
        <v>199.45</v>
      </c>
      <c r="E76" s="83">
        <f t="shared" si="1"/>
        <v>16061.907950000001</v>
      </c>
      <c r="F76" s="84">
        <f t="shared" si="2"/>
        <v>5.0742818816852089E-4</v>
      </c>
      <c r="G76" s="85">
        <v>1.6244672850338433E-2</v>
      </c>
      <c r="H76" s="84">
        <f t="shared" si="3"/>
        <v>8.243004911837593E-6</v>
      </c>
      <c r="I76" s="84">
        <v>7.0000000000000007E-2</v>
      </c>
      <c r="J76" s="84">
        <f t="shared" si="0"/>
        <v>3.5519973171796467E-5</v>
      </c>
    </row>
    <row r="77" spans="1:10">
      <c r="A77" s="29" t="s">
        <v>191</v>
      </c>
      <c r="B77" s="34" t="s">
        <v>192</v>
      </c>
      <c r="C77" s="83">
        <v>136.55099999999999</v>
      </c>
      <c r="D77" s="83">
        <v>104.13</v>
      </c>
      <c r="E77" s="83">
        <f t="shared" si="1"/>
        <v>14219.055629999999</v>
      </c>
      <c r="F77" s="84" t="str">
        <f t="shared" si="2"/>
        <v/>
      </c>
      <c r="G77" s="85" t="s">
        <v>90</v>
      </c>
      <c r="H77" s="84" t="str">
        <f t="shared" si="3"/>
        <v/>
      </c>
      <c r="I77" s="84">
        <v>0.28570000000000001</v>
      </c>
      <c r="J77" s="84" t="str">
        <f t="shared" si="0"/>
        <v/>
      </c>
    </row>
    <row r="78" spans="1:10">
      <c r="A78" s="29" t="s">
        <v>193</v>
      </c>
      <c r="B78" s="34" t="s">
        <v>194</v>
      </c>
      <c r="C78" s="83">
        <v>79.099999999999994</v>
      </c>
      <c r="D78" s="83">
        <v>598.62</v>
      </c>
      <c r="E78" s="83">
        <f t="shared" si="1"/>
        <v>47350.841999999997</v>
      </c>
      <c r="F78" s="84">
        <f t="shared" si="2"/>
        <v>1.4959089567135703E-3</v>
      </c>
      <c r="G78" s="85">
        <v>1.0691256556747186E-2</v>
      </c>
      <c r="H78" s="84">
        <f t="shared" si="3"/>
        <v>1.5993146441760801E-5</v>
      </c>
      <c r="I78" s="84">
        <v>0.12119999999999999</v>
      </c>
      <c r="J78" s="84">
        <f t="shared" si="0"/>
        <v>1.8130416555368472E-4</v>
      </c>
    </row>
    <row r="79" spans="1:10">
      <c r="A79" s="29" t="s">
        <v>195</v>
      </c>
      <c r="B79" s="34" t="s">
        <v>196</v>
      </c>
      <c r="C79" s="83">
        <v>315.30099999999999</v>
      </c>
      <c r="D79" s="83">
        <v>55.45</v>
      </c>
      <c r="E79" s="83">
        <f t="shared" si="1"/>
        <v>17483.440450000002</v>
      </c>
      <c r="F79" s="84">
        <f t="shared" si="2"/>
        <v>5.5233727762060366E-4</v>
      </c>
      <c r="G79" s="85">
        <v>1.4427412082957619E-2</v>
      </c>
      <c r="H79" s="84">
        <f t="shared" si="3"/>
        <v>7.9687975130114142E-6</v>
      </c>
      <c r="I79" s="84">
        <v>9.5000000000000001E-2</v>
      </c>
      <c r="J79" s="84">
        <f t="shared" si="0"/>
        <v>5.2472041373957349E-5</v>
      </c>
    </row>
    <row r="80" spans="1:10">
      <c r="A80" s="29" t="s">
        <v>1259</v>
      </c>
      <c r="B80" s="34" t="s">
        <v>1260</v>
      </c>
      <c r="C80" s="83">
        <v>74.933999999999997</v>
      </c>
      <c r="D80" s="83">
        <v>249.06</v>
      </c>
      <c r="E80" s="83">
        <f t="shared" si="1"/>
        <v>18663.062040000001</v>
      </c>
      <c r="F80" s="84" t="str">
        <f t="shared" si="2"/>
        <v/>
      </c>
      <c r="G80" s="85" t="s">
        <v>90</v>
      </c>
      <c r="H80" s="84" t="str">
        <f t="shared" si="3"/>
        <v/>
      </c>
      <c r="I80" s="84" t="s">
        <v>90</v>
      </c>
      <c r="J80" s="84" t="str">
        <f t="shared" si="0"/>
        <v/>
      </c>
    </row>
    <row r="81" spans="1:10">
      <c r="A81" s="29" t="s">
        <v>1544</v>
      </c>
      <c r="B81" s="34" t="s">
        <v>1545</v>
      </c>
      <c r="C81" s="83">
        <v>156.12700000000001</v>
      </c>
      <c r="D81" s="83">
        <v>69.52</v>
      </c>
      <c r="E81" s="83">
        <f t="shared" si="1"/>
        <v>10853.94904</v>
      </c>
      <c r="F81" s="84" t="str">
        <f t="shared" si="2"/>
        <v/>
      </c>
      <c r="G81" s="85" t="s">
        <v>90</v>
      </c>
      <c r="H81" s="84" t="str">
        <f t="shared" si="3"/>
        <v/>
      </c>
      <c r="I81" s="84" t="s">
        <v>90</v>
      </c>
      <c r="J81" s="84" t="str">
        <f t="shared" si="0"/>
        <v/>
      </c>
    </row>
    <row r="82" spans="1:10">
      <c r="A82" s="29" t="s">
        <v>197</v>
      </c>
      <c r="B82" s="34" t="s">
        <v>198</v>
      </c>
      <c r="C82" s="83">
        <v>897.65599999999995</v>
      </c>
      <c r="D82" s="83">
        <v>54.71</v>
      </c>
      <c r="E82" s="83">
        <f t="shared" si="1"/>
        <v>49110.759760000001</v>
      </c>
      <c r="F82" s="84">
        <f t="shared" si="2"/>
        <v>1.5515083215625267E-3</v>
      </c>
      <c r="G82" s="85">
        <v>1.3891427526960336E-2</v>
      </c>
      <c r="H82" s="84">
        <f t="shared" si="3"/>
        <v>2.1552665406461711E-5</v>
      </c>
      <c r="I82" s="84">
        <v>0.1094</v>
      </c>
      <c r="J82" s="84">
        <f t="shared" si="0"/>
        <v>1.6973501037894042E-4</v>
      </c>
    </row>
    <row r="83" spans="1:10">
      <c r="A83" s="29" t="s">
        <v>199</v>
      </c>
      <c r="B83" s="34" t="s">
        <v>200</v>
      </c>
      <c r="C83" s="83">
        <v>759.34400000000005</v>
      </c>
      <c r="D83" s="83">
        <v>55.46</v>
      </c>
      <c r="E83" s="83">
        <f t="shared" si="1"/>
        <v>42113.218240000002</v>
      </c>
      <c r="F83" s="84">
        <f t="shared" si="2"/>
        <v>1.3304418189912929E-3</v>
      </c>
      <c r="G83" s="85">
        <v>3.0292102416155785E-2</v>
      </c>
      <c r="H83" s="84">
        <f t="shared" si="3"/>
        <v>4.0301879839620844E-5</v>
      </c>
      <c r="I83" s="84">
        <v>0.1</v>
      </c>
      <c r="J83" s="84">
        <f t="shared" ref="J83:J146" si="4">IFERROR($I83*$F83,"")</f>
        <v>1.330441818991293E-4</v>
      </c>
    </row>
    <row r="84" spans="1:10">
      <c r="A84" s="29" t="s">
        <v>201</v>
      </c>
      <c r="B84" s="34" t="s">
        <v>202</v>
      </c>
      <c r="C84" s="83">
        <v>409.25900000000001</v>
      </c>
      <c r="D84" s="83">
        <v>88.44</v>
      </c>
      <c r="E84" s="83">
        <f t="shared" ref="E84:E147" si="5">IFERROR(C84*D84,"")</f>
        <v>36194.865960000003</v>
      </c>
      <c r="F84" s="84">
        <f t="shared" ref="F84:F147" si="6">IF(AND(ISNUMBER($I84)), IF(AND($I84&lt;=20%,$I84&gt;0%), $E84/SUMIFS($E$19:$E$521,$I$19:$I$521, "&gt;"&amp;0%,$I$19:$I$521, "&lt;="&amp;20%),""),"")</f>
        <v>1.1434690892426185E-3</v>
      </c>
      <c r="G84" s="85">
        <v>1.5377657168701946E-2</v>
      </c>
      <c r="H84" s="84">
        <f t="shared" ref="H84:H147" si="7">IFERROR($G84*$F84,"")</f>
        <v>1.7583875637380839E-5</v>
      </c>
      <c r="I84" s="84">
        <v>0.09</v>
      </c>
      <c r="J84" s="84">
        <f t="shared" si="4"/>
        <v>1.0291221803183566E-4</v>
      </c>
    </row>
    <row r="85" spans="1:10">
      <c r="A85" s="29" t="s">
        <v>203</v>
      </c>
      <c r="B85" s="34" t="s">
        <v>204</v>
      </c>
      <c r="C85" s="83">
        <v>507.32400000000001</v>
      </c>
      <c r="D85" s="83">
        <v>38.69</v>
      </c>
      <c r="E85" s="83">
        <f t="shared" si="5"/>
        <v>19628.365559999998</v>
      </c>
      <c r="F85" s="84" t="str">
        <f t="shared" si="6"/>
        <v/>
      </c>
      <c r="G85" s="85">
        <v>2.9981907469630396E-2</v>
      </c>
      <c r="H85" s="84" t="str">
        <f t="shared" si="7"/>
        <v/>
      </c>
      <c r="I85" s="84">
        <v>-0.03</v>
      </c>
      <c r="J85" s="84" t="str">
        <f t="shared" si="4"/>
        <v/>
      </c>
    </row>
    <row r="86" spans="1:10">
      <c r="A86" s="29" t="s">
        <v>1253</v>
      </c>
      <c r="B86" s="34" t="s">
        <v>205</v>
      </c>
      <c r="C86" s="83">
        <v>289.54199999999997</v>
      </c>
      <c r="D86" s="83">
        <v>238.81</v>
      </c>
      <c r="E86" s="83">
        <f t="shared" si="5"/>
        <v>69145.525020000001</v>
      </c>
      <c r="F86" s="84" t="str">
        <f t="shared" si="6"/>
        <v/>
      </c>
      <c r="G86" s="85">
        <v>1.5912231481093754E-2</v>
      </c>
      <c r="H86" s="84" t="str">
        <f t="shared" si="7"/>
        <v/>
      </c>
      <c r="I86" s="84">
        <v>-2.0199999999999999E-2</v>
      </c>
      <c r="J86" s="84" t="str">
        <f t="shared" si="4"/>
        <v/>
      </c>
    </row>
    <row r="87" spans="1:10">
      <c r="A87" s="29" t="s">
        <v>206</v>
      </c>
      <c r="B87" s="34" t="s">
        <v>207</v>
      </c>
      <c r="C87" s="83">
        <v>1308.414</v>
      </c>
      <c r="D87" s="83">
        <v>383.74</v>
      </c>
      <c r="E87" s="83">
        <f t="shared" si="5"/>
        <v>502090.78836000001</v>
      </c>
      <c r="F87" s="84" t="str">
        <f t="shared" si="6"/>
        <v/>
      </c>
      <c r="G87" s="85" t="s">
        <v>90</v>
      </c>
      <c r="H87" s="84" t="str">
        <f t="shared" si="7"/>
        <v/>
      </c>
      <c r="I87" s="84" t="s">
        <v>90</v>
      </c>
      <c r="J87" s="84" t="str">
        <f t="shared" si="4"/>
        <v/>
      </c>
    </row>
    <row r="88" spans="1:10">
      <c r="A88" s="29" t="s">
        <v>208</v>
      </c>
      <c r="B88" s="34" t="s">
        <v>209</v>
      </c>
      <c r="C88" s="83">
        <v>215.39599999999999</v>
      </c>
      <c r="D88" s="83">
        <v>72.489999999999995</v>
      </c>
      <c r="E88" s="83">
        <f t="shared" si="5"/>
        <v>15614.056039999998</v>
      </c>
      <c r="F88" s="84">
        <f t="shared" si="6"/>
        <v>4.9327963969180572E-4</v>
      </c>
      <c r="G88" s="85">
        <v>5.0765622844530289E-2</v>
      </c>
      <c r="H88" s="84">
        <f t="shared" si="7"/>
        <v>2.5041648145480001E-5</v>
      </c>
      <c r="I88" s="84">
        <v>3.0750000000000003E-2</v>
      </c>
      <c r="J88" s="84">
        <f t="shared" si="4"/>
        <v>1.5168348920523026E-5</v>
      </c>
    </row>
    <row r="89" spans="1:10">
      <c r="A89" s="29" t="s">
        <v>210</v>
      </c>
      <c r="B89" s="34" t="s">
        <v>211</v>
      </c>
      <c r="C89" s="83">
        <v>1464.9829999999999</v>
      </c>
      <c r="D89" s="83">
        <v>63.26</v>
      </c>
      <c r="E89" s="83">
        <f t="shared" si="5"/>
        <v>92674.82458</v>
      </c>
      <c r="F89" s="84">
        <f t="shared" si="6"/>
        <v>2.9277853211370762E-3</v>
      </c>
      <c r="G89" s="85" t="s">
        <v>90</v>
      </c>
      <c r="H89" s="84" t="str">
        <f t="shared" si="7"/>
        <v/>
      </c>
      <c r="I89" s="84">
        <v>0.12095</v>
      </c>
      <c r="J89" s="84">
        <f t="shared" si="4"/>
        <v>3.5411563459152934E-4</v>
      </c>
    </row>
    <row r="90" spans="1:10">
      <c r="A90" s="29" t="s">
        <v>212</v>
      </c>
      <c r="B90" s="34" t="s">
        <v>213</v>
      </c>
      <c r="C90" s="83">
        <v>2034.758</v>
      </c>
      <c r="D90" s="83">
        <v>48.87</v>
      </c>
      <c r="E90" s="83">
        <f t="shared" si="5"/>
        <v>99438.623460000003</v>
      </c>
      <c r="F90" s="84">
        <f t="shared" si="6"/>
        <v>3.1414674205177211E-3</v>
      </c>
      <c r="G90" s="85">
        <v>4.910988336402701E-2</v>
      </c>
      <c r="H90" s="84">
        <f t="shared" si="7"/>
        <v>1.5427709861351609E-4</v>
      </c>
      <c r="I90" s="84">
        <v>2.7779999999999999E-2</v>
      </c>
      <c r="J90" s="84">
        <f t="shared" si="4"/>
        <v>8.7269964941982296E-5</v>
      </c>
    </row>
    <row r="91" spans="1:10">
      <c r="A91" s="29" t="s">
        <v>214</v>
      </c>
      <c r="B91" s="34" t="s">
        <v>215</v>
      </c>
      <c r="C91" s="83">
        <v>306.47500000000002</v>
      </c>
      <c r="D91" s="83">
        <v>54.9</v>
      </c>
      <c r="E91" s="83">
        <f t="shared" si="5"/>
        <v>16825.477500000001</v>
      </c>
      <c r="F91" s="84">
        <f t="shared" si="6"/>
        <v>5.3155089603755415E-4</v>
      </c>
      <c r="G91" s="85">
        <v>1.5868852459016394E-2</v>
      </c>
      <c r="H91" s="84">
        <f t="shared" si="7"/>
        <v>8.4351027436779078E-6</v>
      </c>
      <c r="I91" s="84">
        <v>4.8499999999999995E-2</v>
      </c>
      <c r="J91" s="84">
        <f t="shared" si="4"/>
        <v>2.5780218457821373E-5</v>
      </c>
    </row>
    <row r="92" spans="1:10">
      <c r="A92" s="29" t="s">
        <v>216</v>
      </c>
      <c r="B92" s="34" t="s">
        <v>217</v>
      </c>
      <c r="C92" s="83">
        <v>752.19200000000001</v>
      </c>
      <c r="D92" s="83">
        <v>24.88</v>
      </c>
      <c r="E92" s="83">
        <f t="shared" si="5"/>
        <v>18714.536959999998</v>
      </c>
      <c r="F92" s="84" t="str">
        <f t="shared" si="6"/>
        <v/>
      </c>
      <c r="G92" s="85">
        <v>3.2154340836012867E-2</v>
      </c>
      <c r="H92" s="84" t="str">
        <f t="shared" si="7"/>
        <v/>
      </c>
      <c r="I92" s="84">
        <v>0.5504</v>
      </c>
      <c r="J92" s="84" t="str">
        <f t="shared" si="4"/>
        <v/>
      </c>
    </row>
    <row r="93" spans="1:10">
      <c r="A93" s="29" t="s">
        <v>218</v>
      </c>
      <c r="B93" s="34" t="s">
        <v>219</v>
      </c>
      <c r="C93" s="83">
        <v>298.10000000000002</v>
      </c>
      <c r="D93" s="83">
        <v>44.63</v>
      </c>
      <c r="E93" s="83">
        <f t="shared" si="5"/>
        <v>13304.203000000001</v>
      </c>
      <c r="F93" s="84">
        <f t="shared" si="6"/>
        <v>4.2030670604834345E-4</v>
      </c>
      <c r="G93" s="85">
        <v>3.3161550526551647E-2</v>
      </c>
      <c r="H93" s="84">
        <f t="shared" si="7"/>
        <v>1.3938022069270632E-5</v>
      </c>
      <c r="I93" s="84">
        <v>2.81E-2</v>
      </c>
      <c r="J93" s="84">
        <f t="shared" si="4"/>
        <v>1.1810618439958451E-5</v>
      </c>
    </row>
    <row r="94" spans="1:10">
      <c r="A94" s="29" t="s">
        <v>220</v>
      </c>
      <c r="B94" s="34" t="s">
        <v>221</v>
      </c>
      <c r="C94" s="83">
        <v>256.44</v>
      </c>
      <c r="D94" s="83">
        <v>190.96</v>
      </c>
      <c r="E94" s="83">
        <f t="shared" si="5"/>
        <v>48969.782400000004</v>
      </c>
      <c r="F94" s="84">
        <f t="shared" si="6"/>
        <v>1.5470545613629123E-3</v>
      </c>
      <c r="G94" s="85">
        <v>3.1420192710515287E-3</v>
      </c>
      <c r="H94" s="84">
        <f t="shared" si="7"/>
        <v>4.8608752451704402E-6</v>
      </c>
      <c r="I94" s="84">
        <v>0.1714</v>
      </c>
      <c r="J94" s="84">
        <f t="shared" si="4"/>
        <v>2.6516515181760318E-4</v>
      </c>
    </row>
    <row r="95" spans="1:10">
      <c r="A95" s="29" t="s">
        <v>222</v>
      </c>
      <c r="B95" s="34" t="s">
        <v>223</v>
      </c>
      <c r="C95" s="83">
        <v>1119.4449999999999</v>
      </c>
      <c r="D95" s="83">
        <v>16.579999999999998</v>
      </c>
      <c r="E95" s="83">
        <f t="shared" si="5"/>
        <v>18560.398099999999</v>
      </c>
      <c r="F95" s="84" t="str">
        <f t="shared" si="6"/>
        <v/>
      </c>
      <c r="G95" s="85" t="s">
        <v>90</v>
      </c>
      <c r="H95" s="84" t="str">
        <f t="shared" si="7"/>
        <v/>
      </c>
      <c r="I95" s="84" t="s">
        <v>90</v>
      </c>
      <c r="J95" s="84" t="str">
        <f t="shared" si="4"/>
        <v/>
      </c>
    </row>
    <row r="96" spans="1:10">
      <c r="A96" s="29" t="s">
        <v>224</v>
      </c>
      <c r="B96" s="34" t="s">
        <v>225</v>
      </c>
      <c r="C96" s="83">
        <v>97.346000000000004</v>
      </c>
      <c r="D96" s="83">
        <v>99.74</v>
      </c>
      <c r="E96" s="83">
        <f t="shared" si="5"/>
        <v>9709.2900399999999</v>
      </c>
      <c r="F96" s="84">
        <f t="shared" si="6"/>
        <v>3.067361280326517E-4</v>
      </c>
      <c r="G96" s="85" t="s">
        <v>90</v>
      </c>
      <c r="H96" s="84" t="str">
        <f t="shared" si="7"/>
        <v/>
      </c>
      <c r="I96" s="84">
        <v>0.18146999999999999</v>
      </c>
      <c r="J96" s="84">
        <f t="shared" si="4"/>
        <v>5.5663405154085302E-5</v>
      </c>
    </row>
    <row r="97" spans="1:10">
      <c r="A97" s="29" t="s">
        <v>1546</v>
      </c>
      <c r="B97" s="34" t="s">
        <v>1547</v>
      </c>
      <c r="C97" s="83">
        <v>123.34699999999999</v>
      </c>
      <c r="D97" s="83">
        <v>173.73</v>
      </c>
      <c r="E97" s="83">
        <f t="shared" si="5"/>
        <v>21429.074309999996</v>
      </c>
      <c r="F97" s="84" t="str">
        <f t="shared" si="6"/>
        <v/>
      </c>
      <c r="G97" s="85" t="s">
        <v>90</v>
      </c>
      <c r="H97" s="84" t="str">
        <f t="shared" si="7"/>
        <v/>
      </c>
      <c r="I97" s="84">
        <v>-1.67E-2</v>
      </c>
      <c r="J97" s="84" t="str">
        <f t="shared" si="4"/>
        <v/>
      </c>
    </row>
    <row r="98" spans="1:10">
      <c r="A98" s="29" t="s">
        <v>226</v>
      </c>
      <c r="B98" s="34" t="s">
        <v>227</v>
      </c>
      <c r="C98" s="83">
        <v>328.928</v>
      </c>
      <c r="D98" s="83">
        <v>36.020000000000003</v>
      </c>
      <c r="E98" s="83">
        <f t="shared" si="5"/>
        <v>11847.986560000001</v>
      </c>
      <c r="F98" s="84">
        <f t="shared" si="6"/>
        <v>3.7430188071684142E-4</v>
      </c>
      <c r="G98" s="85">
        <v>4.6640755136035529E-2</v>
      </c>
      <c r="H98" s="84">
        <f t="shared" si="7"/>
        <v>1.745772236547178E-5</v>
      </c>
      <c r="I98" s="84">
        <v>6.08E-2</v>
      </c>
      <c r="J98" s="84">
        <f t="shared" si="4"/>
        <v>2.2757554347583959E-5</v>
      </c>
    </row>
    <row r="99" spans="1:10">
      <c r="A99" s="29" t="s">
        <v>228</v>
      </c>
      <c r="B99" s="34" t="s">
        <v>229</v>
      </c>
      <c r="C99" s="83">
        <v>124.059</v>
      </c>
      <c r="D99" s="83">
        <v>145.25</v>
      </c>
      <c r="E99" s="83">
        <f t="shared" si="5"/>
        <v>18019.569749999999</v>
      </c>
      <c r="F99" s="84">
        <f t="shared" si="6"/>
        <v>5.6927468755782441E-4</v>
      </c>
      <c r="G99" s="85">
        <v>3.3046471600688465E-2</v>
      </c>
      <c r="H99" s="84">
        <f t="shared" si="7"/>
        <v>1.8812519795370445E-5</v>
      </c>
      <c r="I99" s="84">
        <v>0.11900000000000001</v>
      </c>
      <c r="J99" s="84">
        <f t="shared" si="4"/>
        <v>6.7743687819381114E-5</v>
      </c>
    </row>
    <row r="100" spans="1:10">
      <c r="A100" s="29" t="s">
        <v>230</v>
      </c>
      <c r="B100" s="34" t="s">
        <v>231</v>
      </c>
      <c r="C100" s="83">
        <v>60.228000000000002</v>
      </c>
      <c r="D100" s="83">
        <v>190.24</v>
      </c>
      <c r="E100" s="83">
        <f t="shared" si="5"/>
        <v>11457.774720000001</v>
      </c>
      <c r="F100" s="84">
        <f t="shared" si="6"/>
        <v>3.6197429873906619E-4</v>
      </c>
      <c r="G100" s="85">
        <v>7.8847771236333058E-3</v>
      </c>
      <c r="H100" s="84">
        <f t="shared" si="7"/>
        <v>2.8540866700409973E-6</v>
      </c>
      <c r="I100" s="84">
        <v>0.15190000000000001</v>
      </c>
      <c r="J100" s="84">
        <f t="shared" si="4"/>
        <v>5.4983895978464156E-5</v>
      </c>
    </row>
    <row r="101" spans="1:10">
      <c r="A101" s="29" t="s">
        <v>232</v>
      </c>
      <c r="B101" s="34" t="s">
        <v>233</v>
      </c>
      <c r="C101" s="83">
        <v>291.76400000000001</v>
      </c>
      <c r="D101" s="83">
        <v>57.16</v>
      </c>
      <c r="E101" s="83">
        <f t="shared" si="5"/>
        <v>16677.230240000001</v>
      </c>
      <c r="F101" s="84">
        <f t="shared" si="6"/>
        <v>5.2686746497961762E-4</v>
      </c>
      <c r="G101" s="85">
        <v>3.41147655703289E-2</v>
      </c>
      <c r="H101" s="84">
        <f t="shared" si="7"/>
        <v>1.7973960054413127E-5</v>
      </c>
      <c r="I101" s="84">
        <v>7.7499999999999999E-2</v>
      </c>
      <c r="J101" s="84">
        <f t="shared" si="4"/>
        <v>4.0832228535920363E-5</v>
      </c>
    </row>
    <row r="102" spans="1:10">
      <c r="A102" s="29" t="s">
        <v>234</v>
      </c>
      <c r="B102" s="34" t="s">
        <v>235</v>
      </c>
      <c r="C102" s="83">
        <v>823.37199999999996</v>
      </c>
      <c r="D102" s="83">
        <v>84.2</v>
      </c>
      <c r="E102" s="83">
        <f t="shared" si="5"/>
        <v>69327.922399999996</v>
      </c>
      <c r="F102" s="84">
        <f t="shared" si="6"/>
        <v>2.190209417363758E-3</v>
      </c>
      <c r="G102" s="85">
        <v>2.2802850356294535E-2</v>
      </c>
      <c r="H102" s="84">
        <f t="shared" si="7"/>
        <v>4.9943017593092814E-5</v>
      </c>
      <c r="I102" s="84">
        <v>8.1799999999999998E-2</v>
      </c>
      <c r="J102" s="84">
        <f t="shared" si="4"/>
        <v>1.7915913034035539E-4</v>
      </c>
    </row>
    <row r="103" spans="1:10">
      <c r="A103" s="29" t="s">
        <v>236</v>
      </c>
      <c r="B103" s="34" t="s">
        <v>237</v>
      </c>
      <c r="C103" s="83">
        <v>57.7</v>
      </c>
      <c r="D103" s="83">
        <v>278.11</v>
      </c>
      <c r="E103" s="83">
        <f t="shared" si="5"/>
        <v>16046.947000000002</v>
      </c>
      <c r="F103" s="84">
        <f t="shared" si="6"/>
        <v>5.0695554147079291E-4</v>
      </c>
      <c r="G103" s="85" t="s">
        <v>90</v>
      </c>
      <c r="H103" s="84" t="str">
        <f t="shared" si="7"/>
        <v/>
      </c>
      <c r="I103" s="84">
        <v>4.87E-2</v>
      </c>
      <c r="J103" s="84">
        <f t="shared" si="4"/>
        <v>2.4688734869627615E-5</v>
      </c>
    </row>
    <row r="104" spans="1:10">
      <c r="A104" s="29" t="s">
        <v>238</v>
      </c>
      <c r="B104" s="34" t="s">
        <v>239</v>
      </c>
      <c r="C104" s="83">
        <v>131.87299999999999</v>
      </c>
      <c r="D104" s="83">
        <v>52.58</v>
      </c>
      <c r="E104" s="83">
        <f t="shared" si="5"/>
        <v>6933.8823399999992</v>
      </c>
      <c r="F104" s="84" t="str">
        <f t="shared" si="6"/>
        <v/>
      </c>
      <c r="G104" s="85">
        <v>5.401293267402054E-2</v>
      </c>
      <c r="H104" s="84" t="str">
        <f t="shared" si="7"/>
        <v/>
      </c>
      <c r="I104" s="84">
        <v>0.31</v>
      </c>
      <c r="J104" s="84" t="str">
        <f t="shared" si="4"/>
        <v/>
      </c>
    </row>
    <row r="105" spans="1:10">
      <c r="A105" s="29" t="s">
        <v>240</v>
      </c>
      <c r="B105" s="34" t="s">
        <v>241</v>
      </c>
      <c r="C105" s="83">
        <v>478.005</v>
      </c>
      <c r="D105" s="83">
        <v>29.15</v>
      </c>
      <c r="E105" s="83">
        <f t="shared" si="5"/>
        <v>13933.845749999999</v>
      </c>
      <c r="F105" s="84">
        <f t="shared" si="6"/>
        <v>4.4019839518144821E-4</v>
      </c>
      <c r="G105" s="85">
        <v>4.8027444253859346E-2</v>
      </c>
      <c r="H105" s="84">
        <f t="shared" si="7"/>
        <v>2.1141603885215352E-5</v>
      </c>
      <c r="I105" s="84">
        <v>2.0750000000000001E-2</v>
      </c>
      <c r="J105" s="84">
        <f t="shared" si="4"/>
        <v>9.1341167000150513E-6</v>
      </c>
    </row>
    <row r="106" spans="1:10">
      <c r="A106" s="29" t="s">
        <v>1305</v>
      </c>
      <c r="B106" s="34" t="s">
        <v>1306</v>
      </c>
      <c r="C106" s="83">
        <v>434.745</v>
      </c>
      <c r="D106" s="83">
        <v>144.13999999999999</v>
      </c>
      <c r="E106" s="83">
        <f t="shared" si="5"/>
        <v>62664.144299999993</v>
      </c>
      <c r="F106" s="84">
        <f t="shared" si="6"/>
        <v>1.9796871769072579E-3</v>
      </c>
      <c r="G106" s="85" t="s">
        <v>90</v>
      </c>
      <c r="H106" s="84" t="str">
        <f t="shared" si="7"/>
        <v/>
      </c>
      <c r="I106" s="84">
        <v>0.182</v>
      </c>
      <c r="J106" s="84">
        <f t="shared" si="4"/>
        <v>3.6030306619712094E-4</v>
      </c>
    </row>
    <row r="107" spans="1:10">
      <c r="A107" s="29" t="s">
        <v>242</v>
      </c>
      <c r="B107" s="34" t="s">
        <v>243</v>
      </c>
      <c r="C107" s="83">
        <v>344.92399999999998</v>
      </c>
      <c r="D107" s="83">
        <v>90.9</v>
      </c>
      <c r="E107" s="83">
        <f t="shared" si="5"/>
        <v>31353.5916</v>
      </c>
      <c r="F107" s="84">
        <f t="shared" si="6"/>
        <v>9.9052343144350775E-4</v>
      </c>
      <c r="G107" s="85">
        <v>3.6523652365236518E-2</v>
      </c>
      <c r="H107" s="84">
        <f t="shared" si="7"/>
        <v>3.6177533469663866E-5</v>
      </c>
      <c r="I107" s="84">
        <v>0.06</v>
      </c>
      <c r="J107" s="84">
        <f t="shared" si="4"/>
        <v>5.9431405886610462E-5</v>
      </c>
    </row>
    <row r="108" spans="1:10">
      <c r="A108" s="29" t="s">
        <v>244</v>
      </c>
      <c r="B108" s="34" t="s">
        <v>245</v>
      </c>
      <c r="C108" s="83">
        <v>853.18200000000002</v>
      </c>
      <c r="D108" s="83">
        <v>32.49</v>
      </c>
      <c r="E108" s="83">
        <f t="shared" si="5"/>
        <v>27719.883180000001</v>
      </c>
      <c r="F108" s="84">
        <f t="shared" si="6"/>
        <v>8.7572722630815838E-4</v>
      </c>
      <c r="G108" s="85">
        <v>3.4472145275469379E-2</v>
      </c>
      <c r="H108" s="84">
        <f t="shared" si="7"/>
        <v>3.0188196166978687E-5</v>
      </c>
      <c r="I108" s="84">
        <v>9.3399999999999997E-2</v>
      </c>
      <c r="J108" s="84">
        <f t="shared" si="4"/>
        <v>8.1792922937181994E-5</v>
      </c>
    </row>
    <row r="109" spans="1:10">
      <c r="A109" s="29" t="s">
        <v>246</v>
      </c>
      <c r="B109" s="34" t="s">
        <v>247</v>
      </c>
      <c r="C109" s="83">
        <v>141.745</v>
      </c>
      <c r="D109" s="83">
        <v>239.3</v>
      </c>
      <c r="E109" s="83">
        <f t="shared" si="5"/>
        <v>33919.578500000003</v>
      </c>
      <c r="F109" s="84">
        <f t="shared" si="6"/>
        <v>1.0715881522465652E-3</v>
      </c>
      <c r="G109" s="85">
        <v>2.8081905557877138E-2</v>
      </c>
      <c r="H109" s="84">
        <f t="shared" si="7"/>
        <v>3.0092237288328112E-5</v>
      </c>
      <c r="I109" s="84">
        <v>7.0099999999999996E-2</v>
      </c>
      <c r="J109" s="84">
        <f t="shared" si="4"/>
        <v>7.5118329472484215E-5</v>
      </c>
    </row>
    <row r="110" spans="1:10">
      <c r="A110" s="29" t="s">
        <v>248</v>
      </c>
      <c r="B110" s="34" t="s">
        <v>249</v>
      </c>
      <c r="C110" s="83">
        <v>215.71100000000001</v>
      </c>
      <c r="D110" s="83">
        <v>43.87</v>
      </c>
      <c r="E110" s="83">
        <f t="shared" si="5"/>
        <v>9463.2415700000001</v>
      </c>
      <c r="F110" s="84" t="str">
        <f t="shared" si="6"/>
        <v/>
      </c>
      <c r="G110" s="85" t="s">
        <v>90</v>
      </c>
      <c r="H110" s="84" t="str">
        <f t="shared" si="7"/>
        <v/>
      </c>
      <c r="I110" s="84">
        <v>1.2712000000000001</v>
      </c>
      <c r="J110" s="84" t="str">
        <f t="shared" si="4"/>
        <v/>
      </c>
    </row>
    <row r="111" spans="1:10">
      <c r="A111" s="29" t="s">
        <v>250</v>
      </c>
      <c r="B111" s="34" t="s">
        <v>251</v>
      </c>
      <c r="C111" s="83">
        <v>739.2</v>
      </c>
      <c r="D111" s="83">
        <v>239.91</v>
      </c>
      <c r="E111" s="83">
        <f t="shared" si="5"/>
        <v>177341.47200000001</v>
      </c>
      <c r="F111" s="84">
        <f t="shared" si="6"/>
        <v>5.6025761138855544E-3</v>
      </c>
      <c r="G111" s="85">
        <v>4.0015005627110165E-3</v>
      </c>
      <c r="H111" s="84">
        <f t="shared" si="7"/>
        <v>2.2418711472344345E-5</v>
      </c>
      <c r="I111" s="84">
        <v>5.8299999999999998E-2</v>
      </c>
      <c r="J111" s="84">
        <f t="shared" si="4"/>
        <v>3.2663018743952783E-4</v>
      </c>
    </row>
    <row r="112" spans="1:10">
      <c r="A112" s="29" t="s">
        <v>252</v>
      </c>
      <c r="B112" s="34" t="s">
        <v>253</v>
      </c>
      <c r="C112" s="83">
        <v>461.66199999999998</v>
      </c>
      <c r="D112" s="83">
        <v>139.08000000000001</v>
      </c>
      <c r="E112" s="83">
        <f t="shared" si="5"/>
        <v>64207.950960000002</v>
      </c>
      <c r="F112" s="84">
        <f t="shared" si="6"/>
        <v>2.0284591546078463E-3</v>
      </c>
      <c r="G112" s="85">
        <v>3.1636468219729652E-2</v>
      </c>
      <c r="H112" s="84">
        <f t="shared" si="7"/>
        <v>6.4173283579770801E-5</v>
      </c>
      <c r="I112" s="84">
        <v>0.15289999999999998</v>
      </c>
      <c r="J112" s="84">
        <f t="shared" si="4"/>
        <v>3.1015140473953967E-4</v>
      </c>
    </row>
    <row r="113" spans="1:10">
      <c r="A113" s="29" t="s">
        <v>254</v>
      </c>
      <c r="B113" s="34" t="s">
        <v>255</v>
      </c>
      <c r="C113" s="83">
        <v>279.99</v>
      </c>
      <c r="D113" s="83">
        <v>393.58</v>
      </c>
      <c r="E113" s="83">
        <f t="shared" si="5"/>
        <v>110198.4642</v>
      </c>
      <c r="F113" s="84">
        <f t="shared" si="6"/>
        <v>3.4813925719179343E-3</v>
      </c>
      <c r="G113" s="85">
        <v>1.493978352558565E-2</v>
      </c>
      <c r="H113" s="84">
        <f t="shared" si="7"/>
        <v>5.201125139203581E-5</v>
      </c>
      <c r="I113" s="84">
        <v>3.9550000000000002E-2</v>
      </c>
      <c r="J113" s="84">
        <f t="shared" si="4"/>
        <v>1.3768907621935432E-4</v>
      </c>
    </row>
    <row r="114" spans="1:10">
      <c r="A114" s="29" t="s">
        <v>256</v>
      </c>
      <c r="B114" s="34" t="s">
        <v>257</v>
      </c>
      <c r="C114" s="83">
        <v>836.77300000000002</v>
      </c>
      <c r="D114" s="83">
        <v>45.72</v>
      </c>
      <c r="E114" s="83">
        <f t="shared" si="5"/>
        <v>38257.261559999999</v>
      </c>
      <c r="F114" s="84">
        <f t="shared" si="6"/>
        <v>1.208624341398993E-3</v>
      </c>
      <c r="G114" s="85">
        <v>5.8398950131233598E-2</v>
      </c>
      <c r="H114" s="84">
        <f t="shared" si="7"/>
        <v>7.0582392640754839E-5</v>
      </c>
      <c r="I114" s="84">
        <v>6.9000000000000006E-2</v>
      </c>
      <c r="J114" s="84">
        <f t="shared" si="4"/>
        <v>8.3395079556530523E-5</v>
      </c>
    </row>
    <row r="115" spans="1:10">
      <c r="A115" s="29" t="s">
        <v>258</v>
      </c>
      <c r="B115" s="34" t="s">
        <v>259</v>
      </c>
      <c r="C115" s="83">
        <v>139.88999999999999</v>
      </c>
      <c r="D115" s="83">
        <v>149.78</v>
      </c>
      <c r="E115" s="83">
        <f t="shared" si="5"/>
        <v>20952.724199999997</v>
      </c>
      <c r="F115" s="84">
        <f t="shared" si="6"/>
        <v>6.6193897456626378E-4</v>
      </c>
      <c r="G115" s="85">
        <v>1.3619975964748298E-2</v>
      </c>
      <c r="H115" s="84">
        <f t="shared" si="7"/>
        <v>9.0155929237226483E-6</v>
      </c>
      <c r="I115" s="84">
        <v>0.1</v>
      </c>
      <c r="J115" s="84">
        <f t="shared" si="4"/>
        <v>6.6193897456626383E-5</v>
      </c>
    </row>
    <row r="116" spans="1:10">
      <c r="A116" s="29" t="s">
        <v>260</v>
      </c>
      <c r="B116" s="34" t="s">
        <v>261</v>
      </c>
      <c r="C116" s="83">
        <v>252.71899999999999</v>
      </c>
      <c r="D116" s="83">
        <v>48.66</v>
      </c>
      <c r="E116" s="83">
        <f t="shared" si="5"/>
        <v>12297.30654</v>
      </c>
      <c r="F116" s="84">
        <f t="shared" si="6"/>
        <v>3.88496808496845E-4</v>
      </c>
      <c r="G116" s="85">
        <v>3.9457459926017263E-2</v>
      </c>
      <c r="H116" s="84">
        <f t="shared" si="7"/>
        <v>1.5329097252649864E-5</v>
      </c>
      <c r="I116" s="84">
        <v>6.1550000000000001E-2</v>
      </c>
      <c r="J116" s="84">
        <f t="shared" si="4"/>
        <v>2.3911978562980808E-5</v>
      </c>
    </row>
    <row r="117" spans="1:10">
      <c r="A117" s="29" t="s">
        <v>262</v>
      </c>
      <c r="B117" s="34" t="s">
        <v>263</v>
      </c>
      <c r="C117" s="83">
        <v>161.816</v>
      </c>
      <c r="D117" s="83">
        <v>120.69</v>
      </c>
      <c r="E117" s="83">
        <f t="shared" si="5"/>
        <v>19529.573039999999</v>
      </c>
      <c r="F117" s="84" t="str">
        <f t="shared" si="6"/>
        <v/>
      </c>
      <c r="G117" s="85">
        <v>1.4085674040931312E-2</v>
      </c>
      <c r="H117" s="84" t="str">
        <f t="shared" si="7"/>
        <v/>
      </c>
      <c r="I117" s="84">
        <v>-0.13009999999999999</v>
      </c>
      <c r="J117" s="84" t="str">
        <f t="shared" si="4"/>
        <v/>
      </c>
    </row>
    <row r="118" spans="1:10">
      <c r="A118" s="29" t="s">
        <v>264</v>
      </c>
      <c r="B118" s="34" t="s">
        <v>265</v>
      </c>
      <c r="C118" s="83">
        <v>771</v>
      </c>
      <c r="D118" s="83">
        <v>95.83</v>
      </c>
      <c r="E118" s="83">
        <f t="shared" si="5"/>
        <v>73884.929999999993</v>
      </c>
      <c r="F118" s="84">
        <f t="shared" si="6"/>
        <v>2.3341745127395024E-3</v>
      </c>
      <c r="G118" s="85">
        <v>4.278409683815089E-2</v>
      </c>
      <c r="H118" s="84">
        <f t="shared" si="7"/>
        <v>9.9865548390190537E-5</v>
      </c>
      <c r="I118" s="84">
        <v>6.3399999999999998E-2</v>
      </c>
      <c r="J118" s="84">
        <f t="shared" si="4"/>
        <v>1.4798666410768444E-4</v>
      </c>
    </row>
    <row r="119" spans="1:10">
      <c r="A119" s="29" t="s">
        <v>266</v>
      </c>
      <c r="B119" s="34" t="s">
        <v>267</v>
      </c>
      <c r="C119" s="83">
        <v>184.57599999999999</v>
      </c>
      <c r="D119" s="83">
        <v>62.67</v>
      </c>
      <c r="E119" s="83">
        <f t="shared" si="5"/>
        <v>11567.377919999999</v>
      </c>
      <c r="F119" s="84">
        <f t="shared" si="6"/>
        <v>3.6543688570984207E-4</v>
      </c>
      <c r="G119" s="85">
        <v>4.27636827828307E-2</v>
      </c>
      <c r="H119" s="84">
        <f t="shared" si="7"/>
        <v>1.5627427057641245E-5</v>
      </c>
      <c r="I119" s="84">
        <v>3.4599999999999999E-2</v>
      </c>
      <c r="J119" s="84">
        <f t="shared" si="4"/>
        <v>1.2644116245560535E-5</v>
      </c>
    </row>
    <row r="120" spans="1:10">
      <c r="A120" s="29" t="s">
        <v>268</v>
      </c>
      <c r="B120" s="34" t="s">
        <v>269</v>
      </c>
      <c r="C120" s="83">
        <v>399.3</v>
      </c>
      <c r="D120" s="83">
        <v>246.08</v>
      </c>
      <c r="E120" s="83">
        <f t="shared" si="5"/>
        <v>98259.744000000006</v>
      </c>
      <c r="F120" s="84">
        <f t="shared" si="6"/>
        <v>3.1042242318306086E-3</v>
      </c>
      <c r="G120" s="85">
        <v>1.3979193758127437E-2</v>
      </c>
      <c r="H120" s="84">
        <f t="shared" si="7"/>
        <v>4.3394552005434382E-5</v>
      </c>
      <c r="I120" s="84">
        <v>0.15</v>
      </c>
      <c r="J120" s="84">
        <f t="shared" si="4"/>
        <v>4.6563363477459125E-4</v>
      </c>
    </row>
    <row r="121" spans="1:10">
      <c r="A121" s="29" t="s">
        <v>270</v>
      </c>
      <c r="B121" s="34" t="s">
        <v>271</v>
      </c>
      <c r="C121" s="83">
        <v>285.14</v>
      </c>
      <c r="D121" s="83">
        <v>198.22</v>
      </c>
      <c r="E121" s="83">
        <f t="shared" si="5"/>
        <v>56520.450799999999</v>
      </c>
      <c r="F121" s="84">
        <f t="shared" si="6"/>
        <v>1.7855954618337872E-3</v>
      </c>
      <c r="G121" s="85">
        <v>1.1502371102815052E-2</v>
      </c>
      <c r="H121" s="84">
        <f t="shared" si="7"/>
        <v>2.0538581641514651E-5</v>
      </c>
      <c r="I121" s="84">
        <v>0.14333000000000001</v>
      </c>
      <c r="J121" s="84">
        <f t="shared" si="4"/>
        <v>2.5592939754463676E-4</v>
      </c>
    </row>
    <row r="122" spans="1:10">
      <c r="A122" s="29" t="s">
        <v>1261</v>
      </c>
      <c r="B122" s="34" t="s">
        <v>1262</v>
      </c>
      <c r="C122" s="83">
        <v>123.407</v>
      </c>
      <c r="D122" s="83">
        <v>107.18</v>
      </c>
      <c r="E122" s="83">
        <f t="shared" si="5"/>
        <v>13226.762260000001</v>
      </c>
      <c r="F122" s="84" t="str">
        <f t="shared" si="6"/>
        <v/>
      </c>
      <c r="G122" s="85">
        <v>2.6124276917335325E-3</v>
      </c>
      <c r="H122" s="84" t="str">
        <f t="shared" si="7"/>
        <v/>
      </c>
      <c r="I122" s="84">
        <v>-7.3200000000000001E-2</v>
      </c>
      <c r="J122" s="84" t="str">
        <f t="shared" si="4"/>
        <v/>
      </c>
    </row>
    <row r="123" spans="1:10">
      <c r="A123" s="29" t="s">
        <v>272</v>
      </c>
      <c r="B123" s="34" t="s">
        <v>273</v>
      </c>
      <c r="C123" s="83">
        <v>570.1</v>
      </c>
      <c r="D123" s="83">
        <v>91.73</v>
      </c>
      <c r="E123" s="83">
        <f t="shared" si="5"/>
        <v>52295.273000000001</v>
      </c>
      <c r="F123" s="84">
        <f t="shared" si="6"/>
        <v>1.65211354160252E-3</v>
      </c>
      <c r="G123" s="85">
        <v>2.2893273738144555E-2</v>
      </c>
      <c r="H123" s="84">
        <f t="shared" si="7"/>
        <v>3.7822287554401959E-5</v>
      </c>
      <c r="I123" s="84">
        <v>0.1201</v>
      </c>
      <c r="J123" s="84">
        <f t="shared" si="4"/>
        <v>1.9841883634646264E-4</v>
      </c>
    </row>
    <row r="124" spans="1:10">
      <c r="A124" s="29" t="s">
        <v>274</v>
      </c>
      <c r="B124" s="34" t="s">
        <v>275</v>
      </c>
      <c r="C124" s="83">
        <v>583.15</v>
      </c>
      <c r="D124" s="83">
        <v>113.79</v>
      </c>
      <c r="E124" s="83">
        <f t="shared" si="5"/>
        <v>66356.638500000001</v>
      </c>
      <c r="F124" s="84">
        <f t="shared" si="6"/>
        <v>2.0963405438398442E-3</v>
      </c>
      <c r="G124" s="85">
        <v>3.1988751208366285E-2</v>
      </c>
      <c r="H124" s="84">
        <f t="shared" si="7"/>
        <v>6.7059316104904049E-5</v>
      </c>
      <c r="I124" s="84">
        <v>0.17824999999999999</v>
      </c>
      <c r="J124" s="84">
        <f t="shared" si="4"/>
        <v>3.7367270193945222E-4</v>
      </c>
    </row>
    <row r="125" spans="1:10">
      <c r="A125" s="29" t="s">
        <v>276</v>
      </c>
      <c r="B125" s="34" t="s">
        <v>277</v>
      </c>
      <c r="C125" s="83">
        <v>200.21600000000001</v>
      </c>
      <c r="D125" s="83">
        <v>298.43</v>
      </c>
      <c r="E125" s="83">
        <f t="shared" si="5"/>
        <v>59750.460880000006</v>
      </c>
      <c r="F125" s="84">
        <f t="shared" si="6"/>
        <v>1.8876380191540376E-3</v>
      </c>
      <c r="G125" s="85">
        <v>8.2431390945950471E-3</v>
      </c>
      <c r="H125" s="84">
        <f t="shared" si="7"/>
        <v>1.5560062752132602E-5</v>
      </c>
      <c r="I125" s="84">
        <v>0.1003</v>
      </c>
      <c r="J125" s="84">
        <f t="shared" si="4"/>
        <v>1.8933009332114997E-4</v>
      </c>
    </row>
    <row r="126" spans="1:10">
      <c r="A126" s="29" t="s">
        <v>278</v>
      </c>
      <c r="B126" s="34" t="s">
        <v>279</v>
      </c>
      <c r="C126" s="83">
        <v>211.45599999999999</v>
      </c>
      <c r="D126" s="83">
        <v>99.76</v>
      </c>
      <c r="E126" s="83">
        <f t="shared" si="5"/>
        <v>21094.850559999999</v>
      </c>
      <c r="F126" s="84">
        <f t="shared" si="6"/>
        <v>6.6642903400193545E-4</v>
      </c>
      <c r="G126" s="85">
        <v>4.5308740978348028E-2</v>
      </c>
      <c r="H126" s="84">
        <f t="shared" si="7"/>
        <v>3.0195060482044382E-5</v>
      </c>
      <c r="I126" s="84">
        <v>6.5049999999999997E-2</v>
      </c>
      <c r="J126" s="84">
        <f t="shared" si="4"/>
        <v>4.3351208661825901E-5</v>
      </c>
    </row>
    <row r="127" spans="1:10">
      <c r="A127" s="29" t="s">
        <v>280</v>
      </c>
      <c r="B127" s="34" t="s">
        <v>281</v>
      </c>
      <c r="C127" s="83">
        <v>123.217</v>
      </c>
      <c r="D127" s="83">
        <v>244.34</v>
      </c>
      <c r="E127" s="83">
        <f t="shared" si="5"/>
        <v>30106.841779999999</v>
      </c>
      <c r="F127" s="84">
        <f t="shared" si="6"/>
        <v>9.5113608068596398E-4</v>
      </c>
      <c r="G127" s="85">
        <v>6.3845461242530901E-3</v>
      </c>
      <c r="H127" s="84">
        <f t="shared" si="7"/>
        <v>6.0725721775808455E-6</v>
      </c>
      <c r="I127" s="84">
        <v>0.13635</v>
      </c>
      <c r="J127" s="84">
        <f t="shared" si="4"/>
        <v>1.296874046015312E-4</v>
      </c>
    </row>
    <row r="128" spans="1:10">
      <c r="A128" s="29" t="s">
        <v>282</v>
      </c>
      <c r="B128" s="34" t="s">
        <v>283</v>
      </c>
      <c r="C128" s="83">
        <v>411.33199999999999</v>
      </c>
      <c r="D128" s="83">
        <v>35.4</v>
      </c>
      <c r="E128" s="83">
        <f t="shared" si="5"/>
        <v>14561.1528</v>
      </c>
      <c r="F128" s="84" t="str">
        <f t="shared" si="6"/>
        <v/>
      </c>
      <c r="G128" s="85">
        <v>1.7796610169491526E-2</v>
      </c>
      <c r="H128" s="84" t="str">
        <f t="shared" si="7"/>
        <v/>
      </c>
      <c r="I128" s="84">
        <v>0.21405000000000002</v>
      </c>
      <c r="J128" s="84" t="str">
        <f t="shared" si="4"/>
        <v/>
      </c>
    </row>
    <row r="129" spans="1:10">
      <c r="A129" s="29" t="s">
        <v>284</v>
      </c>
      <c r="B129" s="34" t="s">
        <v>285</v>
      </c>
      <c r="C129" s="83">
        <v>182.5</v>
      </c>
      <c r="D129" s="83">
        <v>208.23</v>
      </c>
      <c r="E129" s="83">
        <f t="shared" si="5"/>
        <v>38001.974999999999</v>
      </c>
      <c r="F129" s="84">
        <f t="shared" si="6"/>
        <v>1.2005593221616879E-3</v>
      </c>
      <c r="G129" s="85" t="s">
        <v>90</v>
      </c>
      <c r="H129" s="84" t="str">
        <f t="shared" si="7"/>
        <v/>
      </c>
      <c r="I129" s="84">
        <v>9.6699999999999994E-2</v>
      </c>
      <c r="J129" s="84">
        <f t="shared" si="4"/>
        <v>1.160940864530352E-4</v>
      </c>
    </row>
    <row r="130" spans="1:10">
      <c r="A130" s="29" t="s">
        <v>286</v>
      </c>
      <c r="B130" s="34" t="s">
        <v>287</v>
      </c>
      <c r="C130" s="83">
        <v>77.948999999999998</v>
      </c>
      <c r="D130" s="83">
        <v>457.44</v>
      </c>
      <c r="E130" s="83">
        <f t="shared" si="5"/>
        <v>35656.990559999998</v>
      </c>
      <c r="F130" s="84">
        <f t="shared" si="6"/>
        <v>1.1264765164715599E-3</v>
      </c>
      <c r="G130" s="85" t="s">
        <v>90</v>
      </c>
      <c r="H130" s="84" t="str">
        <f t="shared" si="7"/>
        <v/>
      </c>
      <c r="I130" s="84">
        <v>8.2400000000000001E-2</v>
      </c>
      <c r="J130" s="84">
        <f t="shared" si="4"/>
        <v>9.2821664957256532E-5</v>
      </c>
    </row>
    <row r="131" spans="1:10">
      <c r="A131" s="29" t="s">
        <v>288</v>
      </c>
      <c r="B131" s="34" t="s">
        <v>289</v>
      </c>
      <c r="C131" s="83">
        <v>249.893</v>
      </c>
      <c r="D131" s="83">
        <v>241.29</v>
      </c>
      <c r="E131" s="83">
        <f t="shared" si="5"/>
        <v>60296.681969999998</v>
      </c>
      <c r="F131" s="84">
        <f t="shared" si="6"/>
        <v>1.9048942491673676E-3</v>
      </c>
      <c r="G131" s="85">
        <v>2.0887728459530026E-2</v>
      </c>
      <c r="H131" s="84">
        <f t="shared" si="7"/>
        <v>3.9788913820728302E-5</v>
      </c>
      <c r="I131" s="84">
        <v>0.13500000000000001</v>
      </c>
      <c r="J131" s="84">
        <f t="shared" si="4"/>
        <v>2.5716072363759465E-4</v>
      </c>
    </row>
    <row r="132" spans="1:10">
      <c r="A132" s="29" t="s">
        <v>290</v>
      </c>
      <c r="B132" s="34" t="s">
        <v>291</v>
      </c>
      <c r="C132" s="83">
        <v>124.759</v>
      </c>
      <c r="D132" s="83">
        <v>56.2</v>
      </c>
      <c r="E132" s="83">
        <f t="shared" si="5"/>
        <v>7011.4558000000006</v>
      </c>
      <c r="F132" s="84" t="str">
        <f t="shared" si="6"/>
        <v/>
      </c>
      <c r="G132" s="85">
        <v>4.1281138790035581E-2</v>
      </c>
      <c r="H132" s="84" t="str">
        <f t="shared" si="7"/>
        <v/>
      </c>
      <c r="I132" s="84">
        <v>-0.04</v>
      </c>
      <c r="J132" s="84" t="str">
        <f t="shared" si="4"/>
        <v/>
      </c>
    </row>
    <row r="133" spans="1:10">
      <c r="A133" s="29" t="s">
        <v>292</v>
      </c>
      <c r="B133" s="34" t="s">
        <v>293</v>
      </c>
      <c r="C133" s="83">
        <v>284.60000000000002</v>
      </c>
      <c r="D133" s="83">
        <v>77.430000000000007</v>
      </c>
      <c r="E133" s="83">
        <f t="shared" si="5"/>
        <v>22036.578000000005</v>
      </c>
      <c r="F133" s="84">
        <f t="shared" si="6"/>
        <v>6.9618011028224646E-4</v>
      </c>
      <c r="G133" s="85">
        <v>6.7157432519695205E-3</v>
      </c>
      <c r="H133" s="84">
        <f t="shared" si="7"/>
        <v>4.675366877783393E-6</v>
      </c>
      <c r="I133" s="84">
        <v>7.9050000000000009E-2</v>
      </c>
      <c r="J133" s="84">
        <f t="shared" si="4"/>
        <v>5.5033037717811587E-5</v>
      </c>
    </row>
    <row r="134" spans="1:10">
      <c r="A134" s="29" t="s">
        <v>294</v>
      </c>
      <c r="B134" s="34" t="s">
        <v>295</v>
      </c>
      <c r="C134" s="83">
        <v>3932.1019999999999</v>
      </c>
      <c r="D134" s="83">
        <v>11.72</v>
      </c>
      <c r="E134" s="83">
        <f t="shared" si="5"/>
        <v>46084.235440000004</v>
      </c>
      <c r="F134" s="84" t="str">
        <f t="shared" si="6"/>
        <v/>
      </c>
      <c r="G134" s="85">
        <v>5.1194539249146756E-2</v>
      </c>
      <c r="H134" s="84" t="str">
        <f t="shared" si="7"/>
        <v/>
      </c>
      <c r="I134" s="84">
        <v>-2.52E-2</v>
      </c>
      <c r="J134" s="84" t="str">
        <f t="shared" si="4"/>
        <v/>
      </c>
    </row>
    <row r="135" spans="1:10">
      <c r="A135" s="29" t="s">
        <v>296</v>
      </c>
      <c r="B135" s="34" t="s">
        <v>297</v>
      </c>
      <c r="C135" s="83">
        <v>2023.7139999999999</v>
      </c>
      <c r="D135" s="83">
        <v>58.63</v>
      </c>
      <c r="E135" s="83">
        <f t="shared" si="5"/>
        <v>118650.35182</v>
      </c>
      <c r="F135" s="84">
        <f t="shared" si="6"/>
        <v>3.7484048119937187E-3</v>
      </c>
      <c r="G135" s="85">
        <v>3.1894934333958722E-2</v>
      </c>
      <c r="H135" s="84">
        <f t="shared" si="7"/>
        <v>1.1955512533563455E-4</v>
      </c>
      <c r="I135" s="84">
        <v>8.097E-2</v>
      </c>
      <c r="J135" s="84">
        <f t="shared" si="4"/>
        <v>3.0350833762713141E-4</v>
      </c>
    </row>
    <row r="136" spans="1:10">
      <c r="A136" s="29" t="s">
        <v>298</v>
      </c>
      <c r="B136" s="34" t="s">
        <v>299</v>
      </c>
      <c r="C136" s="83">
        <v>526.55799999999999</v>
      </c>
      <c r="D136" s="83">
        <v>26.63</v>
      </c>
      <c r="E136" s="83">
        <f t="shared" si="5"/>
        <v>14022.239539999999</v>
      </c>
      <c r="F136" s="84" t="str">
        <f t="shared" si="6"/>
        <v/>
      </c>
      <c r="G136" s="85">
        <v>4.6564025535110777E-2</v>
      </c>
      <c r="H136" s="84" t="str">
        <f t="shared" si="7"/>
        <v/>
      </c>
      <c r="I136" s="84">
        <v>-7.0000000000000007E-2</v>
      </c>
      <c r="J136" s="84" t="str">
        <f t="shared" si="4"/>
        <v/>
      </c>
    </row>
    <row r="137" spans="1:10">
      <c r="A137" s="29" t="s">
        <v>300</v>
      </c>
      <c r="B137" s="34" t="s">
        <v>301</v>
      </c>
      <c r="C137" s="83">
        <v>191.33099999999999</v>
      </c>
      <c r="D137" s="83">
        <v>119.49</v>
      </c>
      <c r="E137" s="83">
        <f t="shared" si="5"/>
        <v>22862.141189999998</v>
      </c>
      <c r="F137" s="84">
        <f t="shared" si="6"/>
        <v>7.2226132273996819E-4</v>
      </c>
      <c r="G137" s="85">
        <v>2.4437191396769604E-2</v>
      </c>
      <c r="H137" s="84">
        <f t="shared" si="7"/>
        <v>1.7650038182280585E-5</v>
      </c>
      <c r="I137" s="84">
        <v>5.5999999999999994E-2</v>
      </c>
      <c r="J137" s="84">
        <f t="shared" si="4"/>
        <v>4.0446634073438217E-5</v>
      </c>
    </row>
    <row r="138" spans="1:10">
      <c r="A138" s="29" t="s">
        <v>302</v>
      </c>
      <c r="B138" s="34" t="s">
        <v>303</v>
      </c>
      <c r="C138" s="83">
        <v>1433.9770000000001</v>
      </c>
      <c r="D138" s="83">
        <v>39.69</v>
      </c>
      <c r="E138" s="83">
        <f t="shared" si="5"/>
        <v>56914.547129999999</v>
      </c>
      <c r="F138" s="84" t="str">
        <f t="shared" si="6"/>
        <v/>
      </c>
      <c r="G138" s="85">
        <v>1.5117157974300832E-2</v>
      </c>
      <c r="H138" s="84" t="str">
        <f t="shared" si="7"/>
        <v/>
      </c>
      <c r="I138" s="84">
        <v>-0.15659999999999999</v>
      </c>
      <c r="J138" s="84" t="str">
        <f t="shared" si="4"/>
        <v/>
      </c>
    </row>
    <row r="139" spans="1:10">
      <c r="A139" s="29" t="s">
        <v>304</v>
      </c>
      <c r="B139" s="34" t="s">
        <v>305</v>
      </c>
      <c r="C139" s="83">
        <v>386.37400000000002</v>
      </c>
      <c r="D139" s="83">
        <v>121.35</v>
      </c>
      <c r="E139" s="83">
        <f t="shared" si="5"/>
        <v>46886.484900000003</v>
      </c>
      <c r="F139" s="84" t="str">
        <f t="shared" si="6"/>
        <v/>
      </c>
      <c r="G139" s="85" t="s">
        <v>90</v>
      </c>
      <c r="H139" s="84" t="str">
        <f t="shared" si="7"/>
        <v/>
      </c>
      <c r="I139" s="84">
        <v>0.26890000000000003</v>
      </c>
      <c r="J139" s="84" t="str">
        <f t="shared" si="4"/>
        <v/>
      </c>
    </row>
    <row r="140" spans="1:10">
      <c r="A140" s="29" t="s">
        <v>306</v>
      </c>
      <c r="B140" s="34" t="s">
        <v>307</v>
      </c>
      <c r="C140" s="83">
        <v>272.89699999999999</v>
      </c>
      <c r="D140" s="83">
        <v>264.99</v>
      </c>
      <c r="E140" s="83">
        <f t="shared" si="5"/>
        <v>72314.976030000005</v>
      </c>
      <c r="F140" s="84">
        <f t="shared" si="6"/>
        <v>2.2845764885829098E-3</v>
      </c>
      <c r="G140" s="85">
        <v>1.9925280199252802E-2</v>
      </c>
      <c r="H140" s="84">
        <f t="shared" si="7"/>
        <v>4.5520826671639547E-5</v>
      </c>
      <c r="I140" s="84">
        <v>0.11294999999999999</v>
      </c>
      <c r="J140" s="84">
        <f t="shared" si="4"/>
        <v>2.5804291438543965E-4</v>
      </c>
    </row>
    <row r="141" spans="1:10">
      <c r="A141" s="29" t="s">
        <v>308</v>
      </c>
      <c r="B141" s="34" t="s">
        <v>309</v>
      </c>
      <c r="C141" s="83">
        <v>567.89</v>
      </c>
      <c r="D141" s="83">
        <v>64.91</v>
      </c>
      <c r="E141" s="83">
        <f t="shared" si="5"/>
        <v>36861.7399</v>
      </c>
      <c r="F141" s="84">
        <f t="shared" si="6"/>
        <v>1.1645369870393434E-3</v>
      </c>
      <c r="G141" s="85">
        <v>3.6358034201201664E-2</v>
      </c>
      <c r="H141" s="84">
        <f t="shared" si="7"/>
        <v>4.2340275603340786E-5</v>
      </c>
      <c r="I141" s="84">
        <v>0.08</v>
      </c>
      <c r="J141" s="84">
        <f t="shared" si="4"/>
        <v>9.316295896314747E-5</v>
      </c>
    </row>
    <row r="142" spans="1:10">
      <c r="A142" s="29" t="s">
        <v>310</v>
      </c>
      <c r="B142" s="34" t="s">
        <v>311</v>
      </c>
      <c r="C142" s="83">
        <v>140.197</v>
      </c>
      <c r="D142" s="83">
        <v>140.22999999999999</v>
      </c>
      <c r="E142" s="83">
        <f t="shared" si="5"/>
        <v>19659.82531</v>
      </c>
      <c r="F142" s="84">
        <f t="shared" si="6"/>
        <v>6.2109368126237645E-4</v>
      </c>
      <c r="G142" s="85">
        <v>2.7098338443984883E-2</v>
      </c>
      <c r="H142" s="84">
        <f t="shared" si="7"/>
        <v>1.6830606780268351E-5</v>
      </c>
      <c r="I142" s="84">
        <v>9.2600000000000002E-2</v>
      </c>
      <c r="J142" s="84">
        <f t="shared" si="4"/>
        <v>5.7513274884896058E-5</v>
      </c>
    </row>
    <row r="143" spans="1:10">
      <c r="A143" s="29" t="s">
        <v>312</v>
      </c>
      <c r="B143" s="34" t="s">
        <v>26</v>
      </c>
      <c r="C143" s="83">
        <v>150.834</v>
      </c>
      <c r="D143" s="83">
        <v>113.94</v>
      </c>
      <c r="E143" s="83">
        <f t="shared" si="5"/>
        <v>17186.025959999999</v>
      </c>
      <c r="F143" s="84">
        <f t="shared" si="6"/>
        <v>5.4294135179002595E-4</v>
      </c>
      <c r="G143" s="85">
        <v>2.8260487976127791E-2</v>
      </c>
      <c r="H143" s="84">
        <f t="shared" si="7"/>
        <v>1.5343787544004598E-5</v>
      </c>
      <c r="I143" s="84">
        <v>7.2550000000000003E-2</v>
      </c>
      <c r="J143" s="84">
        <f t="shared" si="4"/>
        <v>3.9390395072366383E-5</v>
      </c>
    </row>
    <row r="144" spans="1:10">
      <c r="A144" s="29" t="s">
        <v>313</v>
      </c>
      <c r="B144" s="34" t="s">
        <v>314</v>
      </c>
      <c r="C144" s="83">
        <v>49.634</v>
      </c>
      <c r="D144" s="83">
        <v>895.64</v>
      </c>
      <c r="E144" s="83">
        <f t="shared" si="5"/>
        <v>44454.195760000002</v>
      </c>
      <c r="F144" s="84" t="str">
        <f t="shared" si="6"/>
        <v/>
      </c>
      <c r="G144" s="85">
        <v>8.3069090259479256E-3</v>
      </c>
      <c r="H144" s="84" t="str">
        <f t="shared" si="7"/>
        <v/>
      </c>
      <c r="I144" s="84" t="s">
        <v>90</v>
      </c>
      <c r="J144" s="84" t="str">
        <f t="shared" si="4"/>
        <v/>
      </c>
    </row>
    <row r="145" spans="1:10">
      <c r="A145" s="29" t="s">
        <v>315</v>
      </c>
      <c r="B145" s="34" t="s">
        <v>316</v>
      </c>
      <c r="C145" s="83">
        <v>895.05200000000002</v>
      </c>
      <c r="D145" s="83">
        <v>35.65</v>
      </c>
      <c r="E145" s="83">
        <f t="shared" si="5"/>
        <v>31908.603800000001</v>
      </c>
      <c r="F145" s="84">
        <f t="shared" si="6"/>
        <v>1.008057390418626E-3</v>
      </c>
      <c r="G145" s="85">
        <v>1.9074333800841517E-2</v>
      </c>
      <c r="H145" s="84">
        <f t="shared" si="7"/>
        <v>1.922802315525009E-5</v>
      </c>
      <c r="I145" s="84">
        <v>0.16339999999999999</v>
      </c>
      <c r="J145" s="84">
        <f t="shared" si="4"/>
        <v>1.6471657759440346E-4</v>
      </c>
    </row>
    <row r="146" spans="1:10">
      <c r="A146" s="29" t="s">
        <v>317</v>
      </c>
      <c r="B146" s="34" t="s">
        <v>318</v>
      </c>
      <c r="C146" s="83">
        <v>189.54</v>
      </c>
      <c r="D146" s="83">
        <v>208.42</v>
      </c>
      <c r="E146" s="83">
        <f t="shared" si="5"/>
        <v>39503.926799999994</v>
      </c>
      <c r="F146" s="84">
        <f t="shared" si="6"/>
        <v>1.2480090201031112E-3</v>
      </c>
      <c r="G146" s="85">
        <v>2.1878898378274638E-2</v>
      </c>
      <c r="H146" s="84">
        <f t="shared" si="7"/>
        <v>2.7305062526006081E-5</v>
      </c>
      <c r="I146" s="84">
        <v>5.5300000000000002E-2</v>
      </c>
      <c r="J146" s="84">
        <f t="shared" si="4"/>
        <v>6.9014898811702055E-5</v>
      </c>
    </row>
    <row r="147" spans="1:10">
      <c r="A147" s="29" t="s">
        <v>319</v>
      </c>
      <c r="B147" s="34" t="s">
        <v>320</v>
      </c>
      <c r="C147" s="83">
        <v>547.07399999999996</v>
      </c>
      <c r="D147" s="83">
        <v>18.5</v>
      </c>
      <c r="E147" s="83">
        <f t="shared" si="5"/>
        <v>10120.868999999999</v>
      </c>
      <c r="F147" s="84">
        <f t="shared" si="6"/>
        <v>3.1973874058722579E-4</v>
      </c>
      <c r="G147" s="85">
        <v>6.4864864864864868E-2</v>
      </c>
      <c r="H147" s="84">
        <f t="shared" si="7"/>
        <v>2.0739810200252485E-5</v>
      </c>
      <c r="I147" s="84">
        <v>1.21E-2</v>
      </c>
      <c r="J147" s="84">
        <f t="shared" ref="J147:J210" si="8">IFERROR($I147*$F147,"")</f>
        <v>3.8688387611054323E-6</v>
      </c>
    </row>
    <row r="148" spans="1:10">
      <c r="A148" s="29" t="s">
        <v>1254</v>
      </c>
      <c r="B148" s="34" t="s">
        <v>1255</v>
      </c>
      <c r="C148" s="83">
        <v>69.828000000000003</v>
      </c>
      <c r="D148" s="83">
        <v>190.87</v>
      </c>
      <c r="E148" s="83">
        <f t="shared" ref="E148:E211" si="9">IFERROR(C148*D148,"")</f>
        <v>13328.070360000002</v>
      </c>
      <c r="F148" s="84" t="str">
        <f t="shared" ref="F148:F211" si="10">IF(AND(ISNUMBER($I148)), IF(AND($I148&lt;=20%,$I148&gt;0%), $E148/SUMIFS($E$19:$E$521,$I$19:$I$521, "&gt;"&amp;0%,$I$19:$I$521, "&lt;="&amp;20%),""),"")</f>
        <v/>
      </c>
      <c r="G148" s="85" t="s">
        <v>90</v>
      </c>
      <c r="H148" s="84" t="str">
        <f t="shared" ref="H148:H211" si="11">IFERROR($G148*$F148,"")</f>
        <v/>
      </c>
      <c r="I148" s="84">
        <v>0.39340000000000003</v>
      </c>
      <c r="J148" s="84" t="str">
        <f t="shared" si="8"/>
        <v/>
      </c>
    </row>
    <row r="149" spans="1:10">
      <c r="A149" s="29" t="s">
        <v>321</v>
      </c>
      <c r="B149" s="34" t="s">
        <v>322</v>
      </c>
      <c r="C149" s="83">
        <v>180.64099999999999</v>
      </c>
      <c r="D149" s="83">
        <v>51.64</v>
      </c>
      <c r="E149" s="83">
        <f t="shared" si="9"/>
        <v>9328.3012399999989</v>
      </c>
      <c r="F149" s="84" t="str">
        <f t="shared" si="10"/>
        <v/>
      </c>
      <c r="G149" s="85" t="s">
        <v>90</v>
      </c>
      <c r="H149" s="84" t="str">
        <f t="shared" si="11"/>
        <v/>
      </c>
      <c r="I149" s="84">
        <v>0.26239999999999997</v>
      </c>
      <c r="J149" s="84" t="str">
        <f t="shared" si="8"/>
        <v/>
      </c>
    </row>
    <row r="150" spans="1:10">
      <c r="A150" s="29" t="s">
        <v>323</v>
      </c>
      <c r="B150" s="34" t="s">
        <v>324</v>
      </c>
      <c r="C150" s="83">
        <v>351.43400000000003</v>
      </c>
      <c r="D150" s="83">
        <v>78.180000000000007</v>
      </c>
      <c r="E150" s="83">
        <f t="shared" si="9"/>
        <v>27475.110120000005</v>
      </c>
      <c r="F150" s="84">
        <f t="shared" si="10"/>
        <v>8.6799434981958017E-4</v>
      </c>
      <c r="G150" s="85">
        <v>4.0931184446149904E-3</v>
      </c>
      <c r="H150" s="84">
        <f t="shared" si="11"/>
        <v>3.5528036830681201E-6</v>
      </c>
      <c r="I150" s="84">
        <v>9.2899999999999996E-2</v>
      </c>
      <c r="J150" s="84">
        <f t="shared" si="8"/>
        <v>8.0636675098238995E-5</v>
      </c>
    </row>
    <row r="151" spans="1:10">
      <c r="A151" s="29" t="s">
        <v>325</v>
      </c>
      <c r="B151" s="34" t="s">
        <v>326</v>
      </c>
      <c r="C151" s="83">
        <v>149.88499999999999</v>
      </c>
      <c r="D151" s="83">
        <v>193.54</v>
      </c>
      <c r="E151" s="83">
        <f t="shared" si="9"/>
        <v>29008.742899999997</v>
      </c>
      <c r="F151" s="84">
        <f t="shared" si="10"/>
        <v>9.1644491405477413E-4</v>
      </c>
      <c r="G151" s="85">
        <v>2.4635734215149321E-2</v>
      </c>
      <c r="H151" s="84">
        <f t="shared" si="11"/>
        <v>2.2577293325478779E-5</v>
      </c>
      <c r="I151" s="84">
        <v>0.09</v>
      </c>
      <c r="J151" s="84">
        <f t="shared" si="8"/>
        <v>8.2480042264929671E-5</v>
      </c>
    </row>
    <row r="152" spans="1:10">
      <c r="A152" s="29" t="s">
        <v>327</v>
      </c>
      <c r="B152" s="34" t="s">
        <v>328</v>
      </c>
      <c r="C152" s="83">
        <v>406.9</v>
      </c>
      <c r="D152" s="83">
        <v>38.869999999999997</v>
      </c>
      <c r="E152" s="83">
        <f t="shared" si="9"/>
        <v>15816.202999999998</v>
      </c>
      <c r="F152" s="84" t="str">
        <f t="shared" si="10"/>
        <v/>
      </c>
      <c r="G152" s="85">
        <v>2.5726781579624391E-2</v>
      </c>
      <c r="H152" s="84" t="str">
        <f t="shared" si="11"/>
        <v/>
      </c>
      <c r="I152" s="84" t="s">
        <v>90</v>
      </c>
      <c r="J152" s="84" t="str">
        <f t="shared" si="8"/>
        <v/>
      </c>
    </row>
    <row r="153" spans="1:10">
      <c r="A153" s="29" t="s">
        <v>329</v>
      </c>
      <c r="B153" s="34" t="s">
        <v>330</v>
      </c>
      <c r="C153" s="83">
        <v>546.84</v>
      </c>
      <c r="D153" s="83">
        <v>30.37</v>
      </c>
      <c r="E153" s="83">
        <f t="shared" si="9"/>
        <v>16607.5308</v>
      </c>
      <c r="F153" s="84">
        <f t="shared" si="10"/>
        <v>5.2466551856916266E-4</v>
      </c>
      <c r="G153" s="85">
        <v>3.7207770826473488E-2</v>
      </c>
      <c r="H153" s="84">
        <f t="shared" si="11"/>
        <v>1.9521634375474275E-5</v>
      </c>
      <c r="I153" s="84">
        <v>1.0800000000000001E-2</v>
      </c>
      <c r="J153" s="84">
        <f t="shared" si="8"/>
        <v>5.6663876005469567E-6</v>
      </c>
    </row>
    <row r="154" spans="1:10">
      <c r="A154" s="29" t="s">
        <v>331</v>
      </c>
      <c r="B154" s="34" t="s">
        <v>332</v>
      </c>
      <c r="C154" s="83">
        <v>216.68600000000001</v>
      </c>
      <c r="D154" s="83">
        <v>232.16</v>
      </c>
      <c r="E154" s="83">
        <f t="shared" si="9"/>
        <v>50305.821759999999</v>
      </c>
      <c r="F154" s="84">
        <f t="shared" si="10"/>
        <v>1.5892627494484772E-3</v>
      </c>
      <c r="G154" s="85">
        <v>1.0337698139214336E-2</v>
      </c>
      <c r="H154" s="84">
        <f t="shared" si="11"/>
        <v>1.642931856769618E-5</v>
      </c>
      <c r="I154" s="84">
        <v>0.12375</v>
      </c>
      <c r="J154" s="84">
        <f t="shared" si="8"/>
        <v>1.9667126524424905E-4</v>
      </c>
    </row>
    <row r="155" spans="1:10">
      <c r="A155" s="29" t="s">
        <v>333</v>
      </c>
      <c r="B155" s="34" t="s">
        <v>334</v>
      </c>
      <c r="C155" s="83">
        <v>1360.896</v>
      </c>
      <c r="D155" s="83">
        <v>75.27</v>
      </c>
      <c r="E155" s="83">
        <f t="shared" si="9"/>
        <v>102434.64191999999</v>
      </c>
      <c r="F155" s="84">
        <f t="shared" si="10"/>
        <v>3.2361177088651425E-3</v>
      </c>
      <c r="G155" s="85">
        <v>2.2585359372924139E-2</v>
      </c>
      <c r="H155" s="84">
        <f t="shared" si="11"/>
        <v>7.308888142780313E-5</v>
      </c>
      <c r="I155" s="84">
        <v>8.8249999999999995E-2</v>
      </c>
      <c r="J155" s="84">
        <f t="shared" si="8"/>
        <v>2.855873878073488E-4</v>
      </c>
    </row>
    <row r="156" spans="1:10">
      <c r="A156" s="29" t="s">
        <v>335</v>
      </c>
      <c r="B156" s="34" t="s">
        <v>336</v>
      </c>
      <c r="C156" s="83">
        <v>629.43200000000002</v>
      </c>
      <c r="D156" s="83">
        <v>27.94</v>
      </c>
      <c r="E156" s="83">
        <f t="shared" si="9"/>
        <v>17586.33008</v>
      </c>
      <c r="F156" s="84">
        <f t="shared" si="10"/>
        <v>5.5558776932400236E-4</v>
      </c>
      <c r="G156" s="85">
        <v>2.863278453829635E-2</v>
      </c>
      <c r="H156" s="84">
        <f t="shared" si="11"/>
        <v>1.5908024891166853E-5</v>
      </c>
      <c r="I156" s="84">
        <v>8.0149999999999999E-2</v>
      </c>
      <c r="J156" s="84">
        <f t="shared" si="8"/>
        <v>4.4530359711318792E-5</v>
      </c>
    </row>
    <row r="157" spans="1:10">
      <c r="A157" s="29" t="s">
        <v>337</v>
      </c>
      <c r="B157" s="34" t="s">
        <v>338</v>
      </c>
      <c r="C157" s="83">
        <v>122.224</v>
      </c>
      <c r="D157" s="83">
        <v>378.06</v>
      </c>
      <c r="E157" s="83">
        <f t="shared" si="9"/>
        <v>46208.005440000001</v>
      </c>
      <c r="F157" s="84" t="str">
        <f t="shared" si="10"/>
        <v/>
      </c>
      <c r="G157" s="85">
        <v>9.3635930804634188E-3</v>
      </c>
      <c r="H157" s="84" t="str">
        <f t="shared" si="11"/>
        <v/>
      </c>
      <c r="I157" s="84">
        <v>-3.065E-2</v>
      </c>
      <c r="J157" s="84" t="str">
        <f t="shared" si="8"/>
        <v/>
      </c>
    </row>
    <row r="158" spans="1:10">
      <c r="A158" s="29" t="s">
        <v>339</v>
      </c>
      <c r="B158" s="34" t="s">
        <v>340</v>
      </c>
      <c r="C158" s="83">
        <v>103.26</v>
      </c>
      <c r="D158" s="83">
        <v>246.3</v>
      </c>
      <c r="E158" s="83">
        <f t="shared" si="9"/>
        <v>25432.938000000002</v>
      </c>
      <c r="F158" s="84">
        <f t="shared" si="10"/>
        <v>8.0347799833719799E-4</v>
      </c>
      <c r="G158" s="85">
        <v>1.3641900121802679E-2</v>
      </c>
      <c r="H158" s="84">
        <f t="shared" si="11"/>
        <v>1.0960966603381995E-5</v>
      </c>
      <c r="I158" s="84">
        <v>0.10935</v>
      </c>
      <c r="J158" s="84">
        <f t="shared" si="8"/>
        <v>8.7860319118172604E-5</v>
      </c>
    </row>
    <row r="159" spans="1:10">
      <c r="A159" s="29" t="s">
        <v>341</v>
      </c>
      <c r="B159" s="34" t="s">
        <v>342</v>
      </c>
      <c r="C159" s="83">
        <v>300.88600000000002</v>
      </c>
      <c r="D159" s="83">
        <v>260.89999999999998</v>
      </c>
      <c r="E159" s="83">
        <f t="shared" si="9"/>
        <v>78501.157399999996</v>
      </c>
      <c r="F159" s="84">
        <f t="shared" si="10"/>
        <v>2.480010481482922E-3</v>
      </c>
      <c r="G159" s="85">
        <v>2.1464162514373324E-2</v>
      </c>
      <c r="H159" s="84">
        <f t="shared" si="11"/>
        <v>5.3231348011898676E-5</v>
      </c>
      <c r="I159" s="84">
        <v>3.8599999999999995E-2</v>
      </c>
      <c r="J159" s="84">
        <f t="shared" si="8"/>
        <v>9.5728404585240773E-5</v>
      </c>
    </row>
    <row r="160" spans="1:10">
      <c r="A160" s="29" t="s">
        <v>343</v>
      </c>
      <c r="B160" s="34" t="s">
        <v>344</v>
      </c>
      <c r="C160" s="83">
        <v>133.96</v>
      </c>
      <c r="D160" s="83">
        <v>226.72</v>
      </c>
      <c r="E160" s="83">
        <f t="shared" si="9"/>
        <v>30371.411200000002</v>
      </c>
      <c r="F160" s="84">
        <f t="shared" si="10"/>
        <v>9.5949436426306532E-4</v>
      </c>
      <c r="G160" s="85">
        <v>1.0938602681721948E-2</v>
      </c>
      <c r="H160" s="84">
        <f t="shared" si="11"/>
        <v>1.0495527626025062E-5</v>
      </c>
      <c r="I160" s="84">
        <v>0.13100000000000001</v>
      </c>
      <c r="J160" s="84">
        <f t="shared" si="8"/>
        <v>1.2569376171846157E-4</v>
      </c>
    </row>
    <row r="161" spans="1:10">
      <c r="A161" s="29" t="s">
        <v>345</v>
      </c>
      <c r="B161" s="34" t="s">
        <v>346</v>
      </c>
      <c r="C161" s="83">
        <v>227.55699999999999</v>
      </c>
      <c r="D161" s="83">
        <v>252.05</v>
      </c>
      <c r="E161" s="83">
        <f t="shared" si="9"/>
        <v>57355.741849999999</v>
      </c>
      <c r="F161" s="84">
        <f t="shared" si="10"/>
        <v>1.8119839970821717E-3</v>
      </c>
      <c r="G161" s="85">
        <v>1.1902400317397342E-2</v>
      </c>
      <c r="H161" s="84">
        <f t="shared" si="11"/>
        <v>2.1566958901989743E-5</v>
      </c>
      <c r="I161" s="84">
        <v>0.13034999999999999</v>
      </c>
      <c r="J161" s="84">
        <f t="shared" si="8"/>
        <v>2.3619211401966107E-4</v>
      </c>
    </row>
    <row r="162" spans="1:10">
      <c r="A162" s="29" t="s">
        <v>347</v>
      </c>
      <c r="B162" s="34" t="s">
        <v>348</v>
      </c>
      <c r="C162" s="83">
        <v>383.00400000000002</v>
      </c>
      <c r="D162" s="83">
        <v>32.99</v>
      </c>
      <c r="E162" s="83">
        <f t="shared" si="9"/>
        <v>12635.301960000001</v>
      </c>
      <c r="F162" s="84">
        <f t="shared" si="10"/>
        <v>3.9917476805891928E-4</v>
      </c>
      <c r="G162" s="85">
        <v>3.7587147620491056E-2</v>
      </c>
      <c r="H162" s="84">
        <f t="shared" si="11"/>
        <v>1.5003840933405877E-5</v>
      </c>
      <c r="I162" s="84">
        <v>6.2899999999999998E-2</v>
      </c>
      <c r="J162" s="84">
        <f t="shared" si="8"/>
        <v>2.510809291090602E-5</v>
      </c>
    </row>
    <row r="163" spans="1:10">
      <c r="A163" s="29" t="s">
        <v>349</v>
      </c>
      <c r="B163" s="34" t="s">
        <v>350</v>
      </c>
      <c r="C163" s="83">
        <v>255.279</v>
      </c>
      <c r="D163" s="83">
        <v>80.680000000000007</v>
      </c>
      <c r="E163" s="83">
        <f t="shared" si="9"/>
        <v>20595.90972</v>
      </c>
      <c r="F163" s="84">
        <f t="shared" si="10"/>
        <v>6.5066648280113126E-4</v>
      </c>
      <c r="G163" s="85">
        <v>4.0158651462568168E-2</v>
      </c>
      <c r="H163" s="84">
        <f t="shared" si="11"/>
        <v>2.6129888501185735E-5</v>
      </c>
      <c r="I163" s="84">
        <v>5.6649999999999999E-2</v>
      </c>
      <c r="J163" s="84">
        <f t="shared" si="8"/>
        <v>3.6860256250684086E-5</v>
      </c>
    </row>
    <row r="164" spans="1:10">
      <c r="A164" s="29" t="s">
        <v>351</v>
      </c>
      <c r="B164" s="34" t="s">
        <v>352</v>
      </c>
      <c r="C164" s="83">
        <v>61.432000000000002</v>
      </c>
      <c r="D164" s="83">
        <v>113.67</v>
      </c>
      <c r="E164" s="83">
        <f t="shared" si="9"/>
        <v>6982.9754400000002</v>
      </c>
      <c r="F164" s="84">
        <f t="shared" si="10"/>
        <v>2.2060633061618811E-4</v>
      </c>
      <c r="G164" s="85" t="s">
        <v>90</v>
      </c>
      <c r="H164" s="84" t="str">
        <f t="shared" si="11"/>
        <v/>
      </c>
      <c r="I164" s="84">
        <v>0.05</v>
      </c>
      <c r="J164" s="84">
        <f t="shared" si="8"/>
        <v>1.1030316530809406E-5</v>
      </c>
    </row>
    <row r="165" spans="1:10">
      <c r="A165" s="29" t="s">
        <v>353</v>
      </c>
      <c r="B165" s="34" t="s">
        <v>354</v>
      </c>
      <c r="C165" s="83">
        <v>257.76299999999998</v>
      </c>
      <c r="D165" s="83">
        <v>210.57</v>
      </c>
      <c r="E165" s="83">
        <f t="shared" si="9"/>
        <v>54277.15490999999</v>
      </c>
      <c r="F165" s="84" t="str">
        <f t="shared" si="10"/>
        <v/>
      </c>
      <c r="G165" s="85">
        <v>1.9262003134349625E-2</v>
      </c>
      <c r="H165" s="84" t="str">
        <f t="shared" si="11"/>
        <v/>
      </c>
      <c r="I165" s="84">
        <v>0.34</v>
      </c>
      <c r="J165" s="84" t="str">
        <f t="shared" si="8"/>
        <v/>
      </c>
    </row>
    <row r="166" spans="1:10">
      <c r="A166" s="29" t="s">
        <v>1307</v>
      </c>
      <c r="B166" s="34" t="s">
        <v>355</v>
      </c>
      <c r="C166" s="83">
        <v>342.52</v>
      </c>
      <c r="D166" s="83">
        <v>54.76</v>
      </c>
      <c r="E166" s="83">
        <f t="shared" si="9"/>
        <v>18756.395199999999</v>
      </c>
      <c r="F166" s="84" t="str">
        <f t="shared" si="10"/>
        <v/>
      </c>
      <c r="G166" s="85">
        <v>4.0905770635500369E-2</v>
      </c>
      <c r="H166" s="84" t="str">
        <f t="shared" si="11"/>
        <v/>
      </c>
      <c r="I166" s="84">
        <v>-2.4199999999999999E-2</v>
      </c>
      <c r="J166" s="84" t="str">
        <f t="shared" si="8"/>
        <v/>
      </c>
    </row>
    <row r="167" spans="1:10">
      <c r="A167" s="29" t="s">
        <v>356</v>
      </c>
      <c r="B167" s="34" t="s">
        <v>357</v>
      </c>
      <c r="C167" s="83">
        <v>117.64700000000001</v>
      </c>
      <c r="D167" s="83">
        <v>204.2</v>
      </c>
      <c r="E167" s="83">
        <f t="shared" si="9"/>
        <v>24023.517400000001</v>
      </c>
      <c r="F167" s="84" t="str">
        <f t="shared" si="10"/>
        <v/>
      </c>
      <c r="G167" s="85">
        <v>1.5670910871694418E-2</v>
      </c>
      <c r="H167" s="84" t="str">
        <f t="shared" si="11"/>
        <v/>
      </c>
      <c r="I167" s="84" t="s">
        <v>90</v>
      </c>
      <c r="J167" s="84" t="str">
        <f t="shared" si="8"/>
        <v/>
      </c>
    </row>
    <row r="168" spans="1:10">
      <c r="A168" s="29" t="s">
        <v>358</v>
      </c>
      <c r="B168" s="34" t="s">
        <v>359</v>
      </c>
      <c r="C168" s="83">
        <v>337.94099999999997</v>
      </c>
      <c r="D168" s="83">
        <v>120.97</v>
      </c>
      <c r="E168" s="83">
        <f t="shared" si="9"/>
        <v>40880.722769999993</v>
      </c>
      <c r="F168" s="84">
        <f t="shared" si="10"/>
        <v>1.2915047920070226E-3</v>
      </c>
      <c r="G168" s="85">
        <v>4.034058030916756E-2</v>
      </c>
      <c r="H168" s="84">
        <f t="shared" si="11"/>
        <v>5.2100052781634043E-5</v>
      </c>
      <c r="I168" s="84">
        <v>4.4199999999999996E-2</v>
      </c>
      <c r="J168" s="84">
        <f t="shared" si="8"/>
        <v>5.7084511806710393E-5</v>
      </c>
    </row>
    <row r="169" spans="1:10">
      <c r="A169" s="29" t="s">
        <v>360</v>
      </c>
      <c r="B169" s="34" t="s">
        <v>361</v>
      </c>
      <c r="C169" s="83">
        <v>671.72199999999998</v>
      </c>
      <c r="D169" s="83">
        <v>20.2</v>
      </c>
      <c r="E169" s="83">
        <f t="shared" si="9"/>
        <v>13568.784399999999</v>
      </c>
      <c r="F169" s="84">
        <f t="shared" si="10"/>
        <v>4.2866536809789711E-4</v>
      </c>
      <c r="G169" s="85">
        <v>4.7524752475247525E-2</v>
      </c>
      <c r="H169" s="84">
        <f t="shared" si="11"/>
        <v>2.0372215513563427E-5</v>
      </c>
      <c r="I169" s="84">
        <v>4.7500000000000001E-2</v>
      </c>
      <c r="J169" s="84">
        <f t="shared" si="8"/>
        <v>2.0361604984650112E-5</v>
      </c>
    </row>
    <row r="170" spans="1:10">
      <c r="A170" s="29" t="s">
        <v>362</v>
      </c>
      <c r="B170" s="34" t="s">
        <v>363</v>
      </c>
      <c r="C170" s="83">
        <v>2748.922</v>
      </c>
      <c r="D170" s="83">
        <v>111.7</v>
      </c>
      <c r="E170" s="83">
        <f t="shared" si="9"/>
        <v>307054.58740000002</v>
      </c>
      <c r="F170" s="84">
        <f t="shared" si="10"/>
        <v>9.7004760230377709E-3</v>
      </c>
      <c r="G170" s="85">
        <v>1.432408236347359E-2</v>
      </c>
      <c r="H170" s="84">
        <f t="shared" si="11"/>
        <v>1.3895041751889377E-4</v>
      </c>
      <c r="I170" s="84">
        <v>0.15</v>
      </c>
      <c r="J170" s="84">
        <f t="shared" si="8"/>
        <v>1.4550714034556656E-3</v>
      </c>
    </row>
    <row r="171" spans="1:10">
      <c r="A171" s="29" t="s">
        <v>364</v>
      </c>
      <c r="B171" s="34" t="s">
        <v>365</v>
      </c>
      <c r="C171" s="83">
        <v>719.423</v>
      </c>
      <c r="D171" s="83">
        <v>46.14</v>
      </c>
      <c r="E171" s="83">
        <f t="shared" si="9"/>
        <v>33194.177219999998</v>
      </c>
      <c r="F171" s="84">
        <f t="shared" si="10"/>
        <v>1.0486712572953943E-3</v>
      </c>
      <c r="G171" s="85">
        <v>2.5140875596012136E-2</v>
      </c>
      <c r="H171" s="84">
        <f t="shared" si="11"/>
        <v>2.6364513620777142E-5</v>
      </c>
      <c r="I171" s="84">
        <v>4.2099999999999999E-2</v>
      </c>
      <c r="J171" s="84">
        <f t="shared" si="8"/>
        <v>4.4149059932136097E-5</v>
      </c>
    </row>
    <row r="172" spans="1:10">
      <c r="A172" s="29" t="s">
        <v>366</v>
      </c>
      <c r="B172" s="34" t="s">
        <v>367</v>
      </c>
      <c r="C172" s="83">
        <v>247.16300000000001</v>
      </c>
      <c r="D172" s="83">
        <v>149.85</v>
      </c>
      <c r="E172" s="83">
        <f t="shared" si="9"/>
        <v>37037.375549999997</v>
      </c>
      <c r="F172" s="84">
        <f t="shared" si="10"/>
        <v>1.1700856727829506E-3</v>
      </c>
      <c r="G172" s="85">
        <v>1.3346680013346681E-2</v>
      </c>
      <c r="H172" s="84">
        <f t="shared" si="11"/>
        <v>1.5616759062835513E-5</v>
      </c>
      <c r="I172" s="84">
        <v>9.0200000000000002E-2</v>
      </c>
      <c r="J172" s="84">
        <f t="shared" si="8"/>
        <v>1.0554172768502215E-4</v>
      </c>
    </row>
    <row r="173" spans="1:10">
      <c r="A173" s="29" t="s">
        <v>368</v>
      </c>
      <c r="B173" s="34" t="s">
        <v>369</v>
      </c>
      <c r="C173" s="83">
        <v>949.30700000000002</v>
      </c>
      <c r="D173" s="83">
        <v>645.61</v>
      </c>
      <c r="E173" s="83">
        <f t="shared" si="9"/>
        <v>612882.09227000002</v>
      </c>
      <c r="F173" s="84" t="str">
        <f t="shared" si="10"/>
        <v/>
      </c>
      <c r="G173" s="85">
        <v>8.0543981660754944E-3</v>
      </c>
      <c r="H173" s="84" t="str">
        <f t="shared" si="11"/>
        <v/>
      </c>
      <c r="I173" s="84">
        <v>0.24603999999999998</v>
      </c>
      <c r="J173" s="84" t="str">
        <f t="shared" si="8"/>
        <v/>
      </c>
    </row>
    <row r="174" spans="1:10">
      <c r="A174" s="29" t="s">
        <v>370</v>
      </c>
      <c r="B174" s="34" t="s">
        <v>371</v>
      </c>
      <c r="C174" s="83">
        <v>225.941</v>
      </c>
      <c r="D174" s="83">
        <v>42.66</v>
      </c>
      <c r="E174" s="83">
        <f t="shared" si="9"/>
        <v>9638.6430599999985</v>
      </c>
      <c r="F174" s="84">
        <f t="shared" si="10"/>
        <v>3.0450424691537891E-4</v>
      </c>
      <c r="G174" s="85">
        <v>1.875293014533521E-2</v>
      </c>
      <c r="H174" s="84">
        <f t="shared" si="11"/>
        <v>5.7103468713620054E-6</v>
      </c>
      <c r="I174" s="84">
        <v>6.5099999999999991E-2</v>
      </c>
      <c r="J174" s="84">
        <f t="shared" si="8"/>
        <v>1.9823226474191163E-5</v>
      </c>
    </row>
    <row r="175" spans="1:10">
      <c r="A175" s="29" t="s">
        <v>372</v>
      </c>
      <c r="B175" s="34" t="s">
        <v>373</v>
      </c>
      <c r="C175" s="83">
        <v>147.91999999999999</v>
      </c>
      <c r="D175" s="83">
        <v>370.71</v>
      </c>
      <c r="E175" s="83">
        <f t="shared" si="9"/>
        <v>54835.42319999999</v>
      </c>
      <c r="F175" s="84">
        <f t="shared" si="10"/>
        <v>1.7323620287482766E-3</v>
      </c>
      <c r="G175" s="85" t="s">
        <v>90</v>
      </c>
      <c r="H175" s="84" t="str">
        <f t="shared" si="11"/>
        <v/>
      </c>
      <c r="I175" s="84">
        <v>0.12435</v>
      </c>
      <c r="J175" s="84">
        <f t="shared" si="8"/>
        <v>2.1541921827484821E-4</v>
      </c>
    </row>
    <row r="176" spans="1:10">
      <c r="A176" s="29" t="s">
        <v>374</v>
      </c>
      <c r="B176" s="34" t="s">
        <v>375</v>
      </c>
      <c r="C176" s="83">
        <v>223.251</v>
      </c>
      <c r="D176" s="83">
        <v>72.86</v>
      </c>
      <c r="E176" s="83">
        <f t="shared" si="9"/>
        <v>16266.067860000001</v>
      </c>
      <c r="F176" s="84" t="str">
        <f t="shared" si="10"/>
        <v/>
      </c>
      <c r="G176" s="85">
        <v>3.4312379906670325E-3</v>
      </c>
      <c r="H176" s="84" t="str">
        <f t="shared" si="11"/>
        <v/>
      </c>
      <c r="I176" s="84" t="s">
        <v>90</v>
      </c>
      <c r="J176" s="84" t="str">
        <f t="shared" si="8"/>
        <v/>
      </c>
    </row>
    <row r="177" spans="1:10">
      <c r="A177" s="29" t="s">
        <v>376</v>
      </c>
      <c r="B177" s="34" t="s">
        <v>377</v>
      </c>
      <c r="C177" s="83">
        <v>575.11300000000006</v>
      </c>
      <c r="D177" s="83">
        <v>212.84</v>
      </c>
      <c r="E177" s="83">
        <f t="shared" si="9"/>
        <v>122407.05092000001</v>
      </c>
      <c r="F177" s="84">
        <f t="shared" si="10"/>
        <v>3.8670865416949103E-3</v>
      </c>
      <c r="G177" s="85">
        <v>2.0672805863559483E-2</v>
      </c>
      <c r="H177" s="84">
        <f t="shared" si="11"/>
        <v>7.9943529334042504E-5</v>
      </c>
      <c r="I177" s="84">
        <v>4.4299999999999999E-2</v>
      </c>
      <c r="J177" s="84">
        <f t="shared" si="8"/>
        <v>1.7131193379708452E-4</v>
      </c>
    </row>
    <row r="178" spans="1:10">
      <c r="A178" s="29" t="s">
        <v>1524</v>
      </c>
      <c r="B178" s="34" t="s">
        <v>1525</v>
      </c>
      <c r="C178" s="83">
        <v>53.622</v>
      </c>
      <c r="D178" s="83">
        <v>335.57</v>
      </c>
      <c r="E178" s="83">
        <f t="shared" si="9"/>
        <v>17993.934539999998</v>
      </c>
      <c r="F178" s="84">
        <f t="shared" si="10"/>
        <v>5.6846481937752403E-4</v>
      </c>
      <c r="G178" s="85">
        <v>1.4542420359388504E-2</v>
      </c>
      <c r="H178" s="84">
        <f t="shared" si="11"/>
        <v>8.266854362911813E-6</v>
      </c>
      <c r="I178" s="84">
        <v>0.18</v>
      </c>
      <c r="J178" s="84">
        <f t="shared" si="8"/>
        <v>1.0232366748795432E-4</v>
      </c>
    </row>
    <row r="179" spans="1:10">
      <c r="A179" s="29" t="s">
        <v>378</v>
      </c>
      <c r="B179" s="34" t="s">
        <v>379</v>
      </c>
      <c r="C179" s="83">
        <v>75.626000000000005</v>
      </c>
      <c r="D179" s="83">
        <v>211.5</v>
      </c>
      <c r="E179" s="83">
        <f t="shared" si="9"/>
        <v>15994.899000000001</v>
      </c>
      <c r="F179" s="84">
        <f t="shared" si="10"/>
        <v>5.0531123978384441E-4</v>
      </c>
      <c r="G179" s="85">
        <v>1.2104018912529551E-2</v>
      </c>
      <c r="H179" s="84">
        <f t="shared" si="11"/>
        <v>6.1162968030574074E-6</v>
      </c>
      <c r="I179" s="84">
        <v>0.11</v>
      </c>
      <c r="J179" s="84">
        <f t="shared" si="8"/>
        <v>5.5584236376222884E-5</v>
      </c>
    </row>
    <row r="180" spans="1:10">
      <c r="A180" s="29" t="s">
        <v>380</v>
      </c>
      <c r="B180" s="34" t="s">
        <v>381</v>
      </c>
      <c r="C180" s="83">
        <v>493.072</v>
      </c>
      <c r="D180" s="83">
        <v>193.84</v>
      </c>
      <c r="E180" s="83">
        <f t="shared" si="9"/>
        <v>95577.076480000003</v>
      </c>
      <c r="F180" s="84">
        <f t="shared" si="10"/>
        <v>3.0194733340313134E-3</v>
      </c>
      <c r="G180" s="85">
        <v>1.4651258770119685E-2</v>
      </c>
      <c r="H180" s="84">
        <f t="shared" si="11"/>
        <v>4.4239085166368804E-5</v>
      </c>
      <c r="I180" s="84">
        <v>8.2650000000000001E-2</v>
      </c>
      <c r="J180" s="84">
        <f t="shared" si="8"/>
        <v>2.4955947105768808E-4</v>
      </c>
    </row>
    <row r="181" spans="1:10">
      <c r="A181" s="29" t="s">
        <v>382</v>
      </c>
      <c r="B181" s="34" t="s">
        <v>383</v>
      </c>
      <c r="C181" s="83">
        <v>224.501</v>
      </c>
      <c r="D181" s="83">
        <v>67.290000000000006</v>
      </c>
      <c r="E181" s="83">
        <f t="shared" si="9"/>
        <v>15106.672290000002</v>
      </c>
      <c r="F181" s="84">
        <f t="shared" si="10"/>
        <v>4.7725035987211602E-4</v>
      </c>
      <c r="G181" s="85">
        <v>1.694159607668301E-2</v>
      </c>
      <c r="H181" s="84">
        <f t="shared" si="11"/>
        <v>8.0853828244049953E-6</v>
      </c>
      <c r="I181" s="84">
        <v>6.1699999999999998E-2</v>
      </c>
      <c r="J181" s="84">
        <f t="shared" si="8"/>
        <v>2.9446347204109558E-5</v>
      </c>
    </row>
    <row r="182" spans="1:10">
      <c r="A182" s="29" t="s">
        <v>384</v>
      </c>
      <c r="B182" s="34" t="s">
        <v>385</v>
      </c>
      <c r="C182" s="83">
        <v>316.8</v>
      </c>
      <c r="D182" s="83">
        <v>448.35</v>
      </c>
      <c r="E182" s="83">
        <f t="shared" si="9"/>
        <v>142037.28</v>
      </c>
      <c r="F182" s="84">
        <f t="shared" si="10"/>
        <v>4.4872452181364229E-3</v>
      </c>
      <c r="G182" s="85">
        <v>8.1186572989851678E-3</v>
      </c>
      <c r="H182" s="84">
        <f t="shared" si="11"/>
        <v>3.6430406142559561E-5</v>
      </c>
      <c r="I182" s="84">
        <v>0.13574999999999998</v>
      </c>
      <c r="J182" s="84">
        <f t="shared" si="8"/>
        <v>6.0914353836201938E-4</v>
      </c>
    </row>
    <row r="183" spans="1:10">
      <c r="A183" s="29" t="s">
        <v>386</v>
      </c>
      <c r="B183" s="34" t="s">
        <v>387</v>
      </c>
      <c r="C183" s="83">
        <v>1329.654</v>
      </c>
      <c r="D183" s="83">
        <v>87.54</v>
      </c>
      <c r="E183" s="83">
        <f t="shared" si="9"/>
        <v>116397.91116</v>
      </c>
      <c r="F183" s="84">
        <f t="shared" si="10"/>
        <v>3.6772456516611565E-3</v>
      </c>
      <c r="G183" s="85">
        <v>3.1528444139821789E-2</v>
      </c>
      <c r="H183" s="84">
        <f t="shared" si="11"/>
        <v>1.1593783411680134E-4</v>
      </c>
      <c r="I183" s="84">
        <v>4.3250000000000004E-2</v>
      </c>
      <c r="J183" s="84">
        <f t="shared" si="8"/>
        <v>1.5904087443434502E-4</v>
      </c>
    </row>
    <row r="184" spans="1:10">
      <c r="A184" s="29" t="s">
        <v>388</v>
      </c>
      <c r="B184" s="34" t="s">
        <v>389</v>
      </c>
      <c r="C184" s="83">
        <v>1199.671</v>
      </c>
      <c r="D184" s="83">
        <v>11.77</v>
      </c>
      <c r="E184" s="83">
        <f t="shared" si="9"/>
        <v>14120.12767</v>
      </c>
      <c r="F184" s="84" t="str">
        <f t="shared" si="10"/>
        <v/>
      </c>
      <c r="G184" s="85">
        <v>4.0781648258283773E-2</v>
      </c>
      <c r="H184" s="84" t="str">
        <f t="shared" si="11"/>
        <v/>
      </c>
      <c r="I184" s="84">
        <v>-2.58E-2</v>
      </c>
      <c r="J184" s="84" t="str">
        <f t="shared" si="8"/>
        <v/>
      </c>
    </row>
    <row r="185" spans="1:10">
      <c r="A185" s="29" t="s">
        <v>390</v>
      </c>
      <c r="B185" s="34" t="s">
        <v>391</v>
      </c>
      <c r="C185" s="83">
        <v>1286.8969999999999</v>
      </c>
      <c r="D185" s="83">
        <v>74.37</v>
      </c>
      <c r="E185" s="83">
        <f t="shared" si="9"/>
        <v>95706.529890000005</v>
      </c>
      <c r="F185" s="84">
        <f t="shared" si="10"/>
        <v>3.0235630293211271E-3</v>
      </c>
      <c r="G185" s="85">
        <v>3.5767110393976065E-2</v>
      </c>
      <c r="H185" s="84">
        <f t="shared" si="11"/>
        <v>1.0814411265287344E-4</v>
      </c>
      <c r="I185" s="84">
        <v>6.2400000000000004E-2</v>
      </c>
      <c r="J185" s="84">
        <f t="shared" si="8"/>
        <v>1.8867033302963834E-4</v>
      </c>
    </row>
    <row r="186" spans="1:10">
      <c r="A186" s="29" t="s">
        <v>392</v>
      </c>
      <c r="B186" s="34" t="s">
        <v>393</v>
      </c>
      <c r="C186" s="83">
        <v>430.04199999999997</v>
      </c>
      <c r="D186" s="83">
        <v>61.8</v>
      </c>
      <c r="E186" s="83">
        <f t="shared" si="9"/>
        <v>26576.595599999997</v>
      </c>
      <c r="F186" s="84">
        <f t="shared" si="10"/>
        <v>8.3960845716311578E-4</v>
      </c>
      <c r="G186" s="85">
        <v>2.3300970873786409E-2</v>
      </c>
      <c r="H186" s="84">
        <f t="shared" si="11"/>
        <v>1.9563692205742506E-5</v>
      </c>
      <c r="I186" s="84">
        <v>0.10195</v>
      </c>
      <c r="J186" s="84">
        <f t="shared" si="8"/>
        <v>8.5598082207779649E-5</v>
      </c>
    </row>
    <row r="187" spans="1:10">
      <c r="A187" s="29" t="s">
        <v>394</v>
      </c>
      <c r="B187" s="34" t="s">
        <v>395</v>
      </c>
      <c r="C187" s="83">
        <v>1103.9090000000001</v>
      </c>
      <c r="D187" s="83">
        <v>85.75</v>
      </c>
      <c r="E187" s="83">
        <f t="shared" si="9"/>
        <v>94660.196750000003</v>
      </c>
      <c r="F187" s="84" t="str">
        <f t="shared" si="10"/>
        <v/>
      </c>
      <c r="G187" s="85">
        <v>5.3644314868804667E-3</v>
      </c>
      <c r="H187" s="84" t="str">
        <f t="shared" si="11"/>
        <v/>
      </c>
      <c r="I187" s="84">
        <v>-7.0000000000000007E-2</v>
      </c>
      <c r="J187" s="84" t="str">
        <f t="shared" si="8"/>
        <v/>
      </c>
    </row>
    <row r="188" spans="1:10">
      <c r="A188" s="29" t="s">
        <v>396</v>
      </c>
      <c r="B188" s="34" t="s">
        <v>397</v>
      </c>
      <c r="C188" s="83">
        <v>165.96799999999999</v>
      </c>
      <c r="D188" s="83">
        <v>319.5</v>
      </c>
      <c r="E188" s="83">
        <f t="shared" si="9"/>
        <v>53026.775999999998</v>
      </c>
      <c r="F188" s="84">
        <f t="shared" si="10"/>
        <v>1.6752232022409273E-3</v>
      </c>
      <c r="G188" s="85">
        <v>1.2269170579029733E-2</v>
      </c>
      <c r="H188" s="84">
        <f t="shared" si="11"/>
        <v>2.0553599226242361E-5</v>
      </c>
      <c r="I188" s="84">
        <v>0.1082</v>
      </c>
      <c r="J188" s="84">
        <f t="shared" si="8"/>
        <v>1.8125915048246836E-4</v>
      </c>
    </row>
    <row r="189" spans="1:10">
      <c r="A189" s="29" t="s">
        <v>398</v>
      </c>
      <c r="B189" s="34" t="s">
        <v>399</v>
      </c>
      <c r="C189" s="83">
        <v>105.556</v>
      </c>
      <c r="D189" s="83">
        <v>183.85</v>
      </c>
      <c r="E189" s="83">
        <f t="shared" si="9"/>
        <v>19406.470600000001</v>
      </c>
      <c r="F189" s="84">
        <f t="shared" si="10"/>
        <v>6.1308969307744465E-4</v>
      </c>
      <c r="G189" s="85">
        <v>1.1966276856132718E-2</v>
      </c>
      <c r="H189" s="84">
        <f t="shared" si="11"/>
        <v>7.3364010050061375E-6</v>
      </c>
      <c r="I189" s="84">
        <v>0.12809999999999999</v>
      </c>
      <c r="J189" s="84">
        <f t="shared" si="8"/>
        <v>7.8536789683220651E-5</v>
      </c>
    </row>
    <row r="190" spans="1:10">
      <c r="A190" s="29" t="s">
        <v>400</v>
      </c>
      <c r="B190" s="34" t="s">
        <v>401</v>
      </c>
      <c r="C190" s="83">
        <v>84.9</v>
      </c>
      <c r="D190" s="83">
        <v>222.3</v>
      </c>
      <c r="E190" s="83">
        <f t="shared" si="9"/>
        <v>18873.27</v>
      </c>
      <c r="F190" s="84" t="str">
        <f t="shared" si="10"/>
        <v/>
      </c>
      <c r="G190" s="85">
        <v>1.2955465587044534E-2</v>
      </c>
      <c r="H190" s="84" t="str">
        <f t="shared" si="11"/>
        <v/>
      </c>
      <c r="I190" s="84">
        <v>-7.2900000000000006E-2</v>
      </c>
      <c r="J190" s="84" t="str">
        <f t="shared" si="8"/>
        <v/>
      </c>
    </row>
    <row r="191" spans="1:10">
      <c r="A191" s="29" t="s">
        <v>402</v>
      </c>
      <c r="B191" s="34" t="s">
        <v>403</v>
      </c>
      <c r="C191" s="83">
        <v>1152.492</v>
      </c>
      <c r="D191" s="83">
        <v>34.51</v>
      </c>
      <c r="E191" s="83">
        <f t="shared" si="9"/>
        <v>39772.498919999998</v>
      </c>
      <c r="F191" s="84">
        <f t="shared" si="10"/>
        <v>1.2564937570763537E-3</v>
      </c>
      <c r="G191" s="85">
        <v>4.6363372935381057E-2</v>
      </c>
      <c r="H191" s="84">
        <f t="shared" si="11"/>
        <v>5.8255288650309076E-5</v>
      </c>
      <c r="I191" s="84">
        <v>6.2100000000000002E-2</v>
      </c>
      <c r="J191" s="84">
        <f t="shared" si="8"/>
        <v>7.8028262314441563E-5</v>
      </c>
    </row>
    <row r="192" spans="1:10">
      <c r="A192" s="29" t="s">
        <v>404</v>
      </c>
      <c r="B192" s="34" t="s">
        <v>405</v>
      </c>
      <c r="C192" s="83">
        <v>1217.2249999999999</v>
      </c>
      <c r="D192" s="83">
        <v>101.53</v>
      </c>
      <c r="E192" s="83">
        <f t="shared" si="9"/>
        <v>123584.85424999999</v>
      </c>
      <c r="F192" s="84">
        <f t="shared" si="10"/>
        <v>3.9042957332567846E-3</v>
      </c>
      <c r="G192" s="85">
        <v>1.4576972323451197E-2</v>
      </c>
      <c r="H192" s="84">
        <f t="shared" si="11"/>
        <v>5.6912810846252744E-5</v>
      </c>
      <c r="I192" s="84">
        <v>0.14645</v>
      </c>
      <c r="J192" s="84">
        <f t="shared" si="8"/>
        <v>5.7178411013545608E-4</v>
      </c>
    </row>
    <row r="193" spans="1:10">
      <c r="A193" s="29" t="s">
        <v>406</v>
      </c>
      <c r="B193" s="34" t="s">
        <v>30</v>
      </c>
      <c r="C193" s="83">
        <v>413.41500000000002</v>
      </c>
      <c r="D193" s="83">
        <v>25.97</v>
      </c>
      <c r="E193" s="83">
        <f t="shared" si="9"/>
        <v>10736.387549999999</v>
      </c>
      <c r="F193" s="84">
        <f t="shared" si="10"/>
        <v>3.3918421764903494E-4</v>
      </c>
      <c r="G193" s="85">
        <v>4.0816326530612249E-2</v>
      </c>
      <c r="H193" s="84">
        <f t="shared" si="11"/>
        <v>1.3844253781593264E-5</v>
      </c>
      <c r="I193" s="84">
        <v>7.6499999999999999E-2</v>
      </c>
      <c r="J193" s="84">
        <f t="shared" si="8"/>
        <v>2.5947592650151174E-5</v>
      </c>
    </row>
    <row r="194" spans="1:10">
      <c r="A194" s="29" t="s">
        <v>407</v>
      </c>
      <c r="B194" s="34" t="s">
        <v>408</v>
      </c>
      <c r="C194" s="83">
        <v>225.68100000000001</v>
      </c>
      <c r="D194" s="83">
        <v>233.89</v>
      </c>
      <c r="E194" s="83">
        <f t="shared" si="9"/>
        <v>52784.529089999996</v>
      </c>
      <c r="F194" s="84">
        <f t="shared" si="10"/>
        <v>1.6675701319448343E-3</v>
      </c>
      <c r="G194" s="85">
        <v>2.3087776305100692E-2</v>
      </c>
      <c r="H194" s="84">
        <f t="shared" si="11"/>
        <v>3.8500486179409578E-5</v>
      </c>
      <c r="I194" s="84">
        <v>6.0999999999999995E-3</v>
      </c>
      <c r="J194" s="84">
        <f t="shared" si="8"/>
        <v>1.0172177804863489E-5</v>
      </c>
    </row>
    <row r="195" spans="1:10">
      <c r="A195" s="29" t="s">
        <v>409</v>
      </c>
      <c r="B195" s="34" t="s">
        <v>410</v>
      </c>
      <c r="C195" s="83">
        <v>238.41200000000001</v>
      </c>
      <c r="D195" s="83">
        <v>79.099999999999994</v>
      </c>
      <c r="E195" s="83">
        <f t="shared" si="9"/>
        <v>18858.389199999998</v>
      </c>
      <c r="F195" s="84">
        <f t="shared" si="10"/>
        <v>5.9577469210516808E-4</v>
      </c>
      <c r="G195" s="85">
        <v>3.388116308470291E-2</v>
      </c>
      <c r="H195" s="84">
        <f t="shared" si="11"/>
        <v>2.0185539504953862E-5</v>
      </c>
      <c r="I195" s="84">
        <v>8.77E-2</v>
      </c>
      <c r="J195" s="84">
        <f t="shared" si="8"/>
        <v>5.2249440497623241E-5</v>
      </c>
    </row>
    <row r="196" spans="1:10">
      <c r="A196" s="29" t="s">
        <v>411</v>
      </c>
      <c r="B196" s="34" t="s">
        <v>412</v>
      </c>
      <c r="C196" s="83">
        <v>349.08600000000001</v>
      </c>
      <c r="D196" s="83">
        <v>54.22</v>
      </c>
      <c r="E196" s="83">
        <f t="shared" si="9"/>
        <v>18927.442920000001</v>
      </c>
      <c r="F196" s="84">
        <f t="shared" si="10"/>
        <v>5.9795623891361542E-4</v>
      </c>
      <c r="G196" s="85">
        <v>5.2748063445223162E-2</v>
      </c>
      <c r="H196" s="84">
        <f t="shared" si="11"/>
        <v>3.1541033627682407E-5</v>
      </c>
      <c r="I196" s="84">
        <v>5.21E-2</v>
      </c>
      <c r="J196" s="84">
        <f t="shared" si="8"/>
        <v>3.1153520047399361E-5</v>
      </c>
    </row>
    <row r="197" spans="1:10">
      <c r="A197" s="29" t="s">
        <v>413</v>
      </c>
      <c r="B197" s="34" t="s">
        <v>414</v>
      </c>
      <c r="C197" s="83">
        <v>150.036</v>
      </c>
      <c r="D197" s="83">
        <v>446.76</v>
      </c>
      <c r="E197" s="83">
        <f t="shared" si="9"/>
        <v>67030.083360000004</v>
      </c>
      <c r="F197" s="84">
        <f t="shared" si="10"/>
        <v>2.1176160303016632E-3</v>
      </c>
      <c r="G197" s="85">
        <v>1.6742770167427704E-2</v>
      </c>
      <c r="H197" s="84">
        <f t="shared" si="11"/>
        <v>3.5454758498201371E-5</v>
      </c>
      <c r="I197" s="84">
        <v>0.16024999999999998</v>
      </c>
      <c r="J197" s="84">
        <f t="shared" si="8"/>
        <v>3.3934796885584146E-4</v>
      </c>
    </row>
    <row r="198" spans="1:10">
      <c r="A198" s="29" t="s">
        <v>415</v>
      </c>
      <c r="B198" s="34" t="s">
        <v>416</v>
      </c>
      <c r="C198" s="83">
        <v>3598.9</v>
      </c>
      <c r="D198" s="83">
        <v>49.83</v>
      </c>
      <c r="E198" s="83">
        <f t="shared" si="9"/>
        <v>179333.18700000001</v>
      </c>
      <c r="F198" s="84">
        <f t="shared" si="10"/>
        <v>5.665498422800795E-3</v>
      </c>
      <c r="G198" s="85">
        <v>2.8095524784266506E-2</v>
      </c>
      <c r="H198" s="84">
        <f t="shared" si="11"/>
        <v>1.5917515135302254E-4</v>
      </c>
      <c r="I198" s="84">
        <v>0.1341</v>
      </c>
      <c r="J198" s="84">
        <f t="shared" si="8"/>
        <v>7.5974333849758663E-4</v>
      </c>
    </row>
    <row r="199" spans="1:10">
      <c r="A199" s="29" t="s">
        <v>417</v>
      </c>
      <c r="B199" s="34" t="s">
        <v>418</v>
      </c>
      <c r="C199" s="83">
        <v>245.839</v>
      </c>
      <c r="D199" s="83">
        <v>186.93</v>
      </c>
      <c r="E199" s="83">
        <f t="shared" si="9"/>
        <v>45954.684269999998</v>
      </c>
      <c r="F199" s="84" t="str">
        <f t="shared" si="10"/>
        <v/>
      </c>
      <c r="G199" s="85">
        <v>1.1555127587867116E-2</v>
      </c>
      <c r="H199" s="84" t="str">
        <f t="shared" si="11"/>
        <v/>
      </c>
      <c r="I199" s="84">
        <v>-0.10800000000000001</v>
      </c>
      <c r="J199" s="84" t="str">
        <f t="shared" si="8"/>
        <v/>
      </c>
    </row>
    <row r="200" spans="1:10">
      <c r="A200" s="29" t="s">
        <v>419</v>
      </c>
      <c r="B200" s="34" t="s">
        <v>420</v>
      </c>
      <c r="C200" s="83">
        <v>877.58100000000002</v>
      </c>
      <c r="D200" s="83">
        <v>57.57</v>
      </c>
      <c r="E200" s="83">
        <f t="shared" si="9"/>
        <v>50522.338170000003</v>
      </c>
      <c r="F200" s="84" t="str">
        <f t="shared" si="10"/>
        <v/>
      </c>
      <c r="G200" s="85">
        <v>1.2506513809275664E-2</v>
      </c>
      <c r="H200" s="84" t="str">
        <f t="shared" si="11"/>
        <v/>
      </c>
      <c r="I200" s="84" t="s">
        <v>90</v>
      </c>
      <c r="J200" s="84" t="str">
        <f t="shared" si="8"/>
        <v/>
      </c>
    </row>
    <row r="201" spans="1:10">
      <c r="A201" s="29" t="s">
        <v>421</v>
      </c>
      <c r="B201" s="34" t="s">
        <v>422</v>
      </c>
      <c r="C201" s="83">
        <v>197.934</v>
      </c>
      <c r="D201" s="83">
        <v>90.38</v>
      </c>
      <c r="E201" s="83">
        <f t="shared" si="9"/>
        <v>17889.27492</v>
      </c>
      <c r="F201" s="84">
        <f t="shared" si="10"/>
        <v>5.6515841010682433E-4</v>
      </c>
      <c r="G201" s="85">
        <v>3.0980305377295861E-2</v>
      </c>
      <c r="H201" s="84">
        <f t="shared" si="11"/>
        <v>1.7508780131656428E-5</v>
      </c>
      <c r="I201" s="84">
        <v>4.8300000000000003E-2</v>
      </c>
      <c r="J201" s="84">
        <f t="shared" si="8"/>
        <v>2.7297151208159617E-5</v>
      </c>
    </row>
    <row r="202" spans="1:10">
      <c r="A202" s="29" t="s">
        <v>423</v>
      </c>
      <c r="B202" s="34" t="s">
        <v>424</v>
      </c>
      <c r="C202" s="83">
        <v>582.55100000000004</v>
      </c>
      <c r="D202" s="83">
        <v>68.25</v>
      </c>
      <c r="E202" s="83">
        <f t="shared" si="9"/>
        <v>39759.105750000002</v>
      </c>
      <c r="F202" s="84">
        <f t="shared" si="10"/>
        <v>1.2560706397226689E-3</v>
      </c>
      <c r="G202" s="85">
        <v>5.8021978021978018E-2</v>
      </c>
      <c r="H202" s="84">
        <f t="shared" si="11"/>
        <v>7.2879703052040567E-5</v>
      </c>
      <c r="I202" s="84">
        <v>7.644999999999999E-2</v>
      </c>
      <c r="J202" s="84">
        <f t="shared" si="8"/>
        <v>9.6026600406798028E-5</v>
      </c>
    </row>
    <row r="203" spans="1:10">
      <c r="A203" s="29" t="s">
        <v>425</v>
      </c>
      <c r="B203" s="34" t="s">
        <v>426</v>
      </c>
      <c r="C203" s="83">
        <v>208.7</v>
      </c>
      <c r="D203" s="83">
        <v>110.18</v>
      </c>
      <c r="E203" s="83">
        <f t="shared" si="9"/>
        <v>22994.565999999999</v>
      </c>
      <c r="F203" s="84">
        <f t="shared" si="10"/>
        <v>7.2644489057113997E-4</v>
      </c>
      <c r="G203" s="85">
        <v>1.6336903249228533E-2</v>
      </c>
      <c r="H203" s="84">
        <f t="shared" si="11"/>
        <v>1.1867859893157123E-5</v>
      </c>
      <c r="I203" s="84">
        <v>0.13150000000000001</v>
      </c>
      <c r="J203" s="84">
        <f t="shared" si="8"/>
        <v>9.552750311010491E-5</v>
      </c>
    </row>
    <row r="204" spans="1:10">
      <c r="A204" s="29" t="s">
        <v>427</v>
      </c>
      <c r="B204" s="34" t="s">
        <v>428</v>
      </c>
      <c r="C204" s="83">
        <v>2133.5079999999998</v>
      </c>
      <c r="D204" s="83">
        <v>16.87</v>
      </c>
      <c r="E204" s="83">
        <f t="shared" si="9"/>
        <v>35992.27996</v>
      </c>
      <c r="F204" s="84">
        <f t="shared" si="10"/>
        <v>1.1370689873837164E-3</v>
      </c>
      <c r="G204" s="85">
        <v>2.3710729104919974E-3</v>
      </c>
      <c r="H204" s="84">
        <f t="shared" si="11"/>
        <v>2.6960734733460969E-6</v>
      </c>
      <c r="I204" s="84">
        <v>6.2549999999999994E-2</v>
      </c>
      <c r="J204" s="84">
        <f t="shared" si="8"/>
        <v>7.1123665160851451E-5</v>
      </c>
    </row>
    <row r="205" spans="1:10">
      <c r="A205" s="29" t="s">
        <v>429</v>
      </c>
      <c r="B205" s="34" t="s">
        <v>430</v>
      </c>
      <c r="C205" s="83">
        <v>128.476</v>
      </c>
      <c r="D205" s="83">
        <v>464.5</v>
      </c>
      <c r="E205" s="83">
        <f t="shared" si="9"/>
        <v>59677.101999999999</v>
      </c>
      <c r="F205" s="84">
        <f t="shared" si="10"/>
        <v>1.8853204636257435E-3</v>
      </c>
      <c r="G205" s="85">
        <v>1.2744886975242196E-2</v>
      </c>
      <c r="H205" s="84">
        <f t="shared" si="11"/>
        <v>2.4028196221021318E-5</v>
      </c>
      <c r="I205" s="84">
        <v>0.15279999999999999</v>
      </c>
      <c r="J205" s="84">
        <f t="shared" si="8"/>
        <v>2.8807696684201358E-4</v>
      </c>
    </row>
    <row r="206" spans="1:10">
      <c r="A206" s="29" t="s">
        <v>431</v>
      </c>
      <c r="B206" s="34" t="s">
        <v>432</v>
      </c>
      <c r="C206" s="83">
        <v>484.03800000000001</v>
      </c>
      <c r="D206" s="83">
        <v>43.31</v>
      </c>
      <c r="E206" s="83">
        <f t="shared" si="9"/>
        <v>20963.68578</v>
      </c>
      <c r="F206" s="84">
        <f t="shared" si="10"/>
        <v>6.622852730692922E-4</v>
      </c>
      <c r="G206" s="85">
        <v>1.3853613484183789E-2</v>
      </c>
      <c r="H206" s="84">
        <f t="shared" si="11"/>
        <v>9.175044189369089E-6</v>
      </c>
      <c r="I206" s="84">
        <v>0.14855000000000002</v>
      </c>
      <c r="J206" s="84">
        <f t="shared" si="8"/>
        <v>9.8382477314443362E-5</v>
      </c>
    </row>
    <row r="207" spans="1:10">
      <c r="A207" s="29" t="s">
        <v>433</v>
      </c>
      <c r="B207" s="34" t="s">
        <v>434</v>
      </c>
      <c r="C207" s="83">
        <v>737.12400000000002</v>
      </c>
      <c r="D207" s="83">
        <v>26.2</v>
      </c>
      <c r="E207" s="83">
        <f t="shared" si="9"/>
        <v>19312.648799999999</v>
      </c>
      <c r="F207" s="84">
        <f t="shared" si="10"/>
        <v>6.1012567248083121E-4</v>
      </c>
      <c r="G207" s="85">
        <v>3.6641221374045803E-2</v>
      </c>
      <c r="H207" s="84">
        <f t="shared" si="11"/>
        <v>2.2355749831358702E-5</v>
      </c>
      <c r="I207" s="84">
        <v>0.08</v>
      </c>
      <c r="J207" s="84">
        <f t="shared" si="8"/>
        <v>4.8810053798466497E-5</v>
      </c>
    </row>
    <row r="208" spans="1:10">
      <c r="A208" s="29" t="s">
        <v>435</v>
      </c>
      <c r="B208" s="34" t="s">
        <v>436</v>
      </c>
      <c r="C208" s="83">
        <v>1187.4079999999999</v>
      </c>
      <c r="D208" s="83">
        <v>111.87</v>
      </c>
      <c r="E208" s="83">
        <f t="shared" si="9"/>
        <v>132835.33296</v>
      </c>
      <c r="F208" s="84">
        <f t="shared" si="10"/>
        <v>4.1965370825484656E-3</v>
      </c>
      <c r="G208" s="85">
        <v>5.184589255385715E-3</v>
      </c>
      <c r="H208" s="84">
        <f t="shared" si="11"/>
        <v>2.1757321068008492E-5</v>
      </c>
      <c r="I208" s="84">
        <v>0.12</v>
      </c>
      <c r="J208" s="84">
        <f t="shared" si="8"/>
        <v>5.035844499058159E-4</v>
      </c>
    </row>
    <row r="209" spans="1:10">
      <c r="A209" s="29" t="s">
        <v>437</v>
      </c>
      <c r="B209" s="34" t="s">
        <v>438</v>
      </c>
      <c r="C209" s="83">
        <v>215.595</v>
      </c>
      <c r="D209" s="83">
        <v>104.56</v>
      </c>
      <c r="E209" s="83">
        <f t="shared" si="9"/>
        <v>22542.6132</v>
      </c>
      <c r="F209" s="84">
        <f t="shared" si="10"/>
        <v>7.1216678667740613E-4</v>
      </c>
      <c r="G209" s="85">
        <v>7.6511094108645756E-3</v>
      </c>
      <c r="H209" s="84">
        <f t="shared" si="11"/>
        <v>5.4488660036526864E-6</v>
      </c>
      <c r="I209" s="84">
        <v>5.4100000000000002E-2</v>
      </c>
      <c r="J209" s="84">
        <f t="shared" si="8"/>
        <v>3.8528223159247674E-5</v>
      </c>
    </row>
    <row r="210" spans="1:10">
      <c r="A210" s="29" t="s">
        <v>439</v>
      </c>
      <c r="B210" s="34" t="s">
        <v>440</v>
      </c>
      <c r="C210" s="83">
        <v>113.312</v>
      </c>
      <c r="D210" s="83">
        <v>68.900000000000006</v>
      </c>
      <c r="E210" s="83">
        <f t="shared" si="9"/>
        <v>7807.1968000000006</v>
      </c>
      <c r="F210" s="84">
        <f t="shared" si="10"/>
        <v>2.4664515194778431E-4</v>
      </c>
      <c r="G210" s="85">
        <v>5.108853410740203E-2</v>
      </c>
      <c r="H210" s="84">
        <f t="shared" si="11"/>
        <v>1.2600739257709735E-5</v>
      </c>
      <c r="I210" s="84">
        <v>6.9749999999999993E-2</v>
      </c>
      <c r="J210" s="84">
        <f t="shared" si="8"/>
        <v>1.7203499348357952E-5</v>
      </c>
    </row>
    <row r="211" spans="1:10">
      <c r="A211" s="29" t="s">
        <v>441</v>
      </c>
      <c r="B211" s="34" t="s">
        <v>442</v>
      </c>
      <c r="C211" s="83">
        <v>398</v>
      </c>
      <c r="D211" s="83">
        <v>151.21</v>
      </c>
      <c r="E211" s="83">
        <f t="shared" si="9"/>
        <v>60181.58</v>
      </c>
      <c r="F211" s="84">
        <f t="shared" si="10"/>
        <v>1.9012579449204784E-3</v>
      </c>
      <c r="G211" s="85">
        <v>4.1002579194497721E-2</v>
      </c>
      <c r="H211" s="84">
        <f t="shared" si="11"/>
        <v>7.7956479455769897E-5</v>
      </c>
      <c r="I211" s="84">
        <v>0.1467</v>
      </c>
      <c r="J211" s="84">
        <f t="shared" ref="J211:J274" si="12">IFERROR($I211*$F211,"")</f>
        <v>2.7891454051983419E-4</v>
      </c>
    </row>
    <row r="212" spans="1:10">
      <c r="A212" s="29" t="s">
        <v>443</v>
      </c>
      <c r="B212" s="34" t="s">
        <v>444</v>
      </c>
      <c r="C212" s="83">
        <v>235.8</v>
      </c>
      <c r="D212" s="83">
        <v>141.04</v>
      </c>
      <c r="E212" s="83">
        <f t="shared" ref="E212:E275" si="13">IFERROR(C212*D212,"")</f>
        <v>33257.231999999996</v>
      </c>
      <c r="F212" s="84">
        <f t="shared" ref="F212:F275" si="14">IF(AND(ISNUMBER($I212)), IF(AND($I212&lt;=20%,$I212&gt;0%), $E212/SUMIFS($E$19:$E$521,$I$19:$I$521, "&gt;"&amp;0%,$I$19:$I$521, "&lt;="&amp;20%),""),"")</f>
        <v>1.0506632854448748E-3</v>
      </c>
      <c r="G212" s="85">
        <v>1.8434486670448103E-2</v>
      </c>
      <c r="H212" s="84">
        <f t="shared" ref="H212:H275" si="15">IFERROR($G212*$F212,"")</f>
        <v>1.9368438330662757E-5</v>
      </c>
      <c r="I212" s="84">
        <v>0.11705</v>
      </c>
      <c r="J212" s="84">
        <f t="shared" si="12"/>
        <v>1.2298013756132259E-4</v>
      </c>
    </row>
    <row r="213" spans="1:10">
      <c r="A213" s="29" t="s">
        <v>445</v>
      </c>
      <c r="B213" s="34" t="s">
        <v>446</v>
      </c>
      <c r="C213" s="83">
        <v>585.29999999999995</v>
      </c>
      <c r="D213" s="83">
        <v>178.25</v>
      </c>
      <c r="E213" s="83">
        <f t="shared" si="13"/>
        <v>104329.72499999999</v>
      </c>
      <c r="F213" s="84" t="str">
        <f t="shared" si="14"/>
        <v/>
      </c>
      <c r="G213" s="85">
        <v>2.2440392706872371E-3</v>
      </c>
      <c r="H213" s="84" t="str">
        <f t="shared" si="15"/>
        <v/>
      </c>
      <c r="I213" s="84">
        <v>0.29969999999999997</v>
      </c>
      <c r="J213" s="84" t="str">
        <f t="shared" si="12"/>
        <v/>
      </c>
    </row>
    <row r="214" spans="1:10">
      <c r="A214" s="29" t="s">
        <v>1526</v>
      </c>
      <c r="B214" s="34" t="s">
        <v>1527</v>
      </c>
      <c r="C214" s="83">
        <v>246.30799999999999</v>
      </c>
      <c r="D214" s="83">
        <v>76.69</v>
      </c>
      <c r="E214" s="83">
        <f t="shared" si="13"/>
        <v>18889.360519999998</v>
      </c>
      <c r="F214" s="84" t="str">
        <f t="shared" si="14"/>
        <v/>
      </c>
      <c r="G214" s="85">
        <v>4.6942234971965053E-3</v>
      </c>
      <c r="H214" s="84" t="str">
        <f t="shared" si="15"/>
        <v/>
      </c>
      <c r="I214" s="84" t="s">
        <v>90</v>
      </c>
      <c r="J214" s="84" t="str">
        <f t="shared" si="12"/>
        <v/>
      </c>
    </row>
    <row r="215" spans="1:10">
      <c r="A215" s="29" t="s">
        <v>447</v>
      </c>
      <c r="B215" s="34" t="s">
        <v>448</v>
      </c>
      <c r="C215" s="83">
        <v>499.11099999999999</v>
      </c>
      <c r="D215" s="83">
        <v>57.99</v>
      </c>
      <c r="E215" s="83">
        <f t="shared" si="13"/>
        <v>28943.446889999999</v>
      </c>
      <c r="F215" s="84">
        <f t="shared" si="14"/>
        <v>9.1438208091240562E-4</v>
      </c>
      <c r="G215" s="85">
        <v>3.9317123642007235E-2</v>
      </c>
      <c r="H215" s="84">
        <f t="shared" si="15"/>
        <v>3.5950873331268915E-5</v>
      </c>
      <c r="I215" s="84">
        <v>5.4699999999999999E-2</v>
      </c>
      <c r="J215" s="84">
        <f t="shared" si="12"/>
        <v>5.0016699825908585E-5</v>
      </c>
    </row>
    <row r="216" spans="1:10">
      <c r="A216" s="29" t="s">
        <v>1290</v>
      </c>
      <c r="B216" s="34" t="s">
        <v>449</v>
      </c>
      <c r="C216" s="83">
        <v>105.895</v>
      </c>
      <c r="D216" s="83">
        <v>79.540000000000006</v>
      </c>
      <c r="E216" s="83">
        <f t="shared" si="13"/>
        <v>8422.8883000000005</v>
      </c>
      <c r="F216" s="84" t="str">
        <f t="shared" si="14"/>
        <v/>
      </c>
      <c r="G216" s="85">
        <v>2.4138798089011815E-2</v>
      </c>
      <c r="H216" s="84" t="str">
        <f t="shared" si="15"/>
        <v/>
      </c>
      <c r="I216" s="84" t="s">
        <v>90</v>
      </c>
      <c r="J216" s="84" t="str">
        <f t="shared" si="12"/>
        <v/>
      </c>
    </row>
    <row r="217" spans="1:10">
      <c r="A217" s="29" t="s">
        <v>897</v>
      </c>
      <c r="B217" s="34" t="s">
        <v>898</v>
      </c>
      <c r="C217" s="83">
        <v>49.526000000000003</v>
      </c>
      <c r="D217" s="83">
        <v>373.03</v>
      </c>
      <c r="E217" s="83">
        <f t="shared" si="13"/>
        <v>18474.683779999999</v>
      </c>
      <c r="F217" s="84">
        <f t="shared" si="14"/>
        <v>5.8365266110691166E-4</v>
      </c>
      <c r="G217" s="85" t="s">
        <v>90</v>
      </c>
      <c r="H217" s="84" t="str">
        <f t="shared" si="15"/>
        <v/>
      </c>
      <c r="I217" s="84">
        <v>9.4100000000000003E-2</v>
      </c>
      <c r="J217" s="84">
        <f t="shared" si="12"/>
        <v>5.4921715410160391E-5</v>
      </c>
    </row>
    <row r="218" spans="1:10">
      <c r="A218" s="29" t="s">
        <v>450</v>
      </c>
      <c r="B218" s="34" t="s">
        <v>451</v>
      </c>
      <c r="C218" s="83">
        <v>383.56799999999998</v>
      </c>
      <c r="D218" s="83">
        <v>67.48</v>
      </c>
      <c r="E218" s="83">
        <f t="shared" si="13"/>
        <v>25883.16864</v>
      </c>
      <c r="F218" s="84">
        <f t="shared" si="14"/>
        <v>8.1770169571015875E-4</v>
      </c>
      <c r="G218" s="85">
        <v>4.6235921754593956E-2</v>
      </c>
      <c r="H218" s="84">
        <f t="shared" si="15"/>
        <v>3.7807191621453696E-5</v>
      </c>
      <c r="I218" s="84">
        <v>0.06</v>
      </c>
      <c r="J218" s="84">
        <f t="shared" si="12"/>
        <v>4.9062101742609521E-5</v>
      </c>
    </row>
    <row r="219" spans="1:10">
      <c r="A219" s="29" t="s">
        <v>1256</v>
      </c>
      <c r="B219" s="34" t="s">
        <v>452</v>
      </c>
      <c r="C219" s="83">
        <v>1427.395</v>
      </c>
      <c r="D219" s="83">
        <v>48.7</v>
      </c>
      <c r="E219" s="83">
        <f t="shared" si="13"/>
        <v>69514.136500000008</v>
      </c>
      <c r="F219" s="84" t="str">
        <f t="shared" si="14"/>
        <v/>
      </c>
      <c r="G219" s="85">
        <v>2.2587268993839837E-2</v>
      </c>
      <c r="H219" s="84" t="str">
        <f t="shared" si="15"/>
        <v/>
      </c>
      <c r="I219" s="84">
        <v>0.20370000000000002</v>
      </c>
      <c r="J219" s="84" t="str">
        <f t="shared" si="12"/>
        <v/>
      </c>
    </row>
    <row r="220" spans="1:10">
      <c r="A220" s="29" t="s">
        <v>453</v>
      </c>
      <c r="B220" s="34" t="s">
        <v>454</v>
      </c>
      <c r="C220" s="83">
        <v>1771.682</v>
      </c>
      <c r="D220" s="83">
        <v>62.92</v>
      </c>
      <c r="E220" s="83">
        <f t="shared" si="13"/>
        <v>111474.23144</v>
      </c>
      <c r="F220" s="84" t="str">
        <f t="shared" si="14"/>
        <v/>
      </c>
      <c r="G220" s="85">
        <v>1.5893197711379529E-2</v>
      </c>
      <c r="H220" s="84" t="str">
        <f t="shared" si="15"/>
        <v/>
      </c>
      <c r="I220" s="84" t="s">
        <v>90</v>
      </c>
      <c r="J220" s="84" t="str">
        <f t="shared" si="12"/>
        <v/>
      </c>
    </row>
    <row r="221" spans="1:10">
      <c r="A221" s="29" t="s">
        <v>455</v>
      </c>
      <c r="B221" s="34" t="s">
        <v>456</v>
      </c>
      <c r="C221" s="83">
        <v>255.96600000000001</v>
      </c>
      <c r="D221" s="83">
        <v>304.38</v>
      </c>
      <c r="E221" s="83">
        <f t="shared" si="13"/>
        <v>77910.931079999995</v>
      </c>
      <c r="F221" s="84">
        <f t="shared" si="14"/>
        <v>2.4613640371688784E-3</v>
      </c>
      <c r="G221" s="85">
        <v>7.9505880806886135E-3</v>
      </c>
      <c r="H221" s="84">
        <f t="shared" si="15"/>
        <v>1.9569291576150491E-5</v>
      </c>
      <c r="I221" s="84">
        <v>0.1094</v>
      </c>
      <c r="J221" s="84">
        <f t="shared" si="12"/>
        <v>2.6927322566627527E-4</v>
      </c>
    </row>
    <row r="222" spans="1:10">
      <c r="A222" s="29" t="s">
        <v>457</v>
      </c>
      <c r="B222" s="34" t="s">
        <v>458</v>
      </c>
      <c r="C222" s="83">
        <v>73.989999999999995</v>
      </c>
      <c r="D222" s="83">
        <v>373.03</v>
      </c>
      <c r="E222" s="83">
        <f t="shared" si="13"/>
        <v>27600.489699999995</v>
      </c>
      <c r="F222" s="84">
        <f t="shared" si="14"/>
        <v>8.719553445725556E-4</v>
      </c>
      <c r="G222" s="85">
        <v>2.1445996300565643E-3</v>
      </c>
      <c r="H222" s="84">
        <f t="shared" si="15"/>
        <v>1.8699951093961468E-6</v>
      </c>
      <c r="I222" s="84">
        <v>0.18890000000000001</v>
      </c>
      <c r="J222" s="84">
        <f t="shared" si="12"/>
        <v>1.6471236458975576E-4</v>
      </c>
    </row>
    <row r="223" spans="1:10">
      <c r="A223" s="29" t="s">
        <v>459</v>
      </c>
      <c r="B223" s="34" t="s">
        <v>460</v>
      </c>
      <c r="C223" s="83">
        <v>106.14400000000001</v>
      </c>
      <c r="D223" s="83">
        <v>131.55000000000001</v>
      </c>
      <c r="E223" s="83">
        <f t="shared" si="13"/>
        <v>13963.243200000003</v>
      </c>
      <c r="F223" s="84">
        <f t="shared" si="14"/>
        <v>4.4112712013969803E-4</v>
      </c>
      <c r="G223" s="85">
        <v>3.2231090839984794E-2</v>
      </c>
      <c r="H223" s="84">
        <f t="shared" si="15"/>
        <v>1.4218008281203494E-5</v>
      </c>
      <c r="I223" s="84">
        <v>6.9099999999999995E-2</v>
      </c>
      <c r="J223" s="84">
        <f t="shared" si="12"/>
        <v>3.048188400165313E-5</v>
      </c>
    </row>
    <row r="224" spans="1:10">
      <c r="A224" s="29" t="s">
        <v>461</v>
      </c>
      <c r="B224" s="34" t="s">
        <v>462</v>
      </c>
      <c r="C224" s="83">
        <v>52.78</v>
      </c>
      <c r="D224" s="83">
        <v>289.93</v>
      </c>
      <c r="E224" s="83">
        <f t="shared" si="13"/>
        <v>15302.5054</v>
      </c>
      <c r="F224" s="84">
        <f t="shared" si="14"/>
        <v>4.834371242652407E-4</v>
      </c>
      <c r="G224" s="85">
        <v>2.566136653675025E-2</v>
      </c>
      <c r="H224" s="84">
        <f t="shared" si="15"/>
        <v>1.240565724324282E-5</v>
      </c>
      <c r="I224" s="84">
        <v>4.8499999999999995E-2</v>
      </c>
      <c r="J224" s="84">
        <f t="shared" si="12"/>
        <v>2.344670052686417E-5</v>
      </c>
    </row>
    <row r="225" spans="1:10">
      <c r="A225" s="29" t="s">
        <v>463</v>
      </c>
      <c r="B225" s="34" t="s">
        <v>464</v>
      </c>
      <c r="C225" s="83">
        <v>230.79900000000001</v>
      </c>
      <c r="D225" s="83">
        <v>162.05000000000001</v>
      </c>
      <c r="E225" s="83">
        <f t="shared" si="13"/>
        <v>37400.97795</v>
      </c>
      <c r="F225" s="84">
        <f t="shared" si="14"/>
        <v>1.181572608682476E-3</v>
      </c>
      <c r="G225" s="85">
        <v>6.1709348966368397E-3</v>
      </c>
      <c r="H225" s="84">
        <f t="shared" si="15"/>
        <v>7.2914076438289167E-6</v>
      </c>
      <c r="I225" s="84">
        <v>6.8650000000000003E-2</v>
      </c>
      <c r="J225" s="84">
        <f t="shared" si="12"/>
        <v>8.1114959586051986E-5</v>
      </c>
    </row>
    <row r="226" spans="1:10">
      <c r="A226" s="29" t="s">
        <v>1548</v>
      </c>
      <c r="B226" s="34" t="s">
        <v>1549</v>
      </c>
      <c r="C226" s="83">
        <v>2057.8580000000002</v>
      </c>
      <c r="D226" s="83">
        <v>65.27</v>
      </c>
      <c r="E226" s="83">
        <f t="shared" si="13"/>
        <v>134316.39165999999</v>
      </c>
      <c r="F226" s="84" t="str">
        <f t="shared" si="14"/>
        <v/>
      </c>
      <c r="G226" s="85" t="s">
        <v>90</v>
      </c>
      <c r="H226" s="84" t="str">
        <f t="shared" si="15"/>
        <v/>
      </c>
      <c r="I226" s="84">
        <v>0.68</v>
      </c>
      <c r="J226" s="84" t="str">
        <f t="shared" si="12"/>
        <v/>
      </c>
    </row>
    <row r="227" spans="1:10">
      <c r="A227" s="29" t="s">
        <v>465</v>
      </c>
      <c r="B227" s="34" t="s">
        <v>466</v>
      </c>
      <c r="C227" s="83">
        <v>1091.5150000000001</v>
      </c>
      <c r="D227" s="83">
        <v>69.52</v>
      </c>
      <c r="E227" s="83">
        <f t="shared" si="13"/>
        <v>75882.122799999997</v>
      </c>
      <c r="F227" s="84">
        <f t="shared" si="14"/>
        <v>2.397269876446105E-3</v>
      </c>
      <c r="G227" s="85">
        <v>4.0276179516685842E-2</v>
      </c>
      <c r="H227" s="84">
        <f t="shared" si="15"/>
        <v>9.655287189368661E-5</v>
      </c>
      <c r="I227" s="84">
        <v>4.4999999999999998E-2</v>
      </c>
      <c r="J227" s="84">
        <f t="shared" si="12"/>
        <v>1.0787714444007473E-4</v>
      </c>
    </row>
    <row r="228" spans="1:10">
      <c r="A228" s="29" t="s">
        <v>467</v>
      </c>
      <c r="B228" s="34" t="s">
        <v>468</v>
      </c>
      <c r="C228" s="83">
        <v>1333.7429999999999</v>
      </c>
      <c r="D228" s="83">
        <v>37.06</v>
      </c>
      <c r="E228" s="83">
        <f t="shared" si="13"/>
        <v>49428.515579999999</v>
      </c>
      <c r="F228" s="84">
        <f t="shared" si="14"/>
        <v>1.5615468711871747E-3</v>
      </c>
      <c r="G228" s="85">
        <v>5.612520237452779E-2</v>
      </c>
      <c r="H228" s="84">
        <f t="shared" si="15"/>
        <v>8.7642134162690857E-5</v>
      </c>
      <c r="I228" s="84">
        <v>7.3249999999999996E-2</v>
      </c>
      <c r="J228" s="84">
        <f t="shared" si="12"/>
        <v>1.1438330831446054E-4</v>
      </c>
    </row>
    <row r="229" spans="1:10">
      <c r="A229" s="29" t="s">
        <v>469</v>
      </c>
      <c r="B229" s="34" t="s">
        <v>470</v>
      </c>
      <c r="C229" s="83">
        <v>596.11500000000001</v>
      </c>
      <c r="D229" s="83">
        <v>29.89</v>
      </c>
      <c r="E229" s="83">
        <f t="shared" si="13"/>
        <v>17817.877349999999</v>
      </c>
      <c r="F229" s="84">
        <f t="shared" si="14"/>
        <v>5.6290281633194301E-4</v>
      </c>
      <c r="G229" s="85">
        <v>2.4088323854131816E-2</v>
      </c>
      <c r="H229" s="84">
        <f t="shared" si="15"/>
        <v>1.3559385338206724E-5</v>
      </c>
      <c r="I229" s="84">
        <v>0.15740000000000001</v>
      </c>
      <c r="J229" s="84">
        <f t="shared" si="12"/>
        <v>8.8600903290647832E-5</v>
      </c>
    </row>
    <row r="230" spans="1:10">
      <c r="A230" s="29" t="s">
        <v>471</v>
      </c>
      <c r="B230" s="34" t="s">
        <v>472</v>
      </c>
      <c r="C230" s="83">
        <v>256.54500000000002</v>
      </c>
      <c r="D230" s="83">
        <v>81.88</v>
      </c>
      <c r="E230" s="83">
        <f t="shared" si="13"/>
        <v>21005.904600000002</v>
      </c>
      <c r="F230" s="84">
        <f t="shared" si="14"/>
        <v>6.6361905106166418E-4</v>
      </c>
      <c r="G230" s="85">
        <v>5.3737176355642411E-3</v>
      </c>
      <c r="H230" s="84">
        <f t="shared" si="15"/>
        <v>3.5661013979864714E-6</v>
      </c>
      <c r="I230" s="84">
        <v>0.15</v>
      </c>
      <c r="J230" s="84">
        <f t="shared" si="12"/>
        <v>9.9542857659249627E-5</v>
      </c>
    </row>
    <row r="231" spans="1:10">
      <c r="A231" s="29" t="s">
        <v>473</v>
      </c>
      <c r="B231" s="34" t="s">
        <v>474</v>
      </c>
      <c r="C231" s="83">
        <v>153.31100000000001</v>
      </c>
      <c r="D231" s="83">
        <v>93.3</v>
      </c>
      <c r="E231" s="83">
        <f t="shared" si="13"/>
        <v>14303.916300000001</v>
      </c>
      <c r="F231" s="84">
        <f t="shared" si="14"/>
        <v>4.5188967303371786E-4</v>
      </c>
      <c r="G231" s="85">
        <v>3.4726688102893893E-2</v>
      </c>
      <c r="H231" s="84">
        <f t="shared" si="15"/>
        <v>1.5692631732360622E-5</v>
      </c>
      <c r="I231" s="84">
        <v>0.09</v>
      </c>
      <c r="J231" s="84">
        <f t="shared" si="12"/>
        <v>4.0670070573034608E-5</v>
      </c>
    </row>
    <row r="232" spans="1:10">
      <c r="A232" s="29" t="s">
        <v>475</v>
      </c>
      <c r="B232" s="34" t="s">
        <v>476</v>
      </c>
      <c r="C232" s="83">
        <v>175.82900000000001</v>
      </c>
      <c r="D232" s="83">
        <v>283.19</v>
      </c>
      <c r="E232" s="83">
        <f t="shared" si="13"/>
        <v>49793.014510000001</v>
      </c>
      <c r="F232" s="84">
        <f t="shared" si="14"/>
        <v>1.5730621302843522E-3</v>
      </c>
      <c r="G232" s="85">
        <v>4.2374377626328612E-2</v>
      </c>
      <c r="H232" s="84">
        <f t="shared" si="15"/>
        <v>6.665752873834607E-5</v>
      </c>
      <c r="I232" s="84">
        <v>3.7650000000000003E-2</v>
      </c>
      <c r="J232" s="84">
        <f t="shared" si="12"/>
        <v>5.9225789205205862E-5</v>
      </c>
    </row>
    <row r="233" spans="1:10">
      <c r="A233" s="29" t="s">
        <v>477</v>
      </c>
      <c r="B233" s="34" t="s">
        <v>478</v>
      </c>
      <c r="C233" s="83">
        <v>311.10000000000002</v>
      </c>
      <c r="D233" s="83">
        <v>258.68</v>
      </c>
      <c r="E233" s="83">
        <f t="shared" si="13"/>
        <v>80475.348000000013</v>
      </c>
      <c r="F233" s="84">
        <f t="shared" si="14"/>
        <v>2.5423791591254394E-3</v>
      </c>
      <c r="G233" s="85" t="s">
        <v>90</v>
      </c>
      <c r="H233" s="84" t="str">
        <f t="shared" si="15"/>
        <v/>
      </c>
      <c r="I233" s="84">
        <v>0.19714999999999999</v>
      </c>
      <c r="J233" s="84">
        <f t="shared" si="12"/>
        <v>5.0123005122158033E-4</v>
      </c>
    </row>
    <row r="234" spans="1:10">
      <c r="A234" s="29" t="s">
        <v>479</v>
      </c>
      <c r="B234" s="34" t="s">
        <v>480</v>
      </c>
      <c r="C234" s="83">
        <v>497.83</v>
      </c>
      <c r="D234" s="83">
        <v>80.930000000000007</v>
      </c>
      <c r="E234" s="83">
        <f t="shared" si="13"/>
        <v>40289.3819</v>
      </c>
      <c r="F234" s="84">
        <f t="shared" si="14"/>
        <v>1.2728231368021631E-3</v>
      </c>
      <c r="G234" s="85">
        <v>2.4712714691708881E-2</v>
      </c>
      <c r="H234" s="84">
        <f t="shared" si="15"/>
        <v>3.1454915032797797E-5</v>
      </c>
      <c r="I234" s="84">
        <v>0.14000000000000001</v>
      </c>
      <c r="J234" s="84">
        <f t="shared" si="12"/>
        <v>1.7819523915230286E-4</v>
      </c>
    </row>
    <row r="235" spans="1:10">
      <c r="A235" s="29" t="s">
        <v>481</v>
      </c>
      <c r="B235" s="34" t="s">
        <v>482</v>
      </c>
      <c r="C235" s="83">
        <v>704.88</v>
      </c>
      <c r="D235" s="83">
        <v>45.48</v>
      </c>
      <c r="E235" s="83">
        <f t="shared" si="13"/>
        <v>32057.942399999996</v>
      </c>
      <c r="F235" s="84">
        <f t="shared" si="14"/>
        <v>1.0127752991164914E-3</v>
      </c>
      <c r="G235" s="85">
        <v>1.4072119613016711E-2</v>
      </c>
      <c r="H235" s="84">
        <f t="shared" si="15"/>
        <v>1.4251895150276045E-5</v>
      </c>
      <c r="I235" s="84">
        <v>0.16414999999999999</v>
      </c>
      <c r="J235" s="84">
        <f t="shared" si="12"/>
        <v>1.6624706534997205E-4</v>
      </c>
    </row>
    <row r="236" spans="1:10">
      <c r="A236" s="29" t="s">
        <v>483</v>
      </c>
      <c r="B236" s="34" t="s">
        <v>484</v>
      </c>
      <c r="C236" s="83">
        <v>909</v>
      </c>
      <c r="D236" s="83">
        <v>160.12</v>
      </c>
      <c r="E236" s="83">
        <f t="shared" si="13"/>
        <v>145549.08000000002</v>
      </c>
      <c r="F236" s="84">
        <f t="shared" si="14"/>
        <v>4.5981900894902783E-3</v>
      </c>
      <c r="G236" s="85">
        <v>3.2475643267549335E-2</v>
      </c>
      <c r="H236" s="84">
        <f t="shared" si="15"/>
        <v>1.4932918102266704E-4</v>
      </c>
      <c r="I236" s="84">
        <v>0.1</v>
      </c>
      <c r="J236" s="84">
        <f t="shared" si="12"/>
        <v>4.5981900894902786E-4</v>
      </c>
    </row>
    <row r="237" spans="1:10">
      <c r="A237" s="29" t="s">
        <v>485</v>
      </c>
      <c r="B237" s="34" t="s">
        <v>486</v>
      </c>
      <c r="C237" s="83">
        <v>196.005</v>
      </c>
      <c r="D237" s="83">
        <v>84.71</v>
      </c>
      <c r="E237" s="83">
        <f t="shared" si="13"/>
        <v>16603.583549999999</v>
      </c>
      <c r="F237" s="84" t="str">
        <f t="shared" si="14"/>
        <v/>
      </c>
      <c r="G237" s="85">
        <v>9.4439853618226899E-4</v>
      </c>
      <c r="H237" s="84" t="str">
        <f t="shared" si="15"/>
        <v/>
      </c>
      <c r="I237" s="84" t="s">
        <v>90</v>
      </c>
      <c r="J237" s="84" t="str">
        <f t="shared" si="12"/>
        <v/>
      </c>
    </row>
    <row r="238" spans="1:10">
      <c r="A238" s="29" t="s">
        <v>487</v>
      </c>
      <c r="B238" s="34" t="s">
        <v>488</v>
      </c>
      <c r="C238" s="83">
        <v>386.37200000000001</v>
      </c>
      <c r="D238" s="83">
        <v>538.98</v>
      </c>
      <c r="E238" s="83">
        <f t="shared" si="13"/>
        <v>208246.78056000001</v>
      </c>
      <c r="F238" s="84" t="str">
        <f t="shared" si="14"/>
        <v/>
      </c>
      <c r="G238" s="85">
        <v>2.597498979553972E-3</v>
      </c>
      <c r="H238" s="84" t="str">
        <f t="shared" si="15"/>
        <v/>
      </c>
      <c r="I238" s="84" t="s">
        <v>90</v>
      </c>
      <c r="J238" s="84" t="str">
        <f t="shared" si="12"/>
        <v/>
      </c>
    </row>
    <row r="239" spans="1:10">
      <c r="A239" s="29" t="s">
        <v>489</v>
      </c>
      <c r="B239" s="34" t="s">
        <v>490</v>
      </c>
      <c r="C239" s="83">
        <v>1139.6769999999999</v>
      </c>
      <c r="D239" s="83">
        <v>94.91</v>
      </c>
      <c r="E239" s="83">
        <f t="shared" si="13"/>
        <v>108166.74406999999</v>
      </c>
      <c r="F239" s="84">
        <f t="shared" si="14"/>
        <v>3.4172064199588566E-3</v>
      </c>
      <c r="G239" s="85">
        <v>1.4013275734906756E-2</v>
      </c>
      <c r="H239" s="84">
        <f t="shared" si="15"/>
        <v>4.7886255805977029E-5</v>
      </c>
      <c r="I239" s="84">
        <v>6.3750000000000001E-2</v>
      </c>
      <c r="J239" s="84">
        <f t="shared" si="12"/>
        <v>2.1784690927237712E-4</v>
      </c>
    </row>
    <row r="240" spans="1:10">
      <c r="A240" s="29" t="s">
        <v>491</v>
      </c>
      <c r="B240" s="34" t="s">
        <v>492</v>
      </c>
      <c r="C240" s="83">
        <v>94.119</v>
      </c>
      <c r="D240" s="83">
        <v>122.82</v>
      </c>
      <c r="E240" s="83">
        <f t="shared" si="13"/>
        <v>11559.69558</v>
      </c>
      <c r="F240" s="84" t="str">
        <f t="shared" si="14"/>
        <v/>
      </c>
      <c r="G240" s="85">
        <v>7.3277967757694193E-3</v>
      </c>
      <c r="H240" s="84" t="str">
        <f t="shared" si="15"/>
        <v/>
      </c>
      <c r="I240" s="84" t="s">
        <v>90</v>
      </c>
      <c r="J240" s="84" t="str">
        <f t="shared" si="12"/>
        <v/>
      </c>
    </row>
    <row r="241" spans="1:10">
      <c r="A241" s="29" t="s">
        <v>493</v>
      </c>
      <c r="B241" s="34" t="s">
        <v>494</v>
      </c>
      <c r="C241" s="83">
        <v>681.47699999999998</v>
      </c>
      <c r="D241" s="83">
        <v>52.69</v>
      </c>
      <c r="E241" s="83">
        <f t="shared" si="13"/>
        <v>35907.023129999994</v>
      </c>
      <c r="F241" s="84">
        <f t="shared" si="14"/>
        <v>1.1343755515284889E-3</v>
      </c>
      <c r="G241" s="85">
        <v>2.8088821408236857E-2</v>
      </c>
      <c r="H241" s="84">
        <f t="shared" si="15"/>
        <v>3.1863272276753908E-5</v>
      </c>
      <c r="I241" s="84">
        <v>9.7699999999999995E-2</v>
      </c>
      <c r="J241" s="84">
        <f t="shared" si="12"/>
        <v>1.1082849138433336E-4</v>
      </c>
    </row>
    <row r="242" spans="1:10">
      <c r="A242" s="29" t="s">
        <v>495</v>
      </c>
      <c r="B242" s="34" t="s">
        <v>496</v>
      </c>
      <c r="C242" s="83">
        <v>48.561999999999998</v>
      </c>
      <c r="D242" s="83">
        <v>502.05</v>
      </c>
      <c r="E242" s="83">
        <f t="shared" si="13"/>
        <v>24380.552100000001</v>
      </c>
      <c r="F242" s="84">
        <f t="shared" si="14"/>
        <v>7.7023099728642315E-4</v>
      </c>
      <c r="G242" s="85" t="s">
        <v>90</v>
      </c>
      <c r="H242" s="84" t="str">
        <f t="shared" si="15"/>
        <v/>
      </c>
      <c r="I242" s="84">
        <v>6.2600000000000003E-2</v>
      </c>
      <c r="J242" s="84">
        <f t="shared" si="12"/>
        <v>4.8216460430130092E-5</v>
      </c>
    </row>
    <row r="243" spans="1:10">
      <c r="A243" s="29" t="s">
        <v>497</v>
      </c>
      <c r="B243" s="34" t="s">
        <v>498</v>
      </c>
      <c r="C243" s="83">
        <v>609.59699999999998</v>
      </c>
      <c r="D243" s="83">
        <v>243.93</v>
      </c>
      <c r="E243" s="83">
        <f t="shared" si="13"/>
        <v>148698.99621000001</v>
      </c>
      <c r="F243" s="84">
        <f t="shared" si="14"/>
        <v>4.6977023193136942E-3</v>
      </c>
      <c r="G243" s="85">
        <v>2.1317591112204323E-2</v>
      </c>
      <c r="H243" s="84">
        <f t="shared" si="15"/>
        <v>1.0014369720998324E-4</v>
      </c>
      <c r="I243" s="84">
        <v>0.11</v>
      </c>
      <c r="J243" s="84">
        <f t="shared" si="12"/>
        <v>5.1674725512450639E-4</v>
      </c>
    </row>
    <row r="244" spans="1:10">
      <c r="A244" s="29" t="s">
        <v>499</v>
      </c>
      <c r="B244" s="34" t="s">
        <v>500</v>
      </c>
      <c r="C244" s="83">
        <v>175.04499999999999</v>
      </c>
      <c r="D244" s="83">
        <v>153.26</v>
      </c>
      <c r="E244" s="83">
        <f t="shared" si="13"/>
        <v>26827.396699999998</v>
      </c>
      <c r="F244" s="84">
        <f t="shared" si="14"/>
        <v>8.4753177163857151E-4</v>
      </c>
      <c r="G244" s="85" t="s">
        <v>90</v>
      </c>
      <c r="H244" s="84" t="str">
        <f t="shared" si="15"/>
        <v/>
      </c>
      <c r="I244" s="84">
        <v>2.6099999999999998E-2</v>
      </c>
      <c r="J244" s="84">
        <f t="shared" si="12"/>
        <v>2.2120579239766715E-5</v>
      </c>
    </row>
    <row r="245" spans="1:10">
      <c r="A245" s="29" t="s">
        <v>501</v>
      </c>
      <c r="B245" s="34" t="s">
        <v>502</v>
      </c>
      <c r="C245" s="83">
        <v>924.92499999999995</v>
      </c>
      <c r="D245" s="83">
        <v>511.74</v>
      </c>
      <c r="E245" s="83">
        <f t="shared" si="13"/>
        <v>473321.11949999997</v>
      </c>
      <c r="F245" s="84">
        <f t="shared" si="14"/>
        <v>1.4953172365166054E-2</v>
      </c>
      <c r="G245" s="85">
        <v>1.4694962285535622E-2</v>
      </c>
      <c r="H245" s="84">
        <f t="shared" si="15"/>
        <v>2.1973630395522866E-4</v>
      </c>
      <c r="I245" s="84">
        <v>0.10613</v>
      </c>
      <c r="J245" s="84">
        <f t="shared" si="12"/>
        <v>1.5869801831150734E-3</v>
      </c>
    </row>
    <row r="246" spans="1:10">
      <c r="A246" s="29" t="s">
        <v>1308</v>
      </c>
      <c r="B246" s="34" t="s">
        <v>1309</v>
      </c>
      <c r="C246" s="83">
        <v>719.35799999999995</v>
      </c>
      <c r="D246" s="83">
        <v>124.45</v>
      </c>
      <c r="E246" s="83">
        <f t="shared" si="13"/>
        <v>89524.103099999993</v>
      </c>
      <c r="F246" s="84">
        <f t="shared" si="14"/>
        <v>2.828247651204156E-3</v>
      </c>
      <c r="G246" s="85">
        <v>3.0212936922458817E-2</v>
      </c>
      <c r="H246" s="84">
        <f t="shared" si="15"/>
        <v>8.5449667886923475E-5</v>
      </c>
      <c r="I246" s="84">
        <v>8.5749999999999993E-2</v>
      </c>
      <c r="J246" s="84">
        <f t="shared" si="12"/>
        <v>2.4252223609075635E-4</v>
      </c>
    </row>
    <row r="247" spans="1:10">
      <c r="A247" s="29" t="s">
        <v>503</v>
      </c>
      <c r="B247" s="34" t="s">
        <v>504</v>
      </c>
      <c r="C247" s="83">
        <v>585.24699999999996</v>
      </c>
      <c r="D247" s="83">
        <v>22.85</v>
      </c>
      <c r="E247" s="83">
        <f t="shared" si="13"/>
        <v>13372.89395</v>
      </c>
      <c r="F247" s="84">
        <f t="shared" si="14"/>
        <v>4.2247679221809226E-4</v>
      </c>
      <c r="G247" s="85">
        <v>1.9256017505470457E-2</v>
      </c>
      <c r="H247" s="84">
        <f t="shared" si="15"/>
        <v>8.1352205066065901E-6</v>
      </c>
      <c r="I247" s="84">
        <v>0.08</v>
      </c>
      <c r="J247" s="84">
        <f t="shared" si="12"/>
        <v>3.3798143377447383E-5</v>
      </c>
    </row>
    <row r="248" spans="1:10">
      <c r="A248" s="29" t="s">
        <v>505</v>
      </c>
      <c r="B248" s="34" t="s">
        <v>506</v>
      </c>
      <c r="C248" s="83">
        <v>24.059000000000001</v>
      </c>
      <c r="D248" s="83">
        <v>320.89</v>
      </c>
      <c r="E248" s="83">
        <f t="shared" si="13"/>
        <v>7720.2925100000002</v>
      </c>
      <c r="F248" s="84" t="str">
        <f t="shared" si="14"/>
        <v/>
      </c>
      <c r="G248" s="85" t="s">
        <v>90</v>
      </c>
      <c r="H248" s="84" t="str">
        <f t="shared" si="15"/>
        <v/>
      </c>
      <c r="I248" s="84" t="s">
        <v>90</v>
      </c>
      <c r="J248" s="84" t="str">
        <f t="shared" si="12"/>
        <v/>
      </c>
    </row>
    <row r="249" spans="1:10">
      <c r="A249" s="29" t="s">
        <v>507</v>
      </c>
      <c r="B249" s="34" t="s">
        <v>508</v>
      </c>
      <c r="C249" s="83">
        <v>402.38099999999997</v>
      </c>
      <c r="D249" s="83">
        <v>46.39</v>
      </c>
      <c r="E249" s="83">
        <f t="shared" si="13"/>
        <v>18666.454589999998</v>
      </c>
      <c r="F249" s="84">
        <f t="shared" si="14"/>
        <v>5.8971108921923999E-4</v>
      </c>
      <c r="G249" s="85">
        <v>3.8801465833153699E-2</v>
      </c>
      <c r="H249" s="84">
        <f t="shared" si="15"/>
        <v>2.2881654679772193E-5</v>
      </c>
      <c r="I249" s="84">
        <v>8.6599999999999996E-2</v>
      </c>
      <c r="J249" s="84">
        <f t="shared" si="12"/>
        <v>5.1068980326386183E-5</v>
      </c>
    </row>
    <row r="250" spans="1:10">
      <c r="A250" s="29" t="s">
        <v>509</v>
      </c>
      <c r="B250" s="34" t="s">
        <v>510</v>
      </c>
      <c r="C250" s="83">
        <v>388.88299999999998</v>
      </c>
      <c r="D250" s="83">
        <v>16.46</v>
      </c>
      <c r="E250" s="83">
        <f t="shared" si="13"/>
        <v>6401.0141800000001</v>
      </c>
      <c r="F250" s="84">
        <f t="shared" si="14"/>
        <v>2.0222099627948686E-4</v>
      </c>
      <c r="G250" s="85">
        <v>2.1871202916160386E-2</v>
      </c>
      <c r="H250" s="84">
        <f t="shared" si="15"/>
        <v>4.4228164435367714E-6</v>
      </c>
      <c r="I250" s="84">
        <v>3.1E-2</v>
      </c>
      <c r="J250" s="84">
        <f t="shared" si="12"/>
        <v>6.2688508846640928E-6</v>
      </c>
    </row>
    <row r="251" spans="1:10">
      <c r="A251" s="29" t="s">
        <v>511</v>
      </c>
      <c r="B251" s="34" t="s">
        <v>512</v>
      </c>
      <c r="C251" s="83">
        <v>132.87299999999999</v>
      </c>
      <c r="D251" s="83">
        <v>226.01</v>
      </c>
      <c r="E251" s="83">
        <f t="shared" si="13"/>
        <v>30030.626729999996</v>
      </c>
      <c r="F251" s="84" t="str">
        <f t="shared" si="14"/>
        <v/>
      </c>
      <c r="G251" s="85">
        <v>7.6102827308526175E-3</v>
      </c>
      <c r="H251" s="84" t="str">
        <f t="shared" si="15"/>
        <v/>
      </c>
      <c r="I251" s="84">
        <v>0.22789999999999999</v>
      </c>
      <c r="J251" s="84" t="str">
        <f t="shared" si="12"/>
        <v/>
      </c>
    </row>
    <row r="252" spans="1:10">
      <c r="A252" s="29" t="s">
        <v>513</v>
      </c>
      <c r="B252" s="34" t="s">
        <v>514</v>
      </c>
      <c r="C252" s="83">
        <v>730.00099999999998</v>
      </c>
      <c r="D252" s="83">
        <v>32.770000000000003</v>
      </c>
      <c r="E252" s="83">
        <f t="shared" si="13"/>
        <v>23922.13277</v>
      </c>
      <c r="F252" s="84" t="str">
        <f t="shared" si="14"/>
        <v/>
      </c>
      <c r="G252" s="85">
        <v>4.2722001830942935E-3</v>
      </c>
      <c r="H252" s="84" t="str">
        <f t="shared" si="15"/>
        <v/>
      </c>
      <c r="I252" s="84" t="s">
        <v>90</v>
      </c>
      <c r="J252" s="84" t="str">
        <f t="shared" si="12"/>
        <v/>
      </c>
    </row>
    <row r="253" spans="1:10">
      <c r="A253" s="29" t="s">
        <v>515</v>
      </c>
      <c r="B253" s="34" t="s">
        <v>516</v>
      </c>
      <c r="C253" s="83">
        <v>55</v>
      </c>
      <c r="D253" s="83">
        <v>109.52</v>
      </c>
      <c r="E253" s="83">
        <f t="shared" si="13"/>
        <v>6023.5999999999995</v>
      </c>
      <c r="F253" s="84" t="str">
        <f t="shared" si="14"/>
        <v/>
      </c>
      <c r="G253" s="85">
        <v>6.3915266617969327E-2</v>
      </c>
      <c r="H253" s="84" t="str">
        <f t="shared" si="15"/>
        <v/>
      </c>
      <c r="I253" s="84">
        <v>-1.3600000000000001E-2</v>
      </c>
      <c r="J253" s="84" t="str">
        <f t="shared" si="12"/>
        <v/>
      </c>
    </row>
    <row r="254" spans="1:10">
      <c r="A254" s="29" t="s">
        <v>517</v>
      </c>
      <c r="B254" s="34" t="s">
        <v>518</v>
      </c>
      <c r="C254" s="83">
        <v>1216.499</v>
      </c>
      <c r="D254" s="83">
        <v>34.659999999999997</v>
      </c>
      <c r="E254" s="83">
        <f t="shared" si="13"/>
        <v>42163.855339999995</v>
      </c>
      <c r="F254" s="84">
        <f t="shared" si="14"/>
        <v>1.3320415474909887E-3</v>
      </c>
      <c r="G254" s="85">
        <v>5.4818234275822275E-2</v>
      </c>
      <c r="H254" s="84">
        <f t="shared" si="15"/>
        <v>7.3020165615489857E-5</v>
      </c>
      <c r="I254" s="84">
        <v>3.5000000000000003E-2</v>
      </c>
      <c r="J254" s="84">
        <f t="shared" si="12"/>
        <v>4.6621454162184612E-5</v>
      </c>
    </row>
    <row r="255" spans="1:10">
      <c r="A255" s="29" t="s">
        <v>519</v>
      </c>
      <c r="B255" s="34" t="s">
        <v>520</v>
      </c>
      <c r="C255" s="83">
        <v>319.38200000000001</v>
      </c>
      <c r="D255" s="83">
        <v>122</v>
      </c>
      <c r="E255" s="83">
        <f t="shared" si="13"/>
        <v>38964.603999999999</v>
      </c>
      <c r="F255" s="84" t="str">
        <f t="shared" si="14"/>
        <v/>
      </c>
      <c r="G255" s="85">
        <v>9.2459016393442606E-3</v>
      </c>
      <c r="H255" s="84" t="str">
        <f t="shared" si="15"/>
        <v/>
      </c>
      <c r="I255" s="84">
        <v>0.27949999999999997</v>
      </c>
      <c r="J255" s="84" t="str">
        <f t="shared" si="12"/>
        <v/>
      </c>
    </row>
    <row r="256" spans="1:10">
      <c r="A256" s="29" t="s">
        <v>521</v>
      </c>
      <c r="B256" s="34" t="s">
        <v>522</v>
      </c>
      <c r="C256" s="83">
        <v>315.435</v>
      </c>
      <c r="D256" s="83">
        <v>80.760000000000005</v>
      </c>
      <c r="E256" s="83">
        <f t="shared" si="13"/>
        <v>25474.530600000002</v>
      </c>
      <c r="F256" s="84">
        <f t="shared" si="14"/>
        <v>8.0479199277203831E-4</v>
      </c>
      <c r="G256" s="85">
        <v>4.1357107478949974E-2</v>
      </c>
      <c r="H256" s="84">
        <f t="shared" si="15"/>
        <v>3.3283868943271517E-5</v>
      </c>
      <c r="I256" s="84">
        <v>6.3899999999999998E-2</v>
      </c>
      <c r="J256" s="84">
        <f t="shared" si="12"/>
        <v>5.142620833813325E-5</v>
      </c>
    </row>
    <row r="257" spans="1:10">
      <c r="A257" s="29" t="s">
        <v>523</v>
      </c>
      <c r="B257" s="34" t="s">
        <v>524</v>
      </c>
      <c r="C257" s="83">
        <v>452</v>
      </c>
      <c r="D257" s="83">
        <v>617.78</v>
      </c>
      <c r="E257" s="83">
        <f t="shared" si="13"/>
        <v>279236.56</v>
      </c>
      <c r="F257" s="84">
        <f t="shared" si="14"/>
        <v>8.8216482221348102E-3</v>
      </c>
      <c r="G257" s="85" t="s">
        <v>90</v>
      </c>
      <c r="H257" s="84" t="str">
        <f t="shared" si="15"/>
        <v/>
      </c>
      <c r="I257" s="84">
        <v>0.1691</v>
      </c>
      <c r="J257" s="84">
        <f t="shared" si="12"/>
        <v>1.4917407143629964E-3</v>
      </c>
    </row>
    <row r="258" spans="1:10">
      <c r="A258" s="29" t="s">
        <v>525</v>
      </c>
      <c r="B258" s="34" t="s">
        <v>526</v>
      </c>
      <c r="C258" s="83">
        <v>669.62900000000002</v>
      </c>
      <c r="D258" s="83">
        <v>16.68</v>
      </c>
      <c r="E258" s="83">
        <f t="shared" si="13"/>
        <v>11169.41172</v>
      </c>
      <c r="F258" s="84">
        <f t="shared" si="14"/>
        <v>3.5286432780159488E-4</v>
      </c>
      <c r="G258" s="85">
        <v>4.1366906474820143E-2</v>
      </c>
      <c r="H258" s="84">
        <f t="shared" si="15"/>
        <v>1.4596905646468853E-5</v>
      </c>
      <c r="I258" s="84">
        <v>0.1014</v>
      </c>
      <c r="J258" s="84">
        <f t="shared" si="12"/>
        <v>3.5780442839081722E-5</v>
      </c>
    </row>
    <row r="259" spans="1:10">
      <c r="A259" s="29" t="s">
        <v>569</v>
      </c>
      <c r="B259" s="34" t="s">
        <v>570</v>
      </c>
      <c r="C259" s="83">
        <v>145.38900000000001</v>
      </c>
      <c r="D259" s="83">
        <v>126.33</v>
      </c>
      <c r="E259" s="83">
        <f t="shared" si="13"/>
        <v>18366.99237</v>
      </c>
      <c r="F259" s="84" t="str">
        <f t="shared" si="14"/>
        <v/>
      </c>
      <c r="G259" s="85">
        <v>1.0923771075753977E-2</v>
      </c>
      <c r="H259" s="84" t="str">
        <f t="shared" si="15"/>
        <v/>
      </c>
      <c r="I259" s="84">
        <v>-0.16</v>
      </c>
      <c r="J259" s="84" t="str">
        <f t="shared" si="12"/>
        <v/>
      </c>
    </row>
    <row r="260" spans="1:10">
      <c r="A260" s="29" t="s">
        <v>527</v>
      </c>
      <c r="B260" s="34" t="s">
        <v>528</v>
      </c>
      <c r="C260" s="83">
        <v>535.178</v>
      </c>
      <c r="D260" s="83">
        <v>314.26</v>
      </c>
      <c r="E260" s="83">
        <f t="shared" si="13"/>
        <v>168185.03828000001</v>
      </c>
      <c r="F260" s="84">
        <f t="shared" si="14"/>
        <v>5.3133058362144162E-3</v>
      </c>
      <c r="G260" s="85">
        <v>2.8638706803283905E-2</v>
      </c>
      <c r="H260" s="84">
        <f t="shared" si="15"/>
        <v>1.5216620799952187E-4</v>
      </c>
      <c r="I260" s="84">
        <v>4.233E-2</v>
      </c>
      <c r="J260" s="84">
        <f t="shared" si="12"/>
        <v>2.2491223604695622E-4</v>
      </c>
    </row>
    <row r="261" spans="1:10">
      <c r="A261" s="29" t="s">
        <v>529</v>
      </c>
      <c r="B261" s="34" t="s">
        <v>530</v>
      </c>
      <c r="C261" s="83">
        <v>15461.896000000001</v>
      </c>
      <c r="D261" s="83">
        <v>184.4</v>
      </c>
      <c r="E261" s="83">
        <f t="shared" si="13"/>
        <v>2851173.6224000002</v>
      </c>
      <c r="F261" s="84">
        <f t="shared" si="14"/>
        <v>9.007434670102879E-2</v>
      </c>
      <c r="G261" s="85">
        <v>5.2060737527114967E-3</v>
      </c>
      <c r="H261" s="84">
        <f t="shared" si="15"/>
        <v>4.6893369215286138E-4</v>
      </c>
      <c r="I261" s="84">
        <v>0.13</v>
      </c>
      <c r="J261" s="84">
        <f t="shared" si="12"/>
        <v>1.1709665071133742E-2</v>
      </c>
    </row>
    <row r="262" spans="1:10">
      <c r="A262" s="29" t="s">
        <v>531</v>
      </c>
      <c r="B262" s="34" t="s">
        <v>532</v>
      </c>
      <c r="C262" s="83">
        <v>213.91499999999999</v>
      </c>
      <c r="D262" s="83">
        <v>253.81</v>
      </c>
      <c r="E262" s="83">
        <f t="shared" si="13"/>
        <v>54293.766149999996</v>
      </c>
      <c r="F262" s="84">
        <f t="shared" si="14"/>
        <v>1.7152499859980749E-3</v>
      </c>
      <c r="G262" s="85" t="s">
        <v>90</v>
      </c>
      <c r="H262" s="84" t="str">
        <f t="shared" si="15"/>
        <v/>
      </c>
      <c r="I262" s="84">
        <v>0.12480000000000001</v>
      </c>
      <c r="J262" s="84">
        <f t="shared" si="12"/>
        <v>2.1406319825255975E-4</v>
      </c>
    </row>
    <row r="263" spans="1:10">
      <c r="A263" s="29" t="s">
        <v>533</v>
      </c>
      <c r="B263" s="34" t="s">
        <v>534</v>
      </c>
      <c r="C263" s="83">
        <v>101.371</v>
      </c>
      <c r="D263" s="83">
        <v>604.57000000000005</v>
      </c>
      <c r="E263" s="83">
        <f t="shared" si="13"/>
        <v>61285.865470000004</v>
      </c>
      <c r="F263" s="84">
        <f t="shared" si="14"/>
        <v>1.9361445584540173E-3</v>
      </c>
      <c r="G263" s="85">
        <v>8.931968175728203E-3</v>
      </c>
      <c r="H263" s="84">
        <f t="shared" si="15"/>
        <v>1.7293581579720616E-5</v>
      </c>
      <c r="I263" s="84">
        <v>0.11345000000000001</v>
      </c>
      <c r="J263" s="84">
        <f t="shared" si="12"/>
        <v>2.1965560015660827E-4</v>
      </c>
    </row>
    <row r="264" spans="1:10">
      <c r="A264" s="29" t="s">
        <v>535</v>
      </c>
      <c r="B264" s="34" t="s">
        <v>536</v>
      </c>
      <c r="C264" s="83">
        <v>3962.413</v>
      </c>
      <c r="D264" s="83">
        <v>46.54</v>
      </c>
      <c r="E264" s="83">
        <f t="shared" si="13"/>
        <v>184410.70102000001</v>
      </c>
      <c r="F264" s="84">
        <f t="shared" si="14"/>
        <v>5.825907369707309E-3</v>
      </c>
      <c r="G264" s="85">
        <v>2.6643747314138377E-2</v>
      </c>
      <c r="H264" s="84">
        <f t="shared" si="15"/>
        <v>1.552240038340581E-4</v>
      </c>
      <c r="I264" s="84">
        <v>9.6449999999999994E-2</v>
      </c>
      <c r="J264" s="84">
        <f t="shared" si="12"/>
        <v>5.6190876580826995E-4</v>
      </c>
    </row>
    <row r="265" spans="1:10">
      <c r="A265" s="29" t="s">
        <v>537</v>
      </c>
      <c r="B265" s="34" t="s">
        <v>538</v>
      </c>
      <c r="C265" s="83">
        <v>200.95500000000001</v>
      </c>
      <c r="D265" s="83">
        <v>61.79</v>
      </c>
      <c r="E265" s="83">
        <f t="shared" si="13"/>
        <v>12417.009450000001</v>
      </c>
      <c r="F265" s="84">
        <f t="shared" si="14"/>
        <v>3.9227846575256355E-4</v>
      </c>
      <c r="G265" s="85">
        <v>2.6541511571451688E-2</v>
      </c>
      <c r="H265" s="84">
        <f t="shared" si="15"/>
        <v>1.0411663438002981E-5</v>
      </c>
      <c r="I265" s="84">
        <v>0.1208</v>
      </c>
      <c r="J265" s="84">
        <f t="shared" si="12"/>
        <v>4.7387238662909679E-5</v>
      </c>
    </row>
    <row r="266" spans="1:10">
      <c r="A266" s="29" t="s">
        <v>539</v>
      </c>
      <c r="B266" s="34" t="s">
        <v>540</v>
      </c>
      <c r="C266" s="83">
        <v>135.23400000000001</v>
      </c>
      <c r="D266" s="83">
        <v>594.04</v>
      </c>
      <c r="E266" s="83">
        <f t="shared" si="13"/>
        <v>80334.405360000004</v>
      </c>
      <c r="F266" s="84">
        <f t="shared" si="14"/>
        <v>2.5379264958009123E-3</v>
      </c>
      <c r="G266" s="85">
        <v>9.7636522793077916E-3</v>
      </c>
      <c r="H266" s="84">
        <f t="shared" si="15"/>
        <v>2.4779431815442213E-5</v>
      </c>
      <c r="I266" s="84">
        <v>9.06E-2</v>
      </c>
      <c r="J266" s="84">
        <f t="shared" si="12"/>
        <v>2.2993614051956265E-4</v>
      </c>
    </row>
    <row r="267" spans="1:10">
      <c r="A267" s="29" t="s">
        <v>541</v>
      </c>
      <c r="B267" s="34" t="s">
        <v>542</v>
      </c>
      <c r="C267" s="83">
        <v>293.69099999999997</v>
      </c>
      <c r="D267" s="83">
        <v>239.73</v>
      </c>
      <c r="E267" s="83">
        <f t="shared" si="13"/>
        <v>70406.543429999991</v>
      </c>
      <c r="F267" s="84">
        <f t="shared" si="14"/>
        <v>2.2242852392821222E-3</v>
      </c>
      <c r="G267" s="85">
        <v>8.6764276477704089E-3</v>
      </c>
      <c r="H267" s="84">
        <f t="shared" si="15"/>
        <v>1.9298849946635026E-5</v>
      </c>
      <c r="I267" s="84">
        <v>0.17449999999999999</v>
      </c>
      <c r="J267" s="84">
        <f t="shared" si="12"/>
        <v>3.881377742547303E-4</v>
      </c>
    </row>
    <row r="268" spans="1:10">
      <c r="A268" s="29" t="s">
        <v>577</v>
      </c>
      <c r="B268" s="34" t="s">
        <v>1291</v>
      </c>
      <c r="C268" s="83">
        <v>600.18600000000004</v>
      </c>
      <c r="D268" s="83">
        <v>141.87</v>
      </c>
      <c r="E268" s="83">
        <f t="shared" si="13"/>
        <v>85148.387820000004</v>
      </c>
      <c r="F268" s="84">
        <f t="shared" si="14"/>
        <v>2.6900099472287882E-3</v>
      </c>
      <c r="G268" s="85" t="s">
        <v>90</v>
      </c>
      <c r="H268" s="84" t="str">
        <f t="shared" si="15"/>
        <v/>
      </c>
      <c r="I268" s="84">
        <v>0.152</v>
      </c>
      <c r="J268" s="84">
        <f t="shared" si="12"/>
        <v>4.0888151197877577E-4</v>
      </c>
    </row>
    <row r="269" spans="1:10">
      <c r="A269" s="29" t="s">
        <v>543</v>
      </c>
      <c r="B269" s="34" t="s">
        <v>544</v>
      </c>
      <c r="C269" s="83">
        <v>251.441</v>
      </c>
      <c r="D269" s="83">
        <v>68.16</v>
      </c>
      <c r="E269" s="83">
        <f t="shared" si="13"/>
        <v>17138.218559999998</v>
      </c>
      <c r="F269" s="84">
        <f t="shared" si="14"/>
        <v>5.4143101924182774E-4</v>
      </c>
      <c r="G269" s="85">
        <v>2.4647887323943664E-2</v>
      </c>
      <c r="H269" s="84">
        <f t="shared" si="15"/>
        <v>1.3345130755960543E-5</v>
      </c>
      <c r="I269" s="84">
        <v>5.4000000000000006E-2</v>
      </c>
      <c r="J269" s="84">
        <f t="shared" si="12"/>
        <v>2.9237275039058702E-5</v>
      </c>
    </row>
    <row r="270" spans="1:10">
      <c r="A270" s="29" t="s">
        <v>545</v>
      </c>
      <c r="B270" s="34" t="s">
        <v>546</v>
      </c>
      <c r="C270" s="83">
        <v>523.29999999999995</v>
      </c>
      <c r="D270" s="83">
        <v>100.39</v>
      </c>
      <c r="E270" s="83">
        <f t="shared" si="13"/>
        <v>52534.086999999992</v>
      </c>
      <c r="F270" s="84">
        <f t="shared" si="14"/>
        <v>1.6596581593220651E-3</v>
      </c>
      <c r="G270" s="85">
        <v>1.0758043629843611E-2</v>
      </c>
      <c r="H270" s="84">
        <f t="shared" si="15"/>
        <v>1.7854674888612716E-5</v>
      </c>
      <c r="I270" s="84">
        <v>0.12</v>
      </c>
      <c r="J270" s="84">
        <f t="shared" si="12"/>
        <v>1.9915897911864782E-4</v>
      </c>
    </row>
    <row r="271" spans="1:10">
      <c r="A271" s="29" t="s">
        <v>547</v>
      </c>
      <c r="B271" s="34" t="s">
        <v>548</v>
      </c>
      <c r="C271" s="83">
        <v>443.72800000000001</v>
      </c>
      <c r="D271" s="83">
        <v>693.86</v>
      </c>
      <c r="E271" s="83">
        <f t="shared" si="13"/>
        <v>307885.11008000001</v>
      </c>
      <c r="F271" s="84">
        <f t="shared" si="14"/>
        <v>9.7267139158246779E-3</v>
      </c>
      <c r="G271" s="85">
        <v>5.8801487331738393E-3</v>
      </c>
      <c r="H271" s="84">
        <f t="shared" si="15"/>
        <v>5.7194524510080837E-5</v>
      </c>
      <c r="I271" s="84">
        <v>7.6399999999999996E-2</v>
      </c>
      <c r="J271" s="84">
        <f t="shared" si="12"/>
        <v>7.4312094316900535E-4</v>
      </c>
    </row>
    <row r="272" spans="1:10">
      <c r="A272" s="29" t="s">
        <v>549</v>
      </c>
      <c r="B272" s="34" t="s">
        <v>550</v>
      </c>
      <c r="C272" s="83">
        <v>379.89499999999998</v>
      </c>
      <c r="D272" s="83">
        <v>335.48</v>
      </c>
      <c r="E272" s="83">
        <f t="shared" si="13"/>
        <v>127447.1746</v>
      </c>
      <c r="F272" s="84">
        <f t="shared" si="14"/>
        <v>4.0263142520671176E-3</v>
      </c>
      <c r="G272" s="85">
        <v>9.5385715989030635E-3</v>
      </c>
      <c r="H272" s="84">
        <f t="shared" si="15"/>
        <v>3.8405286773026037E-5</v>
      </c>
      <c r="I272" s="84">
        <v>8.1950000000000009E-2</v>
      </c>
      <c r="J272" s="84">
        <f t="shared" si="12"/>
        <v>3.2995645295690035E-4</v>
      </c>
    </row>
    <row r="273" spans="1:10">
      <c r="A273" s="29" t="s">
        <v>551</v>
      </c>
      <c r="B273" s="34" t="s">
        <v>552</v>
      </c>
      <c r="C273" s="83">
        <v>286.351</v>
      </c>
      <c r="D273" s="83">
        <v>54.76</v>
      </c>
      <c r="E273" s="83">
        <f t="shared" si="13"/>
        <v>15680.580759999999</v>
      </c>
      <c r="F273" s="84" t="str">
        <f t="shared" si="14"/>
        <v/>
      </c>
      <c r="G273" s="85">
        <v>3.5792549306062821E-2</v>
      </c>
      <c r="H273" s="84" t="str">
        <f t="shared" si="15"/>
        <v/>
      </c>
      <c r="I273" s="84">
        <v>0.46710000000000002</v>
      </c>
      <c r="J273" s="84" t="str">
        <f t="shared" si="12"/>
        <v/>
      </c>
    </row>
    <row r="274" spans="1:10">
      <c r="A274" s="29" t="s">
        <v>553</v>
      </c>
      <c r="B274" s="34" t="s">
        <v>554</v>
      </c>
      <c r="C274" s="83">
        <v>144.37200000000001</v>
      </c>
      <c r="D274" s="83">
        <v>102.08</v>
      </c>
      <c r="E274" s="83">
        <f t="shared" si="13"/>
        <v>14737.493760000001</v>
      </c>
      <c r="F274" s="84">
        <f t="shared" si="14"/>
        <v>4.6558726273746845E-4</v>
      </c>
      <c r="G274" s="85">
        <v>1.4106583072100312E-2</v>
      </c>
      <c r="H274" s="84">
        <f t="shared" si="15"/>
        <v>6.5678453991178927E-6</v>
      </c>
      <c r="I274" s="84">
        <v>0.15460000000000002</v>
      </c>
      <c r="J274" s="84">
        <f t="shared" si="12"/>
        <v>7.1979790819212629E-5</v>
      </c>
    </row>
    <row r="275" spans="1:10">
      <c r="A275" s="29" t="s">
        <v>555</v>
      </c>
      <c r="B275" s="34" t="s">
        <v>556</v>
      </c>
      <c r="C275" s="83">
        <v>832.06200000000001</v>
      </c>
      <c r="D275" s="83">
        <v>164.3</v>
      </c>
      <c r="E275" s="83">
        <f t="shared" si="13"/>
        <v>136707.78660000002</v>
      </c>
      <c r="F275" s="84">
        <f t="shared" si="14"/>
        <v>4.3188757325039219E-3</v>
      </c>
      <c r="G275" s="85">
        <v>7.790626902008521E-3</v>
      </c>
      <c r="H275" s="84">
        <f t="shared" si="15"/>
        <v>3.3646749468076808E-5</v>
      </c>
      <c r="I275" s="84">
        <v>5.5E-2</v>
      </c>
      <c r="J275" s="84">
        <f t="shared" ref="J275:J338" si="16">IFERROR($I275*$F275,"")</f>
        <v>2.375381652877157E-4</v>
      </c>
    </row>
    <row r="276" spans="1:10">
      <c r="A276" s="29" t="s">
        <v>557</v>
      </c>
      <c r="B276" s="34" t="s">
        <v>558</v>
      </c>
      <c r="C276" s="83">
        <v>653.54100000000005</v>
      </c>
      <c r="D276" s="83">
        <v>14.23</v>
      </c>
      <c r="E276" s="83">
        <f t="shared" ref="E276:E339" si="17">IFERROR(C276*D276,"")</f>
        <v>9299.8884300000009</v>
      </c>
      <c r="F276" s="84" t="str">
        <f t="shared" ref="F276:F339" si="18">IF(AND(ISNUMBER($I276)), IF(AND($I276&lt;=20%,$I276&gt;0%), $E276/SUMIFS($E$19:$E$521,$I$19:$I$521, "&gt;"&amp;0%,$I$19:$I$521, "&lt;="&amp;20%),""),"")</f>
        <v/>
      </c>
      <c r="G276" s="85" t="s">
        <v>90</v>
      </c>
      <c r="H276" s="84" t="str">
        <f t="shared" ref="H276:H339" si="19">IFERROR($G276*$F276,"")</f>
        <v/>
      </c>
      <c r="I276" s="84">
        <v>-7.46E-2</v>
      </c>
      <c r="J276" s="84" t="str">
        <f t="shared" si="16"/>
        <v/>
      </c>
    </row>
    <row r="277" spans="1:10">
      <c r="A277" s="29" t="s">
        <v>559</v>
      </c>
      <c r="B277" s="34" t="s">
        <v>560</v>
      </c>
      <c r="C277" s="83">
        <v>246.46799999999999</v>
      </c>
      <c r="D277" s="83">
        <v>109.19</v>
      </c>
      <c r="E277" s="83">
        <f t="shared" si="17"/>
        <v>26911.840919999999</v>
      </c>
      <c r="F277" s="84">
        <f t="shared" si="18"/>
        <v>8.5019953549883597E-4</v>
      </c>
      <c r="G277" s="85">
        <v>1.83386757029032E-2</v>
      </c>
      <c r="H277" s="84">
        <f t="shared" si="19"/>
        <v>1.5591533564272091E-5</v>
      </c>
      <c r="I277" s="84">
        <v>0.1366</v>
      </c>
      <c r="J277" s="84">
        <f t="shared" si="16"/>
        <v>1.16137256549141E-4</v>
      </c>
    </row>
    <row r="278" spans="1:10">
      <c r="A278" s="29" t="s">
        <v>561</v>
      </c>
      <c r="B278" s="34" t="s">
        <v>562</v>
      </c>
      <c r="C278" s="83">
        <v>156.90799999999999</v>
      </c>
      <c r="D278" s="83">
        <v>110.8</v>
      </c>
      <c r="E278" s="83">
        <f t="shared" si="17"/>
        <v>17385.4064</v>
      </c>
      <c r="F278" s="84">
        <f t="shared" si="18"/>
        <v>5.4924018351913218E-4</v>
      </c>
      <c r="G278" s="85">
        <v>2.9241877256317692E-2</v>
      </c>
      <c r="H278" s="84">
        <f t="shared" si="19"/>
        <v>1.6060814030703866E-5</v>
      </c>
      <c r="I278" s="84">
        <v>0.1515</v>
      </c>
      <c r="J278" s="84">
        <f t="shared" si="16"/>
        <v>8.3209887803148525E-5</v>
      </c>
    </row>
    <row r="279" spans="1:10">
      <c r="A279" s="29" t="s">
        <v>563</v>
      </c>
      <c r="B279" s="34" t="s">
        <v>564</v>
      </c>
      <c r="C279" s="83">
        <v>610.70399999999995</v>
      </c>
      <c r="D279" s="83">
        <v>14.59</v>
      </c>
      <c r="E279" s="83">
        <f t="shared" si="17"/>
        <v>8910.1713599999985</v>
      </c>
      <c r="F279" s="84" t="str">
        <f t="shared" si="18"/>
        <v/>
      </c>
      <c r="G279" s="85">
        <v>1.3708019191226868E-2</v>
      </c>
      <c r="H279" s="84" t="str">
        <f t="shared" si="19"/>
        <v/>
      </c>
      <c r="I279" s="84">
        <v>-0.21355000000000002</v>
      </c>
      <c r="J279" s="84" t="str">
        <f t="shared" si="16"/>
        <v/>
      </c>
    </row>
    <row r="280" spans="1:10">
      <c r="A280" s="29" t="s">
        <v>565</v>
      </c>
      <c r="B280" s="34" t="s">
        <v>566</v>
      </c>
      <c r="C280" s="83">
        <v>331.81700000000001</v>
      </c>
      <c r="D280" s="83">
        <v>142.91</v>
      </c>
      <c r="E280" s="83">
        <f t="shared" si="17"/>
        <v>47419.967470000003</v>
      </c>
      <c r="F280" s="84">
        <f t="shared" si="18"/>
        <v>1.4980927702497699E-3</v>
      </c>
      <c r="G280" s="85">
        <v>8.3968931495346719E-3</v>
      </c>
      <c r="H280" s="84">
        <f t="shared" si="19"/>
        <v>1.2579324919877712E-5</v>
      </c>
      <c r="I280" s="84">
        <v>4.4900000000000002E-2</v>
      </c>
      <c r="J280" s="84">
        <f t="shared" si="16"/>
        <v>6.7264365384214677E-5</v>
      </c>
    </row>
    <row r="281" spans="1:10">
      <c r="A281" s="29" t="s">
        <v>567</v>
      </c>
      <c r="B281" s="34" t="s">
        <v>568</v>
      </c>
      <c r="C281" s="83">
        <v>268.96600000000001</v>
      </c>
      <c r="D281" s="83">
        <v>137.58000000000001</v>
      </c>
      <c r="E281" s="83">
        <f t="shared" si="17"/>
        <v>37004.342280000004</v>
      </c>
      <c r="F281" s="84">
        <f t="shared" si="18"/>
        <v>1.1690420849104789E-3</v>
      </c>
      <c r="G281" s="85">
        <v>5.5240587294664916E-3</v>
      </c>
      <c r="H281" s="84">
        <f t="shared" si="19"/>
        <v>6.4578571342634384E-6</v>
      </c>
      <c r="I281" s="84">
        <v>0.11070000000000001</v>
      </c>
      <c r="J281" s="84">
        <f t="shared" si="16"/>
        <v>1.2941295879959002E-4</v>
      </c>
    </row>
    <row r="282" spans="1:10">
      <c r="A282" s="29" t="s">
        <v>1257</v>
      </c>
      <c r="B282" s="34" t="s">
        <v>1258</v>
      </c>
      <c r="C282" s="83">
        <v>24.852</v>
      </c>
      <c r="D282" s="83">
        <v>1198.83</v>
      </c>
      <c r="E282" s="83">
        <f t="shared" si="17"/>
        <v>29793.32316</v>
      </c>
      <c r="F282" s="84" t="str">
        <f t="shared" si="18"/>
        <v/>
      </c>
      <c r="G282" s="85" t="s">
        <v>90</v>
      </c>
      <c r="H282" s="84" t="str">
        <f t="shared" si="19"/>
        <v/>
      </c>
      <c r="I282" s="84">
        <v>0.22</v>
      </c>
      <c r="J282" s="84" t="str">
        <f t="shared" si="16"/>
        <v/>
      </c>
    </row>
    <row r="283" spans="1:10">
      <c r="A283" s="29" t="s">
        <v>571</v>
      </c>
      <c r="B283" s="34" t="s">
        <v>572</v>
      </c>
      <c r="C283" s="83">
        <v>571.98199999999997</v>
      </c>
      <c r="D283" s="83">
        <v>68.23</v>
      </c>
      <c r="E283" s="83">
        <f t="shared" si="17"/>
        <v>39026.331859999998</v>
      </c>
      <c r="F283" s="84" t="str">
        <f t="shared" si="18"/>
        <v/>
      </c>
      <c r="G283" s="85">
        <v>2.2863842884361718E-2</v>
      </c>
      <c r="H283" s="84" t="str">
        <f t="shared" si="19"/>
        <v/>
      </c>
      <c r="I283" s="84" t="s">
        <v>90</v>
      </c>
      <c r="J283" s="84" t="str">
        <f t="shared" si="16"/>
        <v/>
      </c>
    </row>
    <row r="284" spans="1:10">
      <c r="A284" s="29" t="s">
        <v>573</v>
      </c>
      <c r="B284" s="34" t="s">
        <v>574</v>
      </c>
      <c r="C284" s="83">
        <v>166.149</v>
      </c>
      <c r="D284" s="83">
        <v>138.1</v>
      </c>
      <c r="E284" s="83">
        <f t="shared" si="17"/>
        <v>22945.176899999999</v>
      </c>
      <c r="F284" s="84">
        <f t="shared" si="18"/>
        <v>7.2488458891791863E-4</v>
      </c>
      <c r="G284" s="85">
        <v>3.7653874004344681E-2</v>
      </c>
      <c r="H284" s="84">
        <f t="shared" si="19"/>
        <v>2.7294712978806497E-5</v>
      </c>
      <c r="I284" s="84">
        <v>8.0749999999999988E-2</v>
      </c>
      <c r="J284" s="84">
        <f t="shared" si="16"/>
        <v>5.8534430555121923E-5</v>
      </c>
    </row>
    <row r="285" spans="1:10">
      <c r="A285" s="29" t="s">
        <v>575</v>
      </c>
      <c r="B285" s="34" t="s">
        <v>576</v>
      </c>
      <c r="C285" s="83">
        <v>551.81600000000003</v>
      </c>
      <c r="D285" s="83">
        <v>59.87</v>
      </c>
      <c r="E285" s="83">
        <f t="shared" si="17"/>
        <v>33037.223920000004</v>
      </c>
      <c r="F285" s="84">
        <f t="shared" si="18"/>
        <v>1.0437127848091871E-3</v>
      </c>
      <c r="G285" s="85">
        <v>3.4741940871889095E-2</v>
      </c>
      <c r="H285" s="84">
        <f t="shared" si="19"/>
        <v>3.6260607857075481E-5</v>
      </c>
      <c r="I285" s="84">
        <v>6.2129999999999998E-2</v>
      </c>
      <c r="J285" s="84">
        <f t="shared" si="16"/>
        <v>6.4845875320194792E-5</v>
      </c>
    </row>
    <row r="286" spans="1:10">
      <c r="A286" s="29" t="s">
        <v>578</v>
      </c>
      <c r="B286" s="34" t="s">
        <v>579</v>
      </c>
      <c r="C286" s="83">
        <v>681.125</v>
      </c>
      <c r="D286" s="83">
        <v>34.24</v>
      </c>
      <c r="E286" s="83">
        <f t="shared" si="17"/>
        <v>23321.72</v>
      </c>
      <c r="F286" s="84" t="str">
        <f t="shared" si="18"/>
        <v/>
      </c>
      <c r="G286" s="85">
        <v>4.0887850467289717E-2</v>
      </c>
      <c r="H286" s="84" t="str">
        <f t="shared" si="19"/>
        <v/>
      </c>
      <c r="I286" s="84">
        <v>0.25</v>
      </c>
      <c r="J286" s="84" t="str">
        <f t="shared" si="16"/>
        <v/>
      </c>
    </row>
    <row r="287" spans="1:10">
      <c r="A287" s="29" t="s">
        <v>580</v>
      </c>
      <c r="B287" s="34" t="s">
        <v>581</v>
      </c>
      <c r="C287" s="83">
        <v>1246.0419999999999</v>
      </c>
      <c r="D287" s="83">
        <v>78.260000000000005</v>
      </c>
      <c r="E287" s="83">
        <f t="shared" si="17"/>
        <v>97515.246920000005</v>
      </c>
      <c r="F287" s="84">
        <f t="shared" si="18"/>
        <v>3.0807040618995416E-3</v>
      </c>
      <c r="G287" s="85">
        <v>3.8333759263991816E-2</v>
      </c>
      <c r="H287" s="84">
        <f t="shared" si="19"/>
        <v>1.1809496787245877E-4</v>
      </c>
      <c r="I287" s="84">
        <v>3.0630000000000001E-2</v>
      </c>
      <c r="J287" s="84">
        <f t="shared" si="16"/>
        <v>9.4361965415982956E-5</v>
      </c>
    </row>
    <row r="288" spans="1:10">
      <c r="A288" s="29" t="s">
        <v>582</v>
      </c>
      <c r="B288" s="34" t="s">
        <v>583</v>
      </c>
      <c r="C288" s="83">
        <v>138.76400000000001</v>
      </c>
      <c r="D288" s="83">
        <v>48.95</v>
      </c>
      <c r="E288" s="83">
        <f t="shared" si="17"/>
        <v>6792.497800000001</v>
      </c>
      <c r="F288" s="84" t="str">
        <f t="shared" si="18"/>
        <v/>
      </c>
      <c r="G288" s="85">
        <v>5.7201225740551573E-2</v>
      </c>
      <c r="H288" s="84" t="str">
        <f t="shared" si="19"/>
        <v/>
      </c>
      <c r="I288" s="84">
        <v>-3.49E-2</v>
      </c>
      <c r="J288" s="84" t="str">
        <f t="shared" si="16"/>
        <v/>
      </c>
    </row>
    <row r="289" spans="1:10">
      <c r="A289" s="29" t="s">
        <v>584</v>
      </c>
      <c r="B289" s="34" t="s">
        <v>585</v>
      </c>
      <c r="C289" s="83">
        <v>1448</v>
      </c>
      <c r="D289" s="83">
        <v>12.73</v>
      </c>
      <c r="E289" s="83">
        <f t="shared" si="17"/>
        <v>18433.04</v>
      </c>
      <c r="F289" s="84" t="str">
        <f t="shared" si="18"/>
        <v/>
      </c>
      <c r="G289" s="85">
        <v>4.8703849175176749E-2</v>
      </c>
      <c r="H289" s="84" t="str">
        <f t="shared" si="19"/>
        <v/>
      </c>
      <c r="I289" s="84">
        <v>-5.6500000000000002E-2</v>
      </c>
      <c r="J289" s="84" t="str">
        <f t="shared" si="16"/>
        <v/>
      </c>
    </row>
    <row r="290" spans="1:10">
      <c r="A290" s="29" t="s">
        <v>586</v>
      </c>
      <c r="B290" s="34" t="s">
        <v>587</v>
      </c>
      <c r="C290" s="83">
        <v>556.09400000000005</v>
      </c>
      <c r="D290" s="83">
        <v>86.51</v>
      </c>
      <c r="E290" s="83">
        <f t="shared" si="17"/>
        <v>48107.691940000004</v>
      </c>
      <c r="F290" s="84">
        <f t="shared" si="18"/>
        <v>1.5198193784993991E-3</v>
      </c>
      <c r="G290" s="85">
        <v>2.8204831811351288E-2</v>
      </c>
      <c r="H290" s="84">
        <f t="shared" si="19"/>
        <v>4.2866249954207993E-5</v>
      </c>
      <c r="I290" s="84">
        <v>9.2200000000000004E-2</v>
      </c>
      <c r="J290" s="84">
        <f t="shared" si="16"/>
        <v>1.4012734669764461E-4</v>
      </c>
    </row>
    <row r="291" spans="1:10">
      <c r="A291" s="29" t="s">
        <v>588</v>
      </c>
      <c r="B291" s="34" t="s">
        <v>589</v>
      </c>
      <c r="C291" s="83">
        <v>144.898</v>
      </c>
      <c r="D291" s="83">
        <v>246.66</v>
      </c>
      <c r="E291" s="83">
        <f t="shared" si="17"/>
        <v>35740.540679999998</v>
      </c>
      <c r="F291" s="84">
        <f t="shared" si="18"/>
        <v>1.1291160339027915E-3</v>
      </c>
      <c r="G291" s="85" t="s">
        <v>90</v>
      </c>
      <c r="H291" s="84" t="str">
        <f t="shared" si="19"/>
        <v/>
      </c>
      <c r="I291" s="84">
        <v>0.105</v>
      </c>
      <c r="J291" s="84">
        <f t="shared" si="16"/>
        <v>1.1855718355979311E-4</v>
      </c>
    </row>
    <row r="292" spans="1:10">
      <c r="A292" s="29" t="s">
        <v>590</v>
      </c>
      <c r="B292" s="34" t="s">
        <v>591</v>
      </c>
      <c r="C292" s="83">
        <v>205.126</v>
      </c>
      <c r="D292" s="83">
        <v>79.64</v>
      </c>
      <c r="E292" s="83">
        <f t="shared" si="17"/>
        <v>16336.234640000001</v>
      </c>
      <c r="F292" s="84">
        <f t="shared" si="18"/>
        <v>5.1609472365772276E-4</v>
      </c>
      <c r="G292" s="85">
        <v>3.7669512807634357E-2</v>
      </c>
      <c r="H292" s="84">
        <f t="shared" si="19"/>
        <v>1.9441036802777103E-5</v>
      </c>
      <c r="I292" s="84">
        <v>2.5699999999999997E-2</v>
      </c>
      <c r="J292" s="84">
        <f t="shared" si="16"/>
        <v>1.3263634398003473E-5</v>
      </c>
    </row>
    <row r="293" spans="1:10">
      <c r="A293" s="29" t="s">
        <v>592</v>
      </c>
      <c r="B293" s="34" t="s">
        <v>593</v>
      </c>
      <c r="C293" s="83">
        <v>89.623999999999995</v>
      </c>
      <c r="D293" s="83">
        <v>165.88</v>
      </c>
      <c r="E293" s="83">
        <f t="shared" si="17"/>
        <v>14866.829119999999</v>
      </c>
      <c r="F293" s="84">
        <f t="shared" si="18"/>
        <v>4.6967322858879946E-4</v>
      </c>
      <c r="G293" s="85">
        <v>3.0142271521581866E-2</v>
      </c>
      <c r="H293" s="84">
        <f t="shared" si="19"/>
        <v>1.415701798254158E-5</v>
      </c>
      <c r="I293" s="84">
        <v>0.03</v>
      </c>
      <c r="J293" s="84">
        <f t="shared" si="16"/>
        <v>1.4090196857663983E-5</v>
      </c>
    </row>
    <row r="294" spans="1:10">
      <c r="A294" s="29" t="s">
        <v>594</v>
      </c>
      <c r="B294" s="34" t="s">
        <v>595</v>
      </c>
      <c r="C294" s="83">
        <v>359.822</v>
      </c>
      <c r="D294" s="83">
        <v>121.73</v>
      </c>
      <c r="E294" s="83">
        <f t="shared" si="17"/>
        <v>43801.132060000004</v>
      </c>
      <c r="F294" s="84">
        <f t="shared" si="18"/>
        <v>1.3837664336095212E-3</v>
      </c>
      <c r="G294" s="85">
        <v>2.9245050521646266E-2</v>
      </c>
      <c r="H294" s="84">
        <f t="shared" si="19"/>
        <v>4.0468319261068719E-5</v>
      </c>
      <c r="I294" s="84">
        <v>7.0000000000000007E-2</v>
      </c>
      <c r="J294" s="84">
        <f t="shared" si="16"/>
        <v>9.6863650352666493E-5</v>
      </c>
    </row>
    <row r="295" spans="1:10">
      <c r="A295" s="29" t="s">
        <v>596</v>
      </c>
      <c r="B295" s="34" t="s">
        <v>597</v>
      </c>
      <c r="C295" s="83">
        <v>1116</v>
      </c>
      <c r="D295" s="83">
        <v>148.51</v>
      </c>
      <c r="E295" s="83">
        <f t="shared" si="17"/>
        <v>165737.16</v>
      </c>
      <c r="F295" s="84">
        <f t="shared" si="18"/>
        <v>5.2359724058184667E-3</v>
      </c>
      <c r="G295" s="85">
        <v>2.1547370547437886E-2</v>
      </c>
      <c r="H295" s="84">
        <f t="shared" si="19"/>
        <v>1.1282143760433032E-4</v>
      </c>
      <c r="I295" s="84">
        <v>0.10804999999999999</v>
      </c>
      <c r="J295" s="84">
        <f t="shared" si="16"/>
        <v>5.6574681844868534E-4</v>
      </c>
    </row>
    <row r="296" spans="1:10">
      <c r="A296" s="29" t="s">
        <v>600</v>
      </c>
      <c r="B296" s="34" t="s">
        <v>601</v>
      </c>
      <c r="C296" s="83">
        <v>336.666</v>
      </c>
      <c r="D296" s="83">
        <v>140.28</v>
      </c>
      <c r="E296" s="83">
        <f t="shared" si="17"/>
        <v>47227.506479999996</v>
      </c>
      <c r="F296" s="84">
        <f t="shared" si="18"/>
        <v>1.4920125379540279E-3</v>
      </c>
      <c r="G296" s="85">
        <v>9.552323923581409E-3</v>
      </c>
      <c r="H296" s="84">
        <f t="shared" si="19"/>
        <v>1.4252187060581675E-5</v>
      </c>
      <c r="I296" s="84">
        <v>0.1</v>
      </c>
      <c r="J296" s="84">
        <f t="shared" si="16"/>
        <v>1.4920125379540281E-4</v>
      </c>
    </row>
    <row r="297" spans="1:10">
      <c r="A297" s="29" t="s">
        <v>602</v>
      </c>
      <c r="B297" s="34" t="s">
        <v>603</v>
      </c>
      <c r="C297" s="83">
        <v>83.052000000000007</v>
      </c>
      <c r="D297" s="83">
        <v>515.08000000000004</v>
      </c>
      <c r="E297" s="83">
        <f t="shared" si="17"/>
        <v>42778.42416000001</v>
      </c>
      <c r="F297" s="84">
        <f t="shared" si="18"/>
        <v>1.3514570206594469E-3</v>
      </c>
      <c r="G297" s="85" t="s">
        <v>90</v>
      </c>
      <c r="H297" s="84" t="str">
        <f t="shared" si="19"/>
        <v/>
      </c>
      <c r="I297" s="84">
        <v>0.1636</v>
      </c>
      <c r="J297" s="84">
        <f t="shared" si="16"/>
        <v>2.210983685798855E-4</v>
      </c>
    </row>
    <row r="298" spans="1:10">
      <c r="A298" s="29" t="s">
        <v>604</v>
      </c>
      <c r="B298" s="34" t="s">
        <v>605</v>
      </c>
      <c r="C298" s="83">
        <v>1132.2</v>
      </c>
      <c r="D298" s="83">
        <v>93.03</v>
      </c>
      <c r="E298" s="83">
        <f t="shared" si="17"/>
        <v>105328.56600000001</v>
      </c>
      <c r="F298" s="84">
        <f t="shared" si="18"/>
        <v>3.3275426290665846E-3</v>
      </c>
      <c r="G298" s="85">
        <v>2.4508223153821347E-2</v>
      </c>
      <c r="H298" s="84">
        <f t="shared" si="19"/>
        <v>8.1552157307017233E-5</v>
      </c>
      <c r="I298" s="84">
        <v>0.15410000000000001</v>
      </c>
      <c r="J298" s="84">
        <f t="shared" si="16"/>
        <v>5.1277431913916076E-4</v>
      </c>
    </row>
    <row r="299" spans="1:10">
      <c r="A299" s="29" t="s">
        <v>606</v>
      </c>
      <c r="B299" s="34" t="s">
        <v>607</v>
      </c>
      <c r="C299" s="83">
        <v>936.56399999999996</v>
      </c>
      <c r="D299" s="83">
        <v>14.53</v>
      </c>
      <c r="E299" s="83">
        <f t="shared" si="17"/>
        <v>13608.274919999998</v>
      </c>
      <c r="F299" s="84" t="str">
        <f t="shared" si="18"/>
        <v/>
      </c>
      <c r="G299" s="85">
        <v>5.6434962147281484E-2</v>
      </c>
      <c r="H299" s="84" t="str">
        <f t="shared" si="19"/>
        <v/>
      </c>
      <c r="I299" s="84">
        <v>-1.67E-2</v>
      </c>
      <c r="J299" s="84" t="str">
        <f t="shared" si="16"/>
        <v/>
      </c>
    </row>
    <row r="300" spans="1:10">
      <c r="A300" s="29" t="s">
        <v>608</v>
      </c>
      <c r="B300" s="34" t="s">
        <v>609</v>
      </c>
      <c r="C300" s="83">
        <v>247.227</v>
      </c>
      <c r="D300" s="83">
        <v>32.299999999999997</v>
      </c>
      <c r="E300" s="83">
        <f t="shared" si="17"/>
        <v>7985.4320999999991</v>
      </c>
      <c r="F300" s="84">
        <f t="shared" si="18"/>
        <v>2.52275965897672E-4</v>
      </c>
      <c r="G300" s="85">
        <v>1.6099071207430343E-2</v>
      </c>
      <c r="H300" s="84">
        <f t="shared" si="19"/>
        <v>4.0614087389098903E-6</v>
      </c>
      <c r="I300" s="84">
        <v>0.12</v>
      </c>
      <c r="J300" s="84">
        <f t="shared" si="16"/>
        <v>3.027311590772064E-5</v>
      </c>
    </row>
    <row r="301" spans="1:10">
      <c r="A301" s="29" t="s">
        <v>608</v>
      </c>
      <c r="B301" s="34" t="s">
        <v>610</v>
      </c>
      <c r="C301" s="83">
        <v>235.58099999999999</v>
      </c>
      <c r="D301" s="83">
        <v>30.01</v>
      </c>
      <c r="E301" s="83">
        <f t="shared" si="17"/>
        <v>7069.7858100000003</v>
      </c>
      <c r="F301" s="84">
        <f t="shared" si="18"/>
        <v>2.2334884594503102E-4</v>
      </c>
      <c r="G301" s="85">
        <v>1.7327557480839719E-2</v>
      </c>
      <c r="H301" s="84">
        <f t="shared" si="19"/>
        <v>3.8700899663917399E-6</v>
      </c>
      <c r="I301" s="84">
        <v>0.12</v>
      </c>
      <c r="J301" s="84">
        <f t="shared" si="16"/>
        <v>2.680186151340372E-5</v>
      </c>
    </row>
    <row r="302" spans="1:10">
      <c r="A302" s="29" t="s">
        <v>611</v>
      </c>
      <c r="B302" s="34" t="s">
        <v>612</v>
      </c>
      <c r="C302" s="83">
        <v>301.94400000000002</v>
      </c>
      <c r="D302" s="83">
        <v>73.87</v>
      </c>
      <c r="E302" s="83">
        <f t="shared" si="17"/>
        <v>22304.603280000003</v>
      </c>
      <c r="F302" s="84">
        <f t="shared" si="18"/>
        <v>7.0464757147285545E-4</v>
      </c>
      <c r="G302" s="85">
        <v>3.736293488560985E-2</v>
      </c>
      <c r="H302" s="84">
        <f t="shared" si="19"/>
        <v>2.6327701330243413E-5</v>
      </c>
      <c r="I302" s="84">
        <v>7.85E-2</v>
      </c>
      <c r="J302" s="84">
        <f t="shared" si="16"/>
        <v>5.5314834360619155E-5</v>
      </c>
    </row>
    <row r="303" spans="1:10">
      <c r="A303" s="29" t="s">
        <v>613</v>
      </c>
      <c r="B303" s="34" t="s">
        <v>614</v>
      </c>
      <c r="C303" s="83">
        <v>425.42500000000001</v>
      </c>
      <c r="D303" s="83">
        <v>17.8</v>
      </c>
      <c r="E303" s="83">
        <f t="shared" si="17"/>
        <v>7572.5650000000005</v>
      </c>
      <c r="F303" s="84" t="str">
        <f t="shared" si="18"/>
        <v/>
      </c>
      <c r="G303" s="85" t="s">
        <v>90</v>
      </c>
      <c r="H303" s="84" t="str">
        <f t="shared" si="19"/>
        <v/>
      </c>
      <c r="I303" s="84" t="s">
        <v>90</v>
      </c>
      <c r="J303" s="84" t="str">
        <f t="shared" si="16"/>
        <v/>
      </c>
    </row>
    <row r="304" spans="1:10">
      <c r="A304" s="29" t="s">
        <v>615</v>
      </c>
      <c r="B304" s="34" t="s">
        <v>616</v>
      </c>
      <c r="C304" s="83">
        <v>1558</v>
      </c>
      <c r="D304" s="83">
        <v>41.54</v>
      </c>
      <c r="E304" s="83">
        <f t="shared" si="17"/>
        <v>64719.32</v>
      </c>
      <c r="F304" s="84">
        <f t="shared" si="18"/>
        <v>2.0446143378065316E-3</v>
      </c>
      <c r="G304" s="85">
        <v>4.7183437650457391E-2</v>
      </c>
      <c r="H304" s="84">
        <f t="shared" si="19"/>
        <v>9.6471933127125704E-5</v>
      </c>
      <c r="I304" s="84">
        <v>0.06</v>
      </c>
      <c r="J304" s="84">
        <f t="shared" si="16"/>
        <v>1.226768602683919E-4</v>
      </c>
    </row>
    <row r="305" spans="1:10">
      <c r="A305" s="29" t="s">
        <v>617</v>
      </c>
      <c r="B305" s="34" t="s">
        <v>618</v>
      </c>
      <c r="C305" s="83">
        <v>122.828</v>
      </c>
      <c r="D305" s="83">
        <v>77.61</v>
      </c>
      <c r="E305" s="83">
        <f t="shared" si="17"/>
        <v>9532.6810800000003</v>
      </c>
      <c r="F305" s="84" t="str">
        <f t="shared" si="18"/>
        <v/>
      </c>
      <c r="G305" s="85">
        <v>1.6492720010307951E-2</v>
      </c>
      <c r="H305" s="84" t="str">
        <f t="shared" si="19"/>
        <v/>
      </c>
      <c r="I305" s="84" t="s">
        <v>90</v>
      </c>
      <c r="J305" s="84" t="str">
        <f t="shared" si="16"/>
        <v/>
      </c>
    </row>
    <row r="306" spans="1:10">
      <c r="A306" s="29" t="s">
        <v>619</v>
      </c>
      <c r="B306" s="34" t="s">
        <v>620</v>
      </c>
      <c r="C306" s="83">
        <v>640.71500000000003</v>
      </c>
      <c r="D306" s="83">
        <v>23.48</v>
      </c>
      <c r="E306" s="83">
        <f t="shared" si="17"/>
        <v>15043.988200000002</v>
      </c>
      <c r="F306" s="84">
        <f t="shared" si="18"/>
        <v>4.752700425701673E-4</v>
      </c>
      <c r="G306" s="85">
        <v>2.1294718909710391E-2</v>
      </c>
      <c r="H306" s="84">
        <f t="shared" si="19"/>
        <v>1.0120741962737804E-5</v>
      </c>
      <c r="I306" s="84">
        <v>0.1298</v>
      </c>
      <c r="J306" s="84">
        <f t="shared" si="16"/>
        <v>6.1690051525607715E-5</v>
      </c>
    </row>
    <row r="307" spans="1:10">
      <c r="A307" s="29" t="s">
        <v>621</v>
      </c>
      <c r="B307" s="34" t="s">
        <v>622</v>
      </c>
      <c r="C307" s="83">
        <v>223.47</v>
      </c>
      <c r="D307" s="83">
        <v>108.45</v>
      </c>
      <c r="E307" s="83">
        <f t="shared" si="17"/>
        <v>24235.321500000002</v>
      </c>
      <c r="F307" s="84" t="str">
        <f t="shared" si="18"/>
        <v/>
      </c>
      <c r="G307" s="85">
        <v>4.5735361917934529E-2</v>
      </c>
      <c r="H307" s="84" t="str">
        <f t="shared" si="19"/>
        <v/>
      </c>
      <c r="I307" s="84">
        <v>-1.205E-2</v>
      </c>
      <c r="J307" s="84" t="str">
        <f t="shared" si="16"/>
        <v/>
      </c>
    </row>
    <row r="308" spans="1:10">
      <c r="A308" s="29" t="s">
        <v>623</v>
      </c>
      <c r="B308" s="34" t="s">
        <v>624</v>
      </c>
      <c r="C308" s="83">
        <v>402.77499999999998</v>
      </c>
      <c r="D308" s="83">
        <v>185.63</v>
      </c>
      <c r="E308" s="83">
        <f t="shared" si="17"/>
        <v>74767.12324999999</v>
      </c>
      <c r="F308" s="84">
        <f t="shared" si="18"/>
        <v>2.3620447834355809E-3</v>
      </c>
      <c r="G308" s="85">
        <v>1.508376878737273E-2</v>
      </c>
      <c r="H308" s="84">
        <f t="shared" si="19"/>
        <v>3.5628537378762194E-5</v>
      </c>
      <c r="I308" s="84">
        <v>0.10390000000000001</v>
      </c>
      <c r="J308" s="84">
        <f t="shared" si="16"/>
        <v>2.4541645299895685E-4</v>
      </c>
    </row>
    <row r="309" spans="1:10">
      <c r="A309" s="29" t="s">
        <v>625</v>
      </c>
      <c r="B309" s="34" t="s">
        <v>626</v>
      </c>
      <c r="C309" s="83">
        <v>182.79599999999999</v>
      </c>
      <c r="D309" s="83">
        <v>245.08</v>
      </c>
      <c r="E309" s="83">
        <f t="shared" si="17"/>
        <v>44799.643680000001</v>
      </c>
      <c r="F309" s="84">
        <f t="shared" si="18"/>
        <v>1.4153114370909919E-3</v>
      </c>
      <c r="G309" s="85">
        <v>1.4525869103966051E-2</v>
      </c>
      <c r="H309" s="84">
        <f t="shared" si="19"/>
        <v>2.055862867652983E-5</v>
      </c>
      <c r="I309" s="84">
        <v>0.10625</v>
      </c>
      <c r="J309" s="84">
        <f t="shared" si="16"/>
        <v>1.503768401909179E-4</v>
      </c>
    </row>
    <row r="310" spans="1:10">
      <c r="A310" s="29" t="s">
        <v>627</v>
      </c>
      <c r="B310" s="34" t="s">
        <v>628</v>
      </c>
      <c r="C310" s="83">
        <v>211.86</v>
      </c>
      <c r="D310" s="83">
        <v>34.75</v>
      </c>
      <c r="E310" s="83">
        <f t="shared" si="17"/>
        <v>7362.1350000000002</v>
      </c>
      <c r="F310" s="84">
        <f t="shared" si="18"/>
        <v>2.325847486943202E-4</v>
      </c>
      <c r="G310" s="85">
        <v>1.6115107913669068E-2</v>
      </c>
      <c r="H310" s="84">
        <f t="shared" si="19"/>
        <v>3.7481283242825706E-6</v>
      </c>
      <c r="I310" s="84">
        <v>7.9299999999999995E-2</v>
      </c>
      <c r="J310" s="84">
        <f t="shared" si="16"/>
        <v>1.844397057145959E-5</v>
      </c>
    </row>
    <row r="311" spans="1:10">
      <c r="A311" s="29" t="s">
        <v>629</v>
      </c>
      <c r="B311" s="34" t="s">
        <v>630</v>
      </c>
      <c r="C311" s="83">
        <v>148.15299999999999</v>
      </c>
      <c r="D311" s="83">
        <v>41.9</v>
      </c>
      <c r="E311" s="83">
        <f t="shared" si="17"/>
        <v>6207.6106999999993</v>
      </c>
      <c r="F311" s="84" t="str">
        <f t="shared" si="18"/>
        <v/>
      </c>
      <c r="G311" s="85">
        <v>3.9140811455847253E-2</v>
      </c>
      <c r="H311" s="84" t="str">
        <f t="shared" si="19"/>
        <v/>
      </c>
      <c r="I311" s="84">
        <v>-9.4E-2</v>
      </c>
      <c r="J311" s="84" t="str">
        <f t="shared" si="16"/>
        <v/>
      </c>
    </row>
    <row r="312" spans="1:10">
      <c r="A312" s="29" t="s">
        <v>631</v>
      </c>
      <c r="B312" s="34" t="s">
        <v>632</v>
      </c>
      <c r="C312" s="83">
        <v>449.5</v>
      </c>
      <c r="D312" s="83">
        <v>15.83</v>
      </c>
      <c r="E312" s="83">
        <f t="shared" si="17"/>
        <v>7115.585</v>
      </c>
      <c r="F312" s="84">
        <f t="shared" si="18"/>
        <v>2.2479573507387115E-4</v>
      </c>
      <c r="G312" s="85">
        <v>5.0536955148452307E-2</v>
      </c>
      <c r="H312" s="84">
        <f t="shared" si="19"/>
        <v>1.1360491980991594E-5</v>
      </c>
      <c r="I312" s="84">
        <v>0.04</v>
      </c>
      <c r="J312" s="84">
        <f t="shared" si="16"/>
        <v>8.9918294029548456E-6</v>
      </c>
    </row>
    <row r="313" spans="1:10">
      <c r="A313" s="29" t="s">
        <v>635</v>
      </c>
      <c r="B313" s="34" t="s">
        <v>636</v>
      </c>
      <c r="C313" s="83">
        <v>279.93599999999998</v>
      </c>
      <c r="D313" s="83">
        <v>631.33000000000004</v>
      </c>
      <c r="E313" s="83">
        <f t="shared" si="17"/>
        <v>176731.99487999998</v>
      </c>
      <c r="F313" s="84">
        <f t="shared" si="18"/>
        <v>5.583321497827828E-3</v>
      </c>
      <c r="G313" s="85">
        <v>5.7022476359431676E-3</v>
      </c>
      <c r="H313" s="84">
        <f t="shared" si="19"/>
        <v>3.1837481811699398E-5</v>
      </c>
      <c r="I313" s="84">
        <v>0.18960000000000002</v>
      </c>
      <c r="J313" s="84">
        <f t="shared" si="16"/>
        <v>1.0585977559881563E-3</v>
      </c>
    </row>
    <row r="314" spans="1:10">
      <c r="A314" s="29" t="s">
        <v>637</v>
      </c>
      <c r="B314" s="34" t="s">
        <v>638</v>
      </c>
      <c r="C314" s="83">
        <v>1641.3119999999999</v>
      </c>
      <c r="D314" s="83">
        <v>87.24</v>
      </c>
      <c r="E314" s="83">
        <f t="shared" si="17"/>
        <v>143188.05888</v>
      </c>
      <c r="F314" s="84">
        <f t="shared" si="18"/>
        <v>4.5236006526139932E-3</v>
      </c>
      <c r="G314" s="85">
        <v>3.897294818890417E-2</v>
      </c>
      <c r="H314" s="84">
        <f t="shared" si="19"/>
        <v>1.7629805386161826E-4</v>
      </c>
      <c r="I314" s="84">
        <v>5.2750000000000005E-2</v>
      </c>
      <c r="J314" s="84">
        <f t="shared" si="16"/>
        <v>2.3861993442538817E-4</v>
      </c>
    </row>
    <row r="315" spans="1:10">
      <c r="A315" s="29" t="s">
        <v>639</v>
      </c>
      <c r="B315" s="34" t="s">
        <v>640</v>
      </c>
      <c r="C315" s="83">
        <v>541.04499999999996</v>
      </c>
      <c r="D315" s="83">
        <v>85.18</v>
      </c>
      <c r="E315" s="83">
        <f t="shared" si="17"/>
        <v>46086.213100000001</v>
      </c>
      <c r="F315" s="84" t="str">
        <f t="shared" si="18"/>
        <v/>
      </c>
      <c r="G315" s="85">
        <v>2.0615167879783985E-2</v>
      </c>
      <c r="H315" s="84" t="str">
        <f t="shared" si="19"/>
        <v/>
      </c>
      <c r="I315" s="84">
        <v>-1.8450000000000001E-2</v>
      </c>
      <c r="J315" s="84" t="str">
        <f t="shared" si="16"/>
        <v/>
      </c>
    </row>
    <row r="316" spans="1:10">
      <c r="A316" s="29" t="s">
        <v>641</v>
      </c>
      <c r="B316" s="34" t="s">
        <v>642</v>
      </c>
      <c r="C316" s="83">
        <v>405.27</v>
      </c>
      <c r="D316" s="83">
        <v>245</v>
      </c>
      <c r="E316" s="83">
        <f t="shared" si="17"/>
        <v>99291.15</v>
      </c>
      <c r="F316" s="84">
        <f t="shared" si="18"/>
        <v>3.1368084353682797E-3</v>
      </c>
      <c r="G316" s="85">
        <v>1.4040816326530613E-2</v>
      </c>
      <c r="H316" s="84">
        <f t="shared" si="19"/>
        <v>4.404335109251789E-5</v>
      </c>
      <c r="I316" s="84">
        <v>0.06</v>
      </c>
      <c r="J316" s="84">
        <f t="shared" si="16"/>
        <v>1.8820850612209677E-4</v>
      </c>
    </row>
    <row r="317" spans="1:10">
      <c r="A317" s="29" t="s">
        <v>643</v>
      </c>
      <c r="B317" s="34" t="s">
        <v>644</v>
      </c>
      <c r="C317" s="83">
        <v>234.721</v>
      </c>
      <c r="D317" s="83">
        <v>74.44</v>
      </c>
      <c r="E317" s="83">
        <f t="shared" si="17"/>
        <v>17472.631239999999</v>
      </c>
      <c r="F317" s="84">
        <f t="shared" si="18"/>
        <v>5.5199579279433583E-4</v>
      </c>
      <c r="G317" s="85" t="s">
        <v>90</v>
      </c>
      <c r="H317" s="84" t="str">
        <f t="shared" si="19"/>
        <v/>
      </c>
      <c r="I317" s="84">
        <v>8.8599999999999998E-2</v>
      </c>
      <c r="J317" s="84">
        <f t="shared" si="16"/>
        <v>4.8906827241578152E-5</v>
      </c>
    </row>
    <row r="318" spans="1:10">
      <c r="A318" s="29" t="s">
        <v>645</v>
      </c>
      <c r="B318" s="34" t="s">
        <v>646</v>
      </c>
      <c r="C318" s="83">
        <v>466.41800000000001</v>
      </c>
      <c r="D318" s="83">
        <v>32.700000000000003</v>
      </c>
      <c r="E318" s="83">
        <f t="shared" si="17"/>
        <v>15251.868600000002</v>
      </c>
      <c r="F318" s="84" t="str">
        <f t="shared" si="18"/>
        <v/>
      </c>
      <c r="G318" s="85">
        <v>5.1376146788990822E-2</v>
      </c>
      <c r="H318" s="84" t="str">
        <f t="shared" si="19"/>
        <v/>
      </c>
      <c r="I318" s="84">
        <v>-6.9599999999999995E-2</v>
      </c>
      <c r="J318" s="84" t="str">
        <f t="shared" si="16"/>
        <v/>
      </c>
    </row>
    <row r="319" spans="1:10">
      <c r="A319" s="29" t="s">
        <v>1550</v>
      </c>
      <c r="B319" s="34" t="s">
        <v>1551</v>
      </c>
      <c r="C319" s="83">
        <v>127.54600000000001</v>
      </c>
      <c r="D319" s="83">
        <v>125.29</v>
      </c>
      <c r="E319" s="83">
        <f t="shared" si="17"/>
        <v>15980.238340000002</v>
      </c>
      <c r="F319" s="84">
        <f t="shared" si="18"/>
        <v>5.0484807985512914E-4</v>
      </c>
      <c r="G319" s="85">
        <v>2.5540745470508421E-3</v>
      </c>
      <c r="H319" s="84">
        <f t="shared" si="19"/>
        <v>1.2894196308854763E-6</v>
      </c>
      <c r="I319" s="84">
        <v>0.12</v>
      </c>
      <c r="J319" s="84">
        <f t="shared" si="16"/>
        <v>6.0581769582615497E-5</v>
      </c>
    </row>
    <row r="320" spans="1:10">
      <c r="A320" s="29" t="s">
        <v>647</v>
      </c>
      <c r="B320" s="34" t="s">
        <v>648</v>
      </c>
      <c r="C320" s="83">
        <v>59.161999999999999</v>
      </c>
      <c r="D320" s="83">
        <v>1023.05</v>
      </c>
      <c r="E320" s="83">
        <f t="shared" si="17"/>
        <v>60525.684099999999</v>
      </c>
      <c r="F320" s="84">
        <f t="shared" si="18"/>
        <v>1.9121288900502791E-3</v>
      </c>
      <c r="G320" s="85" t="s">
        <v>90</v>
      </c>
      <c r="H320" s="84" t="str">
        <f t="shared" si="19"/>
        <v/>
      </c>
      <c r="I320" s="84">
        <v>0.11795</v>
      </c>
      <c r="J320" s="84">
        <f t="shared" si="16"/>
        <v>2.2553560258143041E-4</v>
      </c>
    </row>
    <row r="321" spans="1:10">
      <c r="A321" s="29" t="s">
        <v>649</v>
      </c>
      <c r="B321" s="34" t="s">
        <v>650</v>
      </c>
      <c r="C321" s="83">
        <v>261.68700000000001</v>
      </c>
      <c r="D321" s="83">
        <v>155.25</v>
      </c>
      <c r="E321" s="83">
        <f t="shared" si="17"/>
        <v>40626.906750000002</v>
      </c>
      <c r="F321" s="84" t="str">
        <f t="shared" si="18"/>
        <v/>
      </c>
      <c r="G321" s="85">
        <v>2.2930756843800321E-2</v>
      </c>
      <c r="H321" s="84" t="str">
        <f t="shared" si="19"/>
        <v/>
      </c>
      <c r="I321" s="84">
        <v>-7.0000000000000007E-2</v>
      </c>
      <c r="J321" s="84" t="str">
        <f t="shared" si="16"/>
        <v/>
      </c>
    </row>
    <row r="322" spans="1:10">
      <c r="A322" s="29" t="s">
        <v>651</v>
      </c>
      <c r="B322" s="34" t="s">
        <v>652</v>
      </c>
      <c r="C322" s="83">
        <v>379.291</v>
      </c>
      <c r="D322" s="83">
        <v>60.19</v>
      </c>
      <c r="E322" s="83">
        <f t="shared" si="17"/>
        <v>22829.525289999998</v>
      </c>
      <c r="F322" s="84">
        <f t="shared" si="18"/>
        <v>7.2123092043072784E-4</v>
      </c>
      <c r="G322" s="85">
        <v>4.402724705100515E-2</v>
      </c>
      <c r="H322" s="84">
        <f t="shared" si="19"/>
        <v>3.1753811914627495E-5</v>
      </c>
      <c r="I322" s="84">
        <v>4.7500000000000001E-2</v>
      </c>
      <c r="J322" s="84">
        <f t="shared" si="16"/>
        <v>3.425846872045957E-5</v>
      </c>
    </row>
    <row r="323" spans="1:10">
      <c r="A323" s="29" t="s">
        <v>653</v>
      </c>
      <c r="B323" s="34" t="s">
        <v>654</v>
      </c>
      <c r="C323" s="83">
        <v>235.05500000000001</v>
      </c>
      <c r="D323" s="83">
        <v>33.9</v>
      </c>
      <c r="E323" s="83">
        <f t="shared" si="17"/>
        <v>7968.3644999999997</v>
      </c>
      <c r="F323" s="84">
        <f t="shared" si="18"/>
        <v>2.5173676586170209E-4</v>
      </c>
      <c r="G323" s="85">
        <v>1.2979351032448377E-2</v>
      </c>
      <c r="H323" s="84">
        <f t="shared" si="19"/>
        <v>3.2673798518922985E-6</v>
      </c>
      <c r="I323" s="84">
        <v>4.8099999999999997E-2</v>
      </c>
      <c r="J323" s="84">
        <f t="shared" si="16"/>
        <v>1.210853843794787E-5</v>
      </c>
    </row>
    <row r="324" spans="1:10">
      <c r="A324" s="29" t="s">
        <v>655</v>
      </c>
      <c r="B324" s="34" t="s">
        <v>656</v>
      </c>
      <c r="C324" s="83">
        <v>1398.336</v>
      </c>
      <c r="D324" s="83">
        <v>31.44</v>
      </c>
      <c r="E324" s="83">
        <f t="shared" si="17"/>
        <v>43963.683840000005</v>
      </c>
      <c r="F324" s="84">
        <f t="shared" si="18"/>
        <v>1.3889017734125967E-3</v>
      </c>
      <c r="G324" s="85">
        <v>2.7353689567430024E-2</v>
      </c>
      <c r="H324" s="84">
        <f t="shared" si="19"/>
        <v>3.7991587949581202E-5</v>
      </c>
      <c r="I324" s="84">
        <v>6.8049999999999999E-2</v>
      </c>
      <c r="J324" s="84">
        <f t="shared" si="16"/>
        <v>9.4514765680727206E-5</v>
      </c>
    </row>
    <row r="325" spans="1:10">
      <c r="A325" s="29" t="s">
        <v>657</v>
      </c>
      <c r="B325" s="34" t="s">
        <v>658</v>
      </c>
      <c r="C325" s="83">
        <v>705.4</v>
      </c>
      <c r="D325" s="83">
        <v>19.22</v>
      </c>
      <c r="E325" s="83">
        <f t="shared" si="17"/>
        <v>13557.787999999999</v>
      </c>
      <c r="F325" s="84" t="str">
        <f t="shared" si="18"/>
        <v/>
      </c>
      <c r="G325" s="85">
        <v>4.1623309053069726E-2</v>
      </c>
      <c r="H325" s="84" t="str">
        <f t="shared" si="19"/>
        <v/>
      </c>
      <c r="I325" s="84" t="s">
        <v>90</v>
      </c>
      <c r="J325" s="84" t="str">
        <f t="shared" si="16"/>
        <v/>
      </c>
    </row>
    <row r="326" spans="1:10">
      <c r="A326" s="29" t="s">
        <v>659</v>
      </c>
      <c r="B326" s="34" t="s">
        <v>660</v>
      </c>
      <c r="C326" s="83">
        <v>224.10900000000001</v>
      </c>
      <c r="D326" s="83">
        <v>58.77</v>
      </c>
      <c r="E326" s="83">
        <f t="shared" si="17"/>
        <v>13170.88593</v>
      </c>
      <c r="F326" s="84" t="str">
        <f t="shared" si="18"/>
        <v/>
      </c>
      <c r="G326" s="85" t="s">
        <v>90</v>
      </c>
      <c r="H326" s="84" t="str">
        <f t="shared" si="19"/>
        <v/>
      </c>
      <c r="I326" s="84">
        <v>0.37</v>
      </c>
      <c r="J326" s="84" t="str">
        <f t="shared" si="16"/>
        <v/>
      </c>
    </row>
    <row r="327" spans="1:10">
      <c r="A327" s="29" t="s">
        <v>661</v>
      </c>
      <c r="B327" s="34" t="s">
        <v>662</v>
      </c>
      <c r="C327" s="83">
        <v>326.24700000000001</v>
      </c>
      <c r="D327" s="83">
        <v>138.61000000000001</v>
      </c>
      <c r="E327" s="83">
        <f t="shared" si="17"/>
        <v>45221.096670000006</v>
      </c>
      <c r="F327" s="84">
        <f t="shared" si="18"/>
        <v>1.428625990242438E-3</v>
      </c>
      <c r="G327" s="85">
        <v>5.4830098838467636E-2</v>
      </c>
      <c r="H327" s="84">
        <f t="shared" si="19"/>
        <v>7.8331704248196576E-5</v>
      </c>
      <c r="I327" s="84">
        <v>1.7100000000000001E-2</v>
      </c>
      <c r="J327" s="84">
        <f t="shared" si="16"/>
        <v>2.4429504433145691E-5</v>
      </c>
    </row>
    <row r="328" spans="1:10">
      <c r="A328" s="29" t="s">
        <v>663</v>
      </c>
      <c r="B328" s="34" t="s">
        <v>664</v>
      </c>
      <c r="C328" s="83">
        <v>118.56399999999999</v>
      </c>
      <c r="D328" s="83">
        <v>83.55</v>
      </c>
      <c r="E328" s="83">
        <f t="shared" si="17"/>
        <v>9906.0221999999994</v>
      </c>
      <c r="F328" s="84">
        <f t="shared" si="18"/>
        <v>3.1295129523533006E-4</v>
      </c>
      <c r="G328" s="85">
        <v>3.8779174147217238E-2</v>
      </c>
      <c r="H328" s="84">
        <f t="shared" si="19"/>
        <v>1.2135992777528061E-5</v>
      </c>
      <c r="I328" s="84">
        <v>5.0199999999999995E-2</v>
      </c>
      <c r="J328" s="84">
        <f t="shared" si="16"/>
        <v>1.5710155020813566E-5</v>
      </c>
    </row>
    <row r="329" spans="1:10">
      <c r="A329" s="29" t="s">
        <v>665</v>
      </c>
      <c r="B329" s="34" t="s">
        <v>666</v>
      </c>
      <c r="C329" s="83">
        <v>142.01499999999999</v>
      </c>
      <c r="D329" s="83">
        <v>179.01</v>
      </c>
      <c r="E329" s="83">
        <f t="shared" si="17"/>
        <v>25422.105149999996</v>
      </c>
      <c r="F329" s="84">
        <f t="shared" si="18"/>
        <v>8.0313576667547285E-4</v>
      </c>
      <c r="G329" s="85">
        <v>3.7986704653371318E-2</v>
      </c>
      <c r="H329" s="84">
        <f t="shared" si="19"/>
        <v>3.0508481165260125E-5</v>
      </c>
      <c r="I329" s="84">
        <v>5.9500000000000004E-2</v>
      </c>
      <c r="J329" s="84">
        <f t="shared" si="16"/>
        <v>4.7786578117190641E-5</v>
      </c>
    </row>
    <row r="330" spans="1:10">
      <c r="A330" s="29" t="s">
        <v>667</v>
      </c>
      <c r="B330" s="34" t="s">
        <v>668</v>
      </c>
      <c r="C330" s="83">
        <v>361</v>
      </c>
      <c r="D330" s="83">
        <v>104.93</v>
      </c>
      <c r="E330" s="83">
        <f t="shared" si="17"/>
        <v>37879.730000000003</v>
      </c>
      <c r="F330" s="84">
        <f t="shared" si="18"/>
        <v>1.1966973551366148E-3</v>
      </c>
      <c r="G330" s="85">
        <v>4.7650814828933574E-2</v>
      </c>
      <c r="H330" s="84">
        <f t="shared" si="19"/>
        <v>5.7023604075889393E-5</v>
      </c>
      <c r="I330" s="84">
        <v>0.10550000000000001</v>
      </c>
      <c r="J330" s="84">
        <f t="shared" si="16"/>
        <v>1.2625157096691288E-4</v>
      </c>
    </row>
    <row r="331" spans="1:10">
      <c r="A331" s="29" t="s">
        <v>669</v>
      </c>
      <c r="B331" s="34" t="s">
        <v>670</v>
      </c>
      <c r="C331" s="83">
        <v>723.25699999999995</v>
      </c>
      <c r="D331" s="83">
        <v>141.9</v>
      </c>
      <c r="E331" s="83">
        <f t="shared" si="17"/>
        <v>102630.16829999999</v>
      </c>
      <c r="F331" s="84" t="str">
        <f t="shared" si="18"/>
        <v/>
      </c>
      <c r="G331" s="85">
        <v>4.5947850599013386E-2</v>
      </c>
      <c r="H331" s="84" t="str">
        <f t="shared" si="19"/>
        <v/>
      </c>
      <c r="I331" s="84">
        <v>-3.9000000000000003E-3</v>
      </c>
      <c r="J331" s="84" t="str">
        <f t="shared" si="16"/>
        <v/>
      </c>
    </row>
    <row r="332" spans="1:10">
      <c r="A332" s="29" t="s">
        <v>671</v>
      </c>
      <c r="B332" s="34" t="s">
        <v>672</v>
      </c>
      <c r="C332" s="83">
        <v>862.37599999999998</v>
      </c>
      <c r="D332" s="83">
        <v>22.57</v>
      </c>
      <c r="E332" s="83">
        <f t="shared" si="17"/>
        <v>19463.82632</v>
      </c>
      <c r="F332" s="84">
        <f t="shared" si="18"/>
        <v>6.149016763842411E-4</v>
      </c>
      <c r="G332" s="85">
        <v>4.4306601683650866E-2</v>
      </c>
      <c r="H332" s="84">
        <f t="shared" si="19"/>
        <v>2.7244203650165757E-5</v>
      </c>
      <c r="I332" s="84">
        <v>3.0999999999999999E-3</v>
      </c>
      <c r="J332" s="84">
        <f t="shared" si="16"/>
        <v>1.9061951967911474E-6</v>
      </c>
    </row>
    <row r="333" spans="1:10">
      <c r="A333" s="29" t="s">
        <v>673</v>
      </c>
      <c r="B333" s="34" t="s">
        <v>674</v>
      </c>
      <c r="C333" s="83">
        <v>98.8</v>
      </c>
      <c r="D333" s="83">
        <v>218.95</v>
      </c>
      <c r="E333" s="83">
        <f t="shared" si="17"/>
        <v>21632.26</v>
      </c>
      <c r="F333" s="84" t="str">
        <f t="shared" si="18"/>
        <v/>
      </c>
      <c r="G333" s="85">
        <v>9.4998858186800643E-3</v>
      </c>
      <c r="H333" s="84" t="str">
        <f t="shared" si="19"/>
        <v/>
      </c>
      <c r="I333" s="84" t="s">
        <v>90</v>
      </c>
      <c r="J333" s="84" t="str">
        <f t="shared" si="16"/>
        <v/>
      </c>
    </row>
    <row r="334" spans="1:10">
      <c r="A334" s="29" t="s">
        <v>675</v>
      </c>
      <c r="B334" s="34" t="s">
        <v>676</v>
      </c>
      <c r="C334" s="83">
        <v>133.06200000000001</v>
      </c>
      <c r="D334" s="83">
        <v>499.89</v>
      </c>
      <c r="E334" s="83">
        <f t="shared" si="17"/>
        <v>66516.36318</v>
      </c>
      <c r="F334" s="84">
        <f t="shared" si="18"/>
        <v>2.1013865698306855E-3</v>
      </c>
      <c r="G334" s="85">
        <v>4.9610914401168257E-3</v>
      </c>
      <c r="H334" s="84">
        <f t="shared" si="19"/>
        <v>1.0425170923963472E-5</v>
      </c>
      <c r="I334" s="84">
        <v>0.10039999999999999</v>
      </c>
      <c r="J334" s="84">
        <f t="shared" si="16"/>
        <v>2.109792116110008E-4</v>
      </c>
    </row>
    <row r="335" spans="1:10">
      <c r="A335" s="29" t="s">
        <v>677</v>
      </c>
      <c r="B335" s="34" t="s">
        <v>678</v>
      </c>
      <c r="C335" s="83">
        <v>241.643</v>
      </c>
      <c r="D335" s="83">
        <v>429.41</v>
      </c>
      <c r="E335" s="83">
        <f t="shared" si="17"/>
        <v>103763.92063000001</v>
      </c>
      <c r="F335" s="84">
        <f t="shared" si="18"/>
        <v>3.278112314330821E-3</v>
      </c>
      <c r="G335" s="85">
        <v>2.9342586339395915E-2</v>
      </c>
      <c r="H335" s="84">
        <f t="shared" si="19"/>
        <v>9.618829361348908E-5</v>
      </c>
      <c r="I335" s="84">
        <v>5.3899999999999997E-2</v>
      </c>
      <c r="J335" s="84">
        <f t="shared" si="16"/>
        <v>1.7669025374243125E-4</v>
      </c>
    </row>
    <row r="336" spans="1:10">
      <c r="A336" s="29" t="s">
        <v>1292</v>
      </c>
      <c r="B336" s="34" t="s">
        <v>1293</v>
      </c>
      <c r="C336" s="83">
        <v>199.482</v>
      </c>
      <c r="D336" s="83">
        <v>232.68</v>
      </c>
      <c r="E336" s="83">
        <f t="shared" si="17"/>
        <v>46415.47176</v>
      </c>
      <c r="F336" s="84">
        <f t="shared" si="18"/>
        <v>1.4663587172508948E-3</v>
      </c>
      <c r="G336" s="85">
        <v>8.7674058793192362E-3</v>
      </c>
      <c r="H336" s="84">
        <f t="shared" si="19"/>
        <v>1.2856162038816508E-5</v>
      </c>
      <c r="I336" s="84">
        <v>8.6549999999999988E-2</v>
      </c>
      <c r="J336" s="84">
        <f t="shared" si="16"/>
        <v>1.2691334697806494E-4</v>
      </c>
    </row>
    <row r="337" spans="1:10">
      <c r="A337" s="29" t="s">
        <v>679</v>
      </c>
      <c r="B337" s="34" t="s">
        <v>680</v>
      </c>
      <c r="C337" s="83">
        <v>380.4</v>
      </c>
      <c r="D337" s="83">
        <v>135.32</v>
      </c>
      <c r="E337" s="83">
        <f t="shared" si="17"/>
        <v>51475.727999999996</v>
      </c>
      <c r="F337" s="84" t="str">
        <f t="shared" si="18"/>
        <v/>
      </c>
      <c r="G337" s="85">
        <v>1.7735737511084836E-2</v>
      </c>
      <c r="H337" s="84" t="str">
        <f t="shared" si="19"/>
        <v/>
      </c>
      <c r="I337" s="84">
        <v>0.50234999999999996</v>
      </c>
      <c r="J337" s="84" t="str">
        <f t="shared" si="16"/>
        <v/>
      </c>
    </row>
    <row r="338" spans="1:10">
      <c r="A338" s="29" t="s">
        <v>681</v>
      </c>
      <c r="B338" s="34" t="s">
        <v>682</v>
      </c>
      <c r="C338" s="83">
        <v>59.127000000000002</v>
      </c>
      <c r="D338" s="83">
        <v>317.70999999999998</v>
      </c>
      <c r="E338" s="83">
        <f t="shared" si="17"/>
        <v>18785.239170000001</v>
      </c>
      <c r="F338" s="84">
        <f t="shared" si="18"/>
        <v>5.9346373457117398E-4</v>
      </c>
      <c r="G338" s="85" t="s">
        <v>90</v>
      </c>
      <c r="H338" s="84" t="str">
        <f t="shared" si="19"/>
        <v/>
      </c>
      <c r="I338" s="84">
        <v>4.87E-2</v>
      </c>
      <c r="J338" s="84">
        <f t="shared" si="16"/>
        <v>2.8901683873616173E-5</v>
      </c>
    </row>
    <row r="339" spans="1:10">
      <c r="A339" s="29" t="s">
        <v>683</v>
      </c>
      <c r="B339" s="34" t="s">
        <v>684</v>
      </c>
      <c r="C339" s="83">
        <v>57.015999999999998</v>
      </c>
      <c r="D339" s="83">
        <v>251.72</v>
      </c>
      <c r="E339" s="83">
        <f t="shared" si="17"/>
        <v>14352.067519999999</v>
      </c>
      <c r="F339" s="84" t="str">
        <f t="shared" si="18"/>
        <v/>
      </c>
      <c r="G339" s="85">
        <v>1.0805657079294454E-2</v>
      </c>
      <c r="H339" s="84" t="str">
        <f t="shared" si="19"/>
        <v/>
      </c>
      <c r="I339" s="84">
        <v>0.45</v>
      </c>
      <c r="J339" s="84" t="str">
        <f t="shared" ref="J339:J402" si="20">IFERROR($I339*$F339,"")</f>
        <v/>
      </c>
    </row>
    <row r="340" spans="1:10">
      <c r="A340" s="29" t="s">
        <v>685</v>
      </c>
      <c r="B340" s="34" t="s">
        <v>686</v>
      </c>
      <c r="C340" s="83">
        <v>217.87200000000001</v>
      </c>
      <c r="D340" s="83">
        <v>130.62</v>
      </c>
      <c r="E340" s="83">
        <f t="shared" ref="E340:E403" si="21">IFERROR(C340*D340,"")</f>
        <v>28458.440640000004</v>
      </c>
      <c r="F340" s="84">
        <f t="shared" ref="F340:F403" si="22">IF(AND(ISNUMBER($I340)), IF(AND($I340&lt;=20%,$I340&gt;0%), $E340/SUMIFS($E$19:$E$521,$I$19:$I$521, "&gt;"&amp;0%,$I$19:$I$521, "&lt;="&amp;20%),""),"")</f>
        <v>8.9905975161914714E-4</v>
      </c>
      <c r="G340" s="85" t="s">
        <v>90</v>
      </c>
      <c r="H340" s="84" t="str">
        <f t="shared" ref="H340:H403" si="23">IFERROR($G340*$F340,"")</f>
        <v/>
      </c>
      <c r="I340" s="84">
        <v>7.7649999999999997E-2</v>
      </c>
      <c r="J340" s="84">
        <f t="shared" si="20"/>
        <v>6.9811989713226778E-5</v>
      </c>
    </row>
    <row r="341" spans="1:10">
      <c r="A341" s="29" t="s">
        <v>687</v>
      </c>
      <c r="B341" s="34" t="s">
        <v>688</v>
      </c>
      <c r="C341" s="83">
        <v>119.411</v>
      </c>
      <c r="D341" s="83">
        <v>162.58000000000001</v>
      </c>
      <c r="E341" s="83">
        <f t="shared" si="21"/>
        <v>19413.840380000001</v>
      </c>
      <c r="F341" s="84">
        <f t="shared" si="22"/>
        <v>6.1332251934716577E-4</v>
      </c>
      <c r="G341" s="85">
        <v>3.2230286628121538E-2</v>
      </c>
      <c r="H341" s="84">
        <f t="shared" si="23"/>
        <v>1.9767560594040771E-5</v>
      </c>
      <c r="I341" s="84">
        <v>3.78E-2</v>
      </c>
      <c r="J341" s="84">
        <f t="shared" si="20"/>
        <v>2.3183591231322866E-5</v>
      </c>
    </row>
    <row r="342" spans="1:10">
      <c r="A342" s="29" t="s">
        <v>689</v>
      </c>
      <c r="B342" s="34" t="s">
        <v>690</v>
      </c>
      <c r="C342" s="83">
        <v>229.583</v>
      </c>
      <c r="D342" s="83">
        <v>50.77</v>
      </c>
      <c r="E342" s="83">
        <f t="shared" si="21"/>
        <v>11655.928910000001</v>
      </c>
      <c r="F342" s="84">
        <f t="shared" si="22"/>
        <v>3.682343907482288E-4</v>
      </c>
      <c r="G342" s="85">
        <v>5.0620445144770529E-2</v>
      </c>
      <c r="H342" s="84">
        <f t="shared" si="23"/>
        <v>1.8640188777288714E-5</v>
      </c>
      <c r="I342" s="84">
        <v>4.3499999999999997E-2</v>
      </c>
      <c r="J342" s="84">
        <f t="shared" si="20"/>
        <v>1.6018195997547952E-5</v>
      </c>
    </row>
    <row r="343" spans="1:10">
      <c r="A343" s="29" t="s">
        <v>691</v>
      </c>
      <c r="B343" s="34" t="s">
        <v>692</v>
      </c>
      <c r="C343" s="83">
        <v>271.81200000000001</v>
      </c>
      <c r="D343" s="83">
        <v>38.380000000000003</v>
      </c>
      <c r="E343" s="83">
        <f t="shared" si="21"/>
        <v>10432.144560000001</v>
      </c>
      <c r="F343" s="84" t="str">
        <f t="shared" si="22"/>
        <v/>
      </c>
      <c r="G343" s="85" t="s">
        <v>90</v>
      </c>
      <c r="H343" s="84" t="str">
        <f t="shared" si="23"/>
        <v/>
      </c>
      <c r="I343" s="84">
        <v>0.28327999999999998</v>
      </c>
      <c r="J343" s="84" t="str">
        <f t="shared" si="20"/>
        <v/>
      </c>
    </row>
    <row r="344" spans="1:10">
      <c r="A344" s="29" t="s">
        <v>693</v>
      </c>
      <c r="B344" s="34" t="s">
        <v>694</v>
      </c>
      <c r="C344" s="83">
        <v>34.881</v>
      </c>
      <c r="D344" s="83">
        <v>426.22</v>
      </c>
      <c r="E344" s="83">
        <f t="shared" si="21"/>
        <v>14866.97982</v>
      </c>
      <c r="F344" s="84">
        <f t="shared" si="22"/>
        <v>4.6967798950687942E-4</v>
      </c>
      <c r="G344" s="85">
        <v>1.1355637933461591E-2</v>
      </c>
      <c r="H344" s="84">
        <f t="shared" si="23"/>
        <v>5.3334931941562949E-6</v>
      </c>
      <c r="I344" s="84">
        <v>0.12710000000000002</v>
      </c>
      <c r="J344" s="84">
        <f t="shared" si="20"/>
        <v>5.9696072466324383E-5</v>
      </c>
    </row>
    <row r="345" spans="1:10">
      <c r="A345" s="29" t="s">
        <v>695</v>
      </c>
      <c r="B345" s="34" t="s">
        <v>696</v>
      </c>
      <c r="C345" s="83">
        <v>3.1949999999999998</v>
      </c>
      <c r="D345" s="83">
        <v>7075.29</v>
      </c>
      <c r="E345" s="83">
        <f t="shared" si="21"/>
        <v>22605.55155</v>
      </c>
      <c r="F345" s="84">
        <f t="shared" si="22"/>
        <v>7.1415513656748351E-4</v>
      </c>
      <c r="G345" s="85" t="s">
        <v>90</v>
      </c>
      <c r="H345" s="84" t="str">
        <f t="shared" si="23"/>
        <v/>
      </c>
      <c r="I345" s="84">
        <v>4.41E-2</v>
      </c>
      <c r="J345" s="84">
        <f t="shared" si="20"/>
        <v>3.1494241522626023E-5</v>
      </c>
    </row>
    <row r="346" spans="1:10">
      <c r="A346" s="29" t="s">
        <v>697</v>
      </c>
      <c r="B346" s="34" t="s">
        <v>698</v>
      </c>
      <c r="C346" s="83">
        <v>206.03100000000001</v>
      </c>
      <c r="D346" s="83">
        <v>87.2</v>
      </c>
      <c r="E346" s="83">
        <f t="shared" si="21"/>
        <v>17965.903200000001</v>
      </c>
      <c r="F346" s="84">
        <f t="shared" si="22"/>
        <v>5.6757925259975309E-4</v>
      </c>
      <c r="G346" s="85">
        <v>2.2935779816513759E-2</v>
      </c>
      <c r="H346" s="84">
        <f t="shared" si="23"/>
        <v>1.3017872766049382E-5</v>
      </c>
      <c r="I346" s="84">
        <v>0.06</v>
      </c>
      <c r="J346" s="84">
        <f t="shared" si="20"/>
        <v>3.4054755155985185E-5</v>
      </c>
    </row>
    <row r="347" spans="1:10">
      <c r="A347" s="29" t="s">
        <v>699</v>
      </c>
      <c r="B347" s="34" t="s">
        <v>700</v>
      </c>
      <c r="C347" s="83">
        <v>109.114</v>
      </c>
      <c r="D347" s="83">
        <v>391.02</v>
      </c>
      <c r="E347" s="83">
        <f t="shared" si="21"/>
        <v>42665.756280000001</v>
      </c>
      <c r="F347" s="84">
        <f t="shared" si="22"/>
        <v>1.347897614243275E-3</v>
      </c>
      <c r="G347" s="85">
        <v>5.3194210014833009E-3</v>
      </c>
      <c r="H347" s="84">
        <f t="shared" si="23"/>
        <v>7.1700348770549133E-6</v>
      </c>
      <c r="I347" s="84">
        <v>9.3049999999999994E-2</v>
      </c>
      <c r="J347" s="84">
        <f t="shared" si="20"/>
        <v>1.2542187300533674E-4</v>
      </c>
    </row>
    <row r="348" spans="1:10">
      <c r="A348" s="29" t="s">
        <v>701</v>
      </c>
      <c r="B348" s="34" t="s">
        <v>702</v>
      </c>
      <c r="C348" s="83">
        <v>91.3</v>
      </c>
      <c r="D348" s="83">
        <v>108.16</v>
      </c>
      <c r="E348" s="83">
        <f t="shared" si="21"/>
        <v>9875.0079999999998</v>
      </c>
      <c r="F348" s="84">
        <f t="shared" si="22"/>
        <v>3.119714938716013E-4</v>
      </c>
      <c r="G348" s="85" t="s">
        <v>90</v>
      </c>
      <c r="H348" s="84" t="str">
        <f t="shared" si="23"/>
        <v/>
      </c>
      <c r="I348" s="84">
        <v>0.19690000000000002</v>
      </c>
      <c r="J348" s="84">
        <f t="shared" si="20"/>
        <v>6.1427187143318305E-5</v>
      </c>
    </row>
    <row r="349" spans="1:10">
      <c r="A349" s="29" t="s">
        <v>703</v>
      </c>
      <c r="B349" s="34" t="s">
        <v>704</v>
      </c>
      <c r="C349" s="83">
        <v>300.77</v>
      </c>
      <c r="D349" s="83">
        <v>86.96</v>
      </c>
      <c r="E349" s="83">
        <f t="shared" si="21"/>
        <v>26154.959199999998</v>
      </c>
      <c r="F349" s="84">
        <f t="shared" si="22"/>
        <v>8.2628810971847129E-4</v>
      </c>
      <c r="G349" s="85">
        <v>2.1619135234590615E-2</v>
      </c>
      <c r="H349" s="84">
        <f t="shared" si="23"/>
        <v>1.7863634386737879E-5</v>
      </c>
      <c r="I349" s="84">
        <v>7.0000000000000007E-2</v>
      </c>
      <c r="J349" s="84">
        <f t="shared" si="20"/>
        <v>5.7840167680292992E-5</v>
      </c>
    </row>
    <row r="350" spans="1:10">
      <c r="A350" s="29" t="s">
        <v>705</v>
      </c>
      <c r="B350" s="34" t="s">
        <v>706</v>
      </c>
      <c r="C350" s="83">
        <v>291.99</v>
      </c>
      <c r="D350" s="83">
        <v>67.52</v>
      </c>
      <c r="E350" s="83">
        <f t="shared" si="21"/>
        <v>19715.164799999999</v>
      </c>
      <c r="F350" s="84">
        <f t="shared" si="22"/>
        <v>6.2284196778177893E-4</v>
      </c>
      <c r="G350" s="85">
        <v>3.8507109004739339E-2</v>
      </c>
      <c r="H350" s="84">
        <f t="shared" si="23"/>
        <v>2.3983843546099309E-5</v>
      </c>
      <c r="I350" s="84">
        <v>0.04</v>
      </c>
      <c r="J350" s="84">
        <f t="shared" si="20"/>
        <v>2.4913678711271159E-5</v>
      </c>
    </row>
    <row r="351" spans="1:10">
      <c r="A351" s="29" t="s">
        <v>707</v>
      </c>
      <c r="B351" s="34" t="s">
        <v>708</v>
      </c>
      <c r="C351" s="83">
        <v>232.30500000000001</v>
      </c>
      <c r="D351" s="83">
        <v>131.99</v>
      </c>
      <c r="E351" s="83">
        <f t="shared" si="21"/>
        <v>30661.936950000003</v>
      </c>
      <c r="F351" s="84">
        <f t="shared" si="22"/>
        <v>9.6867266085134832E-4</v>
      </c>
      <c r="G351" s="85">
        <v>2.0001515266308053E-2</v>
      </c>
      <c r="H351" s="84">
        <f t="shared" si="23"/>
        <v>1.9374921014073487E-5</v>
      </c>
      <c r="I351" s="84">
        <v>0.10875</v>
      </c>
      <c r="J351" s="84">
        <f t="shared" si="20"/>
        <v>1.0534315186758413E-4</v>
      </c>
    </row>
    <row r="352" spans="1:10">
      <c r="A352" s="29" t="s">
        <v>709</v>
      </c>
      <c r="B352" s="34" t="s">
        <v>710</v>
      </c>
      <c r="C352" s="83">
        <v>272.06200000000001</v>
      </c>
      <c r="D352" s="83">
        <v>288.45999999999998</v>
      </c>
      <c r="E352" s="83">
        <f t="shared" si="21"/>
        <v>78479.004520000002</v>
      </c>
      <c r="F352" s="84">
        <f t="shared" si="22"/>
        <v>2.4793106271570162E-3</v>
      </c>
      <c r="G352" s="85" t="s">
        <v>90</v>
      </c>
      <c r="H352" s="84" t="str">
        <f t="shared" si="23"/>
        <v/>
      </c>
      <c r="I352" s="84">
        <v>0.17030000000000001</v>
      </c>
      <c r="J352" s="84">
        <f t="shared" si="20"/>
        <v>4.2222659980483985E-4</v>
      </c>
    </row>
    <row r="353" spans="1:10">
      <c r="A353" s="29" t="s">
        <v>711</v>
      </c>
      <c r="B353" s="34" t="s">
        <v>712</v>
      </c>
      <c r="C353" s="83">
        <v>42.124000000000002</v>
      </c>
      <c r="D353" s="83">
        <v>422.75</v>
      </c>
      <c r="E353" s="83">
        <f t="shared" si="21"/>
        <v>17807.921000000002</v>
      </c>
      <c r="F353" s="84" t="str">
        <f t="shared" si="22"/>
        <v/>
      </c>
      <c r="G353" s="85" t="s">
        <v>90</v>
      </c>
      <c r="H353" s="84" t="str">
        <f t="shared" si="23"/>
        <v/>
      </c>
      <c r="I353" s="84" t="s">
        <v>90</v>
      </c>
      <c r="J353" s="84" t="str">
        <f t="shared" si="20"/>
        <v/>
      </c>
    </row>
    <row r="354" spans="1:10">
      <c r="A354" s="29" t="s">
        <v>713</v>
      </c>
      <c r="B354" s="34" t="s">
        <v>714</v>
      </c>
      <c r="C354" s="83">
        <v>61.006999999999998</v>
      </c>
      <c r="D354" s="83">
        <v>158.81</v>
      </c>
      <c r="E354" s="83">
        <f t="shared" si="21"/>
        <v>9688.5216700000001</v>
      </c>
      <c r="F354" s="84">
        <f t="shared" si="22"/>
        <v>3.060800131804735E-4</v>
      </c>
      <c r="G354" s="85">
        <v>5.0374661545242744E-3</v>
      </c>
      <c r="H354" s="84">
        <f t="shared" si="23"/>
        <v>1.5418677069729791E-6</v>
      </c>
      <c r="I354" s="84">
        <v>0.11380000000000001</v>
      </c>
      <c r="J354" s="84">
        <f t="shared" si="20"/>
        <v>3.4831905499937888E-5</v>
      </c>
    </row>
    <row r="355" spans="1:10">
      <c r="A355" s="29" t="s">
        <v>715</v>
      </c>
      <c r="B355" s="34" t="s">
        <v>716</v>
      </c>
      <c r="C355" s="83">
        <v>160.226</v>
      </c>
      <c r="D355" s="83">
        <v>104.46</v>
      </c>
      <c r="E355" s="83">
        <f t="shared" si="21"/>
        <v>16737.20796</v>
      </c>
      <c r="F355" s="84">
        <f t="shared" si="22"/>
        <v>5.2876228257444009E-4</v>
      </c>
      <c r="G355" s="85">
        <v>2.6038675090943906E-2</v>
      </c>
      <c r="H355" s="84">
        <f t="shared" si="23"/>
        <v>1.3768269276301716E-5</v>
      </c>
      <c r="I355" s="84">
        <v>9.0299999999999991E-2</v>
      </c>
      <c r="J355" s="84">
        <f t="shared" si="20"/>
        <v>4.7747234116471938E-5</v>
      </c>
    </row>
    <row r="356" spans="1:10">
      <c r="A356" s="29" t="s">
        <v>717</v>
      </c>
      <c r="B356" s="34" t="s">
        <v>718</v>
      </c>
      <c r="C356" s="83">
        <v>112.435</v>
      </c>
      <c r="D356" s="83">
        <v>128.43</v>
      </c>
      <c r="E356" s="83">
        <f t="shared" si="21"/>
        <v>14440.027050000001</v>
      </c>
      <c r="F356" s="84" t="str">
        <f t="shared" si="22"/>
        <v/>
      </c>
      <c r="G356" s="85">
        <v>2.2113213423654906E-2</v>
      </c>
      <c r="H356" s="84" t="str">
        <f t="shared" si="23"/>
        <v/>
      </c>
      <c r="I356" s="84">
        <v>-1.18E-2</v>
      </c>
      <c r="J356" s="84" t="str">
        <f t="shared" si="20"/>
        <v/>
      </c>
    </row>
    <row r="357" spans="1:10">
      <c r="A357" s="29" t="s">
        <v>719</v>
      </c>
      <c r="B357" s="34" t="s">
        <v>720</v>
      </c>
      <c r="C357" s="83">
        <v>114.592</v>
      </c>
      <c r="D357" s="83">
        <v>253.28</v>
      </c>
      <c r="E357" s="83">
        <f t="shared" si="21"/>
        <v>29023.86176</v>
      </c>
      <c r="F357" s="84">
        <f t="shared" si="22"/>
        <v>9.1692254944907828E-4</v>
      </c>
      <c r="G357" s="85">
        <v>1.9740998104864182E-2</v>
      </c>
      <c r="H357" s="84">
        <f t="shared" si="23"/>
        <v>1.8100966310981488E-5</v>
      </c>
      <c r="I357" s="84">
        <v>0.11057</v>
      </c>
      <c r="J357" s="84">
        <f t="shared" si="20"/>
        <v>1.0138412629258459E-4</v>
      </c>
    </row>
    <row r="358" spans="1:10">
      <c r="A358" s="29" t="s">
        <v>721</v>
      </c>
      <c r="B358" s="34" t="s">
        <v>722</v>
      </c>
      <c r="C358" s="83">
        <v>1226.539</v>
      </c>
      <c r="D358" s="83">
        <v>37.130000000000003</v>
      </c>
      <c r="E358" s="83">
        <f t="shared" si="21"/>
        <v>45541.393070000006</v>
      </c>
      <c r="F358" s="84">
        <f t="shared" si="22"/>
        <v>1.4387448019324838E-3</v>
      </c>
      <c r="G358" s="85">
        <v>4.3091839482897923E-2</v>
      </c>
      <c r="H358" s="84">
        <f t="shared" si="23"/>
        <v>6.1998160061728355E-5</v>
      </c>
      <c r="I358" s="84">
        <v>4.4600000000000001E-2</v>
      </c>
      <c r="J358" s="84">
        <f t="shared" si="20"/>
        <v>6.4168018166188781E-5</v>
      </c>
    </row>
    <row r="359" spans="1:10">
      <c r="A359" s="29" t="s">
        <v>723</v>
      </c>
      <c r="B359" s="34" t="s">
        <v>724</v>
      </c>
      <c r="C359" s="83">
        <v>466.16500000000002</v>
      </c>
      <c r="D359" s="83">
        <v>195.65</v>
      </c>
      <c r="E359" s="83">
        <f t="shared" si="21"/>
        <v>91205.182250000013</v>
      </c>
      <c r="F359" s="84">
        <f t="shared" si="22"/>
        <v>2.8813563447608508E-3</v>
      </c>
      <c r="G359" s="85">
        <v>3.4755941732685917E-2</v>
      </c>
      <c r="H359" s="84">
        <f t="shared" si="23"/>
        <v>1.00144253229613E-4</v>
      </c>
      <c r="I359" s="84">
        <v>0.11810000000000001</v>
      </c>
      <c r="J359" s="84">
        <f t="shared" si="20"/>
        <v>3.4028818431625649E-4</v>
      </c>
    </row>
    <row r="360" spans="1:10">
      <c r="A360" s="29" t="s">
        <v>725</v>
      </c>
      <c r="B360" s="34" t="s">
        <v>726</v>
      </c>
      <c r="C360" s="83">
        <v>107.129</v>
      </c>
      <c r="D360" s="83">
        <v>942.78</v>
      </c>
      <c r="E360" s="83">
        <f t="shared" si="21"/>
        <v>100999.07862</v>
      </c>
      <c r="F360" s="84">
        <f t="shared" si="22"/>
        <v>3.1907653580368449E-3</v>
      </c>
      <c r="G360" s="85" t="s">
        <v>90</v>
      </c>
      <c r="H360" s="84" t="str">
        <f t="shared" si="23"/>
        <v/>
      </c>
      <c r="I360" s="84">
        <v>5.3330000000000002E-2</v>
      </c>
      <c r="J360" s="84">
        <f t="shared" si="20"/>
        <v>1.7016351654410494E-4</v>
      </c>
    </row>
    <row r="361" spans="1:10">
      <c r="A361" s="29" t="s">
        <v>727</v>
      </c>
      <c r="B361" s="34" t="s">
        <v>728</v>
      </c>
      <c r="C361" s="83">
        <v>10334.031000000001</v>
      </c>
      <c r="D361" s="83">
        <v>155.19999999999999</v>
      </c>
      <c r="E361" s="83">
        <f t="shared" si="21"/>
        <v>1603841.6111999999</v>
      </c>
      <c r="F361" s="84" t="str">
        <f t="shared" si="22"/>
        <v/>
      </c>
      <c r="G361" s="85" t="s">
        <v>90</v>
      </c>
      <c r="H361" s="84" t="str">
        <f t="shared" si="23"/>
        <v/>
      </c>
      <c r="I361" s="84">
        <v>0.35100000000000003</v>
      </c>
      <c r="J361" s="84" t="str">
        <f t="shared" si="20"/>
        <v/>
      </c>
    </row>
    <row r="362" spans="1:10">
      <c r="A362" s="29" t="s">
        <v>729</v>
      </c>
      <c r="B362" s="34" t="s">
        <v>730</v>
      </c>
      <c r="C362" s="83">
        <v>72.828000000000003</v>
      </c>
      <c r="D362" s="83">
        <v>165.83</v>
      </c>
      <c r="E362" s="83">
        <f t="shared" si="21"/>
        <v>12077.067240000002</v>
      </c>
      <c r="F362" s="84">
        <f t="shared" si="22"/>
        <v>3.8153900315327112E-4</v>
      </c>
      <c r="G362" s="85">
        <v>1.2542965687752518E-2</v>
      </c>
      <c r="H362" s="84">
        <f t="shared" si="23"/>
        <v>4.7856306250907791E-6</v>
      </c>
      <c r="I362" s="84">
        <v>7.0599999999999996E-2</v>
      </c>
      <c r="J362" s="84">
        <f t="shared" si="20"/>
        <v>2.693665362262094E-5</v>
      </c>
    </row>
    <row r="363" spans="1:10">
      <c r="A363" s="29" t="s">
        <v>731</v>
      </c>
      <c r="B363" s="34" t="s">
        <v>732</v>
      </c>
      <c r="C363" s="83">
        <v>39.752000000000002</v>
      </c>
      <c r="D363" s="83">
        <v>143.66999999999999</v>
      </c>
      <c r="E363" s="83">
        <f t="shared" si="21"/>
        <v>5711.1698399999996</v>
      </c>
      <c r="F363" s="84">
        <f t="shared" si="22"/>
        <v>1.8042741704505294E-4</v>
      </c>
      <c r="G363" s="85">
        <v>2.0881186051367719E-2</v>
      </c>
      <c r="H363" s="84">
        <f t="shared" si="23"/>
        <v>3.7675384640854657E-6</v>
      </c>
      <c r="I363" s="84">
        <v>0.10244999999999999</v>
      </c>
      <c r="J363" s="84">
        <f t="shared" si="20"/>
        <v>1.8484788876265671E-5</v>
      </c>
    </row>
    <row r="364" spans="1:10">
      <c r="A364" s="29" t="s">
        <v>733</v>
      </c>
      <c r="B364" s="34" t="s">
        <v>734</v>
      </c>
      <c r="C364" s="83">
        <v>156.941</v>
      </c>
      <c r="D364" s="83">
        <v>66.5</v>
      </c>
      <c r="E364" s="83">
        <f t="shared" si="21"/>
        <v>10436.576500000001</v>
      </c>
      <c r="F364" s="84" t="str">
        <f t="shared" si="22"/>
        <v/>
      </c>
      <c r="G364" s="85">
        <v>5.894736842105263E-2</v>
      </c>
      <c r="H364" s="84" t="str">
        <f t="shared" si="23"/>
        <v/>
      </c>
      <c r="I364" s="84">
        <v>-1.26E-2</v>
      </c>
      <c r="J364" s="84" t="str">
        <f t="shared" si="20"/>
        <v/>
      </c>
    </row>
    <row r="365" spans="1:10">
      <c r="A365" s="29" t="s">
        <v>735</v>
      </c>
      <c r="B365" s="34" t="s">
        <v>736</v>
      </c>
      <c r="C365" s="83">
        <v>598.30999999999995</v>
      </c>
      <c r="D365" s="83">
        <v>101.1</v>
      </c>
      <c r="E365" s="83">
        <f t="shared" si="21"/>
        <v>60489.140999999989</v>
      </c>
      <c r="F365" s="84">
        <f t="shared" si="22"/>
        <v>1.910974419542741E-3</v>
      </c>
      <c r="G365" s="85">
        <v>8.7042532146389719E-3</v>
      </c>
      <c r="H365" s="84">
        <f t="shared" si="23"/>
        <v>1.6633605234397747E-5</v>
      </c>
      <c r="I365" s="84">
        <v>9.0200000000000002E-2</v>
      </c>
      <c r="J365" s="84">
        <f t="shared" si="20"/>
        <v>1.7236989264275525E-4</v>
      </c>
    </row>
    <row r="366" spans="1:10">
      <c r="A366" s="29" t="s">
        <v>737</v>
      </c>
      <c r="B366" s="34" t="s">
        <v>738</v>
      </c>
      <c r="C366" s="83">
        <v>411.74400000000003</v>
      </c>
      <c r="D366" s="83">
        <v>56.26</v>
      </c>
      <c r="E366" s="83">
        <f t="shared" si="21"/>
        <v>23164.71744</v>
      </c>
      <c r="F366" s="84" t="str">
        <f t="shared" si="22"/>
        <v/>
      </c>
      <c r="G366" s="85">
        <v>3.5549235691432635E-3</v>
      </c>
      <c r="H366" s="84" t="str">
        <f t="shared" si="23"/>
        <v/>
      </c>
      <c r="I366" s="84">
        <v>0.20405000000000001</v>
      </c>
      <c r="J366" s="84" t="str">
        <f t="shared" si="20"/>
        <v/>
      </c>
    </row>
    <row r="367" spans="1:10">
      <c r="A367" s="29" t="s">
        <v>739</v>
      </c>
      <c r="B367" s="34" t="s">
        <v>740</v>
      </c>
      <c r="C367" s="83">
        <v>233.62299999999999</v>
      </c>
      <c r="D367" s="83">
        <v>229.83</v>
      </c>
      <c r="E367" s="83">
        <f t="shared" si="21"/>
        <v>53693.574090000002</v>
      </c>
      <c r="F367" s="84">
        <f t="shared" si="22"/>
        <v>1.6962887037826001E-3</v>
      </c>
      <c r="G367" s="85">
        <v>5.5693338554583825E-2</v>
      </c>
      <c r="H367" s="84">
        <f t="shared" si="23"/>
        <v>9.4471981066080504E-5</v>
      </c>
      <c r="I367" s="84">
        <v>0.02</v>
      </c>
      <c r="J367" s="84">
        <f t="shared" si="20"/>
        <v>3.3925774075652004E-5</v>
      </c>
    </row>
    <row r="368" spans="1:10">
      <c r="A368" s="29" t="s">
        <v>741</v>
      </c>
      <c r="B368" s="34" t="s">
        <v>742</v>
      </c>
      <c r="C368" s="83">
        <v>340.45299999999997</v>
      </c>
      <c r="D368" s="83">
        <v>138.9</v>
      </c>
      <c r="E368" s="83">
        <f t="shared" si="21"/>
        <v>47288.921699999999</v>
      </c>
      <c r="F368" s="84">
        <f t="shared" si="22"/>
        <v>1.4939527690839526E-3</v>
      </c>
      <c r="G368" s="85">
        <v>3.0813534917206623E-2</v>
      </c>
      <c r="H368" s="84">
        <f t="shared" si="23"/>
        <v>4.6033965814825893E-5</v>
      </c>
      <c r="I368" s="84">
        <v>8.1549999999999997E-2</v>
      </c>
      <c r="J368" s="84">
        <f t="shared" si="20"/>
        <v>1.2183184831879633E-4</v>
      </c>
    </row>
    <row r="369" spans="1:10">
      <c r="A369" s="29" t="s">
        <v>743</v>
      </c>
      <c r="B369" s="34" t="s">
        <v>744</v>
      </c>
      <c r="C369" s="83">
        <v>152.52099999999999</v>
      </c>
      <c r="D369" s="83">
        <v>533.35</v>
      </c>
      <c r="E369" s="83">
        <f t="shared" si="21"/>
        <v>81347.075349999999</v>
      </c>
      <c r="F369" s="84">
        <f t="shared" si="22"/>
        <v>2.569918790853153E-3</v>
      </c>
      <c r="G369" s="85" t="s">
        <v>90</v>
      </c>
      <c r="H369" s="84" t="str">
        <f t="shared" si="23"/>
        <v/>
      </c>
      <c r="I369" s="84">
        <v>0.17675000000000002</v>
      </c>
      <c r="J369" s="84">
        <f t="shared" si="20"/>
        <v>4.5423314628329484E-4</v>
      </c>
    </row>
    <row r="370" spans="1:10">
      <c r="A370" s="29" t="s">
        <v>745</v>
      </c>
      <c r="B370" s="34" t="s">
        <v>746</v>
      </c>
      <c r="C370" s="83">
        <v>119.746</v>
      </c>
      <c r="D370" s="83">
        <v>66.56</v>
      </c>
      <c r="E370" s="83">
        <f t="shared" si="21"/>
        <v>7970.2937599999996</v>
      </c>
      <c r="F370" s="84">
        <f t="shared" si="22"/>
        <v>2.5179771509073229E-4</v>
      </c>
      <c r="G370" s="85" t="s">
        <v>90</v>
      </c>
      <c r="H370" s="84" t="str">
        <f t="shared" si="23"/>
        <v/>
      </c>
      <c r="I370" s="84">
        <v>8.4730000000000014E-2</v>
      </c>
      <c r="J370" s="84">
        <f t="shared" si="20"/>
        <v>2.133482039963775E-5</v>
      </c>
    </row>
    <row r="371" spans="1:10">
      <c r="A371" s="29" t="s">
        <v>747</v>
      </c>
      <c r="B371" s="34" t="s">
        <v>748</v>
      </c>
      <c r="C371" s="83">
        <v>116.651</v>
      </c>
      <c r="D371" s="83">
        <v>84.09</v>
      </c>
      <c r="E371" s="83">
        <f t="shared" si="21"/>
        <v>9809.1825900000003</v>
      </c>
      <c r="F371" s="84" t="str">
        <f t="shared" si="22"/>
        <v/>
      </c>
      <c r="G371" s="85">
        <v>2.901652990843144E-2</v>
      </c>
      <c r="H371" s="84" t="str">
        <f t="shared" si="23"/>
        <v/>
      </c>
      <c r="I371" s="84">
        <v>-0.1</v>
      </c>
      <c r="J371" s="84" t="str">
        <f t="shared" si="20"/>
        <v/>
      </c>
    </row>
    <row r="372" spans="1:10">
      <c r="A372" s="29" t="s">
        <v>749</v>
      </c>
      <c r="B372" s="34" t="s">
        <v>750</v>
      </c>
      <c r="C372" s="83">
        <v>666.51199999999994</v>
      </c>
      <c r="D372" s="83">
        <v>363.88</v>
      </c>
      <c r="E372" s="83">
        <f t="shared" si="21"/>
        <v>242530.38655999998</v>
      </c>
      <c r="F372" s="84">
        <f t="shared" si="22"/>
        <v>7.6620258944985293E-3</v>
      </c>
      <c r="G372" s="85">
        <v>1.4180499065626032E-2</v>
      </c>
      <c r="H372" s="84">
        <f t="shared" si="23"/>
        <v>1.0865135103773885E-4</v>
      </c>
      <c r="I372" s="84">
        <v>0.1</v>
      </c>
      <c r="J372" s="84">
        <f t="shared" si="20"/>
        <v>7.6620258944985298E-4</v>
      </c>
    </row>
    <row r="373" spans="1:10">
      <c r="A373" s="29" t="s">
        <v>751</v>
      </c>
      <c r="B373" s="34" t="s">
        <v>752</v>
      </c>
      <c r="C373" s="83">
        <v>55.594000000000001</v>
      </c>
      <c r="D373" s="83">
        <v>1092.68</v>
      </c>
      <c r="E373" s="83">
        <f t="shared" si="21"/>
        <v>60746.451920000007</v>
      </c>
      <c r="F373" s="84">
        <f t="shared" si="22"/>
        <v>1.9191033924105992E-3</v>
      </c>
      <c r="G373" s="85" t="s">
        <v>90</v>
      </c>
      <c r="H373" s="84" t="str">
        <f t="shared" si="23"/>
        <v/>
      </c>
      <c r="I373" s="84">
        <v>0.15560000000000002</v>
      </c>
      <c r="J373" s="84">
        <f t="shared" si="20"/>
        <v>2.9861248785908925E-4</v>
      </c>
    </row>
    <row r="374" spans="1:10">
      <c r="A374" s="29" t="s">
        <v>753</v>
      </c>
      <c r="B374" s="34" t="s">
        <v>754</v>
      </c>
      <c r="C374" s="83">
        <v>280.30799999999999</v>
      </c>
      <c r="D374" s="83">
        <v>129.49</v>
      </c>
      <c r="E374" s="83">
        <f t="shared" si="21"/>
        <v>36297.082920000001</v>
      </c>
      <c r="F374" s="84">
        <f t="shared" si="22"/>
        <v>1.1466983299389514E-3</v>
      </c>
      <c r="G374" s="85">
        <v>2.0696578886400495E-2</v>
      </c>
      <c r="H374" s="84">
        <f t="shared" si="23"/>
        <v>2.3732732444485209E-5</v>
      </c>
      <c r="I374" s="84">
        <v>0.1149</v>
      </c>
      <c r="J374" s="84">
        <f t="shared" si="20"/>
        <v>1.3175563810998551E-4</v>
      </c>
    </row>
    <row r="375" spans="1:10">
      <c r="A375" s="29" t="s">
        <v>755</v>
      </c>
      <c r="B375" s="34" t="s">
        <v>756</v>
      </c>
      <c r="C375" s="83">
        <v>923.971</v>
      </c>
      <c r="D375" s="83">
        <v>126.69</v>
      </c>
      <c r="E375" s="83">
        <f t="shared" si="21"/>
        <v>117057.88599</v>
      </c>
      <c r="F375" s="84">
        <f t="shared" si="22"/>
        <v>3.6980955926062932E-3</v>
      </c>
      <c r="G375" s="85">
        <v>2.7468624200805116E-2</v>
      </c>
      <c r="H375" s="84">
        <f t="shared" si="23"/>
        <v>1.0158159809195597E-4</v>
      </c>
      <c r="I375" s="84">
        <v>8.5950000000000013E-2</v>
      </c>
      <c r="J375" s="84">
        <f t="shared" si="20"/>
        <v>3.1785131618451094E-4</v>
      </c>
    </row>
    <row r="376" spans="1:10">
      <c r="A376" s="29" t="s">
        <v>757</v>
      </c>
      <c r="B376" s="34" t="s">
        <v>758</v>
      </c>
      <c r="C376" s="83">
        <v>573.81500000000005</v>
      </c>
      <c r="D376" s="83">
        <v>36.68</v>
      </c>
      <c r="E376" s="83">
        <f t="shared" si="21"/>
        <v>21047.534200000002</v>
      </c>
      <c r="F376" s="84" t="str">
        <f t="shared" si="22"/>
        <v/>
      </c>
      <c r="G376" s="85">
        <v>4.4711014176663032E-2</v>
      </c>
      <c r="H376" s="84" t="str">
        <f t="shared" si="23"/>
        <v/>
      </c>
      <c r="I376" s="84">
        <v>-3.3E-3</v>
      </c>
      <c r="J376" s="84" t="str">
        <f t="shared" si="20"/>
        <v/>
      </c>
    </row>
    <row r="377" spans="1:10">
      <c r="A377" s="29" t="s">
        <v>759</v>
      </c>
      <c r="B377" s="34" t="s">
        <v>760</v>
      </c>
      <c r="C377" s="83">
        <v>102.1</v>
      </c>
      <c r="D377" s="83">
        <v>198.88</v>
      </c>
      <c r="E377" s="83">
        <f t="shared" si="21"/>
        <v>20305.647999999997</v>
      </c>
      <c r="F377" s="84">
        <f t="shared" si="22"/>
        <v>6.4149652745505552E-4</v>
      </c>
      <c r="G377" s="85" t="s">
        <v>90</v>
      </c>
      <c r="H377" s="84" t="str">
        <f t="shared" si="23"/>
        <v/>
      </c>
      <c r="I377" s="84">
        <v>0.115</v>
      </c>
      <c r="J377" s="84">
        <f t="shared" si="20"/>
        <v>7.3772100657331385E-5</v>
      </c>
    </row>
    <row r="378" spans="1:10">
      <c r="A378" s="29" t="s">
        <v>761</v>
      </c>
      <c r="B378" s="34" t="s">
        <v>762</v>
      </c>
      <c r="C378" s="83">
        <v>145.285</v>
      </c>
      <c r="D378" s="83">
        <v>194.05</v>
      </c>
      <c r="E378" s="83">
        <f t="shared" si="21"/>
        <v>28192.554250000001</v>
      </c>
      <c r="F378" s="84">
        <f t="shared" si="22"/>
        <v>8.9065986229364699E-4</v>
      </c>
      <c r="G378" s="85">
        <v>1.8551919608348361E-3</v>
      </c>
      <c r="H378" s="84">
        <f t="shared" si="23"/>
        <v>1.6523450163654361E-6</v>
      </c>
      <c r="I378" s="84">
        <v>0.08</v>
      </c>
      <c r="J378" s="84">
        <f t="shared" si="20"/>
        <v>7.1252788983491755E-5</v>
      </c>
    </row>
    <row r="379" spans="1:10">
      <c r="A379" s="29" t="s">
        <v>763</v>
      </c>
      <c r="B379" s="34" t="s">
        <v>764</v>
      </c>
      <c r="C379" s="83">
        <v>130.58500000000001</v>
      </c>
      <c r="D379" s="83">
        <v>74.84</v>
      </c>
      <c r="E379" s="83">
        <f t="shared" si="21"/>
        <v>9772.9814000000006</v>
      </c>
      <c r="F379" s="84">
        <f t="shared" si="22"/>
        <v>3.0874826703303671E-4</v>
      </c>
      <c r="G379" s="85" t="s">
        <v>90</v>
      </c>
      <c r="H379" s="84" t="str">
        <f t="shared" si="23"/>
        <v/>
      </c>
      <c r="I379" s="84">
        <v>3.44E-2</v>
      </c>
      <c r="J379" s="84">
        <f t="shared" si="20"/>
        <v>1.0620940385936462E-5</v>
      </c>
    </row>
    <row r="380" spans="1:10">
      <c r="A380" s="29" t="s">
        <v>765</v>
      </c>
      <c r="B380" s="34" t="s">
        <v>766</v>
      </c>
      <c r="C380" s="83">
        <v>262.94499999999999</v>
      </c>
      <c r="D380" s="83">
        <v>69.569999999999993</v>
      </c>
      <c r="E380" s="83">
        <f t="shared" si="21"/>
        <v>18293.083649999997</v>
      </c>
      <c r="F380" s="84">
        <f t="shared" si="22"/>
        <v>5.7791554536549888E-4</v>
      </c>
      <c r="G380" s="85">
        <v>3.622250970245796E-2</v>
      </c>
      <c r="H380" s="84">
        <f t="shared" si="23"/>
        <v>2.0933551449203068E-5</v>
      </c>
      <c r="I380" s="84">
        <v>6.3949999999999993E-2</v>
      </c>
      <c r="J380" s="84">
        <f t="shared" si="20"/>
        <v>3.6957699126123651E-5</v>
      </c>
    </row>
    <row r="381" spans="1:10">
      <c r="A381" s="29" t="s">
        <v>767</v>
      </c>
      <c r="B381" s="34" t="s">
        <v>768</v>
      </c>
      <c r="C381" s="83">
        <v>86.917000000000002</v>
      </c>
      <c r="D381" s="83">
        <v>327.83</v>
      </c>
      <c r="E381" s="83">
        <f t="shared" si="21"/>
        <v>28494.000110000001</v>
      </c>
      <c r="F381" s="84">
        <f t="shared" si="22"/>
        <v>9.0018314726370572E-4</v>
      </c>
      <c r="G381" s="85" t="s">
        <v>90</v>
      </c>
      <c r="H381" s="84" t="str">
        <f t="shared" si="23"/>
        <v/>
      </c>
      <c r="I381" s="84">
        <v>0.09</v>
      </c>
      <c r="J381" s="84">
        <f t="shared" si="20"/>
        <v>8.101648325373351E-5</v>
      </c>
    </row>
    <row r="382" spans="1:10">
      <c r="A382" s="29" t="s">
        <v>769</v>
      </c>
      <c r="B382" s="34" t="s">
        <v>770</v>
      </c>
      <c r="C382" s="83">
        <v>38.085999999999999</v>
      </c>
      <c r="D382" s="83">
        <v>475.92</v>
      </c>
      <c r="E382" s="83">
        <f t="shared" si="21"/>
        <v>18125.88912</v>
      </c>
      <c r="F382" s="84">
        <f t="shared" si="22"/>
        <v>5.7263353169105329E-4</v>
      </c>
      <c r="G382" s="85">
        <v>8.236678433350143E-3</v>
      </c>
      <c r="H382" s="84">
        <f t="shared" si="23"/>
        <v>4.7165982606928246E-6</v>
      </c>
      <c r="I382" s="84">
        <v>0.106</v>
      </c>
      <c r="J382" s="84">
        <f t="shared" si="20"/>
        <v>6.0699154359251648E-5</v>
      </c>
    </row>
    <row r="383" spans="1:10">
      <c r="A383" s="29" t="s">
        <v>771</v>
      </c>
      <c r="B383" s="34" t="s">
        <v>772</v>
      </c>
      <c r="C383" s="83">
        <v>2470</v>
      </c>
      <c r="D383" s="83">
        <v>615.27</v>
      </c>
      <c r="E383" s="83">
        <f t="shared" si="21"/>
        <v>1519716.9</v>
      </c>
      <c r="F383" s="84" t="str">
        <f t="shared" si="22"/>
        <v/>
      </c>
      <c r="G383" s="85">
        <v>2.6004843402083639E-4</v>
      </c>
      <c r="H383" s="84" t="str">
        <f t="shared" si="23"/>
        <v/>
      </c>
      <c r="I383" s="84">
        <v>0.43967000000000001</v>
      </c>
      <c r="J383" s="84" t="str">
        <f t="shared" si="20"/>
        <v/>
      </c>
    </row>
    <row r="384" spans="1:10">
      <c r="A384" s="29" t="s">
        <v>773</v>
      </c>
      <c r="B384" s="34" t="s">
        <v>774</v>
      </c>
      <c r="C384" s="83">
        <v>501.41300000000001</v>
      </c>
      <c r="D384" s="83">
        <v>77.12</v>
      </c>
      <c r="E384" s="83">
        <f t="shared" si="21"/>
        <v>38668.970560000002</v>
      </c>
      <c r="F384" s="84">
        <f t="shared" si="22"/>
        <v>1.2216310621804226E-3</v>
      </c>
      <c r="G384" s="85">
        <v>1.5041493775933609E-2</v>
      </c>
      <c r="H384" s="84">
        <f t="shared" si="23"/>
        <v>1.837515601827399E-5</v>
      </c>
      <c r="I384" s="84">
        <v>0.12</v>
      </c>
      <c r="J384" s="84">
        <f t="shared" si="20"/>
        <v>1.4659572746165072E-4</v>
      </c>
    </row>
    <row r="385" spans="1:10">
      <c r="A385" s="29" t="s">
        <v>775</v>
      </c>
      <c r="B385" s="34" t="s">
        <v>776</v>
      </c>
      <c r="C385" s="83">
        <v>352.32600000000002</v>
      </c>
      <c r="D385" s="83">
        <v>378.22</v>
      </c>
      <c r="E385" s="83">
        <f t="shared" si="21"/>
        <v>133256.73972000001</v>
      </c>
      <c r="F385" s="84">
        <f t="shared" si="22"/>
        <v>4.2098501752006233E-3</v>
      </c>
      <c r="G385" s="85" t="s">
        <v>90</v>
      </c>
      <c r="H385" s="84" t="str">
        <f t="shared" si="23"/>
        <v/>
      </c>
      <c r="I385" s="84">
        <v>0.12</v>
      </c>
      <c r="J385" s="84">
        <f t="shared" si="20"/>
        <v>5.051820210240748E-4</v>
      </c>
    </row>
    <row r="386" spans="1:10">
      <c r="A386" s="29" t="s">
        <v>777</v>
      </c>
      <c r="B386" s="34" t="s">
        <v>778</v>
      </c>
      <c r="C386" s="83">
        <v>170.06800000000001</v>
      </c>
      <c r="D386" s="83">
        <v>164.93</v>
      </c>
      <c r="E386" s="83">
        <f t="shared" si="21"/>
        <v>28049.315240000004</v>
      </c>
      <c r="F386" s="84" t="str">
        <f t="shared" si="22"/>
        <v/>
      </c>
      <c r="G386" s="85" t="s">
        <v>90</v>
      </c>
      <c r="H386" s="84" t="str">
        <f t="shared" si="23"/>
        <v/>
      </c>
      <c r="I386" s="84">
        <v>0.35020000000000001</v>
      </c>
      <c r="J386" s="84" t="str">
        <f t="shared" si="20"/>
        <v/>
      </c>
    </row>
    <row r="387" spans="1:10">
      <c r="A387" s="29" t="s">
        <v>779</v>
      </c>
      <c r="B387" s="34" t="s">
        <v>780</v>
      </c>
      <c r="C387" s="83">
        <v>314.637</v>
      </c>
      <c r="D387" s="83">
        <v>171.12</v>
      </c>
      <c r="E387" s="83">
        <f t="shared" si="21"/>
        <v>53840.683440000001</v>
      </c>
      <c r="F387" s="84">
        <f t="shared" si="22"/>
        <v>1.7009361859600303E-3</v>
      </c>
      <c r="G387" s="85">
        <v>1.2505843852267415E-2</v>
      </c>
      <c r="H387" s="84">
        <f t="shared" si="23"/>
        <v>2.1271642344287431E-5</v>
      </c>
      <c r="I387" s="84">
        <v>0.10105</v>
      </c>
      <c r="J387" s="84">
        <f t="shared" si="20"/>
        <v>1.7187960159126107E-4</v>
      </c>
    </row>
    <row r="388" spans="1:10">
      <c r="A388" s="29" t="s">
        <v>781</v>
      </c>
      <c r="B388" s="34" t="s">
        <v>782</v>
      </c>
      <c r="C388" s="83">
        <v>519</v>
      </c>
      <c r="D388" s="83">
        <v>41.07</v>
      </c>
      <c r="E388" s="83">
        <f t="shared" si="21"/>
        <v>21315.33</v>
      </c>
      <c r="F388" s="84">
        <f t="shared" si="22"/>
        <v>6.7339442585425346E-4</v>
      </c>
      <c r="G388" s="85">
        <v>2.4348672997321647E-2</v>
      </c>
      <c r="H388" s="84">
        <f t="shared" si="23"/>
        <v>1.6396260673344374E-5</v>
      </c>
      <c r="I388" s="84">
        <v>3.15E-3</v>
      </c>
      <c r="J388" s="84">
        <f t="shared" si="20"/>
        <v>2.1211924414408986E-6</v>
      </c>
    </row>
    <row r="389" spans="1:10">
      <c r="A389" s="29" t="s">
        <v>783</v>
      </c>
      <c r="B389" s="34" t="s">
        <v>784</v>
      </c>
      <c r="C389" s="83">
        <v>326.11200000000002</v>
      </c>
      <c r="D389" s="83">
        <v>384.01</v>
      </c>
      <c r="E389" s="83">
        <f t="shared" si="21"/>
        <v>125230.26912000001</v>
      </c>
      <c r="F389" s="84">
        <f t="shared" si="22"/>
        <v>3.956277720008841E-3</v>
      </c>
      <c r="G389" s="85">
        <v>2.8645087367516472E-2</v>
      </c>
      <c r="H389" s="84">
        <f t="shared" si="23"/>
        <v>1.1332792093981212E-4</v>
      </c>
      <c r="I389" s="84">
        <v>8.3599999999999994E-2</v>
      </c>
      <c r="J389" s="84">
        <f t="shared" si="20"/>
        <v>3.3074481739273906E-4</v>
      </c>
    </row>
    <row r="390" spans="1:10">
      <c r="A390" s="29" t="s">
        <v>785</v>
      </c>
      <c r="B390" s="34" t="s">
        <v>786</v>
      </c>
      <c r="C390" s="83">
        <v>107.887</v>
      </c>
      <c r="D390" s="83">
        <v>223.86</v>
      </c>
      <c r="E390" s="83">
        <f t="shared" si="21"/>
        <v>24151.58382</v>
      </c>
      <c r="F390" s="84">
        <f t="shared" si="22"/>
        <v>7.6299742579353808E-4</v>
      </c>
      <c r="G390" s="85">
        <v>1.5188063968551772E-2</v>
      </c>
      <c r="H390" s="84">
        <f t="shared" si="23"/>
        <v>1.1588453710792589E-5</v>
      </c>
      <c r="I390" s="84">
        <v>0.08</v>
      </c>
      <c r="J390" s="84">
        <f t="shared" si="20"/>
        <v>6.1039794063483054E-5</v>
      </c>
    </row>
    <row r="391" spans="1:10">
      <c r="A391" s="29" t="s">
        <v>1294</v>
      </c>
      <c r="B391" s="34" t="s">
        <v>787</v>
      </c>
      <c r="C391" s="83">
        <v>629.32799999999997</v>
      </c>
      <c r="D391" s="83">
        <v>71.56</v>
      </c>
      <c r="E391" s="83">
        <f t="shared" si="21"/>
        <v>45034.71168</v>
      </c>
      <c r="F391" s="84">
        <f t="shared" si="22"/>
        <v>1.4227377110870645E-3</v>
      </c>
      <c r="G391" s="85">
        <v>3.3258803801006147E-2</v>
      </c>
      <c r="H391" s="84">
        <f t="shared" si="23"/>
        <v>4.7318554393337244E-5</v>
      </c>
      <c r="I391" s="84">
        <v>4.9500000000000002E-2</v>
      </c>
      <c r="J391" s="84">
        <f t="shared" si="20"/>
        <v>7.0425516698809692E-5</v>
      </c>
    </row>
    <row r="392" spans="1:10">
      <c r="A392" s="29" t="s">
        <v>788</v>
      </c>
      <c r="B392" s="34" t="s">
        <v>789</v>
      </c>
      <c r="C392" s="83">
        <v>183</v>
      </c>
      <c r="D392" s="83">
        <v>392.04</v>
      </c>
      <c r="E392" s="83">
        <f t="shared" si="21"/>
        <v>71743.320000000007</v>
      </c>
      <c r="F392" s="84">
        <f t="shared" si="22"/>
        <v>2.2665167173240098E-3</v>
      </c>
      <c r="G392" s="85">
        <v>7.8563411896745219E-3</v>
      </c>
      <c r="H392" s="84">
        <f t="shared" si="23"/>
        <v>1.7806528643398501E-5</v>
      </c>
      <c r="I392" s="84">
        <v>0.13585</v>
      </c>
      <c r="J392" s="84">
        <f t="shared" si="20"/>
        <v>3.0790629604846671E-4</v>
      </c>
    </row>
    <row r="393" spans="1:10">
      <c r="A393" s="29" t="s">
        <v>790</v>
      </c>
      <c r="B393" s="34" t="s">
        <v>791</v>
      </c>
      <c r="C393" s="83">
        <v>430.69799999999998</v>
      </c>
      <c r="D393" s="83">
        <v>71.13</v>
      </c>
      <c r="E393" s="83">
        <f t="shared" si="21"/>
        <v>30635.548739999998</v>
      </c>
      <c r="F393" s="84">
        <f t="shared" si="22"/>
        <v>9.6783900387666045E-4</v>
      </c>
      <c r="G393" s="85" t="s">
        <v>90</v>
      </c>
      <c r="H393" s="84" t="str">
        <f t="shared" si="23"/>
        <v/>
      </c>
      <c r="I393" s="84">
        <v>1.5949999999999999E-2</v>
      </c>
      <c r="J393" s="84">
        <f t="shared" si="20"/>
        <v>1.5437032111832732E-5</v>
      </c>
    </row>
    <row r="394" spans="1:10">
      <c r="A394" s="29" t="s">
        <v>792</v>
      </c>
      <c r="B394" s="34" t="s">
        <v>793</v>
      </c>
      <c r="C394" s="83">
        <v>34.89</v>
      </c>
      <c r="D394" s="83">
        <v>3507.47</v>
      </c>
      <c r="E394" s="83">
        <f t="shared" si="21"/>
        <v>122375.6283</v>
      </c>
      <c r="F394" s="84">
        <f t="shared" si="22"/>
        <v>3.8660938375165679E-3</v>
      </c>
      <c r="G394" s="85" t="s">
        <v>90</v>
      </c>
      <c r="H394" s="84" t="str">
        <f t="shared" si="23"/>
        <v/>
      </c>
      <c r="I394" s="84">
        <v>0.15</v>
      </c>
      <c r="J394" s="84">
        <f t="shared" si="20"/>
        <v>5.7991407562748513E-4</v>
      </c>
    </row>
    <row r="395" spans="1:10">
      <c r="A395" s="29" t="s">
        <v>794</v>
      </c>
      <c r="B395" s="34" t="s">
        <v>795</v>
      </c>
      <c r="C395" s="83">
        <v>58.796999999999997</v>
      </c>
      <c r="D395" s="83">
        <v>183.7</v>
      </c>
      <c r="E395" s="83">
        <f t="shared" si="21"/>
        <v>10801.008899999999</v>
      </c>
      <c r="F395" s="84">
        <f t="shared" si="22"/>
        <v>3.4122573691620917E-4</v>
      </c>
      <c r="G395" s="85" t="s">
        <v>90</v>
      </c>
      <c r="H395" s="84" t="str">
        <f t="shared" si="23"/>
        <v/>
      </c>
      <c r="I395" s="84">
        <v>7.0900000000000005E-2</v>
      </c>
      <c r="J395" s="84">
        <f t="shared" si="20"/>
        <v>2.4192904747359231E-5</v>
      </c>
    </row>
    <row r="396" spans="1:10">
      <c r="A396" s="29" t="s">
        <v>796</v>
      </c>
      <c r="B396" s="34" t="s">
        <v>797</v>
      </c>
      <c r="C396" s="83">
        <v>150.83199999999999</v>
      </c>
      <c r="D396" s="83">
        <v>123.23</v>
      </c>
      <c r="E396" s="83">
        <f t="shared" si="21"/>
        <v>18587.02736</v>
      </c>
      <c r="F396" s="84">
        <f t="shared" si="22"/>
        <v>5.8720182222956436E-4</v>
      </c>
      <c r="G396" s="85" t="s">
        <v>90</v>
      </c>
      <c r="H396" s="84" t="str">
        <f t="shared" si="23"/>
        <v/>
      </c>
      <c r="I396" s="84">
        <v>7.8700000000000006E-2</v>
      </c>
      <c r="J396" s="84">
        <f t="shared" si="20"/>
        <v>4.6212783409466717E-5</v>
      </c>
    </row>
    <row r="397" spans="1:10">
      <c r="A397" s="29" t="s">
        <v>798</v>
      </c>
      <c r="B397" s="34" t="s">
        <v>799</v>
      </c>
      <c r="C397" s="83">
        <v>51.296999999999997</v>
      </c>
      <c r="D397" s="83">
        <v>216.28</v>
      </c>
      <c r="E397" s="83">
        <f t="shared" si="21"/>
        <v>11094.515159999999</v>
      </c>
      <c r="F397" s="84">
        <f t="shared" si="22"/>
        <v>3.5049819384919259E-4</v>
      </c>
      <c r="G397" s="85" t="s">
        <v>90</v>
      </c>
      <c r="H397" s="84" t="str">
        <f t="shared" si="23"/>
        <v/>
      </c>
      <c r="I397" s="84">
        <v>0.14000000000000001</v>
      </c>
      <c r="J397" s="84">
        <f t="shared" si="20"/>
        <v>4.9069747138886966E-5</v>
      </c>
    </row>
    <row r="398" spans="1:10">
      <c r="A398" s="29" t="s">
        <v>800</v>
      </c>
      <c r="B398" s="34" t="s">
        <v>801</v>
      </c>
      <c r="C398" s="83">
        <v>37.905000000000001</v>
      </c>
      <c r="D398" s="83">
        <v>225.51</v>
      </c>
      <c r="E398" s="83">
        <f t="shared" si="21"/>
        <v>8547.9565500000008</v>
      </c>
      <c r="F398" s="84" t="str">
        <f t="shared" si="22"/>
        <v/>
      </c>
      <c r="G398" s="85">
        <v>1.3125803733759036E-2</v>
      </c>
      <c r="H398" s="84" t="str">
        <f t="shared" si="23"/>
        <v/>
      </c>
      <c r="I398" s="84" t="s">
        <v>90</v>
      </c>
      <c r="J398" s="84" t="str">
        <f t="shared" si="20"/>
        <v/>
      </c>
    </row>
    <row r="399" spans="1:10">
      <c r="A399" s="29" t="s">
        <v>802</v>
      </c>
      <c r="B399" s="34" t="s">
        <v>803</v>
      </c>
      <c r="C399" s="83">
        <v>640.70000000000005</v>
      </c>
      <c r="D399" s="83">
        <v>42.02</v>
      </c>
      <c r="E399" s="83">
        <f t="shared" si="21"/>
        <v>26922.214000000004</v>
      </c>
      <c r="F399" s="84" t="str">
        <f t="shared" si="22"/>
        <v/>
      </c>
      <c r="G399" s="85">
        <v>7.3298429319371722E-2</v>
      </c>
      <c r="H399" s="84" t="str">
        <f t="shared" si="23"/>
        <v/>
      </c>
      <c r="I399" s="84">
        <v>0.21675</v>
      </c>
      <c r="J399" s="84" t="str">
        <f t="shared" si="20"/>
        <v/>
      </c>
    </row>
    <row r="400" spans="1:10">
      <c r="A400" s="29" t="s">
        <v>806</v>
      </c>
      <c r="B400" s="34" t="s">
        <v>807</v>
      </c>
      <c r="C400" s="83">
        <v>5893</v>
      </c>
      <c r="D400" s="83">
        <v>140.1</v>
      </c>
      <c r="E400" s="83">
        <f t="shared" si="21"/>
        <v>825609.29999999993</v>
      </c>
      <c r="F400" s="84">
        <f t="shared" si="22"/>
        <v>2.6082669165967968E-2</v>
      </c>
      <c r="G400" s="85" t="s">
        <v>90</v>
      </c>
      <c r="H400" s="84" t="str">
        <f t="shared" si="23"/>
        <v/>
      </c>
      <c r="I400" s="84">
        <v>0.10053000000000001</v>
      </c>
      <c r="J400" s="84">
        <f t="shared" si="20"/>
        <v>2.62209073125476E-3</v>
      </c>
    </row>
    <row r="401" spans="1:10">
      <c r="A401" s="29" t="s">
        <v>804</v>
      </c>
      <c r="B401" s="34" t="s">
        <v>805</v>
      </c>
      <c r="C401" s="83">
        <v>158.15</v>
      </c>
      <c r="D401" s="83">
        <v>70.319999999999993</v>
      </c>
      <c r="E401" s="83">
        <f t="shared" si="21"/>
        <v>11121.108</v>
      </c>
      <c r="F401" s="84">
        <f t="shared" si="22"/>
        <v>3.5133831549983717E-4</v>
      </c>
      <c r="G401" s="85">
        <v>4.550625711035268E-3</v>
      </c>
      <c r="H401" s="84">
        <f t="shared" si="23"/>
        <v>1.5988091717853799E-6</v>
      </c>
      <c r="I401" s="84">
        <v>0.05</v>
      </c>
      <c r="J401" s="84">
        <f t="shared" si="20"/>
        <v>1.756691577499186E-5</v>
      </c>
    </row>
    <row r="402" spans="1:10">
      <c r="A402" s="29" t="s">
        <v>808</v>
      </c>
      <c r="B402" s="34" t="s">
        <v>809</v>
      </c>
      <c r="C402" s="83">
        <v>46.993000000000002</v>
      </c>
      <c r="D402" s="83">
        <v>242.83</v>
      </c>
      <c r="E402" s="83">
        <f t="shared" si="21"/>
        <v>11411.310190000002</v>
      </c>
      <c r="F402" s="84">
        <f t="shared" si="22"/>
        <v>3.6050639017269929E-4</v>
      </c>
      <c r="G402" s="85">
        <v>5.6006259523123172E-3</v>
      </c>
      <c r="H402" s="84">
        <f t="shared" si="23"/>
        <v>2.0190614447756499E-6</v>
      </c>
      <c r="I402" s="84">
        <v>6.9949999999999998E-2</v>
      </c>
      <c r="J402" s="84">
        <f t="shared" si="20"/>
        <v>2.5217421992580314E-5</v>
      </c>
    </row>
    <row r="403" spans="1:10">
      <c r="A403" s="29" t="s">
        <v>810</v>
      </c>
      <c r="B403" s="34" t="s">
        <v>811</v>
      </c>
      <c r="C403" s="83">
        <v>87.787999999999997</v>
      </c>
      <c r="D403" s="83">
        <v>123.89</v>
      </c>
      <c r="E403" s="83">
        <f t="shared" si="21"/>
        <v>10876.055319999999</v>
      </c>
      <c r="F403" s="84">
        <f t="shared" si="22"/>
        <v>3.4359660524939086E-4</v>
      </c>
      <c r="G403" s="85">
        <v>1.4529017676971507E-2</v>
      </c>
      <c r="H403" s="84">
        <f t="shared" si="23"/>
        <v>4.9921211514158002E-6</v>
      </c>
      <c r="I403" s="84">
        <v>5.1399999999999994E-2</v>
      </c>
      <c r="J403" s="84">
        <f t="shared" ref="J403:J466" si="24">IFERROR($I403*$F403,"")</f>
        <v>1.7660865509818689E-5</v>
      </c>
    </row>
    <row r="404" spans="1:10">
      <c r="A404" s="29" t="s">
        <v>812</v>
      </c>
      <c r="B404" s="34" t="s">
        <v>813</v>
      </c>
      <c r="C404" s="83">
        <v>432.76</v>
      </c>
      <c r="D404" s="83">
        <v>564.11</v>
      </c>
      <c r="E404" s="83">
        <f t="shared" ref="E404:E467" si="25">IFERROR(C404*D404,"")</f>
        <v>244124.24359999999</v>
      </c>
      <c r="F404" s="84" t="str">
        <f t="shared" ref="F404:F467" si="26">IF(AND(ISNUMBER($I404)), IF(AND($I404&lt;=20%,$I404&gt;0%), $E404/SUMIFS($E$19:$E$521,$I$19:$I$521, "&gt;"&amp;0%,$I$19:$I$521, "&lt;="&amp;20%),""),"")</f>
        <v/>
      </c>
      <c r="G404" s="85" t="s">
        <v>90</v>
      </c>
      <c r="H404" s="84" t="str">
        <f t="shared" ref="H404:H467" si="27">IFERROR($G404*$F404,"")</f>
        <v/>
      </c>
      <c r="I404" s="84">
        <v>0.31805</v>
      </c>
      <c r="J404" s="84" t="str">
        <f t="shared" si="24"/>
        <v/>
      </c>
    </row>
    <row r="405" spans="1:10">
      <c r="A405" s="29" t="s">
        <v>814</v>
      </c>
      <c r="B405" s="34" t="s">
        <v>815</v>
      </c>
      <c r="C405" s="83">
        <v>2438.5659999999998</v>
      </c>
      <c r="D405" s="83">
        <v>10.02</v>
      </c>
      <c r="E405" s="83">
        <f t="shared" si="25"/>
        <v>24434.431319999996</v>
      </c>
      <c r="F405" s="84" t="str">
        <f t="shared" si="26"/>
        <v/>
      </c>
      <c r="G405" s="85" t="s">
        <v>90</v>
      </c>
      <c r="H405" s="84" t="str">
        <f t="shared" si="27"/>
        <v/>
      </c>
      <c r="I405" s="84">
        <v>0.9104000000000001</v>
      </c>
      <c r="J405" s="84" t="str">
        <f t="shared" si="24"/>
        <v/>
      </c>
    </row>
    <row r="406" spans="1:10">
      <c r="A406" s="29" t="s">
        <v>816</v>
      </c>
      <c r="B406" s="34" t="s">
        <v>817</v>
      </c>
      <c r="C406" s="83">
        <v>293.00400000000002</v>
      </c>
      <c r="D406" s="83">
        <v>130.1</v>
      </c>
      <c r="E406" s="83">
        <f t="shared" si="25"/>
        <v>38119.820400000004</v>
      </c>
      <c r="F406" s="84" t="str">
        <f t="shared" si="26"/>
        <v/>
      </c>
      <c r="G406" s="85">
        <v>7.2559569561875476E-3</v>
      </c>
      <c r="H406" s="84" t="str">
        <f t="shared" si="27"/>
        <v/>
      </c>
      <c r="I406" s="84" t="s">
        <v>90</v>
      </c>
      <c r="J406" s="84" t="str">
        <f t="shared" si="24"/>
        <v/>
      </c>
    </row>
    <row r="407" spans="1:10">
      <c r="A407" s="29" t="s">
        <v>818</v>
      </c>
      <c r="B407" s="34" t="s">
        <v>819</v>
      </c>
      <c r="C407" s="83">
        <v>248.768</v>
      </c>
      <c r="D407" s="83">
        <v>50.86</v>
      </c>
      <c r="E407" s="83">
        <f t="shared" si="25"/>
        <v>12652.340480000001</v>
      </c>
      <c r="F407" s="84" t="str">
        <f t="shared" si="26"/>
        <v/>
      </c>
      <c r="G407" s="85" t="s">
        <v>90</v>
      </c>
      <c r="H407" s="84" t="str">
        <f t="shared" si="27"/>
        <v/>
      </c>
      <c r="I407" s="84" t="s">
        <v>90</v>
      </c>
      <c r="J407" s="84" t="str">
        <f t="shared" si="24"/>
        <v/>
      </c>
    </row>
    <row r="408" spans="1:10">
      <c r="A408" s="29" t="s">
        <v>820</v>
      </c>
      <c r="B408" s="34" t="s">
        <v>821</v>
      </c>
      <c r="C408" s="83">
        <v>234.959</v>
      </c>
      <c r="D408" s="83">
        <v>493.44</v>
      </c>
      <c r="E408" s="83">
        <f t="shared" si="25"/>
        <v>115938.16896</v>
      </c>
      <c r="F408" s="84">
        <f t="shared" si="26"/>
        <v>3.6627214648524147E-3</v>
      </c>
      <c r="G408" s="85">
        <v>1.3213359273670558E-2</v>
      </c>
      <c r="H408" s="84">
        <f t="shared" si="27"/>
        <v>4.839685463447986E-5</v>
      </c>
      <c r="I408" s="84">
        <v>0.10830000000000001</v>
      </c>
      <c r="J408" s="84">
        <f t="shared" si="24"/>
        <v>3.9667273464351652E-4</v>
      </c>
    </row>
    <row r="409" spans="1:10">
      <c r="A409" s="29" t="s">
        <v>822</v>
      </c>
      <c r="B409" s="34" t="s">
        <v>823</v>
      </c>
      <c r="C409" s="83">
        <v>359.99</v>
      </c>
      <c r="D409" s="83">
        <v>205.84</v>
      </c>
      <c r="E409" s="83">
        <f t="shared" si="25"/>
        <v>74100.3416</v>
      </c>
      <c r="F409" s="84">
        <f t="shared" si="26"/>
        <v>2.3409798012667903E-3</v>
      </c>
      <c r="G409" s="85">
        <v>2.1375825884181889E-2</v>
      </c>
      <c r="H409" s="84">
        <f t="shared" si="27"/>
        <v>5.0040376630265633E-5</v>
      </c>
      <c r="I409" s="84">
        <v>8.539999999999999E-2</v>
      </c>
      <c r="J409" s="84">
        <f t="shared" si="24"/>
        <v>1.9991967502818386E-4</v>
      </c>
    </row>
    <row r="410" spans="1:10">
      <c r="A410" s="29" t="s">
        <v>824</v>
      </c>
      <c r="B410" s="34" t="s">
        <v>825</v>
      </c>
      <c r="C410" s="83">
        <v>318.86799999999999</v>
      </c>
      <c r="D410" s="83">
        <v>36.96</v>
      </c>
      <c r="E410" s="83">
        <f t="shared" si="25"/>
        <v>11785.361280000001</v>
      </c>
      <c r="F410" s="84">
        <f t="shared" si="26"/>
        <v>3.7232342134184881E-4</v>
      </c>
      <c r="G410" s="85">
        <v>2.3809523809523808E-2</v>
      </c>
      <c r="H410" s="84">
        <f t="shared" si="27"/>
        <v>8.8648433652821144E-6</v>
      </c>
      <c r="I410" s="84">
        <v>7.9600000000000004E-2</v>
      </c>
      <c r="J410" s="84">
        <f t="shared" si="24"/>
        <v>2.9636944338811168E-5</v>
      </c>
    </row>
    <row r="411" spans="1:10">
      <c r="A411" s="29" t="s">
        <v>826</v>
      </c>
      <c r="B411" s="34" t="s">
        <v>827</v>
      </c>
      <c r="C411" s="83">
        <v>148.762</v>
      </c>
      <c r="D411" s="83">
        <v>774.31</v>
      </c>
      <c r="E411" s="83">
        <f t="shared" si="25"/>
        <v>115187.90422</v>
      </c>
      <c r="F411" s="84">
        <f t="shared" si="26"/>
        <v>3.6390190828657887E-3</v>
      </c>
      <c r="G411" s="85">
        <v>2.6346037116916996E-2</v>
      </c>
      <c r="H411" s="84">
        <f t="shared" si="27"/>
        <v>9.5873731826351318E-5</v>
      </c>
      <c r="I411" s="84">
        <v>0.09</v>
      </c>
      <c r="J411" s="84">
        <f t="shared" si="24"/>
        <v>3.2751171745792098E-4</v>
      </c>
    </row>
    <row r="412" spans="1:10">
      <c r="A412" s="29" t="s">
        <v>828</v>
      </c>
      <c r="B412" s="34" t="s">
        <v>829</v>
      </c>
      <c r="C412" s="83">
        <v>206.10900000000001</v>
      </c>
      <c r="D412" s="83">
        <v>105.42</v>
      </c>
      <c r="E412" s="83">
        <f t="shared" si="25"/>
        <v>21728.010780000001</v>
      </c>
      <c r="F412" s="84">
        <f t="shared" si="26"/>
        <v>6.8643184713317268E-4</v>
      </c>
      <c r="G412" s="85">
        <v>3.8702333523050657E-2</v>
      </c>
      <c r="H412" s="84">
        <f t="shared" si="27"/>
        <v>2.6566514288591774E-5</v>
      </c>
      <c r="I412" s="84">
        <v>7.0000000000000007E-2</v>
      </c>
      <c r="J412" s="84">
        <f t="shared" si="24"/>
        <v>4.8050229299322093E-5</v>
      </c>
    </row>
    <row r="413" spans="1:10">
      <c r="A413" s="29" t="s">
        <v>830</v>
      </c>
      <c r="B413" s="34" t="s">
        <v>831</v>
      </c>
      <c r="C413" s="83">
        <v>108.855</v>
      </c>
      <c r="D413" s="83">
        <v>146.29</v>
      </c>
      <c r="E413" s="83">
        <f t="shared" si="25"/>
        <v>15924.39795</v>
      </c>
      <c r="F413" s="84">
        <f t="shared" si="26"/>
        <v>5.0308396889069509E-4</v>
      </c>
      <c r="G413" s="85">
        <v>1.9140064255930001E-2</v>
      </c>
      <c r="H413" s="84">
        <f t="shared" si="27"/>
        <v>9.6290594906961934E-6</v>
      </c>
      <c r="I413" s="84">
        <v>2.155E-2</v>
      </c>
      <c r="J413" s="84">
        <f t="shared" si="24"/>
        <v>1.0841459529594479E-5</v>
      </c>
    </row>
    <row r="414" spans="1:10">
      <c r="A414" s="29" t="s">
        <v>832</v>
      </c>
      <c r="B414" s="34" t="s">
        <v>833</v>
      </c>
      <c r="C414" s="83">
        <v>576.96500000000003</v>
      </c>
      <c r="D414" s="83">
        <v>57.77</v>
      </c>
      <c r="E414" s="83">
        <f t="shared" si="25"/>
        <v>33331.268050000006</v>
      </c>
      <c r="F414" s="84">
        <f t="shared" si="26"/>
        <v>1.0530022341443447E-3</v>
      </c>
      <c r="G414" s="85">
        <v>1.5232819802665743E-2</v>
      </c>
      <c r="H414" s="84">
        <f t="shared" si="27"/>
        <v>1.6040193284525242E-5</v>
      </c>
      <c r="I414" s="84">
        <v>9.0800000000000006E-2</v>
      </c>
      <c r="J414" s="84">
        <f t="shared" si="24"/>
        <v>9.5612602860306508E-5</v>
      </c>
    </row>
    <row r="415" spans="1:10">
      <c r="A415" s="29" t="s">
        <v>834</v>
      </c>
      <c r="B415" s="34" t="s">
        <v>835</v>
      </c>
      <c r="C415" s="83">
        <v>1552.4059999999999</v>
      </c>
      <c r="D415" s="83">
        <v>90.85</v>
      </c>
      <c r="E415" s="83">
        <f t="shared" si="25"/>
        <v>141036.0851</v>
      </c>
      <c r="F415" s="84">
        <f t="shared" si="26"/>
        <v>4.4556154444076691E-3</v>
      </c>
      <c r="G415" s="85">
        <v>5.7237204182718771E-2</v>
      </c>
      <c r="H415" s="84">
        <f t="shared" si="27"/>
        <v>2.5502697095123699E-4</v>
      </c>
      <c r="I415" s="84">
        <v>6.4899999999999999E-2</v>
      </c>
      <c r="J415" s="84">
        <f t="shared" si="24"/>
        <v>2.8916944234205771E-4</v>
      </c>
    </row>
    <row r="416" spans="1:10">
      <c r="A416" s="29" t="s">
        <v>836</v>
      </c>
      <c r="B416" s="34" t="s">
        <v>837</v>
      </c>
      <c r="C416" s="83">
        <v>404.79700000000003</v>
      </c>
      <c r="D416" s="83">
        <v>79.86</v>
      </c>
      <c r="E416" s="83">
        <f t="shared" si="25"/>
        <v>32327.08842</v>
      </c>
      <c r="F416" s="84">
        <f t="shared" si="26"/>
        <v>1.0212781667525478E-3</v>
      </c>
      <c r="G416" s="85">
        <v>1.0017530678687705E-3</v>
      </c>
      <c r="H416" s="84">
        <f t="shared" si="27"/>
        <v>1.0230685366917585E-6</v>
      </c>
      <c r="I416" s="84">
        <v>0.14000000000000001</v>
      </c>
      <c r="J416" s="84">
        <f t="shared" si="24"/>
        <v>1.429789433453567E-4</v>
      </c>
    </row>
    <row r="417" spans="1:10">
      <c r="A417" s="29" t="s">
        <v>838</v>
      </c>
      <c r="B417" s="34" t="s">
        <v>839</v>
      </c>
      <c r="C417" s="83">
        <v>968</v>
      </c>
      <c r="D417" s="83">
        <v>281.08999999999997</v>
      </c>
      <c r="E417" s="83">
        <f t="shared" si="25"/>
        <v>272095.12</v>
      </c>
      <c r="F417" s="84" t="str">
        <f t="shared" si="26"/>
        <v/>
      </c>
      <c r="G417" s="85" t="s">
        <v>90</v>
      </c>
      <c r="H417" s="84" t="str">
        <f t="shared" si="27"/>
        <v/>
      </c>
      <c r="I417" s="84">
        <v>0.22500000000000001</v>
      </c>
      <c r="J417" s="84" t="str">
        <f t="shared" si="24"/>
        <v/>
      </c>
    </row>
    <row r="418" spans="1:10">
      <c r="A418" s="29" t="s">
        <v>598</v>
      </c>
      <c r="B418" s="34" t="s">
        <v>599</v>
      </c>
      <c r="C418" s="83">
        <v>106.822</v>
      </c>
      <c r="D418" s="83">
        <v>537</v>
      </c>
      <c r="E418" s="83">
        <f t="shared" si="25"/>
        <v>57363.414000000004</v>
      </c>
      <c r="F418" s="84">
        <f t="shared" si="26"/>
        <v>1.8122263758323163E-3</v>
      </c>
      <c r="G418" s="85">
        <v>5.5865921787709499E-3</v>
      </c>
      <c r="H418" s="84">
        <f t="shared" si="27"/>
        <v>1.0124169697387242E-5</v>
      </c>
      <c r="I418" s="84">
        <v>0.08</v>
      </c>
      <c r="J418" s="84">
        <f t="shared" si="24"/>
        <v>1.449781100665853E-4</v>
      </c>
    </row>
    <row r="419" spans="1:10">
      <c r="A419" s="29" t="s">
        <v>840</v>
      </c>
      <c r="B419" s="34" t="s">
        <v>841</v>
      </c>
      <c r="C419" s="83">
        <v>39.722999999999999</v>
      </c>
      <c r="D419" s="83">
        <v>258.92</v>
      </c>
      <c r="E419" s="83">
        <f t="shared" si="25"/>
        <v>10285.079160000001</v>
      </c>
      <c r="F419" s="84" t="str">
        <f t="shared" si="26"/>
        <v/>
      </c>
      <c r="G419" s="85">
        <v>2.0083423451259075E-2</v>
      </c>
      <c r="H419" s="84" t="str">
        <f t="shared" si="27"/>
        <v/>
      </c>
      <c r="I419" s="84">
        <v>0.4</v>
      </c>
      <c r="J419" s="84" t="str">
        <f t="shared" si="24"/>
        <v/>
      </c>
    </row>
    <row r="420" spans="1:10">
      <c r="A420" s="29" t="s">
        <v>842</v>
      </c>
      <c r="B420" s="34" t="s">
        <v>843</v>
      </c>
      <c r="C420" s="83">
        <v>740.19</v>
      </c>
      <c r="D420" s="83">
        <v>69.319999999999993</v>
      </c>
      <c r="E420" s="83">
        <f t="shared" si="25"/>
        <v>51309.970799999996</v>
      </c>
      <c r="F420" s="84">
        <f t="shared" si="26"/>
        <v>1.6209858504402468E-3</v>
      </c>
      <c r="G420" s="85">
        <v>3.0005770340450089E-2</v>
      </c>
      <c r="H420" s="84">
        <f t="shared" si="27"/>
        <v>4.8638929153429223E-5</v>
      </c>
      <c r="I420" s="84">
        <v>9.8400000000000001E-2</v>
      </c>
      <c r="J420" s="84">
        <f t="shared" si="24"/>
        <v>1.5950500768332029E-4</v>
      </c>
    </row>
    <row r="421" spans="1:10">
      <c r="A421" s="29" t="s">
        <v>844</v>
      </c>
      <c r="B421" s="34" t="s">
        <v>845</v>
      </c>
      <c r="C421" s="83">
        <v>229.18600000000001</v>
      </c>
      <c r="D421" s="83">
        <v>38.79</v>
      </c>
      <c r="E421" s="83">
        <f t="shared" si="25"/>
        <v>8890.1249399999997</v>
      </c>
      <c r="F421" s="84">
        <f t="shared" si="26"/>
        <v>2.8085704419044316E-4</v>
      </c>
      <c r="G421" s="85">
        <v>3.6091776230987367E-2</v>
      </c>
      <c r="H421" s="84">
        <f t="shared" si="27"/>
        <v>1.0136629591818005E-5</v>
      </c>
      <c r="I421" s="84">
        <v>0.11</v>
      </c>
      <c r="J421" s="84">
        <f t="shared" si="24"/>
        <v>3.0894274860948745E-5</v>
      </c>
    </row>
    <row r="422" spans="1:10">
      <c r="A422" s="29" t="s">
        <v>846</v>
      </c>
      <c r="B422" s="34" t="s">
        <v>847</v>
      </c>
      <c r="C422" s="83">
        <v>1976.1310000000001</v>
      </c>
      <c r="D422" s="83">
        <v>35.700000000000003</v>
      </c>
      <c r="E422" s="83">
        <f t="shared" si="25"/>
        <v>70547.876700000008</v>
      </c>
      <c r="F422" s="84">
        <f t="shared" si="26"/>
        <v>2.2287502433991483E-3</v>
      </c>
      <c r="G422" s="85">
        <v>1.2324929971988795E-2</v>
      </c>
      <c r="H422" s="84">
        <f t="shared" si="27"/>
        <v>2.7469190674947484E-5</v>
      </c>
      <c r="I422" s="84">
        <v>6.7449999999999996E-2</v>
      </c>
      <c r="J422" s="84">
        <f t="shared" si="24"/>
        <v>1.5032920391727254E-4</v>
      </c>
    </row>
    <row r="423" spans="1:10">
      <c r="A423" s="29" t="s">
        <v>848</v>
      </c>
      <c r="B423" s="34" t="s">
        <v>849</v>
      </c>
      <c r="C423" s="83">
        <v>606.5</v>
      </c>
      <c r="D423" s="83">
        <v>78.47</v>
      </c>
      <c r="E423" s="83">
        <f t="shared" si="25"/>
        <v>47592.055</v>
      </c>
      <c r="F423" s="84">
        <f t="shared" si="26"/>
        <v>1.5035293636996964E-3</v>
      </c>
      <c r="G423" s="85" t="s">
        <v>90</v>
      </c>
      <c r="H423" s="84" t="str">
        <f t="shared" si="27"/>
        <v/>
      </c>
      <c r="I423" s="84">
        <v>8.7469999999999992E-2</v>
      </c>
      <c r="J423" s="84">
        <f t="shared" si="24"/>
        <v>1.3151371344281244E-4</v>
      </c>
    </row>
    <row r="424" spans="1:10">
      <c r="A424" s="29" t="s">
        <v>850</v>
      </c>
      <c r="B424" s="34" t="s">
        <v>851</v>
      </c>
      <c r="C424" s="83">
        <v>101.196</v>
      </c>
      <c r="D424" s="83">
        <v>386.83</v>
      </c>
      <c r="E424" s="83">
        <f t="shared" si="25"/>
        <v>39145.648679999998</v>
      </c>
      <c r="F424" s="84" t="str">
        <f t="shared" si="26"/>
        <v/>
      </c>
      <c r="G424" s="85">
        <v>1.3959620505131455E-2</v>
      </c>
      <c r="H424" s="84" t="str">
        <f t="shared" si="27"/>
        <v/>
      </c>
      <c r="I424" s="84" t="s">
        <v>90</v>
      </c>
      <c r="J424" s="84" t="str">
        <f t="shared" si="24"/>
        <v/>
      </c>
    </row>
    <row r="425" spans="1:10">
      <c r="A425" s="29" t="s">
        <v>852</v>
      </c>
      <c r="B425" s="34" t="s">
        <v>853</v>
      </c>
      <c r="C425" s="83">
        <v>51.36</v>
      </c>
      <c r="D425" s="83">
        <v>239.55</v>
      </c>
      <c r="E425" s="83">
        <f t="shared" si="25"/>
        <v>12303.288</v>
      </c>
      <c r="F425" s="84" t="str">
        <f t="shared" si="26"/>
        <v/>
      </c>
      <c r="G425" s="85" t="s">
        <v>90</v>
      </c>
      <c r="H425" s="84" t="str">
        <f t="shared" si="27"/>
        <v/>
      </c>
      <c r="I425" s="84" t="s">
        <v>90</v>
      </c>
      <c r="J425" s="84" t="str">
        <f t="shared" si="24"/>
        <v/>
      </c>
    </row>
    <row r="426" spans="1:10">
      <c r="A426" s="29" t="s">
        <v>854</v>
      </c>
      <c r="B426" s="34" t="s">
        <v>855</v>
      </c>
      <c r="C426" s="83">
        <v>208.98099999999999</v>
      </c>
      <c r="D426" s="83">
        <v>125.6</v>
      </c>
      <c r="E426" s="83">
        <f t="shared" si="25"/>
        <v>26248.013599999998</v>
      </c>
      <c r="F426" s="84">
        <f t="shared" si="26"/>
        <v>8.2922788659554577E-4</v>
      </c>
      <c r="G426" s="85">
        <v>7.6433121019108281E-3</v>
      </c>
      <c r="H426" s="84">
        <f t="shared" si="27"/>
        <v>6.3380475408576744E-6</v>
      </c>
      <c r="I426" s="84">
        <v>7.1900000000000006E-2</v>
      </c>
      <c r="J426" s="84">
        <f t="shared" si="24"/>
        <v>5.9621485046219746E-5</v>
      </c>
    </row>
    <row r="427" spans="1:10">
      <c r="A427" s="29" t="s">
        <v>856</v>
      </c>
      <c r="B427" s="34" t="s">
        <v>857</v>
      </c>
      <c r="C427" s="83">
        <v>106.771</v>
      </c>
      <c r="D427" s="83">
        <v>93.84</v>
      </c>
      <c r="E427" s="83">
        <f t="shared" si="25"/>
        <v>10019.39064</v>
      </c>
      <c r="F427" s="84">
        <f t="shared" si="26"/>
        <v>3.1653283376012855E-4</v>
      </c>
      <c r="G427" s="85">
        <v>4.2625745950554135E-2</v>
      </c>
      <c r="H427" s="84">
        <f t="shared" si="27"/>
        <v>1.3492448156868224E-5</v>
      </c>
      <c r="I427" s="84">
        <v>5.67E-2</v>
      </c>
      <c r="J427" s="84">
        <f t="shared" si="24"/>
        <v>1.794741167419929E-5</v>
      </c>
    </row>
    <row r="428" spans="1:10">
      <c r="A428" s="29" t="s">
        <v>858</v>
      </c>
      <c r="B428" s="34" t="s">
        <v>859</v>
      </c>
      <c r="C428" s="83">
        <v>304.79300000000001</v>
      </c>
      <c r="D428" s="83">
        <v>86.31</v>
      </c>
      <c r="E428" s="83">
        <f t="shared" si="25"/>
        <v>26306.683830000002</v>
      </c>
      <c r="F428" s="84" t="str">
        <f t="shared" si="26"/>
        <v/>
      </c>
      <c r="G428" s="85" t="s">
        <v>90</v>
      </c>
      <c r="H428" s="84" t="str">
        <f t="shared" si="27"/>
        <v/>
      </c>
      <c r="I428" s="84" t="s">
        <v>90</v>
      </c>
      <c r="J428" s="84" t="str">
        <f t="shared" si="24"/>
        <v/>
      </c>
    </row>
    <row r="429" spans="1:10">
      <c r="A429" s="29" t="s">
        <v>860</v>
      </c>
      <c r="B429" s="34" t="s">
        <v>861</v>
      </c>
      <c r="C429" s="83">
        <v>930.43799999999999</v>
      </c>
      <c r="D429" s="83">
        <v>449.23</v>
      </c>
      <c r="E429" s="83">
        <f t="shared" si="25"/>
        <v>417980.66274</v>
      </c>
      <c r="F429" s="84">
        <f t="shared" si="26"/>
        <v>1.3204855303857958E-2</v>
      </c>
      <c r="G429" s="85">
        <v>5.8767223916479311E-3</v>
      </c>
      <c r="H429" s="84">
        <f t="shared" si="27"/>
        <v>7.7601268842653005E-5</v>
      </c>
      <c r="I429" s="84">
        <v>0.16639999999999999</v>
      </c>
      <c r="J429" s="84">
        <f t="shared" si="24"/>
        <v>2.1972879225619639E-3</v>
      </c>
    </row>
    <row r="430" spans="1:10">
      <c r="A430" s="29" t="s">
        <v>862</v>
      </c>
      <c r="B430" s="34" t="s">
        <v>863</v>
      </c>
      <c r="C430" s="83">
        <v>157.92099999999999</v>
      </c>
      <c r="D430" s="83">
        <v>71.180000000000007</v>
      </c>
      <c r="E430" s="83">
        <f t="shared" si="25"/>
        <v>11240.816780000001</v>
      </c>
      <c r="F430" s="84" t="str">
        <f t="shared" si="26"/>
        <v/>
      </c>
      <c r="G430" s="85" t="s">
        <v>90</v>
      </c>
      <c r="H430" s="84" t="str">
        <f t="shared" si="27"/>
        <v/>
      </c>
      <c r="I430" s="84">
        <v>0.29899999999999999</v>
      </c>
      <c r="J430" s="84" t="str">
        <f t="shared" si="24"/>
        <v/>
      </c>
    </row>
    <row r="431" spans="1:10">
      <c r="A431" s="29" t="s">
        <v>864</v>
      </c>
      <c r="B431" s="34" t="s">
        <v>865</v>
      </c>
      <c r="C431" s="83">
        <v>572.36400000000003</v>
      </c>
      <c r="D431" s="83">
        <v>127.33</v>
      </c>
      <c r="E431" s="83">
        <f t="shared" si="25"/>
        <v>72879.108120000004</v>
      </c>
      <c r="F431" s="84">
        <f t="shared" si="26"/>
        <v>2.3023985633456043E-3</v>
      </c>
      <c r="G431" s="85">
        <v>1.3194062671797692E-2</v>
      </c>
      <c r="H431" s="84">
        <f t="shared" si="27"/>
        <v>3.0377990940238869E-5</v>
      </c>
      <c r="I431" s="84">
        <v>9.64E-2</v>
      </c>
      <c r="J431" s="84">
        <f t="shared" si="24"/>
        <v>2.2195122150651624E-4</v>
      </c>
    </row>
    <row r="432" spans="1:10">
      <c r="A432" s="29" t="s">
        <v>866</v>
      </c>
      <c r="B432" s="34" t="s">
        <v>867</v>
      </c>
      <c r="C432" s="83">
        <v>592.48400000000004</v>
      </c>
      <c r="D432" s="83">
        <v>62.26</v>
      </c>
      <c r="E432" s="83">
        <f t="shared" si="25"/>
        <v>36888.05384</v>
      </c>
      <c r="F432" s="84">
        <f t="shared" si="26"/>
        <v>1.1653682976743775E-3</v>
      </c>
      <c r="G432" s="85">
        <v>3.3408287825248961E-2</v>
      </c>
      <c r="H432" s="84">
        <f t="shared" si="27"/>
        <v>3.8932959511126016E-5</v>
      </c>
      <c r="I432" s="84">
        <v>0.11414999999999999</v>
      </c>
      <c r="J432" s="84">
        <f t="shared" si="24"/>
        <v>1.3302679117953019E-4</v>
      </c>
    </row>
    <row r="433" spans="1:10">
      <c r="A433" s="29" t="s">
        <v>868</v>
      </c>
      <c r="B433" s="34" t="s">
        <v>869</v>
      </c>
      <c r="C433" s="83">
        <v>27.445</v>
      </c>
      <c r="D433" s="83">
        <v>2408.77</v>
      </c>
      <c r="E433" s="83">
        <f t="shared" si="25"/>
        <v>66108.692649999997</v>
      </c>
      <c r="F433" s="84" t="str">
        <f t="shared" si="26"/>
        <v/>
      </c>
      <c r="G433" s="85" t="s">
        <v>90</v>
      </c>
      <c r="H433" s="84" t="str">
        <f t="shared" si="27"/>
        <v/>
      </c>
      <c r="I433" s="84">
        <v>0.24780000000000002</v>
      </c>
      <c r="J433" s="84" t="str">
        <f t="shared" si="24"/>
        <v/>
      </c>
    </row>
    <row r="434" spans="1:10">
      <c r="A434" s="29" t="s">
        <v>870</v>
      </c>
      <c r="B434" s="34" t="s">
        <v>871</v>
      </c>
      <c r="C434" s="83">
        <v>112.946</v>
      </c>
      <c r="D434" s="83">
        <v>94.43</v>
      </c>
      <c r="E434" s="83">
        <f t="shared" si="25"/>
        <v>10665.49078</v>
      </c>
      <c r="F434" s="84" t="str">
        <f t="shared" si="26"/>
        <v/>
      </c>
      <c r="G434" s="85">
        <v>1.0589854918987609E-2</v>
      </c>
      <c r="H434" s="84" t="str">
        <f t="shared" si="27"/>
        <v/>
      </c>
      <c r="I434" s="84">
        <v>1.4051</v>
      </c>
      <c r="J434" s="84" t="str">
        <f t="shared" si="24"/>
        <v/>
      </c>
    </row>
    <row r="435" spans="1:10">
      <c r="A435" s="29" t="s">
        <v>872</v>
      </c>
      <c r="B435" s="34" t="s">
        <v>873</v>
      </c>
      <c r="C435" s="83">
        <v>230.32499999999999</v>
      </c>
      <c r="D435" s="83">
        <v>88.85</v>
      </c>
      <c r="E435" s="83">
        <f t="shared" si="25"/>
        <v>20464.376249999998</v>
      </c>
      <c r="F435" s="84" t="str">
        <f t="shared" si="26"/>
        <v/>
      </c>
      <c r="G435" s="85" t="s">
        <v>90</v>
      </c>
      <c r="H435" s="84" t="str">
        <f t="shared" si="27"/>
        <v/>
      </c>
      <c r="I435" s="84" t="s">
        <v>90</v>
      </c>
      <c r="J435" s="84" t="str">
        <f t="shared" si="24"/>
        <v/>
      </c>
    </row>
    <row r="436" spans="1:10">
      <c r="A436" s="29" t="s">
        <v>874</v>
      </c>
      <c r="B436" s="34" t="s">
        <v>875</v>
      </c>
      <c r="C436" s="83">
        <v>52.591000000000001</v>
      </c>
      <c r="D436" s="83">
        <v>167.95</v>
      </c>
      <c r="E436" s="83">
        <f t="shared" si="25"/>
        <v>8832.658449999999</v>
      </c>
      <c r="F436" s="84">
        <f t="shared" si="26"/>
        <v>2.7904156143510186E-4</v>
      </c>
      <c r="G436" s="85">
        <v>1.7147960702590056E-2</v>
      </c>
      <c r="H436" s="84">
        <f t="shared" si="27"/>
        <v>4.7849937298784955E-6</v>
      </c>
      <c r="I436" s="84">
        <v>0.1166</v>
      </c>
      <c r="J436" s="84">
        <f t="shared" si="24"/>
        <v>3.2536246063332878E-5</v>
      </c>
    </row>
    <row r="437" spans="1:10">
      <c r="A437" s="29" t="s">
        <v>876</v>
      </c>
      <c r="B437" s="34" t="s">
        <v>877</v>
      </c>
      <c r="C437" s="83">
        <v>225.76400000000001</v>
      </c>
      <c r="D437" s="83">
        <v>53.04</v>
      </c>
      <c r="E437" s="83">
        <f t="shared" si="25"/>
        <v>11974.522559999999</v>
      </c>
      <c r="F437" s="84">
        <f t="shared" si="26"/>
        <v>3.7829940911869554E-4</v>
      </c>
      <c r="G437" s="85">
        <v>3.07315233785822E-2</v>
      </c>
      <c r="H437" s="84">
        <f t="shared" si="27"/>
        <v>1.1625717135435025E-5</v>
      </c>
      <c r="I437" s="84">
        <v>8.8749999999999996E-2</v>
      </c>
      <c r="J437" s="84">
        <f t="shared" si="24"/>
        <v>3.3574072559284225E-5</v>
      </c>
    </row>
    <row r="438" spans="1:10">
      <c r="A438" s="29" t="s">
        <v>878</v>
      </c>
      <c r="B438" s="34" t="s">
        <v>879</v>
      </c>
      <c r="C438" s="83">
        <v>1040.441</v>
      </c>
      <c r="D438" s="83">
        <v>55.02</v>
      </c>
      <c r="E438" s="83">
        <f t="shared" si="25"/>
        <v>57245.063820000003</v>
      </c>
      <c r="F438" s="84">
        <f t="shared" si="26"/>
        <v>1.8084874540557898E-3</v>
      </c>
      <c r="G438" s="85" t="s">
        <v>90</v>
      </c>
      <c r="H438" s="84" t="str">
        <f t="shared" si="27"/>
        <v/>
      </c>
      <c r="I438" s="84">
        <v>0.15460000000000002</v>
      </c>
      <c r="J438" s="84">
        <f t="shared" si="24"/>
        <v>2.7959216039702515E-4</v>
      </c>
    </row>
    <row r="439" spans="1:10">
      <c r="A439" s="29" t="s">
        <v>880</v>
      </c>
      <c r="B439" s="34" t="s">
        <v>881</v>
      </c>
      <c r="C439" s="83">
        <v>930.06500000000005</v>
      </c>
      <c r="D439" s="83">
        <v>18.670000000000002</v>
      </c>
      <c r="E439" s="83">
        <f t="shared" si="25"/>
        <v>17364.313550000003</v>
      </c>
      <c r="F439" s="84">
        <f t="shared" si="26"/>
        <v>5.4857381768687069E-4</v>
      </c>
      <c r="G439" s="85">
        <v>5.1419389394750929E-2</v>
      </c>
      <c r="H439" s="84">
        <f t="shared" si="27"/>
        <v>2.8207330743406309E-5</v>
      </c>
      <c r="I439" s="84">
        <v>1.41E-2</v>
      </c>
      <c r="J439" s="84">
        <f t="shared" si="24"/>
        <v>7.7348908293848773E-6</v>
      </c>
    </row>
    <row r="440" spans="1:10">
      <c r="A440" s="29" t="s">
        <v>882</v>
      </c>
      <c r="B440" s="34" t="s">
        <v>883</v>
      </c>
      <c r="C440" s="83">
        <v>1006.234</v>
      </c>
      <c r="D440" s="83">
        <v>28.5</v>
      </c>
      <c r="E440" s="83">
        <f t="shared" si="25"/>
        <v>28677.669000000002</v>
      </c>
      <c r="F440" s="84">
        <f t="shared" si="26"/>
        <v>9.0598561932155508E-4</v>
      </c>
      <c r="G440" s="85">
        <v>2.8070175438596492E-2</v>
      </c>
      <c r="H440" s="84">
        <f t="shared" si="27"/>
        <v>2.5431175279201548E-5</v>
      </c>
      <c r="I440" s="84">
        <v>0.17</v>
      </c>
      <c r="J440" s="84">
        <f t="shared" si="24"/>
        <v>1.5401755528466439E-4</v>
      </c>
    </row>
    <row r="441" spans="1:10">
      <c r="A441" s="29" t="s">
        <v>884</v>
      </c>
      <c r="B441" s="34" t="s">
        <v>885</v>
      </c>
      <c r="C441" s="83">
        <v>326.83499999999998</v>
      </c>
      <c r="D441" s="83">
        <v>30.71</v>
      </c>
      <c r="E441" s="83">
        <f t="shared" si="25"/>
        <v>10037.102849999999</v>
      </c>
      <c r="F441" s="84" t="str">
        <f t="shared" si="26"/>
        <v/>
      </c>
      <c r="G441" s="85">
        <v>2.7352653858677953E-2</v>
      </c>
      <c r="H441" s="84" t="str">
        <f t="shared" si="27"/>
        <v/>
      </c>
      <c r="I441" s="84">
        <v>0.245</v>
      </c>
      <c r="J441" s="84" t="str">
        <f t="shared" si="24"/>
        <v/>
      </c>
    </row>
    <row r="442" spans="1:10">
      <c r="A442" s="29" t="s">
        <v>886</v>
      </c>
      <c r="B442" s="34" t="s">
        <v>887</v>
      </c>
      <c r="C442" s="83">
        <v>133.32499999999999</v>
      </c>
      <c r="D442" s="83">
        <v>148.33000000000001</v>
      </c>
      <c r="E442" s="83">
        <f t="shared" si="25"/>
        <v>19776.097249999999</v>
      </c>
      <c r="F442" s="84">
        <f t="shared" si="26"/>
        <v>6.2476694723007477E-4</v>
      </c>
      <c r="G442" s="85" t="s">
        <v>90</v>
      </c>
      <c r="H442" s="84" t="str">
        <f t="shared" si="27"/>
        <v/>
      </c>
      <c r="I442" s="84">
        <v>0.17499999999999999</v>
      </c>
      <c r="J442" s="84">
        <f t="shared" si="24"/>
        <v>1.0933421576526307E-4</v>
      </c>
    </row>
    <row r="443" spans="1:10">
      <c r="A443" s="29" t="s">
        <v>888</v>
      </c>
      <c r="B443" s="34" t="s">
        <v>889</v>
      </c>
      <c r="C443" s="83">
        <v>191.05699999999999</v>
      </c>
      <c r="D443" s="83">
        <v>75.510000000000005</v>
      </c>
      <c r="E443" s="83">
        <f t="shared" si="25"/>
        <v>14426.71407</v>
      </c>
      <c r="F443" s="84" t="str">
        <f t="shared" si="26"/>
        <v/>
      </c>
      <c r="G443" s="85">
        <v>2.648655807177857E-2</v>
      </c>
      <c r="H443" s="84" t="str">
        <f t="shared" si="27"/>
        <v/>
      </c>
      <c r="I443" s="84">
        <v>0.46</v>
      </c>
      <c r="J443" s="84" t="str">
        <f t="shared" si="24"/>
        <v/>
      </c>
    </row>
    <row r="444" spans="1:10">
      <c r="A444" s="29" t="s">
        <v>890</v>
      </c>
      <c r="B444" s="34" t="s">
        <v>891</v>
      </c>
      <c r="C444" s="83">
        <v>306.71899999999999</v>
      </c>
      <c r="D444" s="83">
        <v>31.33</v>
      </c>
      <c r="E444" s="83">
        <f t="shared" si="25"/>
        <v>9609.5062699999999</v>
      </c>
      <c r="F444" s="84">
        <f t="shared" si="26"/>
        <v>3.035837567342142E-4</v>
      </c>
      <c r="G444" s="85">
        <v>3.1918289179699973E-2</v>
      </c>
      <c r="H444" s="84">
        <f t="shared" si="27"/>
        <v>9.6898741377023384E-6</v>
      </c>
      <c r="I444" s="84">
        <v>0.02</v>
      </c>
      <c r="J444" s="84">
        <f t="shared" si="24"/>
        <v>6.0716751346842845E-6</v>
      </c>
    </row>
    <row r="445" spans="1:10">
      <c r="A445" s="29" t="s">
        <v>892</v>
      </c>
      <c r="B445" s="34" t="s">
        <v>893</v>
      </c>
      <c r="C445" s="83">
        <v>137.506</v>
      </c>
      <c r="D445" s="83">
        <v>110.47</v>
      </c>
      <c r="E445" s="83">
        <f t="shared" si="25"/>
        <v>15190.28782</v>
      </c>
      <c r="F445" s="84">
        <f t="shared" si="26"/>
        <v>4.7989194373766482E-4</v>
      </c>
      <c r="G445" s="85">
        <v>1.3759391690051598E-2</v>
      </c>
      <c r="H445" s="84">
        <f t="shared" si="27"/>
        <v>6.6030212227867346E-6</v>
      </c>
      <c r="I445" s="84">
        <v>8.1199999999999994E-2</v>
      </c>
      <c r="J445" s="84">
        <f t="shared" si="24"/>
        <v>3.896722583149838E-5</v>
      </c>
    </row>
    <row r="446" spans="1:10">
      <c r="A446" s="29" t="s">
        <v>806</v>
      </c>
      <c r="B446" s="34" t="s">
        <v>894</v>
      </c>
      <c r="C446" s="83">
        <v>5671</v>
      </c>
      <c r="D446" s="83">
        <v>141.80000000000001</v>
      </c>
      <c r="E446" s="83">
        <f t="shared" si="25"/>
        <v>804147.8</v>
      </c>
      <c r="F446" s="84">
        <f t="shared" si="26"/>
        <v>2.5404656933904427E-2</v>
      </c>
      <c r="G446" s="85" t="s">
        <v>90</v>
      </c>
      <c r="H446" s="84" t="str">
        <f t="shared" si="27"/>
        <v/>
      </c>
      <c r="I446" s="84">
        <v>0.10053000000000001</v>
      </c>
      <c r="J446" s="84">
        <f t="shared" si="24"/>
        <v>2.5539301615654124E-3</v>
      </c>
    </row>
    <row r="447" spans="1:10">
      <c r="A447" s="29" t="s">
        <v>895</v>
      </c>
      <c r="B447" s="34" t="s">
        <v>896</v>
      </c>
      <c r="C447" s="83">
        <v>106.84399999999999</v>
      </c>
      <c r="D447" s="83">
        <v>146.30000000000001</v>
      </c>
      <c r="E447" s="83">
        <f t="shared" si="25"/>
        <v>15631.2772</v>
      </c>
      <c r="F447" s="84" t="str">
        <f t="shared" si="26"/>
        <v/>
      </c>
      <c r="G447" s="85" t="s">
        <v>90</v>
      </c>
      <c r="H447" s="84" t="str">
        <f t="shared" si="27"/>
        <v/>
      </c>
      <c r="I447" s="84">
        <v>0.43219999999999997</v>
      </c>
      <c r="J447" s="84" t="str">
        <f t="shared" si="24"/>
        <v/>
      </c>
    </row>
    <row r="448" spans="1:10">
      <c r="A448" s="29" t="s">
        <v>899</v>
      </c>
      <c r="B448" s="34" t="s">
        <v>900</v>
      </c>
      <c r="C448" s="83">
        <v>308.79899999999998</v>
      </c>
      <c r="D448" s="83">
        <v>142.19</v>
      </c>
      <c r="E448" s="83">
        <f t="shared" si="25"/>
        <v>43908.129809999999</v>
      </c>
      <c r="F448" s="84">
        <f t="shared" si="26"/>
        <v>1.3871467091402751E-3</v>
      </c>
      <c r="G448" s="85">
        <v>1.6597510373443983E-2</v>
      </c>
      <c r="H448" s="84">
        <f t="shared" si="27"/>
        <v>2.3023181894444398E-5</v>
      </c>
      <c r="I448" s="84">
        <v>5.2699999999999997E-2</v>
      </c>
      <c r="J448" s="84">
        <f t="shared" si="24"/>
        <v>7.3102631571692492E-5</v>
      </c>
    </row>
    <row r="449" spans="1:10">
      <c r="A449" s="29" t="s">
        <v>901</v>
      </c>
      <c r="B449" s="34" t="s">
        <v>902</v>
      </c>
      <c r="C449" s="83">
        <v>250.05799999999999</v>
      </c>
      <c r="D449" s="83">
        <v>105.52</v>
      </c>
      <c r="E449" s="83">
        <f t="shared" si="25"/>
        <v>26386.120159999999</v>
      </c>
      <c r="F449" s="84">
        <f t="shared" si="26"/>
        <v>8.3359095241145877E-4</v>
      </c>
      <c r="G449" s="85">
        <v>2.6535253980288095E-2</v>
      </c>
      <c r="H449" s="84">
        <f t="shared" si="27"/>
        <v>2.2119547637908304E-5</v>
      </c>
      <c r="I449" s="84">
        <v>0.1716</v>
      </c>
      <c r="J449" s="84">
        <f t="shared" si="24"/>
        <v>1.4304420743380632E-4</v>
      </c>
    </row>
    <row r="450" spans="1:10">
      <c r="A450" s="29" t="s">
        <v>903</v>
      </c>
      <c r="B450" s="34" t="s">
        <v>904</v>
      </c>
      <c r="C450" s="83">
        <v>1581.59</v>
      </c>
      <c r="D450" s="83">
        <v>273.26</v>
      </c>
      <c r="E450" s="83">
        <f t="shared" si="25"/>
        <v>432185.28339999996</v>
      </c>
      <c r="F450" s="84">
        <f t="shared" si="26"/>
        <v>1.3653608026608116E-2</v>
      </c>
      <c r="G450" s="85">
        <v>7.6117982873453857E-3</v>
      </c>
      <c r="H450" s="84">
        <f t="shared" si="27"/>
        <v>1.0392851019302087E-4</v>
      </c>
      <c r="I450" s="84">
        <v>0.13405</v>
      </c>
      <c r="J450" s="84">
        <f t="shared" si="24"/>
        <v>1.8302661559668179E-3</v>
      </c>
    </row>
    <row r="451" spans="1:10">
      <c r="A451" s="29" t="s">
        <v>905</v>
      </c>
      <c r="B451" s="34" t="s">
        <v>906</v>
      </c>
      <c r="C451" s="83">
        <v>116.688</v>
      </c>
      <c r="D451" s="83">
        <v>126.38</v>
      </c>
      <c r="E451" s="83">
        <f t="shared" si="25"/>
        <v>14747.02944</v>
      </c>
      <c r="F451" s="84">
        <f t="shared" si="26"/>
        <v>4.6588851417287807E-4</v>
      </c>
      <c r="G451" s="85">
        <v>4.6526349105871181E-2</v>
      </c>
      <c r="H451" s="84">
        <f t="shared" si="27"/>
        <v>2.1676091654822939E-5</v>
      </c>
      <c r="I451" s="84">
        <v>1.8600000000000002E-2</v>
      </c>
      <c r="J451" s="84">
        <f t="shared" si="24"/>
        <v>8.6655263636155332E-6</v>
      </c>
    </row>
    <row r="452" spans="1:10">
      <c r="A452" s="29" t="s">
        <v>907</v>
      </c>
      <c r="B452" s="34" t="s">
        <v>908</v>
      </c>
      <c r="C452" s="83">
        <v>241.078</v>
      </c>
      <c r="D452" s="83">
        <v>112.44</v>
      </c>
      <c r="E452" s="83">
        <f t="shared" si="25"/>
        <v>27106.810320000001</v>
      </c>
      <c r="F452" s="84" t="str">
        <f t="shared" si="26"/>
        <v/>
      </c>
      <c r="G452" s="85">
        <v>1.1739594450373533E-2</v>
      </c>
      <c r="H452" s="84" t="str">
        <f t="shared" si="27"/>
        <v/>
      </c>
      <c r="I452" s="84" t="s">
        <v>90</v>
      </c>
      <c r="J452" s="84" t="str">
        <f t="shared" si="24"/>
        <v/>
      </c>
    </row>
    <row r="453" spans="1:10">
      <c r="A453" s="29" t="s">
        <v>909</v>
      </c>
      <c r="B453" s="34" t="s">
        <v>910</v>
      </c>
      <c r="C453" s="83">
        <v>379.697</v>
      </c>
      <c r="D453" s="83">
        <v>165.6</v>
      </c>
      <c r="E453" s="83">
        <f t="shared" si="25"/>
        <v>62877.823199999999</v>
      </c>
      <c r="F453" s="84" t="str">
        <f t="shared" si="26"/>
        <v/>
      </c>
      <c r="G453" s="85">
        <v>1.9927536231884056E-2</v>
      </c>
      <c r="H453" s="84" t="str">
        <f t="shared" si="27"/>
        <v/>
      </c>
      <c r="I453" s="84">
        <v>-0.11885</v>
      </c>
      <c r="J453" s="84" t="str">
        <f t="shared" si="24"/>
        <v/>
      </c>
    </row>
    <row r="454" spans="1:10">
      <c r="A454" s="29" t="s">
        <v>913</v>
      </c>
      <c r="B454" s="34" t="s">
        <v>914</v>
      </c>
      <c r="C454" s="83">
        <v>108.114</v>
      </c>
      <c r="D454" s="83">
        <v>224.6</v>
      </c>
      <c r="E454" s="83">
        <f t="shared" si="25"/>
        <v>24282.404399999999</v>
      </c>
      <c r="F454" s="84">
        <f t="shared" si="26"/>
        <v>7.6713031275137643E-4</v>
      </c>
      <c r="G454" s="85">
        <v>1.8343722172751559E-2</v>
      </c>
      <c r="H454" s="84">
        <f t="shared" si="27"/>
        <v>1.4072025327407262E-5</v>
      </c>
      <c r="I454" s="84">
        <v>3.415E-2</v>
      </c>
      <c r="J454" s="84">
        <f t="shared" si="24"/>
        <v>2.6197500180459503E-5</v>
      </c>
    </row>
    <row r="455" spans="1:10">
      <c r="A455" s="29" t="s">
        <v>911</v>
      </c>
      <c r="B455" s="34" t="s">
        <v>912</v>
      </c>
      <c r="C455" s="83">
        <v>1615.787</v>
      </c>
      <c r="D455" s="83">
        <v>167.69</v>
      </c>
      <c r="E455" s="83">
        <f t="shared" si="25"/>
        <v>270951.32202999998</v>
      </c>
      <c r="F455" s="84" t="str">
        <f t="shared" si="26"/>
        <v/>
      </c>
      <c r="G455" s="85" t="s">
        <v>90</v>
      </c>
      <c r="H455" s="84" t="str">
        <f t="shared" si="27"/>
        <v/>
      </c>
      <c r="I455" s="84">
        <v>0.29353000000000001</v>
      </c>
      <c r="J455" s="84" t="str">
        <f t="shared" si="24"/>
        <v/>
      </c>
    </row>
    <row r="456" spans="1:10">
      <c r="A456" s="29" t="s">
        <v>915</v>
      </c>
      <c r="B456" s="34" t="s">
        <v>916</v>
      </c>
      <c r="C456" s="83">
        <v>147.089</v>
      </c>
      <c r="D456" s="83">
        <v>190.2</v>
      </c>
      <c r="E456" s="83">
        <f t="shared" si="25"/>
        <v>27976.327799999999</v>
      </c>
      <c r="F456" s="84">
        <f t="shared" si="26"/>
        <v>8.8382883100526191E-4</v>
      </c>
      <c r="G456" s="85">
        <v>1.0094637223974764E-2</v>
      </c>
      <c r="H456" s="84">
        <f t="shared" si="27"/>
        <v>8.9219314170878187E-6</v>
      </c>
      <c r="I456" s="84">
        <v>8.6699999999999999E-2</v>
      </c>
      <c r="J456" s="84">
        <f t="shared" si="24"/>
        <v>7.6627959648156211E-5</v>
      </c>
    </row>
    <row r="457" spans="1:10">
      <c r="A457" s="29" t="s">
        <v>917</v>
      </c>
      <c r="B457" s="34" t="s">
        <v>918</v>
      </c>
      <c r="C457" s="83">
        <v>21.684000000000001</v>
      </c>
      <c r="D457" s="83">
        <v>1197.19</v>
      </c>
      <c r="E457" s="83">
        <f t="shared" si="25"/>
        <v>25959.867960000003</v>
      </c>
      <c r="F457" s="84">
        <f t="shared" si="26"/>
        <v>8.2012478250050231E-4</v>
      </c>
      <c r="G457" s="85" t="s">
        <v>90</v>
      </c>
      <c r="H457" s="84" t="str">
        <f t="shared" si="27"/>
        <v/>
      </c>
      <c r="I457" s="84">
        <v>5.96E-2</v>
      </c>
      <c r="J457" s="84">
        <f t="shared" si="24"/>
        <v>4.8879437037029935E-5</v>
      </c>
    </row>
    <row r="458" spans="1:10">
      <c r="A458" s="29" t="s">
        <v>923</v>
      </c>
      <c r="B458" s="34" t="s">
        <v>924</v>
      </c>
      <c r="C458" s="83">
        <v>1034.5319999999999</v>
      </c>
      <c r="D458" s="83">
        <v>30.12</v>
      </c>
      <c r="E458" s="83">
        <f t="shared" si="25"/>
        <v>31160.10384</v>
      </c>
      <c r="F458" s="84">
        <f t="shared" si="26"/>
        <v>9.8441076140485346E-4</v>
      </c>
      <c r="G458" s="85">
        <v>5.511288180610889E-2</v>
      </c>
      <c r="H458" s="84">
        <f t="shared" si="27"/>
        <v>5.4253713941967351E-5</v>
      </c>
      <c r="I458" s="84">
        <v>4.7800000000000002E-2</v>
      </c>
      <c r="J458" s="84">
        <f t="shared" si="24"/>
        <v>4.7054834395151998E-5</v>
      </c>
    </row>
    <row r="459" spans="1:10">
      <c r="A459" s="29" t="s">
        <v>921</v>
      </c>
      <c r="B459" s="34" t="s">
        <v>922</v>
      </c>
      <c r="C459" s="83">
        <v>960.23099999999999</v>
      </c>
      <c r="D459" s="83">
        <v>48.04</v>
      </c>
      <c r="E459" s="83">
        <f t="shared" si="25"/>
        <v>46129.497239999997</v>
      </c>
      <c r="F459" s="84" t="str">
        <f t="shared" si="26"/>
        <v/>
      </c>
      <c r="G459" s="85" t="s">
        <v>90</v>
      </c>
      <c r="H459" s="84" t="str">
        <f t="shared" si="27"/>
        <v/>
      </c>
      <c r="I459" s="84" t="s">
        <v>90</v>
      </c>
      <c r="J459" s="84" t="str">
        <f t="shared" si="24"/>
        <v/>
      </c>
    </row>
    <row r="460" spans="1:10">
      <c r="A460" s="29" t="s">
        <v>919</v>
      </c>
      <c r="B460" s="34" t="s">
        <v>920</v>
      </c>
      <c r="C460" s="83">
        <v>126.316</v>
      </c>
      <c r="D460" s="83">
        <v>134.77000000000001</v>
      </c>
      <c r="E460" s="83">
        <f t="shared" si="25"/>
        <v>17023.607320000003</v>
      </c>
      <c r="F460" s="84">
        <f t="shared" si="26"/>
        <v>5.3781021814908181E-4</v>
      </c>
      <c r="G460" s="85">
        <v>8.6072568078949304E-3</v>
      </c>
      <c r="H460" s="84">
        <f t="shared" si="27"/>
        <v>4.6290706615191419E-6</v>
      </c>
      <c r="I460" s="84">
        <v>0.1231</v>
      </c>
      <c r="J460" s="84">
        <f t="shared" si="24"/>
        <v>6.6204437854151975E-5</v>
      </c>
    </row>
    <row r="461" spans="1:10">
      <c r="A461" s="29" t="s">
        <v>927</v>
      </c>
      <c r="B461" s="34" t="s">
        <v>928</v>
      </c>
      <c r="C461" s="83">
        <v>117.35299999999999</v>
      </c>
      <c r="D461" s="83">
        <v>114.74</v>
      </c>
      <c r="E461" s="83">
        <f t="shared" si="25"/>
        <v>13465.083219999999</v>
      </c>
      <c r="F461" s="84" t="str">
        <f t="shared" si="26"/>
        <v/>
      </c>
      <c r="G461" s="85">
        <v>1.3944570332926618E-2</v>
      </c>
      <c r="H461" s="84" t="str">
        <f t="shared" si="27"/>
        <v/>
      </c>
      <c r="I461" s="84">
        <v>0.35149999999999998</v>
      </c>
      <c r="J461" s="84" t="str">
        <f t="shared" si="24"/>
        <v/>
      </c>
    </row>
    <row r="462" spans="1:10">
      <c r="A462" s="29" t="s">
        <v>925</v>
      </c>
      <c r="B462" s="34" t="s">
        <v>926</v>
      </c>
      <c r="C462" s="83">
        <v>767.91</v>
      </c>
      <c r="D462" s="83">
        <v>64.489999999999995</v>
      </c>
      <c r="E462" s="83">
        <f t="shared" si="25"/>
        <v>49522.515899999991</v>
      </c>
      <c r="F462" s="84">
        <f t="shared" si="26"/>
        <v>1.5645165315919872E-3</v>
      </c>
      <c r="G462" s="85" t="s">
        <v>90</v>
      </c>
      <c r="H462" s="84" t="str">
        <f t="shared" si="27"/>
        <v/>
      </c>
      <c r="I462" s="84">
        <v>0.14367000000000002</v>
      </c>
      <c r="J462" s="84">
        <f t="shared" si="24"/>
        <v>2.2477409009382082E-4</v>
      </c>
    </row>
    <row r="463" spans="1:10">
      <c r="A463" s="29" t="s">
        <v>929</v>
      </c>
      <c r="B463" s="34" t="s">
        <v>930</v>
      </c>
      <c r="C463" s="83">
        <v>381.28399999999999</v>
      </c>
      <c r="D463" s="83">
        <v>101.05</v>
      </c>
      <c r="E463" s="83">
        <f t="shared" si="25"/>
        <v>38528.748199999995</v>
      </c>
      <c r="F463" s="84" t="str">
        <f t="shared" si="26"/>
        <v/>
      </c>
      <c r="G463" s="85" t="s">
        <v>90</v>
      </c>
      <c r="H463" s="84" t="str">
        <f t="shared" si="27"/>
        <v/>
      </c>
      <c r="I463" s="84">
        <v>-0.29330000000000001</v>
      </c>
      <c r="J463" s="84" t="str">
        <f t="shared" si="24"/>
        <v/>
      </c>
    </row>
    <row r="464" spans="1:10">
      <c r="A464" s="29" t="s">
        <v>931</v>
      </c>
      <c r="B464" s="34" t="s">
        <v>932</v>
      </c>
      <c r="C464" s="83">
        <v>64.183000000000007</v>
      </c>
      <c r="D464" s="83">
        <v>233.27</v>
      </c>
      <c r="E464" s="83">
        <f t="shared" si="25"/>
        <v>14971.968410000003</v>
      </c>
      <c r="F464" s="84">
        <f t="shared" si="26"/>
        <v>4.7299479160585228E-4</v>
      </c>
      <c r="G464" s="85">
        <v>3.9610751489690059E-2</v>
      </c>
      <c r="H464" s="84">
        <f t="shared" si="27"/>
        <v>1.8735679146217152E-5</v>
      </c>
      <c r="I464" s="84">
        <v>5.7099999999999998E-2</v>
      </c>
      <c r="J464" s="84">
        <f t="shared" si="24"/>
        <v>2.7008002600694165E-5</v>
      </c>
    </row>
    <row r="465" spans="1:10">
      <c r="A465" s="29" t="s">
        <v>933</v>
      </c>
      <c r="B465" s="34" t="s">
        <v>934</v>
      </c>
      <c r="C465" s="83">
        <v>408.363</v>
      </c>
      <c r="D465" s="83">
        <v>83.48</v>
      </c>
      <c r="E465" s="83">
        <f t="shared" si="25"/>
        <v>34090.143240000005</v>
      </c>
      <c r="F465" s="84">
        <f t="shared" si="26"/>
        <v>1.0769766376776274E-3</v>
      </c>
      <c r="G465" s="85" t="s">
        <v>90</v>
      </c>
      <c r="H465" s="84" t="str">
        <f t="shared" si="27"/>
        <v/>
      </c>
      <c r="I465" s="84">
        <v>0.2</v>
      </c>
      <c r="J465" s="84">
        <f t="shared" si="24"/>
        <v>2.1539532753552548E-4</v>
      </c>
    </row>
    <row r="466" spans="1:10">
      <c r="A466" s="29" t="s">
        <v>935</v>
      </c>
      <c r="B466" s="34" t="s">
        <v>936</v>
      </c>
      <c r="C466" s="83">
        <v>831.78700000000003</v>
      </c>
      <c r="D466" s="83">
        <v>54.39</v>
      </c>
      <c r="E466" s="83">
        <f t="shared" si="25"/>
        <v>45240.894930000002</v>
      </c>
      <c r="F466" s="84">
        <f t="shared" si="26"/>
        <v>1.4292514573558072E-3</v>
      </c>
      <c r="G466" s="85">
        <v>5.6591285162713729E-2</v>
      </c>
      <c r="H466" s="84">
        <f t="shared" si="27"/>
        <v>8.0883176792446667E-5</v>
      </c>
      <c r="I466" s="84">
        <v>1.3899999999999999E-2</v>
      </c>
      <c r="J466" s="84">
        <f t="shared" si="24"/>
        <v>1.9866595257245719E-5</v>
      </c>
    </row>
    <row r="467" spans="1:10">
      <c r="A467" s="29" t="s">
        <v>937</v>
      </c>
      <c r="B467" s="34" t="s">
        <v>938</v>
      </c>
      <c r="C467" s="83">
        <v>256.50799999999998</v>
      </c>
      <c r="D467" s="83">
        <v>40.26</v>
      </c>
      <c r="E467" s="83">
        <f t="shared" si="25"/>
        <v>10327.012079999999</v>
      </c>
      <c r="F467" s="84">
        <f t="shared" si="26"/>
        <v>3.2625121780434732E-4</v>
      </c>
      <c r="G467" s="85">
        <v>3.0054644808743172E-2</v>
      </c>
      <c r="H467" s="84">
        <f t="shared" si="27"/>
        <v>9.8053644695295641E-6</v>
      </c>
      <c r="I467" s="84">
        <v>5.7000000000000002E-2</v>
      </c>
      <c r="J467" s="84">
        <f t="shared" ref="J467:J521" si="28">IFERROR($I467*$F467,"")</f>
        <v>1.8596319414847798E-5</v>
      </c>
    </row>
    <row r="468" spans="1:10">
      <c r="A468" s="29" t="s">
        <v>939</v>
      </c>
      <c r="B468" s="34" t="s">
        <v>940</v>
      </c>
      <c r="C468" s="83">
        <v>179.15899999999999</v>
      </c>
      <c r="D468" s="83">
        <v>131.57</v>
      </c>
      <c r="E468" s="83">
        <f t="shared" ref="E468:E521" si="29">IFERROR(C468*D468,"")</f>
        <v>23571.949629999999</v>
      </c>
      <c r="F468" s="84">
        <f t="shared" ref="F468:F521" si="30">IF(AND(ISNUMBER($I468)), IF(AND($I468&lt;=20%,$I468&gt;0%), $E468/SUMIFS($E$19:$E$521,$I$19:$I$521, "&gt;"&amp;0%,$I$19:$I$521, "&lt;="&amp;20%),""),"")</f>
        <v>7.4468560830910104E-4</v>
      </c>
      <c r="G468" s="85">
        <v>5.1683514478984578E-3</v>
      </c>
      <c r="H468" s="84">
        <f t="shared" ref="H468:H521" si="31">IFERROR($G468*$F468,"")</f>
        <v>3.8487969419334863E-6</v>
      </c>
      <c r="I468" s="84">
        <v>0.14083000000000001</v>
      </c>
      <c r="J468" s="84">
        <f t="shared" si="28"/>
        <v>1.0487407421817071E-4</v>
      </c>
    </row>
    <row r="469" spans="1:10">
      <c r="A469" s="29" t="s">
        <v>941</v>
      </c>
      <c r="B469" s="34" t="s">
        <v>942</v>
      </c>
      <c r="C469" s="83">
        <v>38.679000000000002</v>
      </c>
      <c r="D469" s="83">
        <v>371.25</v>
      </c>
      <c r="E469" s="83">
        <f t="shared" si="29"/>
        <v>14359.578750000001</v>
      </c>
      <c r="F469" s="84" t="str">
        <f t="shared" si="30"/>
        <v/>
      </c>
      <c r="G469" s="85">
        <v>1.1851851851851853E-2</v>
      </c>
      <c r="H469" s="84" t="str">
        <f t="shared" si="31"/>
        <v/>
      </c>
      <c r="I469" s="84">
        <v>-2.4499999999999999E-3</v>
      </c>
      <c r="J469" s="84" t="str">
        <f t="shared" si="28"/>
        <v/>
      </c>
    </row>
    <row r="470" spans="1:10">
      <c r="A470" s="29" t="s">
        <v>943</v>
      </c>
      <c r="B470" s="34" t="s">
        <v>944</v>
      </c>
      <c r="C470" s="83">
        <v>324.24299999999999</v>
      </c>
      <c r="D470" s="83">
        <v>57.25</v>
      </c>
      <c r="E470" s="83">
        <f t="shared" si="29"/>
        <v>18562.911749999999</v>
      </c>
      <c r="F470" s="84" t="str">
        <f t="shared" si="30"/>
        <v/>
      </c>
      <c r="G470" s="85" t="s">
        <v>90</v>
      </c>
      <c r="H470" s="84" t="str">
        <f t="shared" si="31"/>
        <v/>
      </c>
      <c r="I470" s="84">
        <v>-0.1391</v>
      </c>
      <c r="J470" s="84" t="str">
        <f t="shared" si="28"/>
        <v/>
      </c>
    </row>
    <row r="471" spans="1:10">
      <c r="A471" s="29" t="s">
        <v>945</v>
      </c>
      <c r="B471" s="34" t="s">
        <v>946</v>
      </c>
      <c r="C471" s="83">
        <v>1374.864</v>
      </c>
      <c r="D471" s="83">
        <v>168.53</v>
      </c>
      <c r="E471" s="83">
        <f t="shared" si="29"/>
        <v>231705.82992000002</v>
      </c>
      <c r="F471" s="84">
        <f t="shared" si="30"/>
        <v>7.3200562368052335E-3</v>
      </c>
      <c r="G471" s="85">
        <v>3.0024328012816705E-2</v>
      </c>
      <c r="H471" s="84">
        <f t="shared" si="31"/>
        <v>2.19779769526105E-4</v>
      </c>
      <c r="I471" s="84">
        <v>8.6199999999999999E-2</v>
      </c>
      <c r="J471" s="84">
        <f t="shared" si="28"/>
        <v>6.3098884761261115E-4</v>
      </c>
    </row>
    <row r="472" spans="1:10">
      <c r="A472" s="29" t="s">
        <v>947</v>
      </c>
      <c r="B472" s="34" t="s">
        <v>948</v>
      </c>
      <c r="C472" s="83">
        <v>178.98500000000001</v>
      </c>
      <c r="D472" s="83">
        <v>153.74</v>
      </c>
      <c r="E472" s="83">
        <f t="shared" si="29"/>
        <v>27517.153900000005</v>
      </c>
      <c r="F472" s="84">
        <f t="shared" si="30"/>
        <v>8.6932259794399776E-4</v>
      </c>
      <c r="G472" s="85">
        <v>8.7680499544685833E-2</v>
      </c>
      <c r="H472" s="84">
        <f t="shared" si="31"/>
        <v>7.6222639653213795E-5</v>
      </c>
      <c r="I472" s="84">
        <v>8.4700000000000011E-2</v>
      </c>
      <c r="J472" s="84">
        <f t="shared" si="28"/>
        <v>7.3631624045856616E-5</v>
      </c>
    </row>
    <row r="473" spans="1:10">
      <c r="A473" s="29" t="s">
        <v>1295</v>
      </c>
      <c r="B473" s="34" t="s">
        <v>1296</v>
      </c>
      <c r="C473" s="83">
        <v>315.3</v>
      </c>
      <c r="D473" s="83">
        <v>338.51</v>
      </c>
      <c r="E473" s="83">
        <f t="shared" si="29"/>
        <v>106732.20299999999</v>
      </c>
      <c r="F473" s="84" t="str">
        <f t="shared" si="30"/>
        <v/>
      </c>
      <c r="G473" s="85" t="s">
        <v>90</v>
      </c>
      <c r="H473" s="84" t="str">
        <f t="shared" si="31"/>
        <v/>
      </c>
      <c r="I473" s="84">
        <v>0.3</v>
      </c>
      <c r="J473" s="84" t="str">
        <f t="shared" si="28"/>
        <v/>
      </c>
    </row>
    <row r="474" spans="1:10">
      <c r="A474" s="29" t="s">
        <v>949</v>
      </c>
      <c r="B474" s="34" t="s">
        <v>950</v>
      </c>
      <c r="C474" s="83">
        <v>205</v>
      </c>
      <c r="D474" s="83">
        <v>765.4</v>
      </c>
      <c r="E474" s="83">
        <f t="shared" si="29"/>
        <v>156907</v>
      </c>
      <c r="F474" s="84" t="str">
        <f t="shared" si="30"/>
        <v/>
      </c>
      <c r="G474" s="85" t="s">
        <v>90</v>
      </c>
      <c r="H474" s="84" t="str">
        <f t="shared" si="31"/>
        <v/>
      </c>
      <c r="I474" s="84">
        <v>0.3</v>
      </c>
      <c r="J474" s="84" t="str">
        <f t="shared" si="28"/>
        <v/>
      </c>
    </row>
    <row r="475" spans="1:10">
      <c r="A475" s="29" t="s">
        <v>951</v>
      </c>
      <c r="B475" s="34" t="s">
        <v>952</v>
      </c>
      <c r="C475" s="83">
        <v>246.38200000000001</v>
      </c>
      <c r="D475" s="83">
        <v>99.85</v>
      </c>
      <c r="E475" s="83">
        <f t="shared" si="29"/>
        <v>24601.242699999999</v>
      </c>
      <c r="F475" s="84">
        <f t="shared" si="30"/>
        <v>7.7720306011061719E-4</v>
      </c>
      <c r="G475" s="85">
        <v>1.0916374561842766E-2</v>
      </c>
      <c r="H475" s="84">
        <f t="shared" si="31"/>
        <v>8.4842397147778963E-6</v>
      </c>
      <c r="I475" s="84">
        <v>6.2800000000000009E-2</v>
      </c>
      <c r="J475" s="84">
        <f t="shared" si="28"/>
        <v>4.8808352174946768E-5</v>
      </c>
    </row>
    <row r="476" spans="1:10">
      <c r="A476" s="29" t="s">
        <v>953</v>
      </c>
      <c r="B476" s="34" t="s">
        <v>954</v>
      </c>
      <c r="C476" s="83">
        <v>81.617999999999995</v>
      </c>
      <c r="D476" s="83">
        <v>101.73</v>
      </c>
      <c r="E476" s="83">
        <f t="shared" si="29"/>
        <v>8302.9991399999999</v>
      </c>
      <c r="F476" s="84">
        <f t="shared" si="30"/>
        <v>2.6230855157995022E-4</v>
      </c>
      <c r="G476" s="85">
        <v>4.2858547134571906E-2</v>
      </c>
      <c r="H476" s="84">
        <f t="shared" si="31"/>
        <v>1.1242163421690583E-5</v>
      </c>
      <c r="I476" s="84">
        <v>4.4199999999999996E-2</v>
      </c>
      <c r="J476" s="84">
        <f t="shared" si="28"/>
        <v>1.1594037979833799E-5</v>
      </c>
    </row>
    <row r="477" spans="1:10">
      <c r="A477" s="29" t="s">
        <v>955</v>
      </c>
      <c r="B477" s="34" t="s">
        <v>956</v>
      </c>
      <c r="C477" s="83">
        <v>341.58300000000003</v>
      </c>
      <c r="D477" s="83">
        <v>43.37</v>
      </c>
      <c r="E477" s="83">
        <f t="shared" si="29"/>
        <v>14814.45471</v>
      </c>
      <c r="F477" s="84" t="str">
        <f t="shared" si="30"/>
        <v/>
      </c>
      <c r="G477" s="85" t="s">
        <v>90</v>
      </c>
      <c r="H477" s="84" t="str">
        <f t="shared" si="31"/>
        <v/>
      </c>
      <c r="I477" s="84" t="s">
        <v>90</v>
      </c>
      <c r="J477" s="84" t="str">
        <f t="shared" si="28"/>
        <v/>
      </c>
    </row>
    <row r="478" spans="1:10">
      <c r="A478" s="29" t="s">
        <v>957</v>
      </c>
      <c r="B478" s="34" t="s">
        <v>958</v>
      </c>
      <c r="C478" s="83">
        <v>515.17600000000004</v>
      </c>
      <c r="D478" s="83">
        <v>78.14</v>
      </c>
      <c r="E478" s="83">
        <f t="shared" si="29"/>
        <v>40255.852640000005</v>
      </c>
      <c r="F478" s="84">
        <f t="shared" si="30"/>
        <v>1.2717638796014997E-3</v>
      </c>
      <c r="G478" s="85">
        <v>4.5047350908625543E-2</v>
      </c>
      <c r="H478" s="84">
        <f t="shared" si="31"/>
        <v>5.7289593757323764E-5</v>
      </c>
      <c r="I478" s="84">
        <v>5.1050000000000005E-2</v>
      </c>
      <c r="J478" s="84">
        <f t="shared" si="28"/>
        <v>6.4923546053656571E-5</v>
      </c>
    </row>
    <row r="479" spans="1:10">
      <c r="A479" s="29" t="s">
        <v>959</v>
      </c>
      <c r="B479" s="34" t="s">
        <v>960</v>
      </c>
      <c r="C479" s="83">
        <v>611.95799999999997</v>
      </c>
      <c r="D479" s="83">
        <v>32.93</v>
      </c>
      <c r="E479" s="83">
        <f t="shared" si="29"/>
        <v>20151.77694</v>
      </c>
      <c r="F479" s="84">
        <f t="shared" si="30"/>
        <v>6.3663542917019274E-4</v>
      </c>
      <c r="G479" s="85">
        <v>3.4011539629517161E-2</v>
      </c>
      <c r="H479" s="84">
        <f t="shared" si="31"/>
        <v>2.1652951128776676E-5</v>
      </c>
      <c r="I479" s="84">
        <v>2.8300000000000002E-2</v>
      </c>
      <c r="J479" s="84">
        <f t="shared" si="28"/>
        <v>1.8016782645516458E-5</v>
      </c>
    </row>
    <row r="480" spans="1:10">
      <c r="A480" s="29" t="s">
        <v>961</v>
      </c>
      <c r="B480" s="34" t="s">
        <v>962</v>
      </c>
      <c r="C480" s="83">
        <v>119.437</v>
      </c>
      <c r="D480" s="83">
        <v>180.65</v>
      </c>
      <c r="E480" s="83">
        <f t="shared" si="29"/>
        <v>21576.29405</v>
      </c>
      <c r="F480" s="84">
        <f t="shared" si="30"/>
        <v>6.816388084942759E-4</v>
      </c>
      <c r="G480" s="85" t="s">
        <v>90</v>
      </c>
      <c r="H480" s="84" t="str">
        <f t="shared" si="31"/>
        <v/>
      </c>
      <c r="I480" s="84">
        <v>0.19524999999999998</v>
      </c>
      <c r="J480" s="84">
        <f t="shared" si="28"/>
        <v>1.3308997735850736E-4</v>
      </c>
    </row>
    <row r="481" spans="1:10">
      <c r="A481" s="29" t="s">
        <v>963</v>
      </c>
      <c r="B481" s="34" t="s">
        <v>964</v>
      </c>
      <c r="C481" s="83">
        <v>103.143</v>
      </c>
      <c r="D481" s="83">
        <v>200.98</v>
      </c>
      <c r="E481" s="83">
        <f t="shared" si="29"/>
        <v>20729.68014</v>
      </c>
      <c r="F481" s="84">
        <f t="shared" si="30"/>
        <v>6.5489256117628113E-4</v>
      </c>
      <c r="G481" s="85">
        <v>8.5580654791521556E-3</v>
      </c>
      <c r="H481" s="84">
        <f t="shared" si="31"/>
        <v>5.6046134203562727E-6</v>
      </c>
      <c r="I481" s="84">
        <v>0.15</v>
      </c>
      <c r="J481" s="84">
        <f t="shared" si="28"/>
        <v>9.8233884176442165E-5</v>
      </c>
    </row>
    <row r="482" spans="1:10">
      <c r="A482" s="29" t="s">
        <v>965</v>
      </c>
      <c r="B482" s="34" t="s">
        <v>966</v>
      </c>
      <c r="C482" s="83">
        <v>131.10300000000001</v>
      </c>
      <c r="D482" s="83">
        <v>825.17</v>
      </c>
      <c r="E482" s="83">
        <f t="shared" si="29"/>
        <v>108182.26251</v>
      </c>
      <c r="F482" s="84">
        <f t="shared" si="30"/>
        <v>3.417696678894278E-3</v>
      </c>
      <c r="G482" s="85">
        <v>9.694971945174935E-3</v>
      </c>
      <c r="H482" s="84">
        <f t="shared" si="31"/>
        <v>3.3134473418997572E-5</v>
      </c>
      <c r="I482" s="84">
        <v>0.11365</v>
      </c>
      <c r="J482" s="84">
        <f t="shared" si="28"/>
        <v>3.8842122755633468E-4</v>
      </c>
    </row>
    <row r="483" spans="1:10">
      <c r="A483" s="29" t="s">
        <v>967</v>
      </c>
      <c r="B483" s="34" t="s">
        <v>968</v>
      </c>
      <c r="C483" s="83">
        <v>63.682000000000002</v>
      </c>
      <c r="D483" s="83">
        <v>104.25</v>
      </c>
      <c r="E483" s="83">
        <f t="shared" si="29"/>
        <v>6638.8485000000001</v>
      </c>
      <c r="F483" s="84" t="str">
        <f t="shared" si="30"/>
        <v/>
      </c>
      <c r="G483" s="85" t="s">
        <v>90</v>
      </c>
      <c r="H483" s="84" t="str">
        <f t="shared" si="31"/>
        <v/>
      </c>
      <c r="I483" s="84">
        <v>-2.3250000000000003E-2</v>
      </c>
      <c r="J483" s="84" t="str">
        <f t="shared" si="28"/>
        <v/>
      </c>
    </row>
    <row r="484" spans="1:10">
      <c r="A484" s="29" t="s">
        <v>1072</v>
      </c>
      <c r="B484" s="34" t="s">
        <v>1073</v>
      </c>
      <c r="C484" s="83">
        <v>455.24299999999999</v>
      </c>
      <c r="D484" s="83">
        <v>73.36</v>
      </c>
      <c r="E484" s="83">
        <f t="shared" si="29"/>
        <v>33396.626479999999</v>
      </c>
      <c r="F484" s="84">
        <f t="shared" si="30"/>
        <v>1.0550670392608773E-3</v>
      </c>
      <c r="G484" s="85">
        <v>1.6357688113413304E-3</v>
      </c>
      <c r="H484" s="84">
        <f t="shared" si="31"/>
        <v>1.725845756697182E-6</v>
      </c>
      <c r="I484" s="84">
        <v>0.127</v>
      </c>
      <c r="J484" s="84">
        <f t="shared" si="28"/>
        <v>1.3399351398613144E-4</v>
      </c>
    </row>
    <row r="485" spans="1:10">
      <c r="A485" s="29" t="s">
        <v>969</v>
      </c>
      <c r="B485" s="34" t="s">
        <v>970</v>
      </c>
      <c r="C485" s="83">
        <v>165.29900000000001</v>
      </c>
      <c r="D485" s="83">
        <v>73.17</v>
      </c>
      <c r="E485" s="83">
        <f t="shared" si="29"/>
        <v>12094.927830000001</v>
      </c>
      <c r="F485" s="84">
        <f t="shared" si="30"/>
        <v>3.8210325534868481E-4</v>
      </c>
      <c r="G485" s="85">
        <v>1.2573459067924012E-2</v>
      </c>
      <c r="H485" s="84">
        <f t="shared" si="31"/>
        <v>4.8043596408472051E-6</v>
      </c>
      <c r="I485" s="84">
        <v>7.5300000000000006E-2</v>
      </c>
      <c r="J485" s="84">
        <f t="shared" si="28"/>
        <v>2.8772375127755968E-5</v>
      </c>
    </row>
    <row r="486" spans="1:10">
      <c r="A486" s="29" t="s">
        <v>971</v>
      </c>
      <c r="B486" s="34" t="s">
        <v>972</v>
      </c>
      <c r="C486" s="83">
        <v>257.68299999999999</v>
      </c>
      <c r="D486" s="83">
        <v>433.38</v>
      </c>
      <c r="E486" s="83">
        <f t="shared" si="29"/>
        <v>111674.65853999999</v>
      </c>
      <c r="F486" s="84">
        <f t="shared" si="30"/>
        <v>3.5280285395540719E-3</v>
      </c>
      <c r="G486" s="85" t="s">
        <v>90</v>
      </c>
      <c r="H486" s="84" t="str">
        <f t="shared" si="31"/>
        <v/>
      </c>
      <c r="I486" s="84">
        <v>0.13394999999999999</v>
      </c>
      <c r="J486" s="84">
        <f t="shared" si="28"/>
        <v>4.7257942287326786E-4</v>
      </c>
    </row>
    <row r="487" spans="1:10">
      <c r="A487" s="29" t="s">
        <v>973</v>
      </c>
      <c r="B487" s="34" t="s">
        <v>974</v>
      </c>
      <c r="C487" s="83">
        <v>1445.3430000000001</v>
      </c>
      <c r="D487" s="83">
        <v>9.43</v>
      </c>
      <c r="E487" s="83">
        <f t="shared" si="29"/>
        <v>13629.584490000001</v>
      </c>
      <c r="F487" s="84">
        <f t="shared" si="30"/>
        <v>4.3058616602584097E-4</v>
      </c>
      <c r="G487" s="85">
        <v>5.3022269353128315E-2</v>
      </c>
      <c r="H487" s="84">
        <f t="shared" si="31"/>
        <v>2.283065567475297E-5</v>
      </c>
      <c r="I487" s="84">
        <v>2.2000000000000002E-2</v>
      </c>
      <c r="J487" s="84">
        <f t="shared" si="28"/>
        <v>9.4728956525685025E-6</v>
      </c>
    </row>
    <row r="488" spans="1:10">
      <c r="A488" s="29" t="s">
        <v>975</v>
      </c>
      <c r="B488" s="34" t="s">
        <v>976</v>
      </c>
      <c r="C488" s="83">
        <v>2219.607</v>
      </c>
      <c r="D488" s="83">
        <v>390.14</v>
      </c>
      <c r="E488" s="83">
        <f t="shared" si="29"/>
        <v>865957.47497999994</v>
      </c>
      <c r="F488" s="84" t="str">
        <f t="shared" si="30"/>
        <v/>
      </c>
      <c r="G488" s="85" t="s">
        <v>90</v>
      </c>
      <c r="H488" s="84" t="str">
        <f t="shared" si="31"/>
        <v/>
      </c>
      <c r="I488" s="84">
        <v>0.2079</v>
      </c>
      <c r="J488" s="84" t="str">
        <f t="shared" si="28"/>
        <v/>
      </c>
    </row>
    <row r="489" spans="1:10">
      <c r="A489" s="29" t="s">
        <v>977</v>
      </c>
      <c r="B489" s="34" t="s">
        <v>978</v>
      </c>
      <c r="C489" s="83">
        <v>1195.807</v>
      </c>
      <c r="D489" s="83">
        <v>161.22999999999999</v>
      </c>
      <c r="E489" s="83">
        <f t="shared" si="29"/>
        <v>192799.96260999999</v>
      </c>
      <c r="F489" s="84">
        <f t="shared" si="30"/>
        <v>6.0909411267140818E-3</v>
      </c>
      <c r="G489" s="85">
        <v>1.6126031135644734E-2</v>
      </c>
      <c r="H489" s="84">
        <f t="shared" si="31"/>
        <v>9.8222706254770306E-5</v>
      </c>
      <c r="I489" s="84">
        <v>5.2499999999999998E-2</v>
      </c>
      <c r="J489" s="84">
        <f t="shared" si="28"/>
        <v>3.1977440915248928E-4</v>
      </c>
    </row>
    <row r="490" spans="1:10">
      <c r="A490" s="29" t="s">
        <v>979</v>
      </c>
      <c r="B490" s="34" t="s">
        <v>980</v>
      </c>
      <c r="C490" s="83">
        <v>67.191999999999993</v>
      </c>
      <c r="D490" s="83">
        <v>625.4</v>
      </c>
      <c r="E490" s="83">
        <f t="shared" si="29"/>
        <v>42021.876799999991</v>
      </c>
      <c r="F490" s="84">
        <f t="shared" si="30"/>
        <v>1.3275561579883664E-3</v>
      </c>
      <c r="G490" s="85">
        <v>1.0425327790214262E-2</v>
      </c>
      <c r="H490" s="84">
        <f t="shared" si="31"/>
        <v>1.3840208106946192E-5</v>
      </c>
      <c r="I490" s="84">
        <v>6.8499999999999991E-2</v>
      </c>
      <c r="J490" s="84">
        <f t="shared" si="28"/>
        <v>9.0937596822203095E-5</v>
      </c>
    </row>
    <row r="491" spans="1:10">
      <c r="A491" s="29" t="s">
        <v>981</v>
      </c>
      <c r="B491" s="34" t="s">
        <v>982</v>
      </c>
      <c r="C491" s="83">
        <v>174.96799999999999</v>
      </c>
      <c r="D491" s="83">
        <v>120.9</v>
      </c>
      <c r="E491" s="83">
        <f t="shared" si="29"/>
        <v>21153.6312</v>
      </c>
      <c r="F491" s="84">
        <f t="shared" si="30"/>
        <v>6.6828603341616678E-4</v>
      </c>
      <c r="G491" s="85">
        <v>4.2018196856906533E-2</v>
      </c>
      <c r="H491" s="84">
        <f t="shared" si="31"/>
        <v>2.8080174108801712E-5</v>
      </c>
      <c r="I491" s="84">
        <v>5.28E-2</v>
      </c>
      <c r="J491" s="84">
        <f t="shared" si="28"/>
        <v>3.5285502564373606E-5</v>
      </c>
    </row>
    <row r="492" spans="1:10">
      <c r="A492" s="29" t="s">
        <v>983</v>
      </c>
      <c r="B492" s="34" t="s">
        <v>984</v>
      </c>
      <c r="C492" s="83">
        <v>659.25099999999998</v>
      </c>
      <c r="D492" s="83">
        <v>202.26</v>
      </c>
      <c r="E492" s="83">
        <f t="shared" si="29"/>
        <v>133340.10725999999</v>
      </c>
      <c r="F492" s="84">
        <f t="shared" si="30"/>
        <v>4.2124839245600357E-3</v>
      </c>
      <c r="G492" s="85">
        <v>2.1358647285671911E-2</v>
      </c>
      <c r="H492" s="84">
        <f t="shared" si="31"/>
        <v>8.9972958341240768E-5</v>
      </c>
      <c r="I492" s="84">
        <v>7.8700000000000006E-2</v>
      </c>
      <c r="J492" s="84">
        <f t="shared" si="28"/>
        <v>3.3152248486287484E-4</v>
      </c>
    </row>
    <row r="493" spans="1:10">
      <c r="A493" s="29" t="s">
        <v>985</v>
      </c>
      <c r="B493" s="34" t="s">
        <v>986</v>
      </c>
      <c r="C493" s="83">
        <v>643.46299999999997</v>
      </c>
      <c r="D493" s="83">
        <v>39.14</v>
      </c>
      <c r="E493" s="83">
        <f t="shared" si="29"/>
        <v>25185.141820000001</v>
      </c>
      <c r="F493" s="84">
        <f t="shared" si="30"/>
        <v>7.9564961536775865E-4</v>
      </c>
      <c r="G493" s="85">
        <v>1.0219724067450179E-2</v>
      </c>
      <c r="H493" s="84">
        <f t="shared" si="31"/>
        <v>8.1313195234313602E-6</v>
      </c>
      <c r="I493" s="84">
        <v>8.3699999999999997E-2</v>
      </c>
      <c r="J493" s="84">
        <f t="shared" si="28"/>
        <v>6.65958728062814E-5</v>
      </c>
    </row>
    <row r="494" spans="1:10">
      <c r="A494" s="29" t="s">
        <v>987</v>
      </c>
      <c r="B494" s="34" t="s">
        <v>988</v>
      </c>
      <c r="C494" s="83">
        <v>328.017</v>
      </c>
      <c r="D494" s="83">
        <v>41.38</v>
      </c>
      <c r="E494" s="83">
        <f t="shared" si="29"/>
        <v>13573.34346</v>
      </c>
      <c r="F494" s="84" t="str">
        <f t="shared" si="30"/>
        <v/>
      </c>
      <c r="G494" s="85" t="s">
        <v>90</v>
      </c>
      <c r="H494" s="84" t="str">
        <f t="shared" si="31"/>
        <v/>
      </c>
      <c r="I494" s="84">
        <v>0.49560000000000004</v>
      </c>
      <c r="J494" s="84" t="str">
        <f t="shared" si="28"/>
        <v/>
      </c>
    </row>
    <row r="495" spans="1:10">
      <c r="A495" s="29" t="s">
        <v>989</v>
      </c>
      <c r="B495" s="34" t="s">
        <v>990</v>
      </c>
      <c r="C495" s="83">
        <v>209.511</v>
      </c>
      <c r="D495" s="83">
        <v>85.68</v>
      </c>
      <c r="E495" s="83">
        <f t="shared" si="29"/>
        <v>17950.902480000001</v>
      </c>
      <c r="F495" s="84" t="str">
        <f t="shared" si="30"/>
        <v/>
      </c>
      <c r="G495" s="85">
        <v>3.2679738562091498E-2</v>
      </c>
      <c r="H495" s="84" t="str">
        <f t="shared" si="31"/>
        <v/>
      </c>
      <c r="I495" s="84">
        <v>-4.8949999999999994E-2</v>
      </c>
      <c r="J495" s="84" t="str">
        <f t="shared" si="28"/>
        <v/>
      </c>
    </row>
    <row r="496" spans="1:10">
      <c r="A496" s="29" t="s">
        <v>991</v>
      </c>
      <c r="B496" s="34" t="s">
        <v>992</v>
      </c>
      <c r="C496" s="83">
        <v>191.38499999999999</v>
      </c>
      <c r="D496" s="83">
        <v>25.57</v>
      </c>
      <c r="E496" s="83">
        <f t="shared" si="29"/>
        <v>4893.7144499999995</v>
      </c>
      <c r="F496" s="84" t="str">
        <f t="shared" si="30"/>
        <v/>
      </c>
      <c r="G496" s="85">
        <v>7.8216660148611658E-3</v>
      </c>
      <c r="H496" s="84" t="str">
        <f t="shared" si="31"/>
        <v/>
      </c>
      <c r="I496" s="84" t="s">
        <v>90</v>
      </c>
      <c r="J496" s="84" t="str">
        <f t="shared" si="28"/>
        <v/>
      </c>
    </row>
    <row r="497" spans="1:10">
      <c r="A497" s="29" t="s">
        <v>993</v>
      </c>
      <c r="B497" s="34" t="s">
        <v>994</v>
      </c>
      <c r="C497" s="83">
        <v>534.20100000000002</v>
      </c>
      <c r="D497" s="83">
        <v>75.31</v>
      </c>
      <c r="E497" s="83">
        <f t="shared" si="29"/>
        <v>40230.677310000006</v>
      </c>
      <c r="F497" s="84">
        <f t="shared" si="30"/>
        <v>1.2709685399613891E-3</v>
      </c>
      <c r="G497" s="85" t="s">
        <v>90</v>
      </c>
      <c r="H497" s="84" t="str">
        <f t="shared" si="31"/>
        <v/>
      </c>
      <c r="I497" s="84">
        <v>9.2600000000000002E-2</v>
      </c>
      <c r="J497" s="84">
        <f t="shared" si="28"/>
        <v>1.1769168680042463E-4</v>
      </c>
    </row>
    <row r="498" spans="1:10">
      <c r="A498" s="29" t="s">
        <v>995</v>
      </c>
      <c r="B498" s="34" t="s">
        <v>996</v>
      </c>
      <c r="C498" s="83">
        <v>61.807000000000002</v>
      </c>
      <c r="D498" s="83">
        <v>508.42</v>
      </c>
      <c r="E498" s="83">
        <f t="shared" si="29"/>
        <v>31423.914940000002</v>
      </c>
      <c r="F498" s="84" t="str">
        <f t="shared" si="30"/>
        <v/>
      </c>
      <c r="G498" s="85">
        <v>5.8219582235159908E-3</v>
      </c>
      <c r="H498" s="84" t="str">
        <f t="shared" si="31"/>
        <v/>
      </c>
      <c r="I498" s="84">
        <v>0.20660000000000001</v>
      </c>
      <c r="J498" s="84" t="str">
        <f t="shared" si="28"/>
        <v/>
      </c>
    </row>
    <row r="499" spans="1:10">
      <c r="A499" s="29" t="s">
        <v>997</v>
      </c>
      <c r="B499" s="34" t="s">
        <v>998</v>
      </c>
      <c r="C499" s="83">
        <v>152.87899999999999</v>
      </c>
      <c r="D499" s="83">
        <v>96.59</v>
      </c>
      <c r="E499" s="83">
        <f t="shared" si="29"/>
        <v>14766.582609999999</v>
      </c>
      <c r="F499" s="84">
        <f t="shared" si="30"/>
        <v>4.6650623839698249E-4</v>
      </c>
      <c r="G499" s="85">
        <v>4.9694585360803394E-3</v>
      </c>
      <c r="H499" s="84">
        <f t="shared" si="31"/>
        <v>2.3182834085366143E-6</v>
      </c>
      <c r="I499" s="84">
        <v>0.06</v>
      </c>
      <c r="J499" s="84">
        <f t="shared" si="28"/>
        <v>2.7990374303818949E-5</v>
      </c>
    </row>
    <row r="500" spans="1:10">
      <c r="A500" s="29" t="s">
        <v>999</v>
      </c>
      <c r="B500" s="34" t="s">
        <v>1000</v>
      </c>
      <c r="C500" s="83">
        <v>1078.1400000000001</v>
      </c>
      <c r="D500" s="83">
        <v>61.35</v>
      </c>
      <c r="E500" s="83">
        <f t="shared" si="29"/>
        <v>66143.88900000001</v>
      </c>
      <c r="F500" s="84">
        <f t="shared" si="30"/>
        <v>2.0896193564407623E-3</v>
      </c>
      <c r="G500" s="85" t="s">
        <v>90</v>
      </c>
      <c r="H500" s="84" t="str">
        <f t="shared" si="31"/>
        <v/>
      </c>
      <c r="I500" s="84">
        <v>6.2549999999999994E-2</v>
      </c>
      <c r="J500" s="84">
        <f t="shared" si="28"/>
        <v>1.3070569074536968E-4</v>
      </c>
    </row>
    <row r="501" spans="1:10">
      <c r="A501" s="29" t="s">
        <v>1001</v>
      </c>
      <c r="B501" s="34" t="s">
        <v>1002</v>
      </c>
      <c r="C501" s="83">
        <v>3184.79</v>
      </c>
      <c r="D501" s="83">
        <v>187.29</v>
      </c>
      <c r="E501" s="83">
        <f t="shared" si="29"/>
        <v>596479.31909999996</v>
      </c>
      <c r="F501" s="84">
        <f t="shared" si="30"/>
        <v>1.8843989214301655E-2</v>
      </c>
      <c r="G501" s="85" t="s">
        <v>90</v>
      </c>
      <c r="H501" s="84" t="str">
        <f t="shared" si="31"/>
        <v/>
      </c>
      <c r="I501" s="84">
        <v>0.02</v>
      </c>
      <c r="J501" s="84">
        <f t="shared" si="28"/>
        <v>3.7687978428603308E-4</v>
      </c>
    </row>
    <row r="502" spans="1:10">
      <c r="A502" s="29" t="s">
        <v>1003</v>
      </c>
      <c r="B502" s="34" t="s">
        <v>1004</v>
      </c>
      <c r="C502" s="83">
        <v>373.17200000000003</v>
      </c>
      <c r="D502" s="83">
        <v>82.43</v>
      </c>
      <c r="E502" s="83">
        <f t="shared" si="29"/>
        <v>30760.567960000004</v>
      </c>
      <c r="F502" s="84">
        <f t="shared" si="30"/>
        <v>9.7178861412771679E-4</v>
      </c>
      <c r="G502" s="85" t="s">
        <v>90</v>
      </c>
      <c r="H502" s="84" t="str">
        <f t="shared" si="31"/>
        <v/>
      </c>
      <c r="I502" s="84">
        <v>0.15</v>
      </c>
      <c r="J502" s="84">
        <f t="shared" si="28"/>
        <v>1.4576829211915751E-4</v>
      </c>
    </row>
    <row r="503" spans="1:10">
      <c r="A503" s="29" t="s">
        <v>1005</v>
      </c>
      <c r="B503" s="34" t="s">
        <v>1006</v>
      </c>
      <c r="C503" s="83">
        <v>702.29300000000001</v>
      </c>
      <c r="D503" s="83">
        <v>53.6</v>
      </c>
      <c r="E503" s="83">
        <f t="shared" si="29"/>
        <v>37642.904800000004</v>
      </c>
      <c r="F503" s="84" t="str">
        <f t="shared" si="30"/>
        <v/>
      </c>
      <c r="G503" s="85">
        <v>5.2238805970149252E-2</v>
      </c>
      <c r="H503" s="84" t="str">
        <f t="shared" si="31"/>
        <v/>
      </c>
      <c r="I503" s="84">
        <v>0.23260000000000003</v>
      </c>
      <c r="J503" s="84" t="str">
        <f t="shared" si="28"/>
        <v/>
      </c>
    </row>
    <row r="504" spans="1:10">
      <c r="A504" s="29" t="s">
        <v>1297</v>
      </c>
      <c r="B504" s="34" t="s">
        <v>1298</v>
      </c>
      <c r="C504" s="83">
        <v>43.39</v>
      </c>
      <c r="D504" s="83">
        <v>384.97</v>
      </c>
      <c r="E504" s="83">
        <f t="shared" si="29"/>
        <v>16703.848300000001</v>
      </c>
      <c r="F504" s="84" t="str">
        <f t="shared" si="30"/>
        <v/>
      </c>
      <c r="G504" s="85">
        <v>1.8183235057277189E-2</v>
      </c>
      <c r="H504" s="84" t="str">
        <f t="shared" si="31"/>
        <v/>
      </c>
      <c r="I504" s="84">
        <v>0.33500000000000002</v>
      </c>
      <c r="J504" s="84" t="str">
        <f t="shared" si="28"/>
        <v/>
      </c>
    </row>
    <row r="505" spans="1:10">
      <c r="A505" s="29" t="s">
        <v>1007</v>
      </c>
      <c r="B505" s="34" t="s">
        <v>1008</v>
      </c>
      <c r="C505" s="83">
        <v>47.185000000000002</v>
      </c>
      <c r="D505" s="83">
        <v>418.47</v>
      </c>
      <c r="E505" s="83">
        <f t="shared" si="29"/>
        <v>19745.506950000003</v>
      </c>
      <c r="F505" s="84">
        <f t="shared" si="30"/>
        <v>6.2380053772549725E-4</v>
      </c>
      <c r="G505" s="85" t="s">
        <v>90</v>
      </c>
      <c r="H505" s="84" t="str">
        <f t="shared" si="31"/>
        <v/>
      </c>
      <c r="I505" s="84">
        <v>8.0299999999999996E-2</v>
      </c>
      <c r="J505" s="84">
        <f t="shared" si="28"/>
        <v>5.009118317935743E-5</v>
      </c>
    </row>
    <row r="506" spans="1:10">
      <c r="A506" s="29" t="s">
        <v>991</v>
      </c>
      <c r="B506" s="34" t="s">
        <v>1009</v>
      </c>
      <c r="C506" s="83">
        <v>380.67</v>
      </c>
      <c r="D506" s="83">
        <v>24.64</v>
      </c>
      <c r="E506" s="83">
        <f t="shared" si="29"/>
        <v>9379.7088000000003</v>
      </c>
      <c r="F506" s="84" t="str">
        <f t="shared" si="30"/>
        <v/>
      </c>
      <c r="G506" s="85">
        <v>8.1168831168831179E-3</v>
      </c>
      <c r="H506" s="84" t="str">
        <f t="shared" si="31"/>
        <v/>
      </c>
      <c r="I506" s="84" t="s">
        <v>90</v>
      </c>
      <c r="J506" s="84" t="str">
        <f t="shared" si="28"/>
        <v/>
      </c>
    </row>
    <row r="507" spans="1:10">
      <c r="A507" s="29" t="s">
        <v>1010</v>
      </c>
      <c r="B507" s="34" t="s">
        <v>1011</v>
      </c>
      <c r="C507" s="83">
        <v>994.29899999999998</v>
      </c>
      <c r="D507" s="83">
        <v>34.81</v>
      </c>
      <c r="E507" s="83">
        <f t="shared" si="29"/>
        <v>34611.548190000001</v>
      </c>
      <c r="F507" s="84">
        <f t="shared" si="30"/>
        <v>1.0934488755900975E-3</v>
      </c>
      <c r="G507" s="85">
        <v>4.136742315426601E-2</v>
      </c>
      <c r="H507" s="84">
        <f t="shared" si="31"/>
        <v>4.5233162334091934E-5</v>
      </c>
      <c r="I507" s="84">
        <v>4.6900000000000004E-2</v>
      </c>
      <c r="J507" s="84">
        <f t="shared" si="28"/>
        <v>5.1282752265175575E-5</v>
      </c>
    </row>
    <row r="508" spans="1:10">
      <c r="A508" s="29" t="s">
        <v>1012</v>
      </c>
      <c r="B508" s="34" t="s">
        <v>1013</v>
      </c>
      <c r="C508" s="83">
        <v>260.38900000000001</v>
      </c>
      <c r="D508" s="83">
        <v>133.22999999999999</v>
      </c>
      <c r="E508" s="83">
        <f t="shared" si="29"/>
        <v>34691.626469999996</v>
      </c>
      <c r="F508" s="84">
        <f t="shared" si="30"/>
        <v>1.0959787105672709E-3</v>
      </c>
      <c r="G508" s="85">
        <v>7.5058170081813407E-3</v>
      </c>
      <c r="H508" s="84">
        <f t="shared" si="31"/>
        <v>8.2262156463804765E-6</v>
      </c>
      <c r="I508" s="84">
        <v>0.13045000000000001</v>
      </c>
      <c r="J508" s="84">
        <f t="shared" si="28"/>
        <v>1.4297042279350051E-4</v>
      </c>
    </row>
    <row r="509" spans="1:10">
      <c r="A509" s="29" t="s">
        <v>1014</v>
      </c>
      <c r="B509" s="34" t="s">
        <v>1015</v>
      </c>
      <c r="C509" s="83">
        <v>434</v>
      </c>
      <c r="D509" s="83">
        <v>108.25</v>
      </c>
      <c r="E509" s="83">
        <f t="shared" si="29"/>
        <v>46980.5</v>
      </c>
      <c r="F509" s="84">
        <f t="shared" si="30"/>
        <v>1.4842091032062723E-3</v>
      </c>
      <c r="G509" s="85">
        <v>5.7829099307159348E-2</v>
      </c>
      <c r="H509" s="84">
        <f t="shared" si="31"/>
        <v>8.5830475621905436E-5</v>
      </c>
      <c r="I509" s="84">
        <v>7.0000000000000007E-2</v>
      </c>
      <c r="J509" s="84">
        <f t="shared" si="28"/>
        <v>1.0389463722443907E-4</v>
      </c>
    </row>
    <row r="510" spans="1:10">
      <c r="A510" s="29" t="s">
        <v>1016</v>
      </c>
      <c r="B510" s="34" t="s">
        <v>1017</v>
      </c>
      <c r="C510" s="83">
        <v>282.86200000000002</v>
      </c>
      <c r="D510" s="83">
        <v>81.33</v>
      </c>
      <c r="E510" s="83">
        <f t="shared" si="29"/>
        <v>23005.16646</v>
      </c>
      <c r="F510" s="84">
        <f t="shared" si="30"/>
        <v>7.267797805623102E-4</v>
      </c>
      <c r="G510" s="85" t="s">
        <v>90</v>
      </c>
      <c r="H510" s="84" t="str">
        <f t="shared" si="31"/>
        <v/>
      </c>
      <c r="I510" s="84">
        <v>0.1144</v>
      </c>
      <c r="J510" s="84">
        <f t="shared" si="28"/>
        <v>8.3143606896328291E-5</v>
      </c>
    </row>
    <row r="511" spans="1:10">
      <c r="A511" s="29" t="s">
        <v>1018</v>
      </c>
      <c r="B511" s="34" t="s">
        <v>1019</v>
      </c>
      <c r="C511" s="83">
        <v>76.588999999999999</v>
      </c>
      <c r="D511" s="83">
        <v>267.32</v>
      </c>
      <c r="E511" s="83">
        <f t="shared" si="29"/>
        <v>20473.771479999999</v>
      </c>
      <c r="F511" s="84">
        <f t="shared" si="30"/>
        <v>6.4680788854058497E-4</v>
      </c>
      <c r="G511" s="85" t="s">
        <v>90</v>
      </c>
      <c r="H511" s="84" t="str">
        <f t="shared" si="31"/>
        <v/>
      </c>
      <c r="I511" s="84">
        <v>0.12520000000000001</v>
      </c>
      <c r="J511" s="84">
        <f t="shared" si="28"/>
        <v>8.0980347645281242E-5</v>
      </c>
    </row>
    <row r="512" spans="1:10">
      <c r="A512" s="29" t="s">
        <v>1020</v>
      </c>
      <c r="B512" s="34" t="s">
        <v>1021</v>
      </c>
      <c r="C512" s="83">
        <v>158.80000000000001</v>
      </c>
      <c r="D512" s="83">
        <v>143.01</v>
      </c>
      <c r="E512" s="83">
        <f t="shared" si="29"/>
        <v>22709.988000000001</v>
      </c>
      <c r="F512" s="84" t="str">
        <f t="shared" si="30"/>
        <v/>
      </c>
      <c r="G512" s="85" t="s">
        <v>90</v>
      </c>
      <c r="H512" s="84" t="str">
        <f t="shared" si="31"/>
        <v/>
      </c>
      <c r="I512" s="84">
        <v>-9.8800000000000013E-2</v>
      </c>
      <c r="J512" s="84" t="str">
        <f t="shared" si="28"/>
        <v/>
      </c>
    </row>
    <row r="513" spans="1:10">
      <c r="A513" s="29" t="s">
        <v>1299</v>
      </c>
      <c r="B513" s="34" t="s">
        <v>1300</v>
      </c>
      <c r="C513" s="83">
        <v>1914.9949999999999</v>
      </c>
      <c r="D513" s="83">
        <v>20.76</v>
      </c>
      <c r="E513" s="83">
        <f t="shared" si="29"/>
        <v>39755.296200000004</v>
      </c>
      <c r="F513" s="84" t="str">
        <f t="shared" si="30"/>
        <v/>
      </c>
      <c r="G513" s="85">
        <v>3.8535645472061654E-2</v>
      </c>
      <c r="H513" s="84" t="str">
        <f t="shared" si="31"/>
        <v/>
      </c>
      <c r="I513" s="84" t="s">
        <v>90</v>
      </c>
      <c r="J513" s="84" t="str">
        <f t="shared" si="28"/>
        <v/>
      </c>
    </row>
    <row r="514" spans="1:10">
      <c r="A514" s="29" t="s">
        <v>1022</v>
      </c>
      <c r="B514" s="34" t="s">
        <v>1023</v>
      </c>
      <c r="C514" s="83">
        <v>222.976</v>
      </c>
      <c r="D514" s="83">
        <v>84.96</v>
      </c>
      <c r="E514" s="83">
        <f t="shared" si="29"/>
        <v>18944.040959999998</v>
      </c>
      <c r="F514" s="84">
        <f t="shared" si="30"/>
        <v>5.9848060459859913E-4</v>
      </c>
      <c r="G514" s="85">
        <v>2.354048964218456E-2</v>
      </c>
      <c r="H514" s="84">
        <f t="shared" si="31"/>
        <v>1.4088526473601676E-5</v>
      </c>
      <c r="I514" s="84">
        <v>0.14000000000000001</v>
      </c>
      <c r="J514" s="84">
        <f t="shared" si="28"/>
        <v>8.3787284643803891E-5</v>
      </c>
    </row>
    <row r="515" spans="1:10">
      <c r="A515" s="29" t="s">
        <v>1528</v>
      </c>
      <c r="B515" s="34" t="s">
        <v>1529</v>
      </c>
      <c r="C515" s="83">
        <v>161.429</v>
      </c>
      <c r="D515" s="83">
        <v>88.09</v>
      </c>
      <c r="E515" s="83">
        <f t="shared" si="29"/>
        <v>14220.280610000002</v>
      </c>
      <c r="F515" s="84" t="str">
        <f t="shared" si="30"/>
        <v/>
      </c>
      <c r="G515" s="85">
        <v>3.0082869792257917E-2</v>
      </c>
      <c r="H515" s="84" t="str">
        <f t="shared" si="31"/>
        <v/>
      </c>
      <c r="I515" s="84">
        <v>-5.9400000000000001E-2</v>
      </c>
      <c r="J515" s="84" t="str">
        <f t="shared" si="28"/>
        <v/>
      </c>
    </row>
    <row r="516" spans="1:10">
      <c r="A516" s="29" t="s">
        <v>1024</v>
      </c>
      <c r="B516" s="34" t="s">
        <v>1025</v>
      </c>
      <c r="C516" s="83">
        <v>267.59800000000001</v>
      </c>
      <c r="D516" s="83">
        <v>46.67</v>
      </c>
      <c r="E516" s="83">
        <f t="shared" si="29"/>
        <v>12488.79866</v>
      </c>
      <c r="F516" s="84">
        <f t="shared" si="30"/>
        <v>3.945464322278881E-4</v>
      </c>
      <c r="G516" s="85">
        <v>2.5712449110777798E-2</v>
      </c>
      <c r="H516" s="84">
        <f t="shared" si="31"/>
        <v>1.0144755060498513E-5</v>
      </c>
      <c r="I516" s="84">
        <v>0.115</v>
      </c>
      <c r="J516" s="84">
        <f t="shared" si="28"/>
        <v>4.5372839706207134E-5</v>
      </c>
    </row>
    <row r="517" spans="1:10">
      <c r="A517" s="29" t="s">
        <v>1301</v>
      </c>
      <c r="B517" s="34" t="s">
        <v>1302</v>
      </c>
      <c r="C517" s="83">
        <v>459.11399999999998</v>
      </c>
      <c r="D517" s="83">
        <v>187.81</v>
      </c>
      <c r="E517" s="83">
        <f t="shared" si="29"/>
        <v>86226.200339999996</v>
      </c>
      <c r="F517" s="84">
        <f t="shared" si="30"/>
        <v>2.7240602266794898E-3</v>
      </c>
      <c r="G517" s="85">
        <v>9.2007880304563125E-3</v>
      </c>
      <c r="H517" s="84">
        <f t="shared" si="31"/>
        <v>2.5063500727874759E-5</v>
      </c>
      <c r="I517" s="84">
        <v>0.1091</v>
      </c>
      <c r="J517" s="84">
        <f t="shared" si="28"/>
        <v>2.9719497073073232E-4</v>
      </c>
    </row>
    <row r="518" spans="1:10">
      <c r="A518" s="29" t="s">
        <v>1028</v>
      </c>
      <c r="B518" s="34" t="s">
        <v>1029</v>
      </c>
      <c r="C518" s="83">
        <v>93.882999999999996</v>
      </c>
      <c r="D518" s="83">
        <v>829.77</v>
      </c>
      <c r="E518" s="83">
        <f t="shared" si="29"/>
        <v>77901.29690999999</v>
      </c>
      <c r="F518" s="84">
        <f t="shared" si="30"/>
        <v>2.4610596742349836E-3</v>
      </c>
      <c r="G518" s="85">
        <v>2.0535811128384974E-2</v>
      </c>
      <c r="H518" s="84">
        <f t="shared" si="31"/>
        <v>5.0539856645774273E-5</v>
      </c>
      <c r="I518" s="84">
        <v>0.14630000000000001</v>
      </c>
      <c r="J518" s="84">
        <f t="shared" si="28"/>
        <v>3.6005303034057813E-4</v>
      </c>
    </row>
    <row r="519" spans="1:10">
      <c r="A519" s="29" t="s">
        <v>1026</v>
      </c>
      <c r="B519" s="34" t="s">
        <v>1027</v>
      </c>
      <c r="C519" s="83">
        <v>302.846</v>
      </c>
      <c r="D519" s="83">
        <v>140.46</v>
      </c>
      <c r="E519" s="83">
        <f t="shared" si="29"/>
        <v>42537.749159999999</v>
      </c>
      <c r="F519" s="84">
        <f t="shared" si="30"/>
        <v>1.3438536101824578E-3</v>
      </c>
      <c r="G519" s="85">
        <v>3.4742987327352981E-2</v>
      </c>
      <c r="H519" s="84">
        <f t="shared" si="31"/>
        <v>4.6689488948386688E-5</v>
      </c>
      <c r="I519" s="84">
        <v>6.7949999999999997E-2</v>
      </c>
      <c r="J519" s="84">
        <f t="shared" si="28"/>
        <v>9.1314852811898005E-5</v>
      </c>
    </row>
    <row r="520" spans="1:10">
      <c r="A520" s="29" t="s">
        <v>1030</v>
      </c>
      <c r="B520" s="34" t="s">
        <v>1031</v>
      </c>
      <c r="C520" s="83">
        <v>58.3</v>
      </c>
      <c r="D520" s="83">
        <v>356.44</v>
      </c>
      <c r="E520" s="83">
        <f t="shared" si="29"/>
        <v>20780.451999999997</v>
      </c>
      <c r="F520" s="84">
        <f t="shared" si="30"/>
        <v>6.5649654701718763E-4</v>
      </c>
      <c r="G520" s="85" t="s">
        <v>90</v>
      </c>
      <c r="H520" s="84" t="str">
        <f t="shared" si="31"/>
        <v/>
      </c>
      <c r="I520" s="84">
        <v>0.1124</v>
      </c>
      <c r="J520" s="84">
        <f t="shared" si="28"/>
        <v>7.3790211884731884E-5</v>
      </c>
    </row>
    <row r="521" spans="1:10">
      <c r="A521" s="29" t="s">
        <v>1032</v>
      </c>
      <c r="B521" s="34" t="s">
        <v>1033</v>
      </c>
      <c r="C521" s="83">
        <v>764.49099999999999</v>
      </c>
      <c r="D521" s="83">
        <v>48.92</v>
      </c>
      <c r="E521" s="83">
        <f t="shared" si="29"/>
        <v>37398.899720000001</v>
      </c>
      <c r="F521" s="84" t="str">
        <f t="shared" si="30"/>
        <v/>
      </c>
      <c r="G521" s="85">
        <v>1.6353229762878167E-2</v>
      </c>
      <c r="H521" s="84" t="str">
        <f t="shared" si="31"/>
        <v/>
      </c>
      <c r="I521" s="84" t="s">
        <v>90</v>
      </c>
      <c r="J521" s="84" t="str">
        <f t="shared" si="28"/>
        <v/>
      </c>
    </row>
    <row r="522" spans="1:10">
      <c r="A522" s="29"/>
      <c r="B522" s="34"/>
      <c r="C522" s="84"/>
      <c r="D522" s="84"/>
      <c r="E522" s="84"/>
      <c r="F522" s="84"/>
      <c r="G522" s="84"/>
    </row>
    <row r="523" spans="1:10">
      <c r="A523" s="86" t="s">
        <v>32</v>
      </c>
      <c r="B523" s="34"/>
      <c r="C523" s="84"/>
      <c r="D523" s="84"/>
      <c r="E523" s="84"/>
      <c r="F523" s="84"/>
      <c r="G523" s="84"/>
    </row>
    <row r="524" spans="1:10">
      <c r="A524" s="74" t="s">
        <v>1034</v>
      </c>
      <c r="E524" s="29"/>
    </row>
    <row r="525" spans="1:10">
      <c r="A525" s="74" t="s">
        <v>1035</v>
      </c>
    </row>
    <row r="526" spans="1:10">
      <c r="A526" s="74" t="s">
        <v>1036</v>
      </c>
    </row>
    <row r="527" spans="1:10">
      <c r="A527" s="74" t="s">
        <v>1552</v>
      </c>
    </row>
    <row r="528" spans="1:10">
      <c r="A528" s="74" t="s">
        <v>1553</v>
      </c>
    </row>
    <row r="529" spans="1:1">
      <c r="A529" s="74" t="s">
        <v>1037</v>
      </c>
    </row>
    <row r="530" spans="1:1">
      <c r="A530" s="74" t="s">
        <v>1250</v>
      </c>
    </row>
    <row r="531" spans="1:1">
      <c r="A531" s="74" t="s">
        <v>1554</v>
      </c>
    </row>
    <row r="532" spans="1:1">
      <c r="A532" s="74" t="s">
        <v>1038</v>
      </c>
    </row>
    <row r="533" spans="1:1">
      <c r="A533" s="74" t="s">
        <v>1555</v>
      </c>
    </row>
    <row r="534" spans="1:1">
      <c r="A534" s="74" t="s">
        <v>1039</v>
      </c>
    </row>
  </sheetData>
  <mergeCells count="3">
    <mergeCell ref="B4:C4"/>
    <mergeCell ref="B6:C6"/>
    <mergeCell ref="B8:C8"/>
  </mergeCells>
  <conditionalFormatting sqref="E4:E8">
    <cfRule type="containsText" dxfId="13" priority="3" operator="containsText" text="TRUE">
      <formula>NOT(ISERROR(SEARCH("TRUE",E4)))</formula>
    </cfRule>
  </conditionalFormatting>
  <printOptions horizontalCentered="1"/>
  <pageMargins left="0.7" right="0.7" top="1.25" bottom="0.75" header="0.3" footer="0.3"/>
  <pageSetup scale="10" fitToHeight="6" orientation="portrait" useFirstPageNumber="1" r:id="rId1"/>
  <headerFooter>
    <oddHeader xml:space="preserve">&amp;RDocket No. 56165
Exhibit AEB-7
Page &amp;P of 6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autoPageBreaks="0"/>
  </sheetPr>
  <dimension ref="B2:AM184"/>
  <sheetViews>
    <sheetView view="pageBreakPreview" zoomScale="60" zoomScaleNormal="70" workbookViewId="0">
      <selection activeCell="J28" sqref="J28"/>
    </sheetView>
  </sheetViews>
  <sheetFormatPr defaultColWidth="8.5546875" defaultRowHeight="15" customHeight="1"/>
  <cols>
    <col min="1" max="1" width="3.33203125" style="38" customWidth="1"/>
    <col min="2" max="2" width="10.33203125" style="38" customWidth="1"/>
    <col min="3" max="3" width="13.5546875" style="38" customWidth="1"/>
    <col min="4" max="4" width="12.5546875" style="38" customWidth="1"/>
    <col min="5" max="5" width="10.5546875" style="38" customWidth="1"/>
    <col min="6" max="6" width="8.5546875" style="38"/>
    <col min="7" max="7" width="30" style="38" customWidth="1"/>
    <col min="8" max="8" width="13.109375" style="38" bestFit="1" customWidth="1"/>
    <col min="9" max="9" width="13.5546875" style="38" bestFit="1" customWidth="1"/>
    <col min="10" max="10" width="14.109375" style="38" bestFit="1" customWidth="1"/>
    <col min="11" max="11" width="12.5546875" style="38" bestFit="1" customWidth="1"/>
    <col min="12" max="12" width="13.21875" style="38" bestFit="1" customWidth="1"/>
    <col min="13" max="15" width="13.109375" style="38" bestFit="1" customWidth="1"/>
    <col min="27" max="39" width="8.5546875" style="5"/>
    <col min="40" max="16384" width="8.5546875" style="38"/>
  </cols>
  <sheetData>
    <row r="2" spans="2:5" ht="15" customHeight="1">
      <c r="B2" s="401" t="s">
        <v>1103</v>
      </c>
      <c r="C2" s="401"/>
      <c r="D2" s="401"/>
      <c r="E2" s="401"/>
    </row>
    <row r="4" spans="2:5" ht="15" customHeight="1" thickBot="1">
      <c r="B4" s="39"/>
      <c r="C4" s="40" t="s">
        <v>14</v>
      </c>
      <c r="D4" s="40" t="s">
        <v>15</v>
      </c>
      <c r="E4" s="40" t="s">
        <v>16</v>
      </c>
    </row>
    <row r="5" spans="2:5" ht="46.8">
      <c r="B5" s="41" t="s">
        <v>1104</v>
      </c>
      <c r="C5" s="42" t="s">
        <v>1311</v>
      </c>
      <c r="D5" s="42" t="s">
        <v>1105</v>
      </c>
      <c r="E5" s="194" t="s">
        <v>10</v>
      </c>
    </row>
    <row r="6" spans="2:5" ht="15" customHeight="1">
      <c r="B6" s="43">
        <v>1980.1</v>
      </c>
      <c r="C6" s="45">
        <v>0.13968571428571427</v>
      </c>
      <c r="D6" s="44">
        <v>0.11657096774193544</v>
      </c>
      <c r="E6" s="45">
        <f>C6-D6</f>
        <v>2.3114746543778833E-2</v>
      </c>
    </row>
    <row r="7" spans="2:5" ht="15" customHeight="1">
      <c r="B7" s="43">
        <v>1980.2</v>
      </c>
      <c r="C7" s="46">
        <v>0.14253199999999999</v>
      </c>
      <c r="D7" s="44">
        <v>0.10524920634920633</v>
      </c>
      <c r="E7" s="46">
        <f t="shared" ref="E7:E70" si="0">C7-D7</f>
        <v>3.7282793650793664E-2</v>
      </c>
    </row>
    <row r="8" spans="2:5" ht="15" customHeight="1">
      <c r="B8" s="43">
        <v>1980.3</v>
      </c>
      <c r="C8" s="46">
        <v>0.14295599999999997</v>
      </c>
      <c r="D8" s="44">
        <v>0.1085</v>
      </c>
      <c r="E8" s="46">
        <f t="shared" si="0"/>
        <v>3.4455999999999973E-2</v>
      </c>
    </row>
    <row r="9" spans="2:5" ht="15" customHeight="1">
      <c r="B9" s="43">
        <v>1980.4</v>
      </c>
      <c r="C9" s="46">
        <v>0.14322121212121219</v>
      </c>
      <c r="D9" s="44">
        <v>0.12096229508196724</v>
      </c>
      <c r="E9" s="46">
        <f t="shared" si="0"/>
        <v>2.2258917039244958E-2</v>
      </c>
    </row>
    <row r="10" spans="2:5" ht="15" customHeight="1">
      <c r="B10" s="43">
        <v>1981.1</v>
      </c>
      <c r="C10" s="46">
        <v>0.14816999999999997</v>
      </c>
      <c r="D10" s="44">
        <v>0.12533278688524591</v>
      </c>
      <c r="E10" s="46">
        <f t="shared" si="0"/>
        <v>2.2837213114754062E-2</v>
      </c>
    </row>
    <row r="11" spans="2:5" ht="15" customHeight="1">
      <c r="B11" s="43">
        <v>1981.2</v>
      </c>
      <c r="C11" s="46">
        <v>0.1504951219512195</v>
      </c>
      <c r="D11" s="44">
        <v>0.13242857142857142</v>
      </c>
      <c r="E11" s="46">
        <f t="shared" si="0"/>
        <v>1.8066550522648078E-2</v>
      </c>
    </row>
    <row r="12" spans="2:5" ht="15" customHeight="1">
      <c r="B12" s="43">
        <v>1981.3</v>
      </c>
      <c r="C12" s="46">
        <v>0.15305384615384615</v>
      </c>
      <c r="D12" s="44">
        <v>0.14132343749999998</v>
      </c>
      <c r="E12" s="46">
        <f t="shared" si="0"/>
        <v>1.1730408653846169E-2</v>
      </c>
    </row>
    <row r="13" spans="2:5" ht="15" customHeight="1">
      <c r="B13" s="43">
        <v>1981.4</v>
      </c>
      <c r="C13" s="46">
        <v>0.15588285714285716</v>
      </c>
      <c r="D13" s="44">
        <v>0.13847868852459014</v>
      </c>
      <c r="E13" s="46">
        <f t="shared" si="0"/>
        <v>1.7404168618267019E-2</v>
      </c>
    </row>
    <row r="14" spans="2:5" ht="15" customHeight="1">
      <c r="B14" s="43">
        <v>1982.1</v>
      </c>
      <c r="C14" s="46">
        <v>0.15713103448275861</v>
      </c>
      <c r="D14" s="44">
        <v>0.13962131147540985</v>
      </c>
      <c r="E14" s="46">
        <f t="shared" si="0"/>
        <v>1.7509723007348765E-2</v>
      </c>
    </row>
    <row r="15" spans="2:5" ht="15" customHeight="1">
      <c r="B15" s="43">
        <v>1982.2</v>
      </c>
      <c r="C15" s="46">
        <v>0.15602571428571427</v>
      </c>
      <c r="D15" s="44">
        <v>0.13521904761904768</v>
      </c>
      <c r="E15" s="46">
        <f t="shared" si="0"/>
        <v>2.0806666666666584E-2</v>
      </c>
    </row>
    <row r="16" spans="2:5" ht="15" customHeight="1">
      <c r="B16" s="43">
        <v>1982.3</v>
      </c>
      <c r="C16" s="46">
        <v>0.15849999999999997</v>
      </c>
      <c r="D16" s="44">
        <v>0.12794375000000005</v>
      </c>
      <c r="E16" s="46">
        <f t="shared" si="0"/>
        <v>3.0556249999999924E-2</v>
      </c>
    </row>
    <row r="17" spans="2:15" ht="15" customHeight="1">
      <c r="B17" s="43">
        <v>1982.4</v>
      </c>
      <c r="C17" s="46">
        <v>0.16028387096774191</v>
      </c>
      <c r="D17" s="44">
        <v>0.10746229508196721</v>
      </c>
      <c r="E17" s="46">
        <f t="shared" si="0"/>
        <v>5.2821575885774699E-2</v>
      </c>
    </row>
    <row r="18" spans="2:15" ht="15" customHeight="1">
      <c r="B18" s="43">
        <v>1983.1</v>
      </c>
      <c r="C18" s="46">
        <v>0.15538846153846153</v>
      </c>
      <c r="D18" s="44">
        <v>0.10706825396825397</v>
      </c>
      <c r="E18" s="46">
        <f t="shared" si="0"/>
        <v>4.8320207570207566E-2</v>
      </c>
    </row>
    <row r="19" spans="2:15" ht="15" customHeight="1">
      <c r="B19" s="43">
        <v>1983.2</v>
      </c>
      <c r="C19" s="46">
        <v>0.15133684210526316</v>
      </c>
      <c r="D19" s="44">
        <v>0.10653174603174603</v>
      </c>
      <c r="E19" s="46">
        <f t="shared" si="0"/>
        <v>4.4805096073517126E-2</v>
      </c>
    </row>
    <row r="20" spans="2:15" ht="15" customHeight="1">
      <c r="B20" s="43">
        <v>1983.3</v>
      </c>
      <c r="C20" s="46">
        <v>0.15394347826086954</v>
      </c>
      <c r="D20" s="44">
        <v>0.11624531249999998</v>
      </c>
      <c r="E20" s="46">
        <f t="shared" si="0"/>
        <v>3.7698165760869567E-2</v>
      </c>
    </row>
    <row r="21" spans="2:15" ht="15" customHeight="1">
      <c r="B21" s="43">
        <v>1983.4</v>
      </c>
      <c r="C21" s="46">
        <v>0.15368148148148147</v>
      </c>
      <c r="D21" s="44">
        <v>0.11737</v>
      </c>
      <c r="E21" s="46">
        <f t="shared" si="0"/>
        <v>3.6311481481481472E-2</v>
      </c>
    </row>
    <row r="22" spans="2:15" ht="15" customHeight="1">
      <c r="B22" s="43">
        <v>1984.1</v>
      </c>
      <c r="C22" s="46">
        <v>0.15060499999999999</v>
      </c>
      <c r="D22" s="44">
        <v>0.12036290322580651</v>
      </c>
      <c r="E22" s="46">
        <f t="shared" si="0"/>
        <v>3.0242096774193483E-2</v>
      </c>
      <c r="G22" s="47" t="s">
        <v>1122</v>
      </c>
      <c r="H22" s="47"/>
      <c r="I22" s="47"/>
      <c r="J22" s="47"/>
      <c r="K22" s="47"/>
      <c r="L22" s="47"/>
      <c r="M22" s="47"/>
      <c r="N22" s="47"/>
      <c r="O22" s="47"/>
    </row>
    <row r="23" spans="2:15" ht="15" customHeight="1" thickBot="1">
      <c r="B23" s="43">
        <v>1984.2</v>
      </c>
      <c r="C23" s="46">
        <v>0.15182666666666667</v>
      </c>
      <c r="D23" s="44">
        <v>0.13183968253968248</v>
      </c>
      <c r="E23" s="46">
        <f t="shared" si="0"/>
        <v>1.9986984126984186E-2</v>
      </c>
      <c r="G23" s="47"/>
      <c r="H23" s="47"/>
      <c r="I23" s="47"/>
      <c r="J23" s="47"/>
      <c r="K23" s="47"/>
      <c r="L23" s="47"/>
      <c r="M23" s="47"/>
      <c r="N23" s="47"/>
      <c r="O23" s="47"/>
    </row>
    <row r="24" spans="2:15" ht="15" customHeight="1">
      <c r="B24" s="43">
        <v>1984.3</v>
      </c>
      <c r="C24" s="46">
        <v>0.15382272727272728</v>
      </c>
      <c r="D24" s="44">
        <v>0.12689047619047616</v>
      </c>
      <c r="E24" s="46">
        <f t="shared" si="0"/>
        <v>2.6932251082251113E-2</v>
      </c>
      <c r="G24" s="48" t="s">
        <v>1125</v>
      </c>
      <c r="H24" s="48"/>
      <c r="I24" s="47"/>
      <c r="J24" s="47"/>
      <c r="K24" s="47"/>
      <c r="L24" s="47"/>
      <c r="M24" s="47"/>
      <c r="N24" s="47"/>
      <c r="O24" s="47"/>
    </row>
    <row r="25" spans="2:15" ht="15" customHeight="1">
      <c r="B25" s="43">
        <v>1984.4</v>
      </c>
      <c r="C25" s="46">
        <v>0.15690526315789474</v>
      </c>
      <c r="D25" s="44">
        <v>0.11698852459016393</v>
      </c>
      <c r="E25" s="46">
        <f t="shared" si="0"/>
        <v>3.9916738567730814E-2</v>
      </c>
      <c r="G25" s="49" t="s">
        <v>1127</v>
      </c>
      <c r="H25" s="50">
        <v>0.91431367623467019</v>
      </c>
      <c r="I25" s="47"/>
      <c r="J25" s="47"/>
      <c r="K25" s="47"/>
      <c r="L25" s="47"/>
      <c r="M25" s="47"/>
      <c r="N25" s="47"/>
      <c r="O25" s="47"/>
    </row>
    <row r="26" spans="2:15" ht="15" customHeight="1">
      <c r="B26" s="43">
        <v>1985.1</v>
      </c>
      <c r="C26" s="46">
        <v>0.15479999999999999</v>
      </c>
      <c r="D26" s="44">
        <v>0.11584000000000001</v>
      </c>
      <c r="E26" s="46">
        <f t="shared" si="0"/>
        <v>3.8959999999999981E-2</v>
      </c>
      <c r="G26" s="49" t="s">
        <v>1129</v>
      </c>
      <c r="H26" s="50">
        <v>0.83596949854975722</v>
      </c>
      <c r="I26" s="47"/>
      <c r="J26" s="47"/>
      <c r="K26" s="47"/>
      <c r="L26" s="47"/>
      <c r="M26" s="47"/>
      <c r="N26" s="47"/>
      <c r="O26" s="47"/>
    </row>
    <row r="27" spans="2:15" ht="15" customHeight="1">
      <c r="B27" s="43">
        <v>1985.2</v>
      </c>
      <c r="C27" s="46">
        <v>0.15267500000000003</v>
      </c>
      <c r="D27" s="44">
        <v>0.10995873015873014</v>
      </c>
      <c r="E27" s="46">
        <f t="shared" si="0"/>
        <v>4.2716269841269888E-2</v>
      </c>
      <c r="G27" s="49" t="s">
        <v>1131</v>
      </c>
      <c r="H27" s="50">
        <v>0.8350321813986129</v>
      </c>
      <c r="I27" s="47"/>
      <c r="J27" s="47"/>
      <c r="K27" s="47"/>
      <c r="L27" s="47"/>
      <c r="M27" s="47"/>
      <c r="N27" s="47"/>
      <c r="O27" s="47"/>
    </row>
    <row r="28" spans="2:15" ht="15" customHeight="1">
      <c r="B28" s="43">
        <v>1985.3</v>
      </c>
      <c r="C28" s="46">
        <v>0.14910714285714285</v>
      </c>
      <c r="D28" s="44">
        <v>0.10553015873015874</v>
      </c>
      <c r="E28" s="46">
        <f t="shared" si="0"/>
        <v>4.3576984126984117E-2</v>
      </c>
      <c r="G28" s="49" t="s">
        <v>1133</v>
      </c>
      <c r="H28" s="50">
        <v>5.6694111002649761E-3</v>
      </c>
      <c r="I28" s="47"/>
      <c r="J28" s="47"/>
      <c r="K28" s="47"/>
      <c r="L28" s="47"/>
      <c r="M28" s="47"/>
      <c r="N28" s="47"/>
      <c r="O28" s="47"/>
    </row>
    <row r="29" spans="2:15" ht="15" customHeight="1" thickBot="1">
      <c r="B29" s="43" t="s">
        <v>1533</v>
      </c>
      <c r="C29" s="46">
        <v>0.15107647058823531</v>
      </c>
      <c r="D29" s="44">
        <v>0.10039838709677419</v>
      </c>
      <c r="E29" s="46">
        <f t="shared" si="0"/>
        <v>5.0678083491461121E-2</v>
      </c>
      <c r="G29" s="51" t="s">
        <v>1135</v>
      </c>
      <c r="H29" s="51">
        <v>177</v>
      </c>
      <c r="I29" s="47"/>
      <c r="J29" s="47"/>
      <c r="K29" s="47"/>
      <c r="L29" s="47"/>
      <c r="M29" s="47"/>
      <c r="N29" s="47"/>
      <c r="O29" s="47"/>
    </row>
    <row r="30" spans="2:15" ht="15" customHeight="1">
      <c r="B30" s="43">
        <v>1986.1</v>
      </c>
      <c r="C30" s="46">
        <v>0.14423333333333332</v>
      </c>
      <c r="D30" s="44">
        <v>8.7693333333333318E-2</v>
      </c>
      <c r="E30" s="46">
        <f t="shared" si="0"/>
        <v>5.6540000000000007E-2</v>
      </c>
      <c r="G30" s="47"/>
      <c r="H30" s="47"/>
      <c r="I30" s="47"/>
      <c r="J30" s="47"/>
      <c r="K30" s="47"/>
      <c r="L30" s="47"/>
      <c r="M30" s="47"/>
      <c r="N30" s="47"/>
      <c r="O30" s="47"/>
    </row>
    <row r="31" spans="2:15" ht="15" customHeight="1" thickBot="1">
      <c r="B31" s="43">
        <v>1986.2</v>
      </c>
      <c r="C31" s="46">
        <v>0.14272666666666661</v>
      </c>
      <c r="D31" s="44">
        <v>7.4906250000000008E-2</v>
      </c>
      <c r="E31" s="46">
        <f t="shared" si="0"/>
        <v>6.7820416666666605E-2</v>
      </c>
      <c r="G31" s="47" t="s">
        <v>1137</v>
      </c>
      <c r="H31" s="47"/>
      <c r="I31" s="47"/>
      <c r="J31" s="47"/>
      <c r="K31" s="47"/>
      <c r="L31" s="47"/>
      <c r="M31" s="47"/>
      <c r="N31" s="47"/>
      <c r="O31" s="47"/>
    </row>
    <row r="32" spans="2:15" ht="15" customHeight="1">
      <c r="B32" s="43">
        <v>1986.3</v>
      </c>
      <c r="C32" s="46">
        <v>0.13259999999999997</v>
      </c>
      <c r="D32" s="44">
        <v>7.4042187499999995E-2</v>
      </c>
      <c r="E32" s="46">
        <f t="shared" si="0"/>
        <v>5.8557812499999973E-2</v>
      </c>
      <c r="G32" s="52"/>
      <c r="H32" s="52" t="s">
        <v>1139</v>
      </c>
      <c r="I32" s="52" t="s">
        <v>1140</v>
      </c>
      <c r="J32" s="52" t="s">
        <v>638</v>
      </c>
      <c r="K32" s="52" t="s">
        <v>295</v>
      </c>
      <c r="L32" s="52" t="s">
        <v>1141</v>
      </c>
      <c r="M32" s="47"/>
      <c r="N32" s="47"/>
      <c r="O32" s="47"/>
    </row>
    <row r="33" spans="2:15" ht="15" customHeight="1">
      <c r="B33" s="43">
        <v>1986.4</v>
      </c>
      <c r="C33" s="46">
        <v>0.13515555555555558</v>
      </c>
      <c r="D33" s="44">
        <v>7.5280645161290308E-2</v>
      </c>
      <c r="E33" s="46">
        <f t="shared" si="0"/>
        <v>5.9874910394265277E-2</v>
      </c>
      <c r="G33" s="49" t="s">
        <v>1143</v>
      </c>
      <c r="H33" s="49">
        <v>1</v>
      </c>
      <c r="I33" s="53">
        <v>2.8666836365801626E-2</v>
      </c>
      <c r="J33" s="53">
        <v>2.8666836365801626E-2</v>
      </c>
      <c r="K33" s="53">
        <v>891.87474861548674</v>
      </c>
      <c r="L33" s="53">
        <v>1.3308492641626759E-70</v>
      </c>
      <c r="M33" s="47"/>
      <c r="N33" s="47"/>
      <c r="O33" s="47"/>
    </row>
    <row r="34" spans="2:15" ht="15" customHeight="1">
      <c r="B34" s="43">
        <v>1987.1</v>
      </c>
      <c r="C34" s="46">
        <v>0.12895555555555557</v>
      </c>
      <c r="D34" s="44">
        <v>7.4936065573770486E-2</v>
      </c>
      <c r="E34" s="46">
        <f t="shared" si="0"/>
        <v>5.4019489981785088E-2</v>
      </c>
      <c r="G34" s="49" t="s">
        <v>1145</v>
      </c>
      <c r="H34" s="49">
        <v>175</v>
      </c>
      <c r="I34" s="53">
        <v>5.6248888891663523E-3</v>
      </c>
      <c r="J34" s="53">
        <v>3.2142222223807727E-5</v>
      </c>
      <c r="K34" s="53"/>
      <c r="L34" s="53"/>
      <c r="M34" s="47"/>
      <c r="N34" s="47"/>
      <c r="O34" s="47"/>
    </row>
    <row r="35" spans="2:15" ht="15" customHeight="1" thickBot="1">
      <c r="B35" s="43">
        <v>1987.2</v>
      </c>
      <c r="C35" s="46">
        <v>0.13169999999999998</v>
      </c>
      <c r="D35" s="44">
        <v>8.5306349206349191E-2</v>
      </c>
      <c r="E35" s="46">
        <f t="shared" si="0"/>
        <v>4.6393650793650792E-2</v>
      </c>
      <c r="G35" s="51" t="s">
        <v>1147</v>
      </c>
      <c r="H35" s="51">
        <v>176</v>
      </c>
      <c r="I35" s="54">
        <v>3.4291725254967979E-2</v>
      </c>
      <c r="J35" s="54"/>
      <c r="K35" s="54"/>
      <c r="L35" s="54"/>
      <c r="M35" s="47"/>
      <c r="N35" s="47"/>
      <c r="O35" s="47"/>
    </row>
    <row r="36" spans="2:15" ht="15" customHeight="1" thickBot="1">
      <c r="B36" s="43">
        <v>1987.3</v>
      </c>
      <c r="C36" s="46">
        <v>0.13144000000000003</v>
      </c>
      <c r="D36" s="44">
        <v>9.0592187499999977E-2</v>
      </c>
      <c r="E36" s="46">
        <f t="shared" si="0"/>
        <v>4.0847812500000052E-2</v>
      </c>
      <c r="G36" s="47"/>
      <c r="H36" s="47"/>
      <c r="I36" s="47"/>
      <c r="J36" s="47"/>
      <c r="K36" s="47"/>
      <c r="L36" s="47"/>
      <c r="M36" s="47"/>
      <c r="N36" s="47"/>
      <c r="O36" s="47"/>
    </row>
    <row r="37" spans="2:15" ht="15" customHeight="1">
      <c r="B37" s="43">
        <v>1987.4</v>
      </c>
      <c r="C37" s="46">
        <v>0.12761250000000002</v>
      </c>
      <c r="D37" s="44">
        <v>9.2301538461538449E-2</v>
      </c>
      <c r="E37" s="46">
        <f t="shared" si="0"/>
        <v>3.5310961538461569E-2</v>
      </c>
      <c r="G37" s="52"/>
      <c r="H37" s="52" t="s">
        <v>1149</v>
      </c>
      <c r="I37" s="52" t="s">
        <v>1133</v>
      </c>
      <c r="J37" s="52" t="s">
        <v>1150</v>
      </c>
      <c r="K37" s="52" t="s">
        <v>1151</v>
      </c>
      <c r="L37" s="52" t="s">
        <v>1152</v>
      </c>
      <c r="M37" s="52" t="s">
        <v>1153</v>
      </c>
      <c r="N37" s="52" t="s">
        <v>1154</v>
      </c>
      <c r="O37" s="52" t="s">
        <v>1155</v>
      </c>
    </row>
    <row r="38" spans="2:15" ht="15" customHeight="1">
      <c r="B38" s="43">
        <v>1988.1</v>
      </c>
      <c r="C38" s="46">
        <v>0.12736249999999999</v>
      </c>
      <c r="D38" s="44">
        <v>8.6266129032258082E-2</v>
      </c>
      <c r="E38" s="46">
        <f t="shared" si="0"/>
        <v>4.1096370967741908E-2</v>
      </c>
      <c r="G38" s="49" t="s">
        <v>1157</v>
      </c>
      <c r="H38" s="55">
        <v>7.9059703557156927E-2</v>
      </c>
      <c r="I38" s="56">
        <v>9.4791235253541511E-4</v>
      </c>
      <c r="J38" s="56">
        <v>83.404022899050858</v>
      </c>
      <c r="K38" s="55">
        <v>7.9262739983018453E-143</v>
      </c>
      <c r="L38" s="55">
        <v>7.718889192535254E-2</v>
      </c>
      <c r="M38" s="55">
        <v>8.0930515188961313E-2</v>
      </c>
      <c r="N38" s="55">
        <v>7.718889192535254E-2</v>
      </c>
      <c r="O38" s="55">
        <v>8.0930515188961313E-2</v>
      </c>
    </row>
    <row r="39" spans="2:15" ht="15" customHeight="1" thickBot="1">
      <c r="B39" s="43">
        <v>1988.2</v>
      </c>
      <c r="C39" s="46">
        <v>0.12695714285714285</v>
      </c>
      <c r="D39" s="44">
        <v>9.0614285714285744E-2</v>
      </c>
      <c r="E39" s="46">
        <f t="shared" si="0"/>
        <v>3.6342857142857107E-2</v>
      </c>
      <c r="G39" s="51" t="s">
        <v>1105</v>
      </c>
      <c r="H39" s="57">
        <v>-0.41633709609963282</v>
      </c>
      <c r="I39" s="58">
        <v>1.3940975844867209E-2</v>
      </c>
      <c r="J39" s="58">
        <v>-29.86427210925266</v>
      </c>
      <c r="K39" s="57">
        <v>1.3308492641627518E-70</v>
      </c>
      <c r="L39" s="57">
        <v>-0.44385117975886773</v>
      </c>
      <c r="M39" s="57">
        <v>-0.38882301244039791</v>
      </c>
      <c r="N39" s="57">
        <v>-0.44385117975886773</v>
      </c>
      <c r="O39" s="57">
        <v>-0.38882301244039791</v>
      </c>
    </row>
    <row r="40" spans="2:15" ht="15" customHeight="1">
      <c r="B40" s="43">
        <v>1988.3</v>
      </c>
      <c r="C40" s="46">
        <v>0.12778571428571428</v>
      </c>
      <c r="D40" s="44">
        <v>9.1754687500000043E-2</v>
      </c>
      <c r="E40" s="46">
        <f t="shared" si="0"/>
        <v>3.6031026785714237E-2</v>
      </c>
      <c r="G40" s="47"/>
      <c r="H40" s="47"/>
      <c r="I40" s="47"/>
      <c r="J40" s="47"/>
      <c r="K40" s="47"/>
      <c r="L40" s="47"/>
      <c r="M40" s="47"/>
      <c r="N40" s="47"/>
      <c r="O40" s="47"/>
    </row>
    <row r="41" spans="2:15" ht="15" customHeight="1">
      <c r="B41" s="43">
        <v>1988.4</v>
      </c>
      <c r="C41" s="46">
        <v>0.12968750000000001</v>
      </c>
      <c r="D41" s="44">
        <v>8.9730158730158771E-2</v>
      </c>
      <c r="E41" s="46">
        <f t="shared" si="0"/>
        <v>3.995734126984124E-2</v>
      </c>
      <c r="G41" s="47"/>
      <c r="H41" s="47"/>
      <c r="I41" s="47"/>
      <c r="J41" s="47"/>
      <c r="K41" s="47"/>
      <c r="L41" s="47"/>
      <c r="M41" s="47"/>
      <c r="N41" s="47"/>
      <c r="O41" s="47"/>
    </row>
    <row r="42" spans="2:15" ht="15" customHeight="1" thickBot="1">
      <c r="B42" s="43">
        <v>1989.1</v>
      </c>
      <c r="C42" s="46">
        <v>0.13022857142857144</v>
      </c>
      <c r="D42" s="44">
        <v>9.036129032258064E-2</v>
      </c>
      <c r="E42" s="46">
        <f t="shared" si="0"/>
        <v>3.9867281105990804E-2</v>
      </c>
      <c r="G42" s="47"/>
      <c r="H42" s="47"/>
      <c r="I42" s="47"/>
      <c r="J42" s="47"/>
      <c r="K42" s="47"/>
      <c r="L42" s="47"/>
      <c r="M42" s="47"/>
      <c r="N42" s="47"/>
      <c r="O42" s="47"/>
    </row>
    <row r="43" spans="2:15" ht="15" customHeight="1">
      <c r="B43" s="43">
        <v>1989.2</v>
      </c>
      <c r="C43" s="46">
        <v>0.13221428571428573</v>
      </c>
      <c r="D43" s="44">
        <v>8.69796875E-2</v>
      </c>
      <c r="E43" s="46">
        <f t="shared" si="0"/>
        <v>4.5234598214285729E-2</v>
      </c>
      <c r="G43" s="59"/>
      <c r="H43" s="59"/>
      <c r="I43" s="59"/>
      <c r="J43" s="60" t="s">
        <v>1163</v>
      </c>
      <c r="K43" s="60"/>
      <c r="L43" s="60"/>
    </row>
    <row r="44" spans="2:15" ht="15" customHeight="1">
      <c r="B44" s="43">
        <v>1989.3</v>
      </c>
      <c r="C44" s="46">
        <v>0.12375</v>
      </c>
      <c r="D44" s="44">
        <v>8.1187301587301586E-2</v>
      </c>
      <c r="E44" s="46">
        <f t="shared" si="0"/>
        <v>4.2562698412698413E-2</v>
      </c>
      <c r="G44" s="39"/>
      <c r="H44" s="39"/>
      <c r="I44" s="39"/>
      <c r="J44" s="40" t="s">
        <v>1164</v>
      </c>
      <c r="K44" s="40" t="s">
        <v>1165</v>
      </c>
      <c r="L44" s="40"/>
    </row>
    <row r="45" spans="2:15" ht="15" customHeight="1">
      <c r="B45" s="43">
        <v>1989.4</v>
      </c>
      <c r="C45" s="46">
        <v>0.12828571428571428</v>
      </c>
      <c r="D45" s="44">
        <v>7.9334374999999999E-2</v>
      </c>
      <c r="E45" s="46">
        <f t="shared" si="0"/>
        <v>4.8951339285714282E-2</v>
      </c>
      <c r="G45" s="61"/>
      <c r="H45" s="61"/>
      <c r="I45" s="61"/>
      <c r="J45" s="62" t="s">
        <v>13</v>
      </c>
      <c r="K45" s="62" t="s">
        <v>1167</v>
      </c>
      <c r="L45" s="62" t="s">
        <v>1168</v>
      </c>
    </row>
    <row r="46" spans="2:15" ht="15" customHeight="1">
      <c r="B46" s="43">
        <v>1990.1</v>
      </c>
      <c r="C46" s="46">
        <v>0.12622857142857141</v>
      </c>
      <c r="D46" s="44">
        <v>8.4376190476190494E-2</v>
      </c>
      <c r="E46" s="46">
        <f t="shared" si="0"/>
        <v>4.1852380952380919E-2</v>
      </c>
      <c r="G46" s="39"/>
      <c r="H46" s="39"/>
      <c r="I46" s="39"/>
      <c r="J46" s="39"/>
      <c r="K46" s="39"/>
      <c r="L46" s="39"/>
    </row>
    <row r="47" spans="2:15" ht="15" customHeight="1">
      <c r="B47" s="43">
        <v>1990.2</v>
      </c>
      <c r="C47" s="46">
        <v>0.12850000000000003</v>
      </c>
      <c r="D47" s="44">
        <v>8.6479365079365086E-2</v>
      </c>
      <c r="E47" s="46">
        <f t="shared" si="0"/>
        <v>4.2020634920634944E-2</v>
      </c>
      <c r="G47" s="39" t="s">
        <v>1171</v>
      </c>
      <c r="H47" s="39"/>
      <c r="I47" s="39"/>
      <c r="J47" s="63">
        <v>4.1926666666666661E-2</v>
      </c>
      <c r="K47" s="46">
        <f>$H$38+($H$39*J47)</f>
        <v>6.1604076908019653E-2</v>
      </c>
      <c r="L47" s="44">
        <f>J47+K47</f>
        <v>0.10353074357468631</v>
      </c>
      <c r="M47" s="64"/>
    </row>
    <row r="48" spans="2:15" ht="15" customHeight="1">
      <c r="B48" s="43">
        <v>1990.3</v>
      </c>
      <c r="C48" s="46">
        <v>0.12537142857142858</v>
      </c>
      <c r="D48" s="44">
        <v>8.7915873015873003E-2</v>
      </c>
      <c r="E48" s="46">
        <f t="shared" si="0"/>
        <v>3.7455555555555575E-2</v>
      </c>
      <c r="G48" s="65" t="s">
        <v>1534</v>
      </c>
      <c r="H48" s="39"/>
      <c r="I48" s="39"/>
      <c r="J48" s="63">
        <v>4.1000000000000002E-2</v>
      </c>
      <c r="K48" s="46">
        <f>$H$38+($H$39*J48)</f>
        <v>6.198988261707198E-2</v>
      </c>
      <c r="L48" s="44">
        <f>J48+K48</f>
        <v>0.10298988261707198</v>
      </c>
    </row>
    <row r="49" spans="2:12" ht="15" customHeight="1">
      <c r="B49" s="43">
        <v>1990.4</v>
      </c>
      <c r="C49" s="46">
        <v>0.12679166666666666</v>
      </c>
      <c r="D49" s="44">
        <v>8.557846153846152E-2</v>
      </c>
      <c r="E49" s="46">
        <f t="shared" si="0"/>
        <v>4.1213205128205144E-2</v>
      </c>
      <c r="G49" s="61" t="s">
        <v>1264</v>
      </c>
      <c r="H49" s="61"/>
      <c r="I49" s="61"/>
      <c r="J49" s="66">
        <v>4.1000000000000002E-2</v>
      </c>
      <c r="K49" s="67">
        <f>$H$38+($H$39*J49)</f>
        <v>6.198988261707198E-2</v>
      </c>
      <c r="L49" s="67">
        <f>J49+K49</f>
        <v>0.10298988261707198</v>
      </c>
    </row>
    <row r="50" spans="2:12" ht="15" customHeight="1" thickBot="1">
      <c r="B50" s="43">
        <v>1991.1</v>
      </c>
      <c r="C50" s="46">
        <v>0.12664166666666668</v>
      </c>
      <c r="D50" s="44">
        <v>8.2024193548387081E-2</v>
      </c>
      <c r="E50" s="46">
        <f t="shared" si="0"/>
        <v>4.4617473118279599E-2</v>
      </c>
      <c r="G50" s="68" t="s">
        <v>1175</v>
      </c>
      <c r="H50" s="68"/>
      <c r="I50" s="68"/>
      <c r="J50" s="69"/>
      <c r="K50" s="69"/>
      <c r="L50" s="69">
        <f>AVERAGE(L47:L49)</f>
        <v>0.10317016960294341</v>
      </c>
    </row>
    <row r="51" spans="2:12" ht="15" customHeight="1">
      <c r="B51" s="43">
        <v>1991.2</v>
      </c>
      <c r="C51" s="46">
        <v>0.12671428571428572</v>
      </c>
      <c r="D51" s="44">
        <v>8.3114062500000016E-2</v>
      </c>
      <c r="E51" s="46">
        <f t="shared" si="0"/>
        <v>4.3600223214285708E-2</v>
      </c>
    </row>
    <row r="52" spans="2:12" ht="15" customHeight="1">
      <c r="B52" s="43">
        <v>1991.3</v>
      </c>
      <c r="C52" s="46">
        <v>0.12492857142857142</v>
      </c>
      <c r="D52" s="44">
        <v>8.1885937500000019E-2</v>
      </c>
      <c r="E52" s="46">
        <f t="shared" si="0"/>
        <v>4.3042633928571397E-2</v>
      </c>
      <c r="G52" s="38" t="s">
        <v>32</v>
      </c>
    </row>
    <row r="53" spans="2:12" ht="15" customHeight="1">
      <c r="B53" s="43">
        <v>1991.4</v>
      </c>
      <c r="C53" s="46">
        <v>0.12421875000000002</v>
      </c>
      <c r="D53" s="44">
        <v>7.8533846153846162E-2</v>
      </c>
      <c r="E53" s="46">
        <f t="shared" si="0"/>
        <v>4.5684903846153854E-2</v>
      </c>
      <c r="G53" s="38" t="s">
        <v>1535</v>
      </c>
    </row>
    <row r="54" spans="2:12" ht="15" customHeight="1">
      <c r="B54" s="43" t="s">
        <v>1106</v>
      </c>
      <c r="C54" s="44">
        <v>0.12381000000000002</v>
      </c>
      <c r="D54" s="44">
        <v>7.8050793650793662E-2</v>
      </c>
      <c r="E54" s="46">
        <f t="shared" si="0"/>
        <v>4.5759206349206355E-2</v>
      </c>
      <c r="G54" s="38" t="s">
        <v>1180</v>
      </c>
    </row>
    <row r="55" spans="2:12" ht="15" customHeight="1">
      <c r="B55" s="43" t="s">
        <v>1107</v>
      </c>
      <c r="C55" s="44">
        <v>0.11827500000000001</v>
      </c>
      <c r="D55" s="44">
        <v>7.8976190476190478E-2</v>
      </c>
      <c r="E55" s="46">
        <f t="shared" si="0"/>
        <v>3.9298809523809528E-2</v>
      </c>
      <c r="G55" s="38" t="s">
        <v>1182</v>
      </c>
    </row>
    <row r="56" spans="2:12" ht="15" customHeight="1">
      <c r="B56" s="43" t="s">
        <v>1108</v>
      </c>
      <c r="C56" s="44">
        <v>0.12031249999999999</v>
      </c>
      <c r="D56" s="44">
        <v>7.4456250000000002E-2</v>
      </c>
      <c r="E56" s="46">
        <f t="shared" si="0"/>
        <v>4.5856249999999987E-2</v>
      </c>
      <c r="G56" s="38" t="s">
        <v>1536</v>
      </c>
    </row>
    <row r="57" spans="2:12" ht="15" customHeight="1">
      <c r="B57" s="43" t="s">
        <v>1109</v>
      </c>
      <c r="C57" s="44">
        <v>0.12140666666666668</v>
      </c>
      <c r="D57" s="44">
        <v>7.5235937499999989E-2</v>
      </c>
      <c r="E57" s="46">
        <f t="shared" si="0"/>
        <v>4.6170729166666688E-2</v>
      </c>
      <c r="G57" s="64" t="s">
        <v>1537</v>
      </c>
      <c r="H57" s="64"/>
      <c r="I57" s="64"/>
      <c r="J57" s="64"/>
    </row>
    <row r="58" spans="2:12" ht="15" customHeight="1">
      <c r="B58" s="43" t="s">
        <v>1110</v>
      </c>
      <c r="C58" s="44">
        <v>0.11835714285714286</v>
      </c>
      <c r="D58" s="44">
        <v>7.0716129032258074E-2</v>
      </c>
      <c r="E58" s="46">
        <f t="shared" si="0"/>
        <v>4.7641013824884781E-2</v>
      </c>
      <c r="G58" s="64" t="s">
        <v>1530</v>
      </c>
    </row>
    <row r="59" spans="2:12" ht="15" customHeight="1">
      <c r="B59" s="40" t="s">
        <v>1111</v>
      </c>
      <c r="C59" s="44">
        <v>0.11641111111111109</v>
      </c>
      <c r="D59" s="44">
        <v>6.8584126984127011E-2</v>
      </c>
      <c r="E59" s="46">
        <f t="shared" si="0"/>
        <v>4.7826984126984079E-2</v>
      </c>
      <c r="G59" s="38" t="s">
        <v>1187</v>
      </c>
    </row>
    <row r="60" spans="2:12" ht="15" customHeight="1">
      <c r="B60" s="40" t="s">
        <v>1112</v>
      </c>
      <c r="C60" s="44">
        <v>0.11151666666666667</v>
      </c>
      <c r="D60" s="44">
        <v>6.3154687500000015E-2</v>
      </c>
      <c r="E60" s="46">
        <f t="shared" si="0"/>
        <v>4.8361979166666652E-2</v>
      </c>
      <c r="G60" s="38" t="str">
        <f>"[8] Equals "&amp;TEXT(H38,"0.0000")&amp;" + ("&amp;TEXT(H39,"0.0000")&amp;" x Column [7])"</f>
        <v>[8] Equals 0.0791 + (-0.4163 x Column [7])</v>
      </c>
    </row>
    <row r="61" spans="2:12" ht="15" customHeight="1">
      <c r="B61" s="40" t="s">
        <v>1113</v>
      </c>
      <c r="C61" s="44">
        <v>0.11041666666666666</v>
      </c>
      <c r="D61" s="44">
        <v>6.1351562500000012E-2</v>
      </c>
      <c r="E61" s="46">
        <f t="shared" si="0"/>
        <v>4.9065104166666651E-2</v>
      </c>
      <c r="G61" s="38" t="s">
        <v>1190</v>
      </c>
    </row>
    <row r="62" spans="2:12" ht="15" customHeight="1">
      <c r="B62" s="40" t="s">
        <v>1114</v>
      </c>
      <c r="C62" s="44">
        <v>0.11067</v>
      </c>
      <c r="D62" s="44">
        <v>6.5758730158730155E-2</v>
      </c>
      <c r="E62" s="46">
        <f t="shared" si="0"/>
        <v>4.4911269841269849E-2</v>
      </c>
    </row>
    <row r="63" spans="2:12" ht="15" customHeight="1">
      <c r="B63" s="40" t="s">
        <v>1115</v>
      </c>
      <c r="C63" s="44">
        <v>0.1113</v>
      </c>
      <c r="D63" s="44">
        <v>7.3622580645161306E-2</v>
      </c>
      <c r="E63" s="46">
        <f t="shared" si="0"/>
        <v>3.767741935483869E-2</v>
      </c>
    </row>
    <row r="64" spans="2:12" ht="15" customHeight="1">
      <c r="B64" s="40" t="s">
        <v>1116</v>
      </c>
      <c r="C64" s="44">
        <v>0.1275</v>
      </c>
      <c r="D64" s="44">
        <v>7.5893750000000024E-2</v>
      </c>
      <c r="E64" s="46">
        <f t="shared" si="0"/>
        <v>5.1606249999999979E-2</v>
      </c>
    </row>
    <row r="65" spans="2:5" ht="15" customHeight="1">
      <c r="B65" s="40" t="s">
        <v>1117</v>
      </c>
      <c r="C65" s="44">
        <v>0.11238333333333334</v>
      </c>
      <c r="D65" s="44">
        <v>7.9633333333333334E-2</v>
      </c>
      <c r="E65" s="46">
        <f t="shared" si="0"/>
        <v>3.2750000000000001E-2</v>
      </c>
    </row>
    <row r="66" spans="2:5" ht="15" customHeight="1">
      <c r="B66" s="40">
        <v>1995.1</v>
      </c>
      <c r="C66" s="44">
        <v>0.1196125</v>
      </c>
      <c r="D66" s="44">
        <v>7.6334374999999996E-2</v>
      </c>
      <c r="E66" s="46">
        <f t="shared" si="0"/>
        <v>4.3278125000000001E-2</v>
      </c>
    </row>
    <row r="67" spans="2:5" ht="15" customHeight="1">
      <c r="B67" s="40" t="s">
        <v>1118</v>
      </c>
      <c r="C67" s="44">
        <v>0.1131625</v>
      </c>
      <c r="D67" s="44">
        <v>6.9422222222222191E-2</v>
      </c>
      <c r="E67" s="46">
        <f t="shared" si="0"/>
        <v>4.3740277777777808E-2</v>
      </c>
    </row>
    <row r="68" spans="2:5" ht="15" customHeight="1">
      <c r="B68" s="40" t="s">
        <v>1119</v>
      </c>
      <c r="C68" s="44">
        <v>0.1137</v>
      </c>
      <c r="D68" s="44">
        <v>6.7173015873015857E-2</v>
      </c>
      <c r="E68" s="46">
        <f t="shared" si="0"/>
        <v>4.6526984126984139E-2</v>
      </c>
    </row>
    <row r="69" spans="2:5" ht="15" customHeight="1">
      <c r="B69" s="40" t="s">
        <v>1120</v>
      </c>
      <c r="C69" s="44">
        <v>0.11584285714285714</v>
      </c>
      <c r="D69" s="44">
        <v>6.2390476190476205E-2</v>
      </c>
      <c r="E69" s="46">
        <f t="shared" si="0"/>
        <v>5.3452380952380932E-2</v>
      </c>
    </row>
    <row r="70" spans="2:5" ht="15" customHeight="1">
      <c r="B70" s="40" t="s">
        <v>1121</v>
      </c>
      <c r="C70" s="44">
        <v>0.11460000000000001</v>
      </c>
      <c r="D70" s="44">
        <v>6.2916923076923065E-2</v>
      </c>
      <c r="E70" s="46">
        <f t="shared" si="0"/>
        <v>5.1683076923076943E-2</v>
      </c>
    </row>
    <row r="71" spans="2:5" ht="15" customHeight="1">
      <c r="B71" s="40" t="s">
        <v>1123</v>
      </c>
      <c r="C71" s="44">
        <v>0.11458888888888891</v>
      </c>
      <c r="D71" s="44">
        <v>6.9215384615384609E-2</v>
      </c>
      <c r="E71" s="46">
        <f t="shared" ref="E71:E134" si="1">C71-D71</f>
        <v>4.5373504273504298E-2</v>
      </c>
    </row>
    <row r="72" spans="2:5" ht="15" customHeight="1">
      <c r="B72" s="40" t="s">
        <v>1124</v>
      </c>
      <c r="C72" s="44">
        <v>0.10700000000000001</v>
      </c>
      <c r="D72" s="44">
        <v>6.9672727272727275E-2</v>
      </c>
      <c r="E72" s="46">
        <f t="shared" si="1"/>
        <v>3.7327272727272737E-2</v>
      </c>
    </row>
    <row r="73" spans="2:5" ht="15" customHeight="1">
      <c r="B73" s="40" t="s">
        <v>1126</v>
      </c>
      <c r="C73" s="44">
        <v>0.11559999999999999</v>
      </c>
      <c r="D73" s="44">
        <v>6.6199999999999995E-2</v>
      </c>
      <c r="E73" s="46">
        <f t="shared" si="1"/>
        <v>4.9399999999999999E-2</v>
      </c>
    </row>
    <row r="74" spans="2:5" ht="15" customHeight="1">
      <c r="B74" s="40" t="s">
        <v>1128</v>
      </c>
      <c r="C74" s="44">
        <v>0.1108</v>
      </c>
      <c r="D74" s="44">
        <v>6.8153124999999995E-2</v>
      </c>
      <c r="E74" s="46">
        <f t="shared" si="1"/>
        <v>4.2646875000000001E-2</v>
      </c>
    </row>
    <row r="75" spans="2:5" ht="15" customHeight="1">
      <c r="B75" s="40" t="s">
        <v>1130</v>
      </c>
      <c r="C75" s="44">
        <v>0.11616666666666668</v>
      </c>
      <c r="D75" s="44">
        <v>6.9369230769230752E-2</v>
      </c>
      <c r="E75" s="46">
        <f t="shared" si="1"/>
        <v>4.6797435897435929E-2</v>
      </c>
    </row>
    <row r="76" spans="2:5" ht="15" customHeight="1">
      <c r="B76" s="40" t="s">
        <v>1132</v>
      </c>
      <c r="C76" s="44">
        <v>0.12</v>
      </c>
      <c r="D76" s="44">
        <v>6.5304545454545448E-2</v>
      </c>
      <c r="E76" s="46">
        <f t="shared" si="1"/>
        <v>5.4695454545454547E-2</v>
      </c>
    </row>
    <row r="77" spans="2:5" ht="15" customHeight="1">
      <c r="B77" s="43" t="s">
        <v>1134</v>
      </c>
      <c r="C77" s="44">
        <v>0.1106</v>
      </c>
      <c r="D77" s="44">
        <v>6.1478125000000015E-2</v>
      </c>
      <c r="E77" s="46">
        <f t="shared" si="1"/>
        <v>4.9121874999999988E-2</v>
      </c>
    </row>
    <row r="78" spans="2:5" ht="15" customHeight="1">
      <c r="B78" s="43">
        <v>1998.1</v>
      </c>
      <c r="C78" s="44">
        <v>0.11312499999999999</v>
      </c>
      <c r="D78" s="44">
        <v>5.884375E-2</v>
      </c>
      <c r="E78" s="46">
        <f t="shared" si="1"/>
        <v>5.4281249999999989E-2</v>
      </c>
    </row>
    <row r="79" spans="2:5" ht="15" customHeight="1">
      <c r="B79" s="40" t="s">
        <v>1136</v>
      </c>
      <c r="C79" s="44">
        <v>0.122</v>
      </c>
      <c r="D79" s="44">
        <v>5.8490769230769207E-2</v>
      </c>
      <c r="E79" s="46">
        <f t="shared" si="1"/>
        <v>6.350923076923079E-2</v>
      </c>
    </row>
    <row r="80" spans="2:5" ht="15" customHeight="1">
      <c r="B80" s="40" t="s">
        <v>1138</v>
      </c>
      <c r="C80" s="44">
        <v>0.11650000000000001</v>
      </c>
      <c r="D80" s="44">
        <v>5.4762121212121241E-2</v>
      </c>
      <c r="E80" s="46">
        <f t="shared" si="1"/>
        <v>6.1737878787878765E-2</v>
      </c>
    </row>
    <row r="81" spans="2:5" ht="15" customHeight="1">
      <c r="B81" s="40" t="s">
        <v>1142</v>
      </c>
      <c r="C81" s="44">
        <v>0.123</v>
      </c>
      <c r="D81" s="44">
        <v>5.1071212121212115E-2</v>
      </c>
      <c r="E81" s="46">
        <f t="shared" si="1"/>
        <v>7.1928787878787884E-2</v>
      </c>
    </row>
    <row r="82" spans="2:5" ht="15" customHeight="1">
      <c r="B82" s="43" t="s">
        <v>1144</v>
      </c>
      <c r="C82" s="44">
        <v>0.10400000000000001</v>
      </c>
      <c r="D82" s="44">
        <v>5.3734374999999994E-2</v>
      </c>
      <c r="E82" s="46">
        <f t="shared" si="1"/>
        <v>5.0265625000000015E-2</v>
      </c>
    </row>
    <row r="83" spans="2:5" ht="15" customHeight="1">
      <c r="B83" s="43" t="s">
        <v>1146</v>
      </c>
      <c r="C83" s="44">
        <v>0.1094</v>
      </c>
      <c r="D83" s="44">
        <v>5.7987692307692289E-2</v>
      </c>
      <c r="E83" s="46">
        <f t="shared" si="1"/>
        <v>5.1412307692307709E-2</v>
      </c>
    </row>
    <row r="84" spans="2:5" ht="15" customHeight="1">
      <c r="B84" s="43">
        <v>1999.3</v>
      </c>
      <c r="C84" s="44">
        <v>0.1075</v>
      </c>
      <c r="D84" s="44">
        <v>6.040757575757575E-2</v>
      </c>
      <c r="E84" s="46">
        <f t="shared" si="1"/>
        <v>4.7092424242424248E-2</v>
      </c>
    </row>
    <row r="85" spans="2:5" ht="15" customHeight="1">
      <c r="B85" s="43" t="s">
        <v>1148</v>
      </c>
      <c r="C85" s="44">
        <v>0.111</v>
      </c>
      <c r="D85" s="44">
        <v>6.2559090909090911E-2</v>
      </c>
      <c r="E85" s="46">
        <f t="shared" si="1"/>
        <v>4.844090909090909E-2</v>
      </c>
    </row>
    <row r="86" spans="2:5" ht="15" customHeight="1">
      <c r="B86" s="40" t="s">
        <v>1156</v>
      </c>
      <c r="C86" s="44">
        <v>0.112125</v>
      </c>
      <c r="D86" s="44">
        <v>6.2958461538461505E-2</v>
      </c>
      <c r="E86" s="46">
        <f t="shared" si="1"/>
        <v>4.9166538461538498E-2</v>
      </c>
    </row>
    <row r="87" spans="2:5" ht="15" customHeight="1">
      <c r="B87" s="43" t="s">
        <v>1158</v>
      </c>
      <c r="C87" s="44">
        <v>0.11</v>
      </c>
      <c r="D87" s="44">
        <v>5.9787692307692299E-2</v>
      </c>
      <c r="E87" s="46">
        <f t="shared" si="1"/>
        <v>5.0212307692307702E-2</v>
      </c>
    </row>
    <row r="88" spans="2:5" ht="15" customHeight="1">
      <c r="B88" s="40" t="s">
        <v>1159</v>
      </c>
      <c r="C88" s="44">
        <v>0.1168</v>
      </c>
      <c r="D88" s="44">
        <v>5.7932307692307693E-2</v>
      </c>
      <c r="E88" s="46">
        <f t="shared" si="1"/>
        <v>5.8867692307692308E-2</v>
      </c>
    </row>
    <row r="89" spans="2:5" ht="15" customHeight="1">
      <c r="B89" s="40" t="s">
        <v>1160</v>
      </c>
      <c r="C89" s="44">
        <v>0.125</v>
      </c>
      <c r="D89" s="44">
        <v>5.6907692307692305E-2</v>
      </c>
      <c r="E89" s="46">
        <f t="shared" si="1"/>
        <v>6.8092307692307702E-2</v>
      </c>
    </row>
    <row r="90" spans="2:5" ht="15" customHeight="1">
      <c r="B90" s="43" t="s">
        <v>1161</v>
      </c>
      <c r="C90" s="44">
        <v>0.11375</v>
      </c>
      <c r="D90" s="44">
        <v>5.4464615384615396E-2</v>
      </c>
      <c r="E90" s="46">
        <f t="shared" si="1"/>
        <v>5.9285384615384608E-2</v>
      </c>
    </row>
    <row r="91" spans="2:5" ht="15" customHeight="1">
      <c r="B91" s="40" t="s">
        <v>1162</v>
      </c>
      <c r="C91" s="44">
        <v>0.10875</v>
      </c>
      <c r="D91" s="44">
        <v>5.7016923076923069E-2</v>
      </c>
      <c r="E91" s="46">
        <f t="shared" si="1"/>
        <v>5.173307692307693E-2</v>
      </c>
    </row>
    <row r="92" spans="2:5" ht="15" customHeight="1">
      <c r="B92" s="40">
        <v>2001.3</v>
      </c>
      <c r="C92" s="44">
        <v>0.10755714285714287</v>
      </c>
      <c r="D92" s="44">
        <v>5.5250769230769207E-2</v>
      </c>
      <c r="E92" s="46">
        <f t="shared" si="1"/>
        <v>5.2306373626373658E-2</v>
      </c>
    </row>
    <row r="93" spans="2:5" ht="15" customHeight="1">
      <c r="B93" s="40" t="s">
        <v>1166</v>
      </c>
      <c r="C93" s="44">
        <v>0.1157</v>
      </c>
      <c r="D93" s="44">
        <v>5.3019696969696967E-2</v>
      </c>
      <c r="E93" s="46">
        <f t="shared" si="1"/>
        <v>6.2680303030303031E-2</v>
      </c>
    </row>
    <row r="94" spans="2:5" ht="15" customHeight="1">
      <c r="B94" s="43" t="s">
        <v>1169</v>
      </c>
      <c r="C94" s="44">
        <v>0.10050000000000001</v>
      </c>
      <c r="D94" s="44">
        <v>5.51578125E-2</v>
      </c>
      <c r="E94" s="46">
        <f t="shared" si="1"/>
        <v>4.5342187500000006E-2</v>
      </c>
    </row>
    <row r="95" spans="2:5" ht="15" customHeight="1">
      <c r="B95" s="40" t="s">
        <v>1170</v>
      </c>
      <c r="C95" s="44">
        <v>0.11405</v>
      </c>
      <c r="D95" s="44">
        <v>5.6164615384615389E-2</v>
      </c>
      <c r="E95" s="46">
        <f t="shared" si="1"/>
        <v>5.7885384615384609E-2</v>
      </c>
    </row>
    <row r="96" spans="2:5" ht="15" customHeight="1">
      <c r="B96" s="40" t="s">
        <v>1172</v>
      </c>
      <c r="C96" s="44">
        <v>0.1125</v>
      </c>
      <c r="D96" s="44">
        <v>5.0868181818181826E-2</v>
      </c>
      <c r="E96" s="46">
        <f t="shared" si="1"/>
        <v>6.1631818181818177E-2</v>
      </c>
    </row>
    <row r="97" spans="2:5" ht="15" customHeight="1">
      <c r="B97" s="43" t="s">
        <v>1173</v>
      </c>
      <c r="C97" s="44">
        <v>0.11566666666666665</v>
      </c>
      <c r="D97" s="44">
        <v>4.9322727272727268E-2</v>
      </c>
      <c r="E97" s="46">
        <f t="shared" si="1"/>
        <v>6.6343939393939386E-2</v>
      </c>
    </row>
    <row r="98" spans="2:5" ht="15" customHeight="1">
      <c r="B98" s="40" t="s">
        <v>1174</v>
      </c>
      <c r="C98" s="44">
        <v>0.11426666666666668</v>
      </c>
      <c r="D98" s="44">
        <v>4.8518749999999999E-2</v>
      </c>
      <c r="E98" s="46">
        <f t="shared" si="1"/>
        <v>6.5747916666666684E-2</v>
      </c>
    </row>
    <row r="99" spans="2:5" ht="15" customHeight="1">
      <c r="B99" s="40" t="s">
        <v>1176</v>
      </c>
      <c r="C99" s="44">
        <v>0.111625</v>
      </c>
      <c r="D99" s="44">
        <v>4.6032307692307678E-2</v>
      </c>
      <c r="E99" s="46">
        <f t="shared" si="1"/>
        <v>6.5592692307692324E-2</v>
      </c>
    </row>
    <row r="100" spans="2:5" ht="15" customHeight="1">
      <c r="B100" s="40" t="s">
        <v>1177</v>
      </c>
      <c r="C100" s="44">
        <v>9.8750000000000004E-2</v>
      </c>
      <c r="D100" s="44">
        <v>5.113939393939395E-2</v>
      </c>
      <c r="E100" s="46">
        <f t="shared" si="1"/>
        <v>4.7610606060606055E-2</v>
      </c>
    </row>
    <row r="101" spans="2:5" ht="15" customHeight="1">
      <c r="B101" s="40" t="s">
        <v>1178</v>
      </c>
      <c r="C101" s="44">
        <v>0.11091666666666666</v>
      </c>
      <c r="D101" s="44">
        <v>5.1146969696969691E-2</v>
      </c>
      <c r="E101" s="46">
        <f t="shared" si="1"/>
        <v>5.9769696969696973E-2</v>
      </c>
    </row>
    <row r="102" spans="2:5" ht="15" customHeight="1">
      <c r="B102" s="40" t="s">
        <v>1179</v>
      </c>
      <c r="C102" s="44">
        <v>0.10999999999999999</v>
      </c>
      <c r="D102" s="44">
        <v>4.8776923076923072E-2</v>
      </c>
      <c r="E102" s="46">
        <f t="shared" si="1"/>
        <v>6.1223076923076915E-2</v>
      </c>
    </row>
    <row r="103" spans="2:5" ht="15" customHeight="1">
      <c r="B103" s="40" t="s">
        <v>1181</v>
      </c>
      <c r="C103" s="44">
        <v>0.10638571428571429</v>
      </c>
      <c r="D103" s="44">
        <v>5.3353846153846154E-2</v>
      </c>
      <c r="E103" s="46">
        <f t="shared" si="1"/>
        <v>5.3031868131868137E-2</v>
      </c>
    </row>
    <row r="104" spans="2:5" ht="15" customHeight="1">
      <c r="B104" s="40" t="s">
        <v>1183</v>
      </c>
      <c r="C104" s="44">
        <v>0.1075</v>
      </c>
      <c r="D104" s="44">
        <v>5.1074242424242439E-2</v>
      </c>
      <c r="E104" s="46">
        <f t="shared" si="1"/>
        <v>5.642575757575756E-2</v>
      </c>
    </row>
    <row r="105" spans="2:5" ht="15" customHeight="1">
      <c r="B105" s="40" t="s">
        <v>1184</v>
      </c>
      <c r="C105" s="44">
        <v>0.10908749999999999</v>
      </c>
      <c r="D105" s="44">
        <v>4.9322727272727296E-2</v>
      </c>
      <c r="E105" s="46">
        <f t="shared" si="1"/>
        <v>5.9764772727272694E-2</v>
      </c>
    </row>
    <row r="106" spans="2:5" ht="15" customHeight="1">
      <c r="B106" s="40" t="s">
        <v>1185</v>
      </c>
      <c r="C106" s="44">
        <v>0.1056</v>
      </c>
      <c r="D106" s="44">
        <v>4.7070312500000003E-2</v>
      </c>
      <c r="E106" s="46">
        <f t="shared" si="1"/>
        <v>5.8529687499999997E-2</v>
      </c>
    </row>
    <row r="107" spans="2:5" ht="15" customHeight="1">
      <c r="B107" s="43" t="s">
        <v>1186</v>
      </c>
      <c r="C107" s="44">
        <v>0.10125000000000001</v>
      </c>
      <c r="D107" s="44">
        <v>4.4709230769230765E-2</v>
      </c>
      <c r="E107" s="46">
        <f t="shared" si="1"/>
        <v>5.6540769230769242E-2</v>
      </c>
    </row>
    <row r="108" spans="2:5" ht="15" customHeight="1">
      <c r="B108" s="40" t="s">
        <v>1188</v>
      </c>
      <c r="C108" s="44">
        <v>0.10844999999999999</v>
      </c>
      <c r="D108" s="44">
        <v>4.4228787878787867E-2</v>
      </c>
      <c r="E108" s="46">
        <f t="shared" si="1"/>
        <v>6.4221212121212123E-2</v>
      </c>
    </row>
    <row r="109" spans="2:5" ht="15" customHeight="1">
      <c r="B109" s="40" t="s">
        <v>1189</v>
      </c>
      <c r="C109" s="44">
        <v>0.10593333333333334</v>
      </c>
      <c r="D109" s="44">
        <v>4.6523076923076924E-2</v>
      </c>
      <c r="E109" s="46">
        <f t="shared" si="1"/>
        <v>5.9410256410256414E-2</v>
      </c>
    </row>
    <row r="110" spans="2:5" ht="15" customHeight="1">
      <c r="B110" s="40" t="s">
        <v>1191</v>
      </c>
      <c r="C110" s="44">
        <v>0.1038</v>
      </c>
      <c r="D110" s="44">
        <v>4.6270769230769213E-2</v>
      </c>
      <c r="E110" s="46">
        <f t="shared" si="1"/>
        <v>5.7529230769230791E-2</v>
      </c>
    </row>
    <row r="111" spans="2:5" ht="15" customHeight="1">
      <c r="B111" s="40" t="s">
        <v>1192</v>
      </c>
      <c r="C111" s="44">
        <v>0.10629999999999999</v>
      </c>
      <c r="D111" s="44">
        <v>5.1427692307692299E-2</v>
      </c>
      <c r="E111" s="46">
        <f t="shared" si="1"/>
        <v>5.4872307692307692E-2</v>
      </c>
    </row>
    <row r="112" spans="2:5" ht="15" customHeight="1">
      <c r="B112" s="40" t="s">
        <v>1193</v>
      </c>
      <c r="C112" s="44">
        <v>0.10062857142857143</v>
      </c>
      <c r="D112" s="44">
        <v>4.9955384615384631E-2</v>
      </c>
      <c r="E112" s="46">
        <f t="shared" si="1"/>
        <v>5.0673186813186798E-2</v>
      </c>
    </row>
    <row r="113" spans="2:5" ht="15" customHeight="1">
      <c r="B113" s="40" t="s">
        <v>1194</v>
      </c>
      <c r="C113" s="44">
        <v>0.10385</v>
      </c>
      <c r="D113" s="44">
        <v>4.7423076923076908E-2</v>
      </c>
      <c r="E113" s="46">
        <f t="shared" si="1"/>
        <v>5.642692307692309E-2</v>
      </c>
    </row>
    <row r="114" spans="2:5" ht="15" customHeight="1">
      <c r="B114" s="40" t="s">
        <v>1195</v>
      </c>
      <c r="C114" s="44">
        <v>0.10388888888888888</v>
      </c>
      <c r="D114" s="44">
        <v>4.7975384615384635E-2</v>
      </c>
      <c r="E114" s="46">
        <f t="shared" si="1"/>
        <v>5.5913504273504243E-2</v>
      </c>
    </row>
    <row r="115" spans="2:5" ht="15" customHeight="1">
      <c r="B115" s="40" t="s">
        <v>1196</v>
      </c>
      <c r="C115" s="44">
        <v>0.10265454545454546</v>
      </c>
      <c r="D115" s="44">
        <v>4.9892307692307715E-2</v>
      </c>
      <c r="E115" s="46">
        <f t="shared" si="1"/>
        <v>5.2762237762237742E-2</v>
      </c>
    </row>
    <row r="116" spans="2:5" ht="15" customHeight="1">
      <c r="B116" s="40" t="s">
        <v>1197</v>
      </c>
      <c r="C116" s="44">
        <v>0.10017500000000001</v>
      </c>
      <c r="D116" s="44">
        <v>4.9499999999999982E-2</v>
      </c>
      <c r="E116" s="46">
        <f t="shared" si="1"/>
        <v>5.0675000000000033E-2</v>
      </c>
    </row>
    <row r="117" spans="2:5" ht="15" customHeight="1">
      <c r="B117" s="40" t="s">
        <v>1198</v>
      </c>
      <c r="C117" s="44">
        <v>0.10425833333333334</v>
      </c>
      <c r="D117" s="44">
        <v>4.6140000000000014E-2</v>
      </c>
      <c r="E117" s="46">
        <f t="shared" si="1"/>
        <v>5.8118333333333327E-2</v>
      </c>
    </row>
    <row r="118" spans="2:5" ht="15" customHeight="1">
      <c r="B118" s="40" t="s">
        <v>1199</v>
      </c>
      <c r="C118" s="44">
        <v>0.10151250000000001</v>
      </c>
      <c r="D118" s="44">
        <v>4.409538461538462E-2</v>
      </c>
      <c r="E118" s="46">
        <f t="shared" si="1"/>
        <v>5.7417115384615386E-2</v>
      </c>
    </row>
    <row r="119" spans="2:5" ht="15" customHeight="1">
      <c r="B119" s="40" t="s">
        <v>1200</v>
      </c>
      <c r="C119" s="44">
        <v>0.1053625</v>
      </c>
      <c r="D119" s="44">
        <v>4.5739999999999996E-2</v>
      </c>
      <c r="E119" s="46">
        <f t="shared" si="1"/>
        <v>5.9622500000000002E-2</v>
      </c>
    </row>
    <row r="120" spans="2:5" ht="15" customHeight="1">
      <c r="B120" s="40" t="s">
        <v>1201</v>
      </c>
      <c r="C120" s="44">
        <v>0.10382727272727274</v>
      </c>
      <c r="D120" s="44">
        <v>4.4501515151515146E-2</v>
      </c>
      <c r="E120" s="46">
        <f t="shared" si="1"/>
        <v>5.9325757575757594E-2</v>
      </c>
    </row>
    <row r="121" spans="2:5" ht="15" customHeight="1">
      <c r="B121" s="40" t="s">
        <v>1202</v>
      </c>
      <c r="C121" s="44">
        <v>0.103875</v>
      </c>
      <c r="D121" s="44">
        <v>3.6437500000000005E-2</v>
      </c>
      <c r="E121" s="46">
        <f t="shared" si="1"/>
        <v>6.7437499999999984E-2</v>
      </c>
    </row>
    <row r="122" spans="2:5" ht="15" customHeight="1">
      <c r="B122" s="40" t="s">
        <v>1203</v>
      </c>
      <c r="C122" s="44">
        <v>0.10445555555555555</v>
      </c>
      <c r="D122" s="44">
        <v>3.4393749999999994E-2</v>
      </c>
      <c r="E122" s="46">
        <f t="shared" si="1"/>
        <v>7.0061805555555551E-2</v>
      </c>
    </row>
    <row r="123" spans="2:5" ht="15" customHeight="1">
      <c r="B123" s="40" t="s">
        <v>1204</v>
      </c>
      <c r="C123" s="44">
        <v>0.10583333333333332</v>
      </c>
      <c r="D123" s="44">
        <v>4.1692307692307695E-2</v>
      </c>
      <c r="E123" s="46">
        <f t="shared" si="1"/>
        <v>6.4141025641025626E-2</v>
      </c>
    </row>
    <row r="124" spans="2:5" ht="15" customHeight="1">
      <c r="B124" s="40" t="s">
        <v>1205</v>
      </c>
      <c r="C124" s="44">
        <v>0.10407499999999999</v>
      </c>
      <c r="D124" s="44">
        <v>4.321666666666666E-2</v>
      </c>
      <c r="E124" s="46">
        <f t="shared" si="1"/>
        <v>6.0858333333333327E-2</v>
      </c>
    </row>
    <row r="125" spans="2:5" ht="15" customHeight="1">
      <c r="B125" s="40" t="s">
        <v>1206</v>
      </c>
      <c r="C125" s="44">
        <v>0.10542941176470591</v>
      </c>
      <c r="D125" s="44">
        <v>4.3392187499999998E-2</v>
      </c>
      <c r="E125" s="46">
        <f t="shared" si="1"/>
        <v>6.2037224264705912E-2</v>
      </c>
    </row>
    <row r="126" spans="2:5" ht="15" customHeight="1">
      <c r="B126" s="40" t="s">
        <v>1207</v>
      </c>
      <c r="C126" s="44">
        <v>0.10446000000000001</v>
      </c>
      <c r="D126" s="44">
        <v>4.6243749999999986E-2</v>
      </c>
      <c r="E126" s="46">
        <f t="shared" si="1"/>
        <v>5.8216250000000025E-2</v>
      </c>
    </row>
    <row r="127" spans="2:5" ht="15" customHeight="1">
      <c r="B127" s="40" t="s">
        <v>1208</v>
      </c>
      <c r="C127" s="44">
        <v>0.10077857142857145</v>
      </c>
      <c r="D127" s="44">
        <v>4.3692307692307676E-2</v>
      </c>
      <c r="E127" s="46">
        <f t="shared" si="1"/>
        <v>5.7086263736263777E-2</v>
      </c>
    </row>
    <row r="128" spans="2:5" ht="15" customHeight="1">
      <c r="B128" s="40" t="s">
        <v>1209</v>
      </c>
      <c r="C128" s="44">
        <v>0.10288333333333333</v>
      </c>
      <c r="D128" s="44">
        <v>3.8563636363636355E-2</v>
      </c>
      <c r="E128" s="46">
        <f t="shared" si="1"/>
        <v>6.4319696969696971E-2</v>
      </c>
    </row>
    <row r="129" spans="2:5" ht="15" customHeight="1">
      <c r="B129" s="40" t="s">
        <v>1210</v>
      </c>
      <c r="C129" s="44">
        <v>0.10340588235294118</v>
      </c>
      <c r="D129" s="44">
        <v>4.1749230769230768E-2</v>
      </c>
      <c r="E129" s="46">
        <f t="shared" si="1"/>
        <v>6.1656651583710413E-2</v>
      </c>
    </row>
    <row r="130" spans="2:5" ht="15" customHeight="1">
      <c r="B130" s="40" t="s">
        <v>1211</v>
      </c>
      <c r="C130" s="44">
        <v>9.9618181818181814E-2</v>
      </c>
      <c r="D130" s="44">
        <v>4.5609374999999994E-2</v>
      </c>
      <c r="E130" s="46">
        <f t="shared" si="1"/>
        <v>5.400880681818182E-2</v>
      </c>
    </row>
    <row r="131" spans="2:5" ht="15" customHeight="1">
      <c r="B131" s="43" t="s">
        <v>1212</v>
      </c>
      <c r="C131" s="44">
        <v>0.10120999999999999</v>
      </c>
      <c r="D131" s="44">
        <v>4.3387692307692308E-2</v>
      </c>
      <c r="E131" s="46">
        <f t="shared" si="1"/>
        <v>5.7822307692307687E-2</v>
      </c>
    </row>
    <row r="132" spans="2:5" ht="15" customHeight="1">
      <c r="B132" s="43" t="s">
        <v>1213</v>
      </c>
      <c r="C132" s="44">
        <v>0.1036</v>
      </c>
      <c r="D132" s="44">
        <v>3.6960606060606048E-2</v>
      </c>
      <c r="E132" s="46">
        <f t="shared" si="1"/>
        <v>6.6639393939393943E-2</v>
      </c>
    </row>
    <row r="133" spans="2:5" ht="15" customHeight="1">
      <c r="B133" s="43" t="s">
        <v>1214</v>
      </c>
      <c r="C133" s="44">
        <v>0.10344545454545456</v>
      </c>
      <c r="D133" s="44">
        <v>3.0376190476190473E-2</v>
      </c>
      <c r="E133" s="46">
        <f t="shared" si="1"/>
        <v>7.3069264069264089E-2</v>
      </c>
    </row>
    <row r="134" spans="2:5" ht="15" customHeight="1">
      <c r="B134" s="43" t="s">
        <v>1215</v>
      </c>
      <c r="C134" s="44">
        <v>0.10302857142857143</v>
      </c>
      <c r="D134" s="44">
        <v>3.1361538461538462E-2</v>
      </c>
      <c r="E134" s="46">
        <f t="shared" si="1"/>
        <v>7.1667032967032973E-2</v>
      </c>
    </row>
    <row r="135" spans="2:5" ht="15" customHeight="1">
      <c r="B135" s="43" t="s">
        <v>1216</v>
      </c>
      <c r="C135" s="44">
        <v>9.9153846153846162E-2</v>
      </c>
      <c r="D135" s="44">
        <v>2.9363076923076922E-2</v>
      </c>
      <c r="E135" s="46">
        <f t="shared" ref="E135:E181" si="2">C135-D135</f>
        <v>6.979076923076924E-2</v>
      </c>
    </row>
    <row r="136" spans="2:5" ht="15" customHeight="1">
      <c r="B136" s="43" t="s">
        <v>1217</v>
      </c>
      <c r="C136" s="44">
        <v>9.7837499999999994E-2</v>
      </c>
      <c r="D136" s="44">
        <v>2.7429230769230779E-2</v>
      </c>
      <c r="E136" s="46">
        <f t="shared" si="2"/>
        <v>7.0408269230769219E-2</v>
      </c>
    </row>
    <row r="137" spans="2:5" ht="15" customHeight="1">
      <c r="B137" s="43" t="s">
        <v>1218</v>
      </c>
      <c r="C137" s="44">
        <v>0.10069565217391307</v>
      </c>
      <c r="D137" s="44">
        <v>2.8639062499999993E-2</v>
      </c>
      <c r="E137" s="46">
        <f t="shared" si="2"/>
        <v>7.2056589673913082E-2</v>
      </c>
    </row>
    <row r="138" spans="2:5" ht="15" customHeight="1">
      <c r="B138" s="43" t="s">
        <v>1219</v>
      </c>
      <c r="C138" s="44">
        <v>9.7687499999999997E-2</v>
      </c>
      <c r="D138" s="44">
        <v>3.1303125000000008E-2</v>
      </c>
      <c r="E138" s="46">
        <f t="shared" si="2"/>
        <v>6.6384374999999995E-2</v>
      </c>
    </row>
    <row r="139" spans="2:5" ht="15" customHeight="1">
      <c r="B139" s="43" t="s">
        <v>1220</v>
      </c>
      <c r="C139" s="44">
        <v>9.8414285714285718E-2</v>
      </c>
      <c r="D139" s="44">
        <v>3.1412307692307684E-2</v>
      </c>
      <c r="E139" s="46">
        <f t="shared" si="2"/>
        <v>6.7001978021978034E-2</v>
      </c>
    </row>
    <row r="140" spans="2:5" ht="15" customHeight="1">
      <c r="B140" s="43" t="s">
        <v>1221</v>
      </c>
      <c r="C140" s="44">
        <v>9.8316666666666663E-2</v>
      </c>
      <c r="D140" s="44">
        <v>3.7107575757575756E-2</v>
      </c>
      <c r="E140" s="46">
        <f t="shared" si="2"/>
        <v>6.1209090909090907E-2</v>
      </c>
    </row>
    <row r="141" spans="2:5" ht="15" customHeight="1">
      <c r="B141" s="43" t="s">
        <v>1222</v>
      </c>
      <c r="C141" s="44">
        <v>9.8242105263157908E-2</v>
      </c>
      <c r="D141" s="44">
        <v>3.7882812500000008E-2</v>
      </c>
      <c r="E141" s="46">
        <f t="shared" si="2"/>
        <v>6.03592927631579E-2</v>
      </c>
    </row>
    <row r="142" spans="2:5" ht="15" customHeight="1">
      <c r="B142" s="43" t="s">
        <v>1223</v>
      </c>
      <c r="C142" s="44">
        <v>9.572E-2</v>
      </c>
      <c r="D142" s="44">
        <v>3.6903125000000009E-2</v>
      </c>
      <c r="E142" s="46">
        <f t="shared" si="2"/>
        <v>5.8816874999999991E-2</v>
      </c>
    </row>
    <row r="143" spans="2:5" ht="15" customHeight="1">
      <c r="B143" s="43" t="s">
        <v>1224</v>
      </c>
      <c r="C143" s="44">
        <v>9.8299999999999985E-2</v>
      </c>
      <c r="D143" s="44">
        <v>3.4430769230769237E-2</v>
      </c>
      <c r="E143" s="46">
        <f t="shared" si="2"/>
        <v>6.3869230769230748E-2</v>
      </c>
    </row>
    <row r="144" spans="2:5" ht="15" customHeight="1">
      <c r="B144" s="43" t="s">
        <v>1225</v>
      </c>
      <c r="C144" s="44">
        <v>9.7855555555555543E-2</v>
      </c>
      <c r="D144" s="44">
        <v>3.2657575757575753E-2</v>
      </c>
      <c r="E144" s="46">
        <f t="shared" si="2"/>
        <v>6.5197979797979783E-2</v>
      </c>
    </row>
    <row r="145" spans="2:5" ht="15" customHeight="1">
      <c r="B145" s="43" t="s">
        <v>1226</v>
      </c>
      <c r="C145" s="44">
        <v>9.7776923076923081E-2</v>
      </c>
      <c r="D145" s="44">
        <v>2.9637499999999997E-2</v>
      </c>
      <c r="E145" s="46">
        <f t="shared" si="2"/>
        <v>6.8139423076923084E-2</v>
      </c>
    </row>
    <row r="146" spans="2:5" ht="15" customHeight="1">
      <c r="B146" s="43" t="s">
        <v>1227</v>
      </c>
      <c r="C146" s="44">
        <v>9.6599999999999991E-2</v>
      </c>
      <c r="D146" s="44">
        <v>2.5540625000000004E-2</v>
      </c>
      <c r="E146" s="46">
        <f t="shared" si="2"/>
        <v>7.105937499999998E-2</v>
      </c>
    </row>
    <row r="147" spans="2:5" ht="15" customHeight="1">
      <c r="B147" s="43" t="s">
        <v>1228</v>
      </c>
      <c r="C147" s="44">
        <v>9.4960000000000003E-2</v>
      </c>
      <c r="D147" s="44">
        <v>2.8836923076923083E-2</v>
      </c>
      <c r="E147" s="46">
        <f t="shared" si="2"/>
        <v>6.6123076923076923E-2</v>
      </c>
    </row>
    <row r="148" spans="2:5" ht="15" customHeight="1">
      <c r="B148" s="43" t="s">
        <v>1229</v>
      </c>
      <c r="C148" s="44">
        <v>9.4E-2</v>
      </c>
      <c r="D148" s="44">
        <v>2.9624242424242438E-2</v>
      </c>
      <c r="E148" s="46">
        <f t="shared" si="2"/>
        <v>6.4375757575757558E-2</v>
      </c>
    </row>
    <row r="149" spans="2:5" ht="15" customHeight="1">
      <c r="B149" s="43" t="s">
        <v>1230</v>
      </c>
      <c r="C149" s="44">
        <v>9.6527272727272712E-2</v>
      </c>
      <c r="D149" s="44">
        <v>2.9630303030303028E-2</v>
      </c>
      <c r="E149" s="46">
        <f t="shared" si="2"/>
        <v>6.6896969696969677E-2</v>
      </c>
    </row>
    <row r="150" spans="2:5" ht="15" customHeight="1">
      <c r="B150" s="43" t="s">
        <v>1231</v>
      </c>
      <c r="C150" s="44">
        <v>9.7000000000000017E-2</v>
      </c>
      <c r="D150" s="44">
        <v>2.7218461538461539E-2</v>
      </c>
      <c r="E150" s="46">
        <f t="shared" si="2"/>
        <v>6.9781538461538478E-2</v>
      </c>
    </row>
    <row r="151" spans="2:5" ht="15" customHeight="1">
      <c r="B151" s="43" t="s">
        <v>1232</v>
      </c>
      <c r="C151" s="44">
        <v>9.4059999999999991E-2</v>
      </c>
      <c r="D151" s="44">
        <v>2.5672307692307696E-2</v>
      </c>
      <c r="E151" s="46">
        <f t="shared" si="2"/>
        <v>6.8387692307692288E-2</v>
      </c>
    </row>
    <row r="152" spans="2:5" ht="15" customHeight="1">
      <c r="B152" s="43" t="s">
        <v>1233</v>
      </c>
      <c r="C152" s="44">
        <v>9.7575000000000009E-2</v>
      </c>
      <c r="D152" s="44">
        <v>2.2793939393939398E-2</v>
      </c>
      <c r="E152" s="46">
        <f t="shared" si="2"/>
        <v>7.4781060606060615E-2</v>
      </c>
    </row>
    <row r="153" spans="2:5" ht="15" customHeight="1">
      <c r="B153" s="43" t="s">
        <v>1234</v>
      </c>
      <c r="C153" s="44">
        <v>9.5531250000000012E-2</v>
      </c>
      <c r="D153" s="44">
        <v>2.8333846153846154E-2</v>
      </c>
      <c r="E153" s="46">
        <f t="shared" si="2"/>
        <v>6.7197403846153858E-2</v>
      </c>
    </row>
    <row r="154" spans="2:5" ht="15" customHeight="1">
      <c r="B154" s="43" t="s">
        <v>1235</v>
      </c>
      <c r="C154" s="44">
        <v>9.612222222222222E-2</v>
      </c>
      <c r="D154" s="44">
        <v>3.0452307692307709E-2</v>
      </c>
      <c r="E154" s="46">
        <f t="shared" si="2"/>
        <v>6.5669914529914511E-2</v>
      </c>
    </row>
    <row r="155" spans="2:5" ht="15" customHeight="1">
      <c r="B155" s="43" t="s">
        <v>1236</v>
      </c>
      <c r="C155" s="44">
        <v>9.6099999999999991E-2</v>
      </c>
      <c r="D155" s="44">
        <v>2.8972307692307693E-2</v>
      </c>
      <c r="E155" s="46">
        <f t="shared" si="2"/>
        <v>6.7127692307692305E-2</v>
      </c>
    </row>
    <row r="156" spans="2:5" ht="15" customHeight="1">
      <c r="B156" s="43" t="s">
        <v>1237</v>
      </c>
      <c r="C156" s="44">
        <v>9.7250000000000003E-2</v>
      </c>
      <c r="D156" s="44">
        <v>2.8173846153846157E-2</v>
      </c>
      <c r="E156" s="46">
        <f t="shared" si="2"/>
        <v>6.9076153846153843E-2</v>
      </c>
    </row>
    <row r="157" spans="2:5" ht="15" customHeight="1">
      <c r="B157" s="43" t="s">
        <v>1238</v>
      </c>
      <c r="C157" s="44">
        <v>9.7363157894736846E-2</v>
      </c>
      <c r="D157" s="44">
        <v>2.817384615384615E-2</v>
      </c>
      <c r="E157" s="46">
        <f t="shared" si="2"/>
        <v>6.9189311740890699E-2</v>
      </c>
    </row>
    <row r="158" spans="2:5" ht="15" customHeight="1">
      <c r="B158" s="43" t="s">
        <v>1239</v>
      </c>
      <c r="C158" s="44">
        <v>9.5899999999999985E-2</v>
      </c>
      <c r="D158" s="44">
        <v>3.0235384615384615E-2</v>
      </c>
      <c r="E158" s="46">
        <f t="shared" si="2"/>
        <v>6.5664615384615377E-2</v>
      </c>
    </row>
    <row r="159" spans="2:5" ht="15" customHeight="1">
      <c r="B159" s="43" t="s">
        <v>1240</v>
      </c>
      <c r="C159" s="44">
        <v>9.5733333333333323E-2</v>
      </c>
      <c r="D159" s="44">
        <v>3.0853846153846162E-2</v>
      </c>
      <c r="E159" s="46">
        <f t="shared" si="2"/>
        <v>6.4879487179487161E-2</v>
      </c>
    </row>
    <row r="160" spans="2:5" ht="15" customHeight="1">
      <c r="B160" s="43" t="s">
        <v>1241</v>
      </c>
      <c r="C160" s="44">
        <v>9.6599999999999991E-2</v>
      </c>
      <c r="D160" s="44">
        <v>3.0607692307692315E-2</v>
      </c>
      <c r="E160" s="46">
        <f t="shared" si="2"/>
        <v>6.5992307692307683E-2</v>
      </c>
    </row>
    <row r="161" spans="2:5" ht="15" customHeight="1">
      <c r="B161" s="43" t="s">
        <v>1242</v>
      </c>
      <c r="C161" s="44">
        <v>9.4410000000000008E-2</v>
      </c>
      <c r="D161" s="44">
        <v>3.26939393939394E-2</v>
      </c>
      <c r="E161" s="46">
        <f t="shared" si="2"/>
        <v>6.1716060606060608E-2</v>
      </c>
    </row>
    <row r="162" spans="2:5" ht="15" customHeight="1">
      <c r="B162" s="43" t="s">
        <v>1243</v>
      </c>
      <c r="C162" s="44">
        <v>9.5666666666666664E-2</v>
      </c>
      <c r="D162" s="44">
        <v>3.0129687499999998E-2</v>
      </c>
      <c r="E162" s="46">
        <f t="shared" si="2"/>
        <v>6.5536979166666662E-2</v>
      </c>
    </row>
    <row r="163" spans="2:5" ht="15" customHeight="1">
      <c r="B163" s="43" t="s">
        <v>1244</v>
      </c>
      <c r="C163" s="44">
        <v>9.5762499999999987E-2</v>
      </c>
      <c r="D163" s="44">
        <v>2.7836923076923075E-2</v>
      </c>
      <c r="E163" s="46">
        <f t="shared" si="2"/>
        <v>6.7925576923076908E-2</v>
      </c>
    </row>
    <row r="164" spans="2:5" ht="15" customHeight="1">
      <c r="B164" s="43" t="s">
        <v>1245</v>
      </c>
      <c r="C164" s="44">
        <v>9.5650000000000013E-2</v>
      </c>
      <c r="D164" s="44">
        <v>2.2849999999999995E-2</v>
      </c>
      <c r="E164" s="46">
        <f t="shared" si="2"/>
        <v>7.2800000000000017E-2</v>
      </c>
    </row>
    <row r="165" spans="2:5" ht="15" customHeight="1">
      <c r="B165" s="43" t="s">
        <v>1246</v>
      </c>
      <c r="C165" s="44">
        <v>9.7446666666666681E-2</v>
      </c>
      <c r="D165" s="44">
        <v>2.2566666666666676E-2</v>
      </c>
      <c r="E165" s="46">
        <f t="shared" si="2"/>
        <v>7.4880000000000002E-2</v>
      </c>
    </row>
    <row r="166" spans="2:5" ht="15" customHeight="1">
      <c r="B166" s="43" t="s">
        <v>1247</v>
      </c>
      <c r="C166" s="44">
        <v>9.448333333333335E-2</v>
      </c>
      <c r="D166" s="44">
        <v>1.8878461538461538E-2</v>
      </c>
      <c r="E166" s="46">
        <f t="shared" si="2"/>
        <v>7.5604871794871811E-2</v>
      </c>
    </row>
    <row r="167" spans="2:5" ht="15" customHeight="1">
      <c r="B167" s="43" t="s">
        <v>1248</v>
      </c>
      <c r="C167" s="44">
        <v>9.5166666666666663E-2</v>
      </c>
      <c r="D167" s="44">
        <v>1.3801538461538454E-2</v>
      </c>
      <c r="E167" s="46">
        <f t="shared" si="2"/>
        <v>8.1365128205128215E-2</v>
      </c>
    </row>
    <row r="168" spans="2:5" ht="15" customHeight="1">
      <c r="B168" s="43">
        <v>2020.3</v>
      </c>
      <c r="C168" s="44">
        <v>9.342857142857143E-2</v>
      </c>
      <c r="D168" s="44">
        <v>1.3654545454545457E-2</v>
      </c>
      <c r="E168" s="46">
        <f t="shared" si="2"/>
        <v>7.9774025974025969E-2</v>
      </c>
    </row>
    <row r="169" spans="2:5" ht="15" customHeight="1">
      <c r="B169" s="43">
        <v>2020.4</v>
      </c>
      <c r="C169" s="44">
        <v>9.3152941176470591E-2</v>
      </c>
      <c r="D169" s="44">
        <v>1.6210606060606054E-2</v>
      </c>
      <c r="E169" s="46">
        <f t="shared" si="2"/>
        <v>7.6942335115864541E-2</v>
      </c>
    </row>
    <row r="170" spans="2:5" ht="15" customHeight="1">
      <c r="B170" s="43">
        <v>2021.1</v>
      </c>
      <c r="C170" s="44">
        <v>9.4500000000000001E-2</v>
      </c>
      <c r="D170" s="44">
        <v>2.0748437499999998E-2</v>
      </c>
      <c r="E170" s="46">
        <f t="shared" si="2"/>
        <v>7.3751562500000006E-2</v>
      </c>
    </row>
    <row r="171" spans="2:5" ht="15" customHeight="1">
      <c r="B171" s="43">
        <v>2021.2</v>
      </c>
      <c r="C171" s="44">
        <v>9.4549999999999981E-2</v>
      </c>
      <c r="D171" s="44">
        <v>2.2579999999999996E-2</v>
      </c>
      <c r="E171" s="46">
        <f t="shared" si="2"/>
        <v>7.1969999999999978E-2</v>
      </c>
    </row>
    <row r="172" spans="2:5" ht="15" customHeight="1">
      <c r="B172" s="43">
        <v>2021.3</v>
      </c>
      <c r="C172" s="44">
        <v>9.3671428571428558E-2</v>
      </c>
      <c r="D172" s="44">
        <v>1.9333333333333327E-2</v>
      </c>
      <c r="E172" s="46">
        <f t="shared" si="2"/>
        <v>7.4338095238095231E-2</v>
      </c>
    </row>
    <row r="173" spans="2:5" ht="15" customHeight="1">
      <c r="B173" s="43">
        <v>2021.4</v>
      </c>
      <c r="C173" s="46">
        <v>9.3694444444444469E-2</v>
      </c>
      <c r="D173" s="46">
        <v>1.9479687499999995E-2</v>
      </c>
      <c r="E173" s="46">
        <f t="shared" si="2"/>
        <v>7.4214756944444474E-2</v>
      </c>
    </row>
    <row r="174" spans="2:5" ht="15" customHeight="1">
      <c r="B174" s="43">
        <v>2022.1</v>
      </c>
      <c r="C174" s="46">
        <v>9.3374999999999986E-2</v>
      </c>
      <c r="D174" s="46">
        <v>2.2546031746031748E-2</v>
      </c>
      <c r="E174" s="46">
        <f t="shared" si="2"/>
        <v>7.0828968253968241E-2</v>
      </c>
    </row>
    <row r="175" spans="2:5" ht="15" customHeight="1">
      <c r="B175" s="43">
        <v>2022.2</v>
      </c>
      <c r="C175" s="46">
        <v>9.35E-2</v>
      </c>
      <c r="D175" s="46">
        <v>3.0455384615384599E-2</v>
      </c>
      <c r="E175" s="46">
        <f t="shared" si="2"/>
        <v>6.3044615384615393E-2</v>
      </c>
    </row>
    <row r="176" spans="2:5" ht="15" customHeight="1">
      <c r="B176" s="43">
        <v>2022.3</v>
      </c>
      <c r="C176" s="46">
        <v>9.1399999999999995E-2</v>
      </c>
      <c r="D176" s="46">
        <v>3.2607575757575759E-2</v>
      </c>
      <c r="E176" s="46">
        <f t="shared" si="2"/>
        <v>5.8792424242424236E-2</v>
      </c>
    </row>
    <row r="177" spans="2:5" ht="15" customHeight="1">
      <c r="B177" s="43">
        <v>2022.4</v>
      </c>
      <c r="C177" s="46">
        <v>9.71782608695652E-2</v>
      </c>
      <c r="D177" s="46">
        <v>3.8912500000000003E-2</v>
      </c>
      <c r="E177" s="46">
        <f t="shared" si="2"/>
        <v>5.8265760869565197E-2</v>
      </c>
    </row>
    <row r="178" spans="2:5" ht="15" customHeight="1">
      <c r="B178" s="43">
        <v>2023.1</v>
      </c>
      <c r="C178" s="46">
        <v>9.7142857142857156E-2</v>
      </c>
      <c r="D178" s="46">
        <v>3.7495384615384618E-2</v>
      </c>
      <c r="E178" s="46">
        <f t="shared" si="2"/>
        <v>5.9647472527472538E-2</v>
      </c>
    </row>
    <row r="179" spans="2:5" ht="15" customHeight="1">
      <c r="B179" s="43">
        <v>2023.2</v>
      </c>
      <c r="C179" s="46">
        <v>9.5400000000000013E-2</v>
      </c>
      <c r="D179" s="46">
        <v>3.808461538461537E-2</v>
      </c>
      <c r="E179" s="46">
        <f t="shared" si="2"/>
        <v>5.7315384615384643E-2</v>
      </c>
    </row>
    <row r="180" spans="2:5" ht="15" customHeight="1">
      <c r="B180" s="43">
        <v>2023.3</v>
      </c>
      <c r="C180" s="46">
        <v>9.6345454545454554E-2</v>
      </c>
      <c r="D180" s="46">
        <v>4.234461538461539E-2</v>
      </c>
      <c r="E180" s="46">
        <f t="shared" si="2"/>
        <v>5.4000839160839163E-2</v>
      </c>
    </row>
    <row r="181" spans="2:5" ht="15" customHeight="1">
      <c r="B181" s="43">
        <v>2023.4</v>
      </c>
      <c r="C181" s="46">
        <v>9.6759999999999999E-2</v>
      </c>
      <c r="D181" s="46">
        <v>4.5817187500000002E-2</v>
      </c>
      <c r="E181" s="46">
        <f t="shared" si="2"/>
        <v>5.0942812499999997E-2</v>
      </c>
    </row>
    <row r="182" spans="2:5" ht="15" customHeight="1">
      <c r="B182" s="43">
        <v>2024.1</v>
      </c>
      <c r="C182" s="46">
        <v>9.5866666666666669E-2</v>
      </c>
      <c r="D182" s="46">
        <v>4.2456521739130428E-2</v>
      </c>
      <c r="E182" s="46">
        <f>C182-D182</f>
        <v>5.3410144927536242E-2</v>
      </c>
    </row>
    <row r="183" spans="2:5" ht="15" customHeight="1">
      <c r="B183" s="70" t="s">
        <v>1175</v>
      </c>
      <c r="C183" s="71">
        <f>AVERAGE(C6:C182)</f>
        <v>0.1145093034593711</v>
      </c>
      <c r="D183" s="71">
        <f>AVERAGE(D6:D182)</f>
        <v>6.0736427936947612E-2</v>
      </c>
      <c r="E183" s="71">
        <f>AVERAGE(E6:E182)</f>
        <v>5.3772875522423547E-2</v>
      </c>
    </row>
    <row r="184" spans="2:5" ht="15" customHeight="1" thickBot="1">
      <c r="B184" s="72" t="s">
        <v>1249</v>
      </c>
      <c r="C184" s="73">
        <f>MEDIAN(C6:C182)</f>
        <v>0.10999999999999999</v>
      </c>
      <c r="D184" s="73">
        <f>MEDIAN(D6:D182)</f>
        <v>5.3353846153846154E-2</v>
      </c>
      <c r="E184" s="73">
        <f>MEDIAN(E6:E182)</f>
        <v>5.5913504273504243E-2</v>
      </c>
    </row>
  </sheetData>
  <mergeCells count="1">
    <mergeCell ref="B2:E2"/>
  </mergeCells>
  <conditionalFormatting sqref="C54:D182 E6:E182">
    <cfRule type="containsErrors" dxfId="12" priority="9">
      <formula>ISERROR(C6)</formula>
    </cfRule>
  </conditionalFormatting>
  <conditionalFormatting sqref="I25:I29">
    <cfRule type="containsText" dxfId="11" priority="8" operator="containsText" text="TRUE">
      <formula>NOT(ISERROR(SEARCH("TRUE",I25)))</formula>
    </cfRule>
  </conditionalFormatting>
  <conditionalFormatting sqref="M32:M35 O32:O35">
    <cfRule type="containsText" dxfId="10" priority="7" operator="containsText" text="TRUE">
      <formula>NOT(ISERROR(SEARCH("TRUE",M32)))</formula>
    </cfRule>
  </conditionalFormatting>
  <conditionalFormatting sqref="M45:M49 O45:O49">
    <cfRule type="containsText" dxfId="9" priority="5" operator="containsText" text="TRUE">
      <formula>NOT(ISERROR(SEARCH("TRUE",M45)))</formula>
    </cfRule>
  </conditionalFormatting>
  <conditionalFormatting sqref="N32:N35">
    <cfRule type="containsText" dxfId="8" priority="3" operator="containsText" text="TRUE">
      <formula>NOT(ISERROR(SEARCH("TRUE",N32)))</formula>
    </cfRule>
  </conditionalFormatting>
  <conditionalFormatting sqref="N45:N49">
    <cfRule type="containsText" dxfId="7" priority="2" operator="containsText" text="TRUE">
      <formula>NOT(ISERROR(SEARCH("TRUE",N45)))</formula>
    </cfRule>
  </conditionalFormatting>
  <conditionalFormatting sqref="C6:D53">
    <cfRule type="containsErrors" dxfId="6" priority="1">
      <formula>ISERROR(C6)</formula>
    </cfRule>
  </conditionalFormatting>
  <printOptions horizontalCentered="1"/>
  <pageMargins left="0.7" right="0.7" top="0.75" bottom="0.75" header="0.3" footer="0.3"/>
  <pageSetup scale="58" orientation="landscape" useFirstPageNumber="1" horizontalDpi="1200" verticalDpi="1200" r:id="rId1"/>
  <headerFooter scaleWithDoc="0">
    <oddHeader>&amp;RDocket No. 56165
Exhibit AEB-8
Page &amp;P of 4</oddHeader>
  </headerFooter>
  <rowBreaks count="2" manualBreakCount="2">
    <brk id="21" min="6" max="14" man="1"/>
    <brk id="127" max="14" man="1"/>
  </rowBreaks>
  <ignoredErrors>
    <ignoredError sqref="B29:B182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pageSetUpPr fitToPage="1"/>
  </sheetPr>
  <dimension ref="A1:X69"/>
  <sheetViews>
    <sheetView view="pageBreakPreview" zoomScale="80" zoomScaleNormal="70" zoomScaleSheetLayoutView="80" zoomScalePageLayoutView="85" workbookViewId="0">
      <selection activeCell="J28" sqref="J28"/>
    </sheetView>
  </sheetViews>
  <sheetFormatPr defaultColWidth="9.109375" defaultRowHeight="15.6"/>
  <cols>
    <col min="1" max="1" width="38.88671875" style="29" customWidth="1"/>
    <col min="2" max="2" width="12.33203125" style="29" customWidth="1"/>
    <col min="3" max="3" width="13.21875" style="29" customWidth="1"/>
    <col min="4" max="6" width="10.5546875" style="29" customWidth="1"/>
    <col min="7" max="7" width="13.33203125" style="29" customWidth="1"/>
    <col min="8" max="8" width="14" style="29" customWidth="1"/>
    <col min="9" max="9" width="15" style="29" customWidth="1"/>
    <col min="10" max="10" width="16.5546875" style="29" customWidth="1"/>
    <col min="11" max="11" width="18.33203125" style="29" bestFit="1" customWidth="1"/>
    <col min="12" max="12" width="13.109375" style="29" customWidth="1"/>
    <col min="13" max="13" width="14.5546875" style="29" customWidth="1"/>
    <col min="14" max="14" width="4.33203125" style="29" bestFit="1" customWidth="1"/>
    <col min="15" max="15" width="19.21875" style="29" customWidth="1"/>
    <col min="16" max="16" width="12.77734375" style="29" customWidth="1"/>
    <col min="17" max="17" width="17.109375" style="29" customWidth="1"/>
    <col min="18" max="18" width="19.88671875" style="29" customWidth="1"/>
    <col min="19" max="24" width="12.77734375" style="29" customWidth="1"/>
    <col min="25" max="16384" width="9.109375" style="29"/>
  </cols>
  <sheetData>
    <row r="1" spans="1:24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24">
      <c r="A2" s="402" t="s">
        <v>1468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144"/>
    </row>
    <row r="3" spans="1:2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44"/>
    </row>
    <row r="4" spans="1:24" ht="16.2" thickBot="1">
      <c r="A4" s="144"/>
      <c r="B4" s="144"/>
      <c r="C4" s="32" t="s">
        <v>14</v>
      </c>
      <c r="D4" s="32" t="s">
        <v>15</v>
      </c>
      <c r="E4" s="32" t="s">
        <v>16</v>
      </c>
      <c r="F4" s="32" t="s">
        <v>17</v>
      </c>
      <c r="G4" s="32" t="s">
        <v>18</v>
      </c>
      <c r="H4" s="32" t="s">
        <v>19</v>
      </c>
      <c r="I4" s="32" t="s">
        <v>50</v>
      </c>
      <c r="J4" s="32" t="s">
        <v>51</v>
      </c>
      <c r="K4" s="32" t="s">
        <v>52</v>
      </c>
      <c r="L4" s="32" t="s">
        <v>53</v>
      </c>
      <c r="M4" s="144"/>
      <c r="N4" s="144"/>
    </row>
    <row r="5" spans="1:24" ht="65.25" customHeight="1">
      <c r="A5" s="309" t="s">
        <v>20</v>
      </c>
      <c r="B5" s="310" t="s">
        <v>21</v>
      </c>
      <c r="C5" s="310" t="s">
        <v>1469</v>
      </c>
      <c r="D5" s="311" t="s">
        <v>1470</v>
      </c>
      <c r="E5" s="311" t="s">
        <v>1471</v>
      </c>
      <c r="F5" s="311" t="s">
        <v>1472</v>
      </c>
      <c r="G5" s="311" t="s">
        <v>1473</v>
      </c>
      <c r="H5" s="311" t="s">
        <v>1474</v>
      </c>
      <c r="I5" s="311" t="s">
        <v>1475</v>
      </c>
      <c r="J5" s="311" t="s">
        <v>1476</v>
      </c>
      <c r="K5" s="311" t="s">
        <v>1477</v>
      </c>
      <c r="L5" s="311" t="s">
        <v>1478</v>
      </c>
      <c r="M5" s="312"/>
      <c r="N5" s="312"/>
      <c r="O5" s="246"/>
      <c r="P5" s="246"/>
      <c r="Q5" s="246"/>
      <c r="R5" s="246"/>
      <c r="S5" s="246"/>
      <c r="T5" s="246"/>
      <c r="U5" s="246"/>
      <c r="V5" s="246"/>
      <c r="W5" s="246"/>
      <c r="X5" s="246"/>
    </row>
    <row r="6" spans="1:24">
      <c r="A6" s="313"/>
      <c r="B6" s="376"/>
      <c r="C6" s="313"/>
      <c r="D6" s="313"/>
      <c r="E6" s="313"/>
      <c r="F6" s="313"/>
      <c r="G6" s="313"/>
      <c r="H6" s="313"/>
      <c r="I6" s="313"/>
      <c r="J6" s="313"/>
      <c r="K6" s="313"/>
      <c r="L6" s="144"/>
      <c r="N6" s="144"/>
      <c r="O6"/>
    </row>
    <row r="7" spans="1:24">
      <c r="A7" s="314" t="s">
        <v>1520</v>
      </c>
      <c r="B7" s="368" t="s">
        <v>958</v>
      </c>
      <c r="C7" s="316">
        <v>39904</v>
      </c>
      <c r="D7" s="317">
        <v>69000</v>
      </c>
      <c r="E7" s="318">
        <v>24.5</v>
      </c>
      <c r="F7" s="319">
        <v>0.73499999999999999</v>
      </c>
      <c r="G7" s="317">
        <v>400</v>
      </c>
      <c r="H7" s="320">
        <f>K7/D7</f>
        <v>23.759202898550726</v>
      </c>
      <c r="I7" s="321">
        <f>F7*D7+G7</f>
        <v>51115</v>
      </c>
      <c r="J7" s="321">
        <f>D7*E7</f>
        <v>1690500</v>
      </c>
      <c r="K7" s="317">
        <f>J7-I7</f>
        <v>1639385</v>
      </c>
      <c r="L7" s="322">
        <f>I7/J7</f>
        <v>3.0236616385684707E-2</v>
      </c>
      <c r="M7" s="144"/>
      <c r="N7" s="144"/>
    </row>
    <row r="8" spans="1:24">
      <c r="A8" s="314" t="s">
        <v>1520</v>
      </c>
      <c r="B8" s="368" t="s">
        <v>958</v>
      </c>
      <c r="C8" s="316">
        <v>37679</v>
      </c>
      <c r="D8" s="317">
        <v>57500</v>
      </c>
      <c r="E8" s="318">
        <v>20.95</v>
      </c>
      <c r="F8" s="319">
        <v>0.62849999999999995</v>
      </c>
      <c r="G8" s="317">
        <v>550</v>
      </c>
      <c r="H8" s="320">
        <f>K8/D8</f>
        <v>20.311934782608695</v>
      </c>
      <c r="I8" s="321">
        <f>F8*D8+G8</f>
        <v>36688.75</v>
      </c>
      <c r="J8" s="321">
        <f>D8*E8</f>
        <v>1204625</v>
      </c>
      <c r="K8" s="317">
        <f>J8-I8</f>
        <v>1167936.25</v>
      </c>
      <c r="L8" s="322">
        <f>I8/J8</f>
        <v>3.0456573622496628E-2</v>
      </c>
      <c r="M8" s="144"/>
      <c r="N8" s="144"/>
    </row>
    <row r="9" spans="1:24" s="5" customFormat="1">
      <c r="A9" s="323"/>
      <c r="B9" s="324"/>
      <c r="C9" s="325"/>
      <c r="D9" s="326"/>
      <c r="E9" s="327"/>
      <c r="F9" s="328"/>
      <c r="G9" s="329"/>
      <c r="H9" s="330"/>
      <c r="I9" s="330"/>
      <c r="J9" s="330"/>
      <c r="K9" s="331"/>
      <c r="L9" s="4"/>
      <c r="M9" s="4"/>
      <c r="N9" s="332"/>
    </row>
    <row r="10" spans="1:24" s="5" customFormat="1" ht="16.2" thickBot="1">
      <c r="A10" s="333" t="s">
        <v>1147</v>
      </c>
      <c r="B10" s="333"/>
      <c r="C10" s="333"/>
      <c r="D10" s="333"/>
      <c r="E10" s="333"/>
      <c r="F10" s="334"/>
      <c r="G10" s="334"/>
      <c r="H10" s="335"/>
      <c r="I10" s="335">
        <f>SUM(I7:I8)</f>
        <v>87803.75</v>
      </c>
      <c r="J10" s="335">
        <f>SUM(J7:J8)</f>
        <v>2895125</v>
      </c>
      <c r="K10" s="335">
        <f>SUM(K7:K8)</f>
        <v>2807321.25</v>
      </c>
      <c r="L10" s="336"/>
      <c r="M10" s="4"/>
      <c r="N10" s="4"/>
    </row>
    <row r="11" spans="1:24" ht="16.2" thickBot="1">
      <c r="A11" s="337"/>
      <c r="B11" s="338"/>
      <c r="C11" s="339"/>
      <c r="D11" s="340"/>
      <c r="E11" s="341"/>
      <c r="F11" s="342"/>
      <c r="G11" s="343"/>
      <c r="H11" s="344"/>
      <c r="I11" s="345" t="s">
        <v>1479</v>
      </c>
      <c r="J11" s="345"/>
      <c r="K11" s="345"/>
      <c r="L11" s="377">
        <f>I10/J10</f>
        <v>3.0328137817883512E-2</v>
      </c>
      <c r="M11" s="144"/>
      <c r="N11" s="144"/>
      <c r="P11" s="346"/>
      <c r="Q11" s="346"/>
      <c r="R11" s="346"/>
      <c r="S11" s="346"/>
      <c r="T11" s="346"/>
      <c r="U11" s="346"/>
      <c r="V11" s="346"/>
      <c r="W11" s="346"/>
      <c r="X11" s="346"/>
    </row>
    <row r="12" spans="1:24">
      <c r="A12" s="337" t="s">
        <v>32</v>
      </c>
      <c r="B12" s="338"/>
      <c r="C12" s="339"/>
      <c r="D12" s="340"/>
      <c r="E12" s="341"/>
      <c r="F12" s="342"/>
      <c r="G12" s="343"/>
      <c r="H12" s="344"/>
      <c r="I12" s="344"/>
      <c r="J12" s="344"/>
      <c r="K12" s="344"/>
      <c r="L12" s="344"/>
      <c r="M12" s="144"/>
      <c r="N12" s="144"/>
      <c r="P12" s="346"/>
      <c r="Q12" s="346"/>
      <c r="R12" s="346"/>
      <c r="S12" s="346"/>
      <c r="T12" s="346"/>
      <c r="U12" s="346"/>
      <c r="V12" s="346"/>
      <c r="W12" s="346"/>
      <c r="X12" s="346"/>
    </row>
    <row r="13" spans="1:24">
      <c r="A13" s="347" t="s">
        <v>1480</v>
      </c>
      <c r="B13" s="348"/>
      <c r="C13" s="349"/>
      <c r="D13" s="326"/>
      <c r="E13" s="327"/>
      <c r="F13" s="328"/>
      <c r="G13" s="329"/>
      <c r="H13" s="344"/>
      <c r="I13" s="344"/>
      <c r="J13" s="344"/>
      <c r="K13" s="350"/>
      <c r="L13" s="144"/>
      <c r="M13" s="144"/>
      <c r="N13" s="144"/>
      <c r="P13" s="346"/>
      <c r="Q13" s="346"/>
      <c r="R13" s="346"/>
      <c r="S13" s="346"/>
      <c r="T13" s="346"/>
      <c r="U13" s="346"/>
      <c r="V13" s="346"/>
      <c r="W13" s="346"/>
      <c r="X13" s="346"/>
    </row>
    <row r="14" spans="1:24">
      <c r="A14" s="347" t="s">
        <v>1481</v>
      </c>
      <c r="B14" s="348"/>
      <c r="C14" s="349"/>
      <c r="D14" s="326"/>
      <c r="E14" s="327"/>
      <c r="F14" s="328"/>
      <c r="G14" s="329"/>
      <c r="H14" s="344"/>
      <c r="I14" s="344"/>
      <c r="J14" s="344"/>
      <c r="K14" s="350"/>
      <c r="L14" s="144"/>
      <c r="M14" s="144"/>
      <c r="N14" s="144"/>
      <c r="P14" s="346"/>
      <c r="Q14" s="346"/>
      <c r="R14" s="346"/>
      <c r="S14" s="346"/>
      <c r="T14" s="346"/>
      <c r="U14" s="346"/>
      <c r="V14" s="346"/>
      <c r="W14" s="346"/>
      <c r="X14" s="346"/>
    </row>
    <row r="15" spans="1:24">
      <c r="A15" s="351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P15" s="346"/>
      <c r="Q15" s="346"/>
      <c r="R15" s="346"/>
      <c r="S15" s="346"/>
      <c r="T15" s="346"/>
      <c r="U15" s="346"/>
      <c r="V15" s="346"/>
      <c r="W15" s="346"/>
      <c r="X15" s="346"/>
    </row>
    <row r="16" spans="1:24">
      <c r="A16" s="144" t="str">
        <f>"The flotation cost adjustment is derived by dividing the dividend yield by 1 − F (where F = flotation costs expressed in percentage terms), or by "&amp;TEXT(1-L11,"0.0000")&amp;", and adding that result to the constant growth rate"</f>
        <v>The flotation cost adjustment is derived by dividing the dividend yield by 1 − F (where F = flotation costs expressed in percentage terms), or by 0.9697, and adding that result to the constant growth rate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352"/>
      <c r="M16" s="144"/>
      <c r="N16" s="144"/>
    </row>
    <row r="17" spans="1:14">
      <c r="A17" s="144" t="s">
        <v>1482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</row>
    <row r="18" spans="1:14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353"/>
    </row>
    <row r="19" spans="1:14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353"/>
    </row>
    <row r="20" spans="1:14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</row>
    <row r="21" spans="1:14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</row>
    <row r="22" spans="1:14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</row>
    <row r="23" spans="1:14" ht="16.2" thickBot="1">
      <c r="A23" s="144"/>
      <c r="B23" s="144"/>
      <c r="C23" s="32" t="s">
        <v>54</v>
      </c>
      <c r="D23" s="32" t="s">
        <v>1483</v>
      </c>
      <c r="E23" s="32" t="s">
        <v>1484</v>
      </c>
      <c r="F23" s="32" t="s">
        <v>1485</v>
      </c>
      <c r="G23" s="32" t="s">
        <v>1486</v>
      </c>
      <c r="H23" s="32" t="s">
        <v>1487</v>
      </c>
      <c r="I23" s="32" t="s">
        <v>1488</v>
      </c>
      <c r="J23" s="32" t="s">
        <v>1489</v>
      </c>
      <c r="K23" s="32" t="s">
        <v>1490</v>
      </c>
      <c r="L23" s="32" t="s">
        <v>1491</v>
      </c>
      <c r="M23" s="32" t="s">
        <v>1492</v>
      </c>
      <c r="N23" s="144"/>
    </row>
    <row r="24" spans="1:14" ht="93.6">
      <c r="A24" s="354" t="s">
        <v>20</v>
      </c>
      <c r="B24" s="355" t="s">
        <v>21</v>
      </c>
      <c r="C24" s="356" t="s">
        <v>34</v>
      </c>
      <c r="D24" s="356" t="s">
        <v>1493</v>
      </c>
      <c r="E24" s="356" t="s">
        <v>36</v>
      </c>
      <c r="F24" s="356" t="s">
        <v>37</v>
      </c>
      <c r="G24" s="356" t="s">
        <v>1494</v>
      </c>
      <c r="H24" s="356" t="s">
        <v>1495</v>
      </c>
      <c r="I24" s="356" t="s">
        <v>1496</v>
      </c>
      <c r="J24" s="356" t="s">
        <v>1497</v>
      </c>
      <c r="K24" s="356" t="s">
        <v>1498</v>
      </c>
      <c r="L24" s="356" t="s">
        <v>1499</v>
      </c>
      <c r="M24" s="356" t="s">
        <v>1500</v>
      </c>
      <c r="N24" s="144"/>
    </row>
    <row r="25" spans="1:14">
      <c r="A25" s="144"/>
      <c r="B25" s="144"/>
      <c r="C25" s="144"/>
      <c r="D25" s="144"/>
      <c r="E25" s="144"/>
      <c r="F25" s="144"/>
      <c r="G25" s="144"/>
      <c r="H25" s="357"/>
      <c r="I25" s="357"/>
      <c r="J25" s="357"/>
      <c r="K25" s="357"/>
      <c r="L25"/>
      <c r="M25"/>
      <c r="N25" s="144"/>
    </row>
    <row r="26" spans="1:14">
      <c r="A26" s="130" t="str">
        <f>'AEB-4 CGDCF'!A6</f>
        <v>ALLETE, Inc.</v>
      </c>
      <c r="B26" s="131" t="str">
        <f>'AEB-4 CGDCF'!B6</f>
        <v>ALE</v>
      </c>
      <c r="C26" s="132">
        <f>'AEB-4 CGDCF'!C6</f>
        <v>2.71</v>
      </c>
      <c r="D26" s="132">
        <f>'AEB-4 CGDCF'!D6</f>
        <v>60.598000000000006</v>
      </c>
      <c r="E26" s="133">
        <f>C26/D26</f>
        <v>4.472094788606884E-2</v>
      </c>
      <c r="F26" s="133">
        <f>IFERROR(E26*(1+0.5*K26),"")</f>
        <v>4.6375622957853385E-2</v>
      </c>
      <c r="G26" s="358">
        <f t="shared" ref="G26" si="0">F26/(1-$L$11)</f>
        <v>4.7826099494617968E-2</v>
      </c>
      <c r="H26" s="134">
        <f>'AEB-4 CGDCF'!G6</f>
        <v>0.06</v>
      </c>
      <c r="I26" s="134">
        <f>'AEB-4 CGDCF'!H6</f>
        <v>8.1000000000000003E-2</v>
      </c>
      <c r="J26" s="134">
        <f>'AEB-4 CGDCF'!I6</f>
        <v>8.1000000000000003E-2</v>
      </c>
      <c r="K26" s="135">
        <f t="shared" ref="K26" si="1">AVERAGE(H26:J26)</f>
        <v>7.400000000000001E-2</v>
      </c>
      <c r="L26" s="358">
        <f t="shared" ref="L26" si="2">K26+F26</f>
        <v>0.1203756229578534</v>
      </c>
      <c r="M26" s="358">
        <f t="shared" ref="M26" si="3">K26+G26</f>
        <v>0.12182609949461798</v>
      </c>
      <c r="N26" s="144"/>
    </row>
    <row r="27" spans="1:14">
      <c r="A27" s="130" t="str">
        <f>'AEB-4 CGDCF'!A7</f>
        <v>Alliant Energy Corporation</v>
      </c>
      <c r="B27" s="131" t="str">
        <f>'AEB-4 CGDCF'!B7</f>
        <v>LNT</v>
      </c>
      <c r="C27" s="132">
        <f>'AEB-4 CGDCF'!C7</f>
        <v>1.92</v>
      </c>
      <c r="D27" s="132">
        <f>'AEB-4 CGDCF'!D7</f>
        <v>49.881496666666671</v>
      </c>
      <c r="E27" s="133">
        <f t="shared" ref="E27:E40" si="4">C27/D27</f>
        <v>3.8491226773535059E-2</v>
      </c>
      <c r="F27" s="133">
        <f t="shared" ref="F27:F40" si="5">IFERROR(E27*(1+0.5*K27),"")</f>
        <v>3.9732568836981563E-2</v>
      </c>
      <c r="G27" s="358">
        <f t="shared" ref="G27:G40" si="6">F27/(1-$L$11)</f>
        <v>4.0975272550003404E-2</v>
      </c>
      <c r="H27" s="134">
        <f>'AEB-4 CGDCF'!G7</f>
        <v>6.5000000000000002E-2</v>
      </c>
      <c r="I27" s="134">
        <f>'AEB-4 CGDCF'!H7</f>
        <v>6.5500000000000003E-2</v>
      </c>
      <c r="J27" s="134">
        <f>'AEB-4 CGDCF'!I7</f>
        <v>6.3E-2</v>
      </c>
      <c r="K27" s="135">
        <f t="shared" ref="K27:K40" si="7">AVERAGE(H27:J27)</f>
        <v>6.4500000000000002E-2</v>
      </c>
      <c r="L27" s="358">
        <f t="shared" ref="L27:L40" si="8">K27+F27</f>
        <v>0.10423256883698157</v>
      </c>
      <c r="M27" s="358">
        <f t="shared" ref="M27:M40" si="9">K27+G27</f>
        <v>0.10547527255000341</v>
      </c>
      <c r="N27" s="144"/>
    </row>
    <row r="28" spans="1:14">
      <c r="A28" s="130" t="str">
        <f>'AEB-4 CGDCF'!A8</f>
        <v>Ameren Corporation</v>
      </c>
      <c r="B28" s="131" t="str">
        <f>'AEB-4 CGDCF'!B8</f>
        <v>AEE</v>
      </c>
      <c r="C28" s="132">
        <f>'AEB-4 CGDCF'!C8</f>
        <v>2.52</v>
      </c>
      <c r="D28" s="132">
        <f>'AEB-4 CGDCF'!D8</f>
        <v>71.507333333333321</v>
      </c>
      <c r="E28" s="133">
        <f t="shared" si="4"/>
        <v>3.5241140768778968E-2</v>
      </c>
      <c r="F28" s="133">
        <f t="shared" si="5"/>
        <v>3.626900737453502E-2</v>
      </c>
      <c r="G28" s="358">
        <f t="shared" si="6"/>
        <v>3.7403382308027873E-2</v>
      </c>
      <c r="H28" s="134">
        <f>'AEB-4 CGDCF'!G8</f>
        <v>6.5000000000000002E-2</v>
      </c>
      <c r="I28" s="134">
        <f>'AEB-4 CGDCF'!H8</f>
        <v>4.8000000000000001E-2</v>
      </c>
      <c r="J28" s="134">
        <f>'AEB-4 CGDCF'!I8</f>
        <v>6.2E-2</v>
      </c>
      <c r="K28" s="135">
        <f t="shared" si="7"/>
        <v>5.8333333333333327E-2</v>
      </c>
      <c r="L28" s="358">
        <f t="shared" si="8"/>
        <v>9.4602340707868354E-2</v>
      </c>
      <c r="M28" s="358">
        <f t="shared" si="9"/>
        <v>9.57367156413612E-2</v>
      </c>
      <c r="N28" s="144"/>
    </row>
    <row r="29" spans="1:14">
      <c r="A29" s="130" t="str">
        <f>'AEB-4 CGDCF'!A9</f>
        <v>Duke Energy Corporation</v>
      </c>
      <c r="B29" s="131" t="str">
        <f>'AEB-4 CGDCF'!B9</f>
        <v>DUK</v>
      </c>
      <c r="C29" s="132">
        <f>'AEB-4 CGDCF'!C9</f>
        <v>4.0999999999999996</v>
      </c>
      <c r="D29" s="132">
        <f>'AEB-4 CGDCF'!D9</f>
        <v>96.902666666666676</v>
      </c>
      <c r="E29" s="133">
        <f t="shared" si="4"/>
        <v>4.2310497131141891E-2</v>
      </c>
      <c r="F29" s="133">
        <f t="shared" si="5"/>
        <v>4.3569234420793364E-2</v>
      </c>
      <c r="G29" s="358">
        <f t="shared" si="6"/>
        <v>4.4931936379742569E-2</v>
      </c>
      <c r="H29" s="134">
        <f>'AEB-4 CGDCF'!G9</f>
        <v>0.05</v>
      </c>
      <c r="I29" s="134">
        <f>'AEB-4 CGDCF'!H9</f>
        <v>6.5500000000000003E-2</v>
      </c>
      <c r="J29" s="134">
        <f>'AEB-4 CGDCF'!I9</f>
        <v>6.3E-2</v>
      </c>
      <c r="K29" s="135">
        <f t="shared" si="7"/>
        <v>5.9499999999999997E-2</v>
      </c>
      <c r="L29" s="358">
        <f t="shared" si="8"/>
        <v>0.10306923442079335</v>
      </c>
      <c r="M29" s="358">
        <f t="shared" si="9"/>
        <v>0.10443193637974257</v>
      </c>
      <c r="N29" s="144"/>
    </row>
    <row r="30" spans="1:14">
      <c r="A30" s="130" t="str">
        <f>'AEB-4 CGDCF'!A10</f>
        <v>Edison International</v>
      </c>
      <c r="B30" s="131" t="str">
        <f>'AEB-4 CGDCF'!B10</f>
        <v>EIX</v>
      </c>
      <c r="C30" s="132">
        <f>'AEB-4 CGDCF'!C10</f>
        <v>3.12</v>
      </c>
      <c r="D30" s="132">
        <f>'AEB-4 CGDCF'!D10</f>
        <v>69.709010000000006</v>
      </c>
      <c r="E30" s="133">
        <f t="shared" si="4"/>
        <v>4.4757485438395979E-2</v>
      </c>
      <c r="F30" s="133">
        <f t="shared" si="5"/>
        <v>4.5712311794415095E-2</v>
      </c>
      <c r="G30" s="358">
        <f t="shared" si="6"/>
        <v>4.714204214562405E-2</v>
      </c>
      <c r="H30" s="134">
        <f>'AEB-4 CGDCF'!G10</f>
        <v>4.4999999999999998E-2</v>
      </c>
      <c r="I30" s="134">
        <f>'AEB-4 CGDCF'!H10</f>
        <v>4.5999999999999999E-2</v>
      </c>
      <c r="J30" s="134">
        <f>'AEB-4 CGDCF'!I10</f>
        <v>3.7000000000000005E-2</v>
      </c>
      <c r="K30" s="135">
        <f t="shared" si="7"/>
        <v>4.2666666666666665E-2</v>
      </c>
      <c r="L30" s="358">
        <f t="shared" si="8"/>
        <v>8.8378978461081753E-2</v>
      </c>
      <c r="M30" s="358">
        <f t="shared" si="9"/>
        <v>8.9808708812290722E-2</v>
      </c>
      <c r="N30" s="144"/>
    </row>
    <row r="31" spans="1:14">
      <c r="A31" s="130" t="str">
        <f>'AEB-4 CGDCF'!A11</f>
        <v>Entergy Corporation</v>
      </c>
      <c r="B31" s="131" t="str">
        <f>'AEB-4 CGDCF'!B11</f>
        <v>ETR</v>
      </c>
      <c r="C31" s="132">
        <f>'AEB-4 CGDCF'!C11</f>
        <v>4.5199999999999996</v>
      </c>
      <c r="D31" s="132">
        <f>'AEB-4 CGDCF'!D11</f>
        <v>101.03066666666668</v>
      </c>
      <c r="E31" s="133">
        <f t="shared" si="4"/>
        <v>4.4738891161759456E-2</v>
      </c>
      <c r="F31" s="133">
        <f t="shared" si="5"/>
        <v>4.6118340305913705E-2</v>
      </c>
      <c r="G31" s="358">
        <f t="shared" si="6"/>
        <v>4.7560769889857961E-2</v>
      </c>
      <c r="H31" s="134">
        <f>'AEB-4 CGDCF'!G11</f>
        <v>5.0000000000000001E-3</v>
      </c>
      <c r="I31" s="134">
        <f>'AEB-4 CGDCF'!H11</f>
        <v>0.11</v>
      </c>
      <c r="J31" s="134">
        <f>'AEB-4 CGDCF'!I11</f>
        <v>7.0000000000000007E-2</v>
      </c>
      <c r="K31" s="135">
        <f t="shared" si="7"/>
        <v>6.1666666666666668E-2</v>
      </c>
      <c r="L31" s="358">
        <f t="shared" si="8"/>
        <v>0.10778500697258037</v>
      </c>
      <c r="M31" s="358">
        <f t="shared" si="9"/>
        <v>0.10922743655652463</v>
      </c>
      <c r="N31" s="144"/>
    </row>
    <row r="32" spans="1:14">
      <c r="A32" s="130" t="str">
        <f>'AEB-4 CGDCF'!A12</f>
        <v>Eversource Energy</v>
      </c>
      <c r="B32" s="131" t="str">
        <f>'AEB-4 CGDCF'!B12</f>
        <v>ES</v>
      </c>
      <c r="C32" s="132">
        <f>'AEB-4 CGDCF'!C12</f>
        <v>2.7</v>
      </c>
      <c r="D32" s="132">
        <f>'AEB-4 CGDCF'!D12</f>
        <v>58.34</v>
      </c>
      <c r="E32" s="133">
        <f t="shared" si="4"/>
        <v>4.6280425094274942E-2</v>
      </c>
      <c r="F32" s="133">
        <f t="shared" si="5"/>
        <v>4.734487487144326E-2</v>
      </c>
      <c r="G32" s="358">
        <f t="shared" si="6"/>
        <v>4.8825666411418771E-2</v>
      </c>
      <c r="H32" s="134">
        <f>'AEB-4 CGDCF'!G12</f>
        <v>0.06</v>
      </c>
      <c r="I32" s="134">
        <f>'AEB-4 CGDCF'!H12</f>
        <v>3.6000000000000004E-2</v>
      </c>
      <c r="J32" s="134">
        <f>'AEB-4 CGDCF'!I12</f>
        <v>4.2000000000000003E-2</v>
      </c>
      <c r="K32" s="135">
        <f t="shared" si="7"/>
        <v>4.6000000000000006E-2</v>
      </c>
      <c r="L32" s="358">
        <f t="shared" si="8"/>
        <v>9.3344874871443273E-2</v>
      </c>
      <c r="M32" s="358">
        <f t="shared" si="9"/>
        <v>9.4825666411418777E-2</v>
      </c>
      <c r="N32" s="144"/>
    </row>
    <row r="33" spans="1:14">
      <c r="A33" s="130" t="str">
        <f>'AEB-4 CGDCF'!A13</f>
        <v>Evergy, Inc.</v>
      </c>
      <c r="B33" s="131" t="str">
        <f>'AEB-4 CGDCF'!B13</f>
        <v>EVRG</v>
      </c>
      <c r="C33" s="132">
        <f>'AEB-4 CGDCF'!C13</f>
        <v>2.57</v>
      </c>
      <c r="D33" s="132">
        <f>'AEB-4 CGDCF'!D13</f>
        <v>51.868000000000002</v>
      </c>
      <c r="E33" s="133">
        <f t="shared" si="4"/>
        <v>4.9548854785224028E-2</v>
      </c>
      <c r="F33" s="133">
        <f t="shared" si="5"/>
        <v>5.0729769157605201E-2</v>
      </c>
      <c r="G33" s="358">
        <f t="shared" si="6"/>
        <v>5.2316429027284193E-2</v>
      </c>
      <c r="H33" s="134">
        <f>'AEB-4 CGDCF'!G13</f>
        <v>7.4999999999999997E-2</v>
      </c>
      <c r="I33" s="134">
        <f>'AEB-4 CGDCF'!H13</f>
        <v>2.5000000000000001E-2</v>
      </c>
      <c r="J33" s="134">
        <f>'AEB-4 CGDCF'!I13</f>
        <v>4.2999999999999997E-2</v>
      </c>
      <c r="K33" s="135">
        <f t="shared" si="7"/>
        <v>4.766666666666667E-2</v>
      </c>
      <c r="L33" s="358">
        <f t="shared" si="8"/>
        <v>9.8396435824271877E-2</v>
      </c>
      <c r="M33" s="358">
        <f t="shared" si="9"/>
        <v>9.9983095693950863E-2</v>
      </c>
      <c r="N33" s="144"/>
    </row>
    <row r="34" spans="1:14">
      <c r="A34" s="130" t="str">
        <f>'AEB-4 CGDCF'!A14</f>
        <v>IDACORP, Inc.</v>
      </c>
      <c r="B34" s="131" t="str">
        <f>'AEB-4 CGDCF'!B14</f>
        <v>IDA</v>
      </c>
      <c r="C34" s="132">
        <f>'AEB-4 CGDCF'!C14</f>
        <v>3.32</v>
      </c>
      <c r="D34" s="132">
        <f>'AEB-4 CGDCF'!D14</f>
        <v>95.875333333333344</v>
      </c>
      <c r="E34" s="133">
        <f t="shared" si="4"/>
        <v>3.4628302031109837E-2</v>
      </c>
      <c r="F34" s="133">
        <f t="shared" si="5"/>
        <v>3.5367039141106851E-2</v>
      </c>
      <c r="G34" s="358">
        <f t="shared" si="6"/>
        <v>3.6473203482998949E-2</v>
      </c>
      <c r="H34" s="134">
        <f>'AEB-4 CGDCF'!G14</f>
        <v>0.04</v>
      </c>
      <c r="I34" s="134">
        <f>'AEB-4 CGDCF'!H14</f>
        <v>4.4000000000000004E-2</v>
      </c>
      <c r="J34" s="134">
        <f>'AEB-4 CGDCF'!I14</f>
        <v>4.4000000000000004E-2</v>
      </c>
      <c r="K34" s="135">
        <f t="shared" si="7"/>
        <v>4.2666666666666665E-2</v>
      </c>
      <c r="L34" s="358">
        <f t="shared" si="8"/>
        <v>7.8033705807773523E-2</v>
      </c>
      <c r="M34" s="358">
        <f t="shared" si="9"/>
        <v>7.9139870149665614E-2</v>
      </c>
      <c r="N34" s="144"/>
    </row>
    <row r="35" spans="1:14">
      <c r="A35" s="130" t="str">
        <f>'AEB-4 CGDCF'!A15</f>
        <v>NextEra Energy, Inc.</v>
      </c>
      <c r="B35" s="131" t="str">
        <f>'AEB-4 CGDCF'!B15</f>
        <v>NEE</v>
      </c>
      <c r="C35" s="132">
        <f>'AEB-4 CGDCF'!C15</f>
        <v>1.87</v>
      </c>
      <c r="D35" s="132">
        <f>'AEB-4 CGDCF'!D15</f>
        <v>59.980999999999987</v>
      </c>
      <c r="E35" s="133">
        <f t="shared" si="4"/>
        <v>3.1176539237425194E-2</v>
      </c>
      <c r="F35" s="133">
        <f t="shared" si="5"/>
        <v>3.2502061764003061E-2</v>
      </c>
      <c r="G35" s="358">
        <f t="shared" si="6"/>
        <v>3.3518619062392431E-2</v>
      </c>
      <c r="H35" s="134">
        <f>'AEB-4 CGDCF'!G15</f>
        <v>9.5000000000000001E-2</v>
      </c>
      <c r="I35" s="134">
        <f>'AEB-4 CGDCF'!H15</f>
        <v>7.8100000000000003E-2</v>
      </c>
      <c r="J35" s="134">
        <f>'AEB-4 CGDCF'!I15</f>
        <v>8.199999999999999E-2</v>
      </c>
      <c r="K35" s="135">
        <f t="shared" si="7"/>
        <v>8.5033333333333336E-2</v>
      </c>
      <c r="L35" s="358">
        <f t="shared" si="8"/>
        <v>0.1175353950973364</v>
      </c>
      <c r="M35" s="358">
        <f t="shared" si="9"/>
        <v>0.11855195239572577</v>
      </c>
      <c r="N35" s="144"/>
    </row>
    <row r="36" spans="1:14">
      <c r="A36" s="130" t="str">
        <f>'AEB-4 CGDCF'!A16</f>
        <v>NorthWestern Corporation</v>
      </c>
      <c r="B36" s="131" t="str">
        <f>'AEB-4 CGDCF'!B16</f>
        <v>NWE</v>
      </c>
      <c r="C36" s="132">
        <f>'AEB-4 CGDCF'!C16</f>
        <v>2.56</v>
      </c>
      <c r="D36" s="132">
        <f>'AEB-4 CGDCF'!D16</f>
        <v>49.778999999999989</v>
      </c>
      <c r="E36" s="133">
        <f t="shared" si="4"/>
        <v>5.1427308704473783E-2</v>
      </c>
      <c r="F36" s="133">
        <f t="shared" si="5"/>
        <v>5.252271037987908E-2</v>
      </c>
      <c r="G36" s="358">
        <f t="shared" si="6"/>
        <v>5.4165447537771964E-2</v>
      </c>
      <c r="H36" s="134">
        <f>'AEB-4 CGDCF'!G16</f>
        <v>3.5000000000000003E-2</v>
      </c>
      <c r="I36" s="134">
        <f>'AEB-4 CGDCF'!H16</f>
        <v>4.0800000000000003E-2</v>
      </c>
      <c r="J36" s="134">
        <f>'AEB-4 CGDCF'!I16</f>
        <v>5.2000000000000005E-2</v>
      </c>
      <c r="K36" s="135">
        <f t="shared" si="7"/>
        <v>4.2600000000000006E-2</v>
      </c>
      <c r="L36" s="358">
        <f t="shared" si="8"/>
        <v>9.5122710379879086E-2</v>
      </c>
      <c r="M36" s="358">
        <f t="shared" si="9"/>
        <v>9.676544753777197E-2</v>
      </c>
      <c r="N36" s="144"/>
    </row>
    <row r="37" spans="1:14">
      <c r="A37" s="130" t="str">
        <f>'AEB-4 CGDCF'!A17</f>
        <v>OGE Energy Corporation</v>
      </c>
      <c r="B37" s="131" t="str">
        <f>'AEB-4 CGDCF'!B17</f>
        <v>OGE</v>
      </c>
      <c r="C37" s="132">
        <f>'AEB-4 CGDCF'!C17</f>
        <v>1.6728000000000001</v>
      </c>
      <c r="D37" s="132">
        <f>'AEB-4 CGDCF'!D17</f>
        <v>34.14228</v>
      </c>
      <c r="E37" s="133">
        <f t="shared" si="4"/>
        <v>4.899497045891487E-2</v>
      </c>
      <c r="F37" s="133">
        <f t="shared" si="5"/>
        <v>5.0281088433461393E-2</v>
      </c>
      <c r="G37" s="358">
        <f t="shared" si="6"/>
        <v>5.1853715049862893E-2</v>
      </c>
      <c r="H37" s="134">
        <f>'AEB-4 CGDCF'!G17</f>
        <v>6.5000000000000002E-2</v>
      </c>
      <c r="I37" s="134" t="str">
        <f>'AEB-4 CGDCF'!H17</f>
        <v>negative</v>
      </c>
      <c r="J37" s="134">
        <f>'AEB-4 CGDCF'!I17</f>
        <v>0.04</v>
      </c>
      <c r="K37" s="135">
        <f t="shared" si="7"/>
        <v>5.2500000000000005E-2</v>
      </c>
      <c r="L37" s="358">
        <f t="shared" si="8"/>
        <v>0.1027810884334614</v>
      </c>
      <c r="M37" s="358">
        <f t="shared" si="9"/>
        <v>0.10435371504986291</v>
      </c>
      <c r="N37" s="144"/>
    </row>
    <row r="38" spans="1:14">
      <c r="A38" s="130" t="str">
        <f>'AEB-4 CGDCF'!A18</f>
        <v>Pinnacle West Capital Corporation</v>
      </c>
      <c r="B38" s="131" t="str">
        <f>'AEB-4 CGDCF'!B18</f>
        <v>PNW</v>
      </c>
      <c r="C38" s="132">
        <f>'AEB-4 CGDCF'!C18</f>
        <v>3.52</v>
      </c>
      <c r="D38" s="132">
        <f>'AEB-4 CGDCF'!D18</f>
        <v>70.492386666666647</v>
      </c>
      <c r="E38" s="133">
        <f t="shared" si="4"/>
        <v>4.9934470464801033E-2</v>
      </c>
      <c r="F38" s="133">
        <f t="shared" si="5"/>
        <v>5.0966449521073584E-2</v>
      </c>
      <c r="G38" s="358">
        <f t="shared" si="6"/>
        <v>5.2560511971937E-2</v>
      </c>
      <c r="H38" s="134">
        <f>'AEB-4 CGDCF'!G18</f>
        <v>2.5000000000000001E-2</v>
      </c>
      <c r="I38" s="134">
        <f>'AEB-4 CGDCF'!H18</f>
        <v>5.9000000000000004E-2</v>
      </c>
      <c r="J38" s="134">
        <f>'AEB-4 CGDCF'!I18</f>
        <v>0.04</v>
      </c>
      <c r="K38" s="135">
        <f t="shared" si="7"/>
        <v>4.1333333333333333E-2</v>
      </c>
      <c r="L38" s="358">
        <f t="shared" si="8"/>
        <v>9.2299782854406917E-2</v>
      </c>
      <c r="M38" s="358">
        <f t="shared" si="9"/>
        <v>9.389384530527034E-2</v>
      </c>
      <c r="N38" s="144"/>
    </row>
    <row r="39" spans="1:14">
      <c r="A39" s="130" t="str">
        <f>'AEB-4 CGDCF'!A19</f>
        <v>Portland General Electric Company</v>
      </c>
      <c r="B39" s="131" t="str">
        <f>'AEB-4 CGDCF'!B19</f>
        <v>POR</v>
      </c>
      <c r="C39" s="132">
        <f>'AEB-4 CGDCF'!C19</f>
        <v>1.9</v>
      </c>
      <c r="D39" s="132">
        <f>'AEB-4 CGDCF'!D19</f>
        <v>42.268436666666652</v>
      </c>
      <c r="E39" s="133">
        <f t="shared" si="4"/>
        <v>4.4950798984679755E-2</v>
      </c>
      <c r="F39" s="133">
        <f t="shared" si="5"/>
        <v>4.6119519758281428E-2</v>
      </c>
      <c r="G39" s="358">
        <f t="shared" si="6"/>
        <v>4.7561986231605846E-2</v>
      </c>
      <c r="H39" s="134">
        <f>'AEB-4 CGDCF'!G19</f>
        <v>0.05</v>
      </c>
      <c r="I39" s="134">
        <f>'AEB-4 CGDCF'!H19</f>
        <v>4.5999999999999999E-2</v>
      </c>
      <c r="J39" s="134">
        <f>'AEB-4 CGDCF'!I19</f>
        <v>0.06</v>
      </c>
      <c r="K39" s="135">
        <f t="shared" si="7"/>
        <v>5.1999999999999998E-2</v>
      </c>
      <c r="L39" s="358">
        <f t="shared" si="8"/>
        <v>9.8119519758281426E-2</v>
      </c>
      <c r="M39" s="358">
        <f t="shared" si="9"/>
        <v>9.9561986231605837E-2</v>
      </c>
      <c r="N39" s="144"/>
    </row>
    <row r="40" spans="1:14">
      <c r="A40" s="130" t="str">
        <f>'AEB-4 CGDCF'!A20</f>
        <v>Xcel Energy Inc.</v>
      </c>
      <c r="B40" s="131" t="str">
        <f>'AEB-4 CGDCF'!B20</f>
        <v>XEL</v>
      </c>
      <c r="C40" s="132">
        <f>'AEB-4 CGDCF'!C20</f>
        <v>2.08</v>
      </c>
      <c r="D40" s="132">
        <f>'AEB-4 CGDCF'!D20</f>
        <v>61.142860000000006</v>
      </c>
      <c r="E40" s="133">
        <f t="shared" si="4"/>
        <v>3.4018689999126633E-2</v>
      </c>
      <c r="F40" s="133">
        <f t="shared" si="5"/>
        <v>3.5071568454599605E-2</v>
      </c>
      <c r="G40" s="358">
        <f t="shared" si="6"/>
        <v>3.6168491447896342E-2</v>
      </c>
      <c r="H40" s="134">
        <f>'AEB-4 CGDCF'!G20</f>
        <v>0.06</v>
      </c>
      <c r="I40" s="134">
        <f>'AEB-4 CGDCF'!H20</f>
        <v>6.5700000000000008E-2</v>
      </c>
      <c r="J40" s="134">
        <f>'AEB-4 CGDCF'!I20</f>
        <v>0.06</v>
      </c>
      <c r="K40" s="135">
        <f t="shared" si="7"/>
        <v>6.1900000000000004E-2</v>
      </c>
      <c r="L40" s="358">
        <f t="shared" si="8"/>
        <v>9.6971568454599616E-2</v>
      </c>
      <c r="M40" s="358">
        <f t="shared" si="9"/>
        <v>9.8068491447896339E-2</v>
      </c>
      <c r="N40" s="144"/>
    </row>
    <row r="41" spans="1:14">
      <c r="A41" s="144"/>
      <c r="B41" s="32"/>
      <c r="C41" s="359"/>
      <c r="D41" s="359"/>
      <c r="E41" s="360"/>
      <c r="F41" s="361"/>
      <c r="G41" s="358"/>
      <c r="H41" s="357"/>
      <c r="I41" s="357"/>
      <c r="J41" s="357"/>
      <c r="K41" s="357"/>
      <c r="L41" s="358"/>
      <c r="M41" s="358"/>
      <c r="N41" s="144"/>
    </row>
    <row r="42" spans="1:14">
      <c r="A42" s="362" t="s">
        <v>38</v>
      </c>
      <c r="B42" s="313"/>
      <c r="C42" s="313"/>
      <c r="D42" s="313"/>
      <c r="E42" s="313"/>
      <c r="F42" s="313"/>
      <c r="G42" s="313"/>
      <c r="H42" s="313"/>
      <c r="I42" s="313"/>
      <c r="J42" s="313"/>
      <c r="K42" s="313"/>
      <c r="L42" s="363">
        <f>AVERAGE(L26:L40)</f>
        <v>9.9403255589240819E-2</v>
      </c>
      <c r="M42" s="363">
        <f>AVERAGE(M26:M40)</f>
        <v>0.10077668264384726</v>
      </c>
      <c r="N42" s="144"/>
    </row>
    <row r="43" spans="1:14">
      <c r="A43" s="364" t="s">
        <v>39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65">
        <f>MEDIAN(L26:L40)</f>
        <v>9.8119519758281426E-2</v>
      </c>
      <c r="M43" s="365">
        <f>MEDIAN(M26:M40)</f>
        <v>9.9561986231605837E-2</v>
      </c>
      <c r="N43" s="144"/>
    </row>
    <row r="44" spans="1:14">
      <c r="A44" s="364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65"/>
      <c r="M44" s="365"/>
    </row>
    <row r="45" spans="1:14">
      <c r="A45" s="366" t="s">
        <v>1501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65"/>
      <c r="M45" s="365">
        <f>M42-L42</f>
        <v>1.3734270546064409E-3</v>
      </c>
    </row>
    <row r="46" spans="1:14">
      <c r="A46" s="367" t="s">
        <v>1502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68"/>
      <c r="M46" s="369">
        <f>M43-L43</f>
        <v>1.4424664733244108E-3</v>
      </c>
    </row>
    <row r="47" spans="1:14" ht="16.2" thickBot="1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</row>
    <row r="48" spans="1:14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</row>
    <row r="49" spans="1:15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</row>
    <row r="50" spans="1:15">
      <c r="A50" s="370" t="s">
        <v>32</v>
      </c>
      <c r="B50" s="144"/>
      <c r="C50" s="144"/>
      <c r="D50" s="144"/>
      <c r="E50" s="144"/>
      <c r="F50" s="371"/>
      <c r="G50" s="371"/>
      <c r="H50" s="372"/>
      <c r="I50" s="144"/>
      <c r="J50" s="144"/>
      <c r="K50" s="144"/>
      <c r="L50" s="373"/>
      <c r="M50" s="373"/>
    </row>
    <row r="51" spans="1:15">
      <c r="A51" s="146" t="s">
        <v>1521</v>
      </c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373"/>
    </row>
    <row r="52" spans="1:15">
      <c r="A52" s="144" t="s">
        <v>1503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</row>
    <row r="53" spans="1:15">
      <c r="A53" s="374" t="s">
        <v>1504</v>
      </c>
      <c r="B53" s="144"/>
      <c r="C53" s="144"/>
      <c r="D53" s="14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374" t="s">
        <v>1505</v>
      </c>
      <c r="B54" s="144"/>
      <c r="C54" s="144"/>
      <c r="D54" s="14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374" t="s">
        <v>1506</v>
      </c>
      <c r="B55" s="144"/>
      <c r="C55" s="144"/>
      <c r="D55" s="14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375" t="s">
        <v>1507</v>
      </c>
      <c r="B56" s="144"/>
      <c r="C56" s="144"/>
      <c r="D56" s="14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>
      <c r="A57" s="144" t="s">
        <v>1508</v>
      </c>
      <c r="B57" s="144"/>
      <c r="C57" s="144"/>
      <c r="D57" s="14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144" t="s">
        <v>1543</v>
      </c>
      <c r="B58" s="144"/>
      <c r="C58" s="144"/>
      <c r="D58" s="14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>
      <c r="A59" s="144" t="s">
        <v>1509</v>
      </c>
      <c r="B59" s="144"/>
      <c r="C59" s="144"/>
      <c r="D59" s="14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>
      <c r="A60" s="144" t="s">
        <v>1510</v>
      </c>
      <c r="B60" s="144"/>
      <c r="C60" s="144"/>
      <c r="D60" s="14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>
      <c r="A61" s="144" t="s">
        <v>1511</v>
      </c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</row>
    <row r="62" spans="1:15">
      <c r="A62" s="144" t="s">
        <v>1512</v>
      </c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</row>
    <row r="63" spans="1:15">
      <c r="A63" s="144" t="s">
        <v>1513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</row>
    <row r="64" spans="1:15">
      <c r="A64" s="144" t="s">
        <v>1514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</row>
    <row r="65" spans="1:13">
      <c r="A65" s="144" t="s">
        <v>1515</v>
      </c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</row>
    <row r="66" spans="1:13">
      <c r="A66" s="144" t="s">
        <v>1516</v>
      </c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</row>
    <row r="67" spans="1:13">
      <c r="A67" s="144" t="s">
        <v>1517</v>
      </c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</row>
    <row r="68" spans="1:13">
      <c r="A68" s="144" t="s">
        <v>1518</v>
      </c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</row>
    <row r="69" spans="1:13">
      <c r="A69" s="144" t="s">
        <v>1519</v>
      </c>
    </row>
  </sheetData>
  <mergeCells count="1">
    <mergeCell ref="A2:M2"/>
  </mergeCells>
  <conditionalFormatting sqref="P10:X15">
    <cfRule type="containsText" dxfId="5" priority="2" operator="containsText" text="FALSE">
      <formula>NOT(ISERROR(SEARCH("FALSE",P10)))</formula>
    </cfRule>
  </conditionalFormatting>
  <conditionalFormatting sqref="P10:X15">
    <cfRule type="containsText" dxfId="4" priority="1" operator="containsText" text="TRUE">
      <formula>NOT(ISERROR(SEARCH("TRUE",P10)))</formula>
    </cfRule>
  </conditionalFormatting>
  <printOptions horizontalCentered="1"/>
  <pageMargins left="0.7" right="0.7" top="1.25" bottom="0.75" header="0.3" footer="0.3"/>
  <pageSetup scale="38" orientation="landscape" useFirstPageNumber="1" horizontalDpi="4294967293" verticalDpi="4294967293" r:id="rId1"/>
  <headerFooter scaleWithDoc="0">
    <oddHeader>&amp;RDocket No. 56165
Exhibit AEB-9
Page &amp;P of 1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autoPageBreaks="0"/>
  </sheetPr>
  <dimension ref="B2:AC148"/>
  <sheetViews>
    <sheetView view="pageBreakPreview" topLeftCell="A14" zoomScale="50" zoomScaleNormal="70" zoomScaleSheetLayoutView="50" zoomScalePageLayoutView="50" workbookViewId="0">
      <selection activeCell="J28" sqref="J28"/>
    </sheetView>
  </sheetViews>
  <sheetFormatPr defaultColWidth="9.109375" defaultRowHeight="15" customHeight="1"/>
  <cols>
    <col min="1" max="1" width="2.77734375" style="29" customWidth="1"/>
    <col min="2" max="2" width="34.21875" style="29" customWidth="1"/>
    <col min="3" max="3" width="46.33203125" style="29" bestFit="1" customWidth="1"/>
    <col min="4" max="4" width="14.77734375" style="29" bestFit="1" customWidth="1"/>
    <col min="5" max="5" width="10" style="29" customWidth="1"/>
    <col min="6" max="6" width="7" style="29" customWidth="1"/>
    <col min="7" max="7" width="20.21875" style="34" customWidth="1"/>
    <col min="8" max="8" width="16.88671875" style="29" bestFit="1" customWidth="1"/>
    <col min="9" max="9" width="15.88671875" style="29" customWidth="1"/>
    <col min="10" max="10" width="3.5546875" style="29" customWidth="1"/>
    <col min="11" max="11" width="6.109375" style="29" bestFit="1" customWidth="1"/>
    <col min="12" max="12" width="8.33203125" style="29" customWidth="1"/>
    <col min="13" max="13" width="8.21875" style="29" customWidth="1"/>
    <col min="14" max="14" width="10.109375" style="29" customWidth="1"/>
    <col min="15" max="15" width="9" style="29" customWidth="1"/>
    <col min="16" max="16" width="10.109375" style="29" customWidth="1"/>
    <col min="17" max="17" width="10.33203125" style="29" customWidth="1"/>
    <col min="18" max="18" width="12.88671875" style="29" customWidth="1"/>
    <col min="19" max="19" width="4.33203125" style="29" customWidth="1"/>
    <col min="20" max="20" width="8.88671875" style="29" customWidth="1"/>
    <col min="21" max="21" width="9.109375" style="29" customWidth="1"/>
    <col min="22" max="22" width="14.5546875" style="29" customWidth="1"/>
    <col min="23" max="23" width="9.88671875" style="29" customWidth="1"/>
    <col min="24" max="24" width="12" style="29" customWidth="1"/>
    <col min="25" max="25" width="7.33203125" style="29" customWidth="1"/>
    <col min="26" max="26" width="12.33203125" style="29" customWidth="1"/>
    <col min="27" max="27" width="9.33203125" style="29" customWidth="1"/>
    <col min="28" max="28" width="7.5546875" style="29" customWidth="1"/>
    <col min="29" max="29" width="10.109375" style="29" customWidth="1"/>
    <col min="30" max="16384" width="9.109375" style="29"/>
  </cols>
  <sheetData>
    <row r="2" spans="2:29" ht="15.6">
      <c r="B2" s="416" t="s">
        <v>1450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</row>
    <row r="3" spans="2:29" ht="15.6">
      <c r="B3" s="416" t="s">
        <v>1316</v>
      </c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</row>
    <row r="5" spans="2:29" ht="15" customHeight="1" thickBot="1">
      <c r="B5" s="196"/>
      <c r="C5" s="196"/>
      <c r="D5" s="196"/>
      <c r="E5" s="196"/>
      <c r="F5" s="196"/>
      <c r="G5" s="197" t="s">
        <v>14</v>
      </c>
      <c r="H5" s="417" t="s">
        <v>15</v>
      </c>
      <c r="I5" s="417"/>
      <c r="J5" s="197"/>
      <c r="K5" s="417" t="s">
        <v>16</v>
      </c>
      <c r="L5" s="417"/>
      <c r="M5" s="417" t="s">
        <v>17</v>
      </c>
      <c r="N5" s="417"/>
      <c r="O5" s="417" t="s">
        <v>18</v>
      </c>
      <c r="P5" s="417"/>
      <c r="Q5" s="417" t="s">
        <v>19</v>
      </c>
      <c r="R5" s="417"/>
      <c r="S5" s="197"/>
      <c r="T5" s="417" t="s">
        <v>50</v>
      </c>
      <c r="U5" s="417"/>
      <c r="V5" s="417" t="s">
        <v>51</v>
      </c>
      <c r="W5" s="417"/>
      <c r="X5" s="417" t="s">
        <v>52</v>
      </c>
      <c r="Y5" s="417"/>
      <c r="Z5" s="417" t="s">
        <v>53</v>
      </c>
      <c r="AA5" s="417"/>
      <c r="AB5" s="417" t="s">
        <v>54</v>
      </c>
      <c r="AC5" s="417"/>
    </row>
    <row r="6" spans="2:29" ht="13.5" customHeight="1">
      <c r="B6" s="413" t="s">
        <v>1317</v>
      </c>
      <c r="C6" s="413" t="s">
        <v>1318</v>
      </c>
      <c r="D6" s="413" t="s">
        <v>1319</v>
      </c>
      <c r="E6" s="413" t="s">
        <v>1320</v>
      </c>
      <c r="G6" s="414" t="s">
        <v>1321</v>
      </c>
      <c r="I6" s="403" t="s">
        <v>1322</v>
      </c>
      <c r="J6" s="198"/>
      <c r="K6" s="405" t="s">
        <v>1323</v>
      </c>
      <c r="L6" s="405"/>
      <c r="M6" s="405"/>
      <c r="N6" s="405"/>
      <c r="O6" s="405"/>
      <c r="P6" s="405"/>
      <c r="Q6" s="405"/>
      <c r="R6" s="405"/>
      <c r="S6" s="199"/>
      <c r="T6" s="406" t="s">
        <v>1324</v>
      </c>
      <c r="U6" s="406"/>
      <c r="V6" s="406"/>
      <c r="W6" s="406"/>
      <c r="X6" s="406"/>
      <c r="Y6" s="406"/>
      <c r="Z6" s="406"/>
      <c r="AA6" s="406"/>
      <c r="AB6" s="406"/>
      <c r="AC6" s="406"/>
    </row>
    <row r="7" spans="2:29" ht="50.1" customHeight="1">
      <c r="B7" s="404"/>
      <c r="C7" s="404"/>
      <c r="D7" s="404"/>
      <c r="E7" s="404"/>
      <c r="F7" s="200"/>
      <c r="G7" s="415"/>
      <c r="H7" s="201"/>
      <c r="I7" s="404"/>
      <c r="J7" s="202"/>
      <c r="K7" s="408" t="s">
        <v>1325</v>
      </c>
      <c r="L7" s="408"/>
      <c r="M7" s="409" t="s">
        <v>1326</v>
      </c>
      <c r="N7" s="409"/>
      <c r="O7" s="408" t="s">
        <v>1327</v>
      </c>
      <c r="P7" s="408"/>
      <c r="Q7" s="408" t="s">
        <v>1323</v>
      </c>
      <c r="R7" s="408"/>
      <c r="S7" s="203"/>
      <c r="T7" s="410" t="s">
        <v>1328</v>
      </c>
      <c r="U7" s="410"/>
      <c r="V7" s="410" t="s">
        <v>1329</v>
      </c>
      <c r="W7" s="410"/>
      <c r="X7" s="410" t="s">
        <v>1330</v>
      </c>
      <c r="Y7" s="410"/>
      <c r="Z7" s="410" t="s">
        <v>1331</v>
      </c>
      <c r="AA7" s="410"/>
      <c r="AB7" s="410" t="s">
        <v>1324</v>
      </c>
      <c r="AC7" s="410"/>
    </row>
    <row r="8" spans="2:29" ht="15.6">
      <c r="B8" s="4" t="s">
        <v>1077</v>
      </c>
      <c r="C8" s="4" t="s">
        <v>1332</v>
      </c>
      <c r="D8" s="29" t="s">
        <v>1333</v>
      </c>
      <c r="E8" s="30" t="s">
        <v>1334</v>
      </c>
      <c r="F8" s="30"/>
      <c r="G8" s="204" t="s">
        <v>27</v>
      </c>
      <c r="H8" s="204"/>
      <c r="I8" s="205" t="s">
        <v>1335</v>
      </c>
      <c r="J8" s="205"/>
      <c r="K8" s="31"/>
      <c r="L8" s="31" t="s">
        <v>29</v>
      </c>
      <c r="M8" s="32"/>
      <c r="N8" s="32" t="s">
        <v>29</v>
      </c>
      <c r="O8" s="32"/>
      <c r="P8" s="32" t="s">
        <v>29</v>
      </c>
      <c r="Q8" s="32"/>
      <c r="R8" s="32" t="str">
        <f>IF(AND(L8="No",N8="No",P8="No"),"No","Yes")</f>
        <v>No</v>
      </c>
      <c r="S8" s="32"/>
      <c r="T8" s="32"/>
      <c r="U8" s="31" t="s">
        <v>29</v>
      </c>
      <c r="V8" s="31"/>
      <c r="W8" s="31" t="s">
        <v>27</v>
      </c>
      <c r="X8" s="31"/>
      <c r="Y8" s="31" t="s">
        <v>29</v>
      </c>
      <c r="Z8" s="31"/>
      <c r="AA8" s="31" t="s">
        <v>29</v>
      </c>
      <c r="AB8" s="32"/>
      <c r="AC8" s="32" t="str">
        <f t="shared" ref="AC8:AC59" si="0">IF(AND(U8="No",W8="No",Y8="No",AA8="No"),"No","Yes")</f>
        <v>Yes</v>
      </c>
    </row>
    <row r="9" spans="2:29" ht="15.6">
      <c r="B9" s="4" t="s">
        <v>1080</v>
      </c>
      <c r="C9" s="4" t="s">
        <v>1336</v>
      </c>
      <c r="D9" s="29" t="s">
        <v>1337</v>
      </c>
      <c r="E9" s="30" t="s">
        <v>1334</v>
      </c>
      <c r="F9" s="30"/>
      <c r="G9" s="204" t="s">
        <v>27</v>
      </c>
      <c r="H9" s="204"/>
      <c r="I9" s="205" t="s">
        <v>1338</v>
      </c>
      <c r="J9" s="205"/>
      <c r="K9" s="31"/>
      <c r="L9" s="31" t="s">
        <v>29</v>
      </c>
      <c r="M9" s="32"/>
      <c r="N9" s="32" t="s">
        <v>29</v>
      </c>
      <c r="O9" s="32"/>
      <c r="P9" s="32" t="s">
        <v>29</v>
      </c>
      <c r="Q9" s="32"/>
      <c r="R9" s="32" t="str">
        <f t="shared" ref="R9:R60" si="1">IF(AND(L9="No",N9="No",P9="No"),"No","Yes")</f>
        <v>No</v>
      </c>
      <c r="S9" s="32"/>
      <c r="T9" s="32"/>
      <c r="U9" s="32" t="s">
        <v>29</v>
      </c>
      <c r="V9" s="32"/>
      <c r="W9" s="32" t="s">
        <v>27</v>
      </c>
      <c r="X9" s="32"/>
      <c r="Y9" s="32" t="s">
        <v>29</v>
      </c>
      <c r="Z9" s="32"/>
      <c r="AA9" s="32" t="s">
        <v>27</v>
      </c>
      <c r="AB9" s="32"/>
      <c r="AC9" s="32" t="str">
        <f t="shared" si="0"/>
        <v>Yes</v>
      </c>
    </row>
    <row r="10" spans="2:29" ht="15.6">
      <c r="B10" s="4"/>
      <c r="C10" s="4" t="s">
        <v>1336</v>
      </c>
      <c r="D10" s="29" t="s">
        <v>1337</v>
      </c>
      <c r="E10" s="30" t="s">
        <v>1339</v>
      </c>
      <c r="F10" s="30"/>
      <c r="G10" s="204" t="s">
        <v>27</v>
      </c>
      <c r="H10" s="204"/>
      <c r="I10" s="205" t="s">
        <v>1338</v>
      </c>
      <c r="J10" s="205"/>
      <c r="K10" s="31"/>
      <c r="L10" s="31" t="s">
        <v>29</v>
      </c>
      <c r="M10" s="32"/>
      <c r="N10" s="32" t="s">
        <v>29</v>
      </c>
      <c r="O10" s="32"/>
      <c r="P10" s="32" t="s">
        <v>29</v>
      </c>
      <c r="Q10" s="32"/>
      <c r="R10" s="32" t="str">
        <f t="shared" si="1"/>
        <v>No</v>
      </c>
      <c r="S10" s="32"/>
      <c r="T10" s="32"/>
      <c r="U10" s="32" t="s">
        <v>29</v>
      </c>
      <c r="V10" s="32"/>
      <c r="W10" s="32" t="s">
        <v>29</v>
      </c>
      <c r="X10" s="32"/>
      <c r="Y10" s="32" t="s">
        <v>29</v>
      </c>
      <c r="Z10" s="32"/>
      <c r="AA10" s="32" t="s">
        <v>29</v>
      </c>
      <c r="AB10" s="32"/>
      <c r="AC10" s="32" t="str">
        <f t="shared" si="0"/>
        <v>No</v>
      </c>
    </row>
    <row r="11" spans="2:29" ht="15.6">
      <c r="B11" s="4"/>
      <c r="C11" s="4" t="s">
        <v>1340</v>
      </c>
      <c r="D11" s="29" t="s">
        <v>1341</v>
      </c>
      <c r="E11" s="30" t="s">
        <v>1334</v>
      </c>
      <c r="F11" s="30"/>
      <c r="G11" s="204" t="s">
        <v>27</v>
      </c>
      <c r="H11" s="204"/>
      <c r="I11" s="205" t="s">
        <v>1335</v>
      </c>
      <c r="J11" s="205"/>
      <c r="K11" s="31"/>
      <c r="L11" s="31" t="s">
        <v>29</v>
      </c>
      <c r="M11" s="32"/>
      <c r="N11" s="32" t="s">
        <v>29</v>
      </c>
      <c r="O11" s="32"/>
      <c r="P11" s="32" t="s">
        <v>29</v>
      </c>
      <c r="Q11" s="32"/>
      <c r="R11" s="32" t="str">
        <f t="shared" si="1"/>
        <v>No</v>
      </c>
      <c r="S11" s="32"/>
      <c r="T11" s="32"/>
      <c r="U11" s="32" t="s">
        <v>29</v>
      </c>
      <c r="V11" s="32"/>
      <c r="W11" s="32" t="s">
        <v>29</v>
      </c>
      <c r="X11" s="32"/>
      <c r="Y11" s="32" t="s">
        <v>29</v>
      </c>
      <c r="Z11" s="32"/>
      <c r="AA11" s="32" t="s">
        <v>29</v>
      </c>
      <c r="AB11" s="32"/>
      <c r="AC11" s="32" t="str">
        <f t="shared" si="0"/>
        <v>No</v>
      </c>
    </row>
    <row r="12" spans="2:29" ht="15.6">
      <c r="C12" s="29" t="s">
        <v>1340</v>
      </c>
      <c r="D12" s="29" t="s">
        <v>1341</v>
      </c>
      <c r="E12" s="30" t="s">
        <v>1339</v>
      </c>
      <c r="F12" s="30"/>
      <c r="G12" s="204" t="s">
        <v>27</v>
      </c>
      <c r="H12" s="204"/>
      <c r="I12" s="205" t="s">
        <v>1335</v>
      </c>
      <c r="J12" s="205"/>
      <c r="K12" s="31"/>
      <c r="L12" s="31" t="s">
        <v>29</v>
      </c>
      <c r="M12" s="32"/>
      <c r="N12" s="32" t="s">
        <v>29</v>
      </c>
      <c r="O12" s="32"/>
      <c r="P12" s="32" t="s">
        <v>29</v>
      </c>
      <c r="Q12" s="32"/>
      <c r="R12" s="32" t="str">
        <f t="shared" si="1"/>
        <v>No</v>
      </c>
      <c r="S12" s="32"/>
      <c r="T12" s="32"/>
      <c r="U12" s="32" t="s">
        <v>29</v>
      </c>
      <c r="V12" s="32"/>
      <c r="W12" s="32" t="s">
        <v>29</v>
      </c>
      <c r="X12" s="32"/>
      <c r="Y12" s="32" t="s">
        <v>29</v>
      </c>
      <c r="Z12" s="32"/>
      <c r="AA12" s="32" t="s">
        <v>29</v>
      </c>
      <c r="AB12" s="32"/>
      <c r="AC12" s="32" t="str">
        <f t="shared" si="0"/>
        <v>No</v>
      </c>
    </row>
    <row r="13" spans="2:29" ht="15.6">
      <c r="B13" s="33" t="s">
        <v>1081</v>
      </c>
      <c r="C13" s="33" t="s">
        <v>1342</v>
      </c>
      <c r="D13" s="29" t="s">
        <v>1343</v>
      </c>
      <c r="E13" s="30" t="s">
        <v>1334</v>
      </c>
      <c r="F13" s="30"/>
      <c r="G13" s="206" t="s">
        <v>1344</v>
      </c>
      <c r="H13" s="204"/>
      <c r="I13" s="205" t="s">
        <v>1338</v>
      </c>
      <c r="J13" s="205"/>
      <c r="K13" s="31"/>
      <c r="L13" s="31" t="s">
        <v>1345</v>
      </c>
      <c r="M13" s="32"/>
      <c r="N13" s="32" t="s">
        <v>27</v>
      </c>
      <c r="O13" s="32"/>
      <c r="P13" s="32" t="s">
        <v>29</v>
      </c>
      <c r="Q13" s="32"/>
      <c r="R13" s="32" t="str">
        <f t="shared" si="1"/>
        <v>Yes</v>
      </c>
      <c r="S13" s="32"/>
      <c r="T13" s="32"/>
      <c r="U13" s="32" t="s">
        <v>29</v>
      </c>
      <c r="V13" s="32"/>
      <c r="W13" s="32" t="s">
        <v>27</v>
      </c>
      <c r="X13" s="32"/>
      <c r="Y13" s="32" t="s">
        <v>29</v>
      </c>
      <c r="Z13" s="32"/>
      <c r="AA13" s="32" t="s">
        <v>27</v>
      </c>
      <c r="AB13" s="32"/>
      <c r="AC13" s="32" t="str">
        <f t="shared" si="0"/>
        <v>Yes</v>
      </c>
    </row>
    <row r="14" spans="2:29" ht="15.6">
      <c r="C14" s="29" t="s">
        <v>1342</v>
      </c>
      <c r="D14" s="29" t="s">
        <v>1343</v>
      </c>
      <c r="E14" s="30" t="s">
        <v>1339</v>
      </c>
      <c r="F14" s="30"/>
      <c r="G14" s="206" t="s">
        <v>27</v>
      </c>
      <c r="H14" s="204"/>
      <c r="I14" s="205" t="s">
        <v>1335</v>
      </c>
      <c r="J14" s="205"/>
      <c r="K14" s="31"/>
      <c r="L14" s="31" t="s">
        <v>1345</v>
      </c>
      <c r="M14" s="32"/>
      <c r="N14" s="32" t="s">
        <v>29</v>
      </c>
      <c r="O14" s="32"/>
      <c r="P14" s="32" t="s">
        <v>29</v>
      </c>
      <c r="Q14" s="32"/>
      <c r="R14" s="32" t="str">
        <f t="shared" si="1"/>
        <v>Yes</v>
      </c>
      <c r="S14" s="32"/>
      <c r="T14" s="32"/>
      <c r="U14" s="32" t="s">
        <v>29</v>
      </c>
      <c r="V14" s="32"/>
      <c r="W14" s="32" t="s">
        <v>29</v>
      </c>
      <c r="X14" s="32"/>
      <c r="Y14" s="32" t="s">
        <v>27</v>
      </c>
      <c r="Z14" s="32"/>
      <c r="AA14" s="32" t="s">
        <v>27</v>
      </c>
      <c r="AB14" s="32"/>
      <c r="AC14" s="32" t="str">
        <f t="shared" si="0"/>
        <v>Yes</v>
      </c>
    </row>
    <row r="15" spans="2:29" ht="15.6">
      <c r="C15" s="29" t="s">
        <v>1346</v>
      </c>
      <c r="D15" s="29" t="s">
        <v>1347</v>
      </c>
      <c r="E15" s="30" t="s">
        <v>1334</v>
      </c>
      <c r="F15" s="30"/>
      <c r="G15" s="206" t="s">
        <v>1348</v>
      </c>
      <c r="H15" s="204"/>
      <c r="I15" s="205" t="s">
        <v>1338</v>
      </c>
      <c r="J15" s="205"/>
      <c r="K15" s="31"/>
      <c r="L15" s="31" t="s">
        <v>1345</v>
      </c>
      <c r="M15" s="32"/>
      <c r="N15" s="32" t="s">
        <v>29</v>
      </c>
      <c r="O15" s="32"/>
      <c r="P15" s="32" t="s">
        <v>29</v>
      </c>
      <c r="Q15" s="32"/>
      <c r="R15" s="32" t="str">
        <f t="shared" si="1"/>
        <v>Yes</v>
      </c>
      <c r="S15" s="32"/>
      <c r="T15" s="32"/>
      <c r="U15" s="32" t="s">
        <v>29</v>
      </c>
      <c r="V15" s="32"/>
      <c r="W15" s="32" t="s">
        <v>27</v>
      </c>
      <c r="X15" s="32"/>
      <c r="Y15" s="32" t="s">
        <v>27</v>
      </c>
      <c r="Z15" s="32"/>
      <c r="AA15" s="32" t="s">
        <v>29</v>
      </c>
      <c r="AB15" s="32"/>
      <c r="AC15" s="32" t="str">
        <f t="shared" si="0"/>
        <v>Yes</v>
      </c>
    </row>
    <row r="16" spans="2:29" ht="15.6">
      <c r="C16" s="29" t="s">
        <v>1346</v>
      </c>
      <c r="D16" s="29" t="s">
        <v>1347</v>
      </c>
      <c r="E16" s="30" t="s">
        <v>1339</v>
      </c>
      <c r="F16" s="30"/>
      <c r="G16" s="206" t="s">
        <v>27</v>
      </c>
      <c r="H16" s="204"/>
      <c r="I16" s="205" t="s">
        <v>1338</v>
      </c>
      <c r="J16" s="205"/>
      <c r="K16" s="31"/>
      <c r="L16" s="31" t="s">
        <v>1345</v>
      </c>
      <c r="M16" s="32"/>
      <c r="N16" s="32" t="s">
        <v>29</v>
      </c>
      <c r="O16" s="32"/>
      <c r="P16" s="32" t="s">
        <v>29</v>
      </c>
      <c r="Q16" s="32"/>
      <c r="R16" s="32" t="str">
        <f t="shared" si="1"/>
        <v>Yes</v>
      </c>
      <c r="S16" s="32"/>
      <c r="T16" s="32"/>
      <c r="U16" s="32" t="s">
        <v>29</v>
      </c>
      <c r="V16" s="32"/>
      <c r="W16" s="32" t="s">
        <v>29</v>
      </c>
      <c r="X16" s="32"/>
      <c r="Y16" s="32" t="s">
        <v>27</v>
      </c>
      <c r="Z16" s="32"/>
      <c r="AA16" s="32" t="s">
        <v>29</v>
      </c>
      <c r="AB16" s="32"/>
      <c r="AC16" s="32" t="str">
        <f t="shared" si="0"/>
        <v>Yes</v>
      </c>
    </row>
    <row r="17" spans="2:29" ht="15.6">
      <c r="B17" s="4" t="s">
        <v>1082</v>
      </c>
      <c r="C17" s="4" t="s">
        <v>1360</v>
      </c>
      <c r="D17" s="29" t="s">
        <v>1361</v>
      </c>
      <c r="E17" s="30" t="s">
        <v>1334</v>
      </c>
      <c r="F17" s="30"/>
      <c r="G17" s="204" t="s">
        <v>27</v>
      </c>
      <c r="H17" s="204"/>
      <c r="I17" s="205" t="s">
        <v>1335</v>
      </c>
      <c r="J17" s="205"/>
      <c r="K17" s="31"/>
      <c r="L17" s="31" t="s">
        <v>29</v>
      </c>
      <c r="M17" s="32"/>
      <c r="N17" s="32" t="s">
        <v>29</v>
      </c>
      <c r="O17" s="32"/>
      <c r="P17" s="32" t="s">
        <v>29</v>
      </c>
      <c r="Q17" s="32"/>
      <c r="R17" s="32" t="str">
        <f t="shared" si="1"/>
        <v>No</v>
      </c>
      <c r="S17" s="32"/>
      <c r="T17" s="32"/>
      <c r="U17" s="32" t="s">
        <v>27</v>
      </c>
      <c r="V17" s="32"/>
      <c r="W17" s="32" t="s">
        <v>27</v>
      </c>
      <c r="X17" s="32"/>
      <c r="Y17" s="32" t="s">
        <v>29</v>
      </c>
      <c r="Z17" s="32"/>
      <c r="AA17" s="32" t="s">
        <v>27</v>
      </c>
      <c r="AB17" s="32"/>
      <c r="AC17" s="32" t="str">
        <f t="shared" si="0"/>
        <v>Yes</v>
      </c>
    </row>
    <row r="18" spans="2:29" ht="15.6">
      <c r="B18" s="4"/>
      <c r="C18" s="4" t="s">
        <v>1362</v>
      </c>
      <c r="D18" s="29" t="s">
        <v>1350</v>
      </c>
      <c r="E18" s="30" t="s">
        <v>1334</v>
      </c>
      <c r="F18" s="30"/>
      <c r="G18" s="204" t="s">
        <v>27</v>
      </c>
      <c r="H18" s="204"/>
      <c r="I18" s="205" t="s">
        <v>1338</v>
      </c>
      <c r="J18" s="205"/>
      <c r="K18" s="31"/>
      <c r="L18" s="31" t="s">
        <v>1345</v>
      </c>
      <c r="M18" s="32"/>
      <c r="N18" s="32" t="s">
        <v>29</v>
      </c>
      <c r="O18" s="32"/>
      <c r="P18" s="32" t="s">
        <v>29</v>
      </c>
      <c r="Q18" s="32"/>
      <c r="R18" s="32" t="str">
        <f t="shared" si="1"/>
        <v>Yes</v>
      </c>
      <c r="S18" s="32"/>
      <c r="T18" s="32"/>
      <c r="U18" s="32" t="s">
        <v>29</v>
      </c>
      <c r="V18" s="32"/>
      <c r="W18" s="32" t="s">
        <v>27</v>
      </c>
      <c r="X18" s="32"/>
      <c r="Y18" s="32" t="s">
        <v>27</v>
      </c>
      <c r="Z18" s="32"/>
      <c r="AA18" s="32" t="s">
        <v>27</v>
      </c>
      <c r="AB18" s="32"/>
      <c r="AC18" s="32" t="str">
        <f t="shared" si="0"/>
        <v>Yes</v>
      </c>
    </row>
    <row r="19" spans="2:29" ht="15.6">
      <c r="B19" s="4"/>
      <c r="C19" s="4" t="s">
        <v>1363</v>
      </c>
      <c r="D19" s="29" t="s">
        <v>1352</v>
      </c>
      <c r="E19" s="30" t="s">
        <v>1334</v>
      </c>
      <c r="F19" s="30"/>
      <c r="G19" s="204" t="s">
        <v>27</v>
      </c>
      <c r="H19" s="204"/>
      <c r="I19" s="205" t="s">
        <v>1335</v>
      </c>
      <c r="J19" s="205"/>
      <c r="K19" s="31"/>
      <c r="L19" s="31" t="s">
        <v>1345</v>
      </c>
      <c r="M19" s="32"/>
      <c r="N19" s="32" t="s">
        <v>29</v>
      </c>
      <c r="O19" s="32"/>
      <c r="P19" s="32" t="s">
        <v>29</v>
      </c>
      <c r="Q19" s="32"/>
      <c r="R19" s="32" t="str">
        <f t="shared" si="1"/>
        <v>Yes</v>
      </c>
      <c r="S19" s="32"/>
      <c r="T19" s="32"/>
      <c r="U19" s="32" t="s">
        <v>29</v>
      </c>
      <c r="V19" s="32"/>
      <c r="W19" s="32" t="s">
        <v>29</v>
      </c>
      <c r="X19" s="32"/>
      <c r="Y19" s="32" t="s">
        <v>29</v>
      </c>
      <c r="Z19" s="32"/>
      <c r="AA19" s="32" t="s">
        <v>27</v>
      </c>
      <c r="AB19" s="32"/>
      <c r="AC19" s="32" t="str">
        <f t="shared" si="0"/>
        <v>Yes</v>
      </c>
    </row>
    <row r="20" spans="2:29" ht="15.6">
      <c r="B20" s="4"/>
      <c r="C20" s="4" t="s">
        <v>1363</v>
      </c>
      <c r="D20" s="29" t="s">
        <v>1352</v>
      </c>
      <c r="E20" s="30" t="s">
        <v>1339</v>
      </c>
      <c r="F20" s="30"/>
      <c r="G20" s="204" t="s">
        <v>27</v>
      </c>
      <c r="H20" s="204"/>
      <c r="I20" s="205" t="s">
        <v>1335</v>
      </c>
      <c r="J20" s="205"/>
      <c r="K20" s="31"/>
      <c r="L20" s="31" t="s">
        <v>1345</v>
      </c>
      <c r="M20" s="32"/>
      <c r="N20" s="32" t="s">
        <v>29</v>
      </c>
      <c r="O20" s="32"/>
      <c r="P20" s="32" t="s">
        <v>29</v>
      </c>
      <c r="Q20" s="32"/>
      <c r="R20" s="32" t="str">
        <f t="shared" si="1"/>
        <v>Yes</v>
      </c>
      <c r="S20" s="32"/>
      <c r="T20" s="32"/>
      <c r="U20" s="32" t="s">
        <v>29</v>
      </c>
      <c r="V20" s="32"/>
      <c r="W20" s="32" t="s">
        <v>29</v>
      </c>
      <c r="X20" s="32"/>
      <c r="Y20" s="32" t="s">
        <v>27</v>
      </c>
      <c r="Z20" s="32"/>
      <c r="AA20" s="32" t="s">
        <v>29</v>
      </c>
      <c r="AB20" s="32"/>
      <c r="AC20" s="32" t="str">
        <f t="shared" si="0"/>
        <v>Yes</v>
      </c>
    </row>
    <row r="21" spans="2:29" ht="15.6">
      <c r="B21" s="4"/>
      <c r="C21" s="4" t="s">
        <v>1364</v>
      </c>
      <c r="D21" s="29" t="s">
        <v>1365</v>
      </c>
      <c r="E21" s="30" t="s">
        <v>1334</v>
      </c>
      <c r="F21" s="30"/>
      <c r="G21" s="204" t="s">
        <v>27</v>
      </c>
      <c r="H21" s="204"/>
      <c r="I21" s="205" t="s">
        <v>1338</v>
      </c>
      <c r="J21" s="205"/>
      <c r="K21" s="31"/>
      <c r="L21" s="31" t="s">
        <v>29</v>
      </c>
      <c r="M21" s="32"/>
      <c r="N21" s="32" t="s">
        <v>29</v>
      </c>
      <c r="O21" s="32"/>
      <c r="P21" s="32" t="s">
        <v>29</v>
      </c>
      <c r="Q21" s="32"/>
      <c r="R21" s="32" t="str">
        <f t="shared" si="1"/>
        <v>No</v>
      </c>
      <c r="S21" s="32"/>
      <c r="T21" s="32"/>
      <c r="U21" s="32" t="s">
        <v>29</v>
      </c>
      <c r="V21" s="32"/>
      <c r="W21" s="32" t="s">
        <v>27</v>
      </c>
      <c r="X21" s="32"/>
      <c r="Y21" s="32" t="s">
        <v>29</v>
      </c>
      <c r="Z21" s="32"/>
      <c r="AA21" s="32" t="s">
        <v>27</v>
      </c>
      <c r="AB21" s="32"/>
      <c r="AC21" s="32" t="str">
        <f t="shared" si="0"/>
        <v>Yes</v>
      </c>
    </row>
    <row r="22" spans="2:29" ht="15.6">
      <c r="B22" s="4"/>
      <c r="C22" s="4" t="s">
        <v>1366</v>
      </c>
      <c r="D22" s="29" t="s">
        <v>1365</v>
      </c>
      <c r="E22" s="30" t="s">
        <v>1339</v>
      </c>
      <c r="F22" s="30"/>
      <c r="G22" s="204" t="s">
        <v>27</v>
      </c>
      <c r="H22" s="204"/>
      <c r="I22" s="205" t="s">
        <v>1338</v>
      </c>
      <c r="J22" s="205"/>
      <c r="K22" s="31"/>
      <c r="L22" s="31" t="s">
        <v>1351</v>
      </c>
      <c r="M22" s="32"/>
      <c r="N22" s="32" t="s">
        <v>29</v>
      </c>
      <c r="O22" s="32"/>
      <c r="P22" s="32" t="s">
        <v>29</v>
      </c>
      <c r="Q22" s="32"/>
      <c r="R22" s="32" t="str">
        <f t="shared" si="1"/>
        <v>Yes</v>
      </c>
      <c r="S22" s="32"/>
      <c r="T22" s="32"/>
      <c r="U22" s="32" t="s">
        <v>29</v>
      </c>
      <c r="V22" s="32"/>
      <c r="W22" s="32" t="s">
        <v>29</v>
      </c>
      <c r="X22" s="32"/>
      <c r="Y22" s="32" t="s">
        <v>27</v>
      </c>
      <c r="Z22" s="32"/>
      <c r="AA22" s="32" t="s">
        <v>29</v>
      </c>
      <c r="AB22" s="32"/>
      <c r="AC22" s="32" t="str">
        <f t="shared" si="0"/>
        <v>Yes</v>
      </c>
    </row>
    <row r="23" spans="2:29" ht="15.6">
      <c r="B23" s="4"/>
      <c r="C23" s="4" t="s">
        <v>1367</v>
      </c>
      <c r="D23" s="29" t="s">
        <v>1354</v>
      </c>
      <c r="E23" s="30" t="s">
        <v>1334</v>
      </c>
      <c r="F23" s="30"/>
      <c r="G23" s="204" t="s">
        <v>1344</v>
      </c>
      <c r="H23" s="204"/>
      <c r="I23" s="205" t="s">
        <v>1355</v>
      </c>
      <c r="J23" s="205"/>
      <c r="K23" s="31"/>
      <c r="L23" s="31" t="s">
        <v>1345</v>
      </c>
      <c r="M23" s="32"/>
      <c r="N23" s="32" t="s">
        <v>29</v>
      </c>
      <c r="O23" s="32"/>
      <c r="P23" s="32" t="s">
        <v>29</v>
      </c>
      <c r="Q23" s="32"/>
      <c r="R23" s="32" t="str">
        <f t="shared" si="1"/>
        <v>Yes</v>
      </c>
      <c r="S23" s="32"/>
      <c r="T23" s="32"/>
      <c r="U23" s="32" t="s">
        <v>29</v>
      </c>
      <c r="V23" s="32"/>
      <c r="W23" s="32" t="s">
        <v>27</v>
      </c>
      <c r="X23" s="32"/>
      <c r="Y23" s="32" t="s">
        <v>27</v>
      </c>
      <c r="Z23" s="32"/>
      <c r="AA23" s="32" t="s">
        <v>29</v>
      </c>
      <c r="AB23" s="32"/>
      <c r="AC23" s="32" t="str">
        <f t="shared" si="0"/>
        <v>Yes</v>
      </c>
    </row>
    <row r="24" spans="2:29" ht="15.6">
      <c r="B24" s="4"/>
      <c r="C24" s="4" t="s">
        <v>1367</v>
      </c>
      <c r="D24" s="29" t="s">
        <v>1354</v>
      </c>
      <c r="E24" s="30" t="s">
        <v>1339</v>
      </c>
      <c r="F24" s="30"/>
      <c r="G24" s="204" t="s">
        <v>27</v>
      </c>
      <c r="H24" s="204"/>
      <c r="I24" s="205" t="s">
        <v>1355</v>
      </c>
      <c r="J24" s="205"/>
      <c r="K24" s="31"/>
      <c r="L24" s="31" t="s">
        <v>29</v>
      </c>
      <c r="M24" s="32"/>
      <c r="N24" s="32" t="s">
        <v>29</v>
      </c>
      <c r="O24" s="32"/>
      <c r="P24" s="32" t="s">
        <v>27</v>
      </c>
      <c r="Q24" s="32"/>
      <c r="R24" s="32" t="str">
        <f t="shared" si="1"/>
        <v>Yes</v>
      </c>
      <c r="S24" s="32"/>
      <c r="T24" s="32"/>
      <c r="U24" s="32" t="s">
        <v>29</v>
      </c>
      <c r="V24" s="32"/>
      <c r="W24" s="32" t="s">
        <v>29</v>
      </c>
      <c r="X24" s="32"/>
      <c r="Y24" s="32" t="s">
        <v>27</v>
      </c>
      <c r="Z24" s="32"/>
      <c r="AA24" s="32" t="s">
        <v>27</v>
      </c>
      <c r="AB24" s="32"/>
      <c r="AC24" s="32" t="str">
        <f t="shared" si="0"/>
        <v>Yes</v>
      </c>
    </row>
    <row r="25" spans="2:29" ht="15.6">
      <c r="B25" s="4"/>
      <c r="C25" s="4" t="s">
        <v>1364</v>
      </c>
      <c r="D25" s="29" t="s">
        <v>1368</v>
      </c>
      <c r="E25" s="30" t="s">
        <v>1334</v>
      </c>
      <c r="F25" s="30"/>
      <c r="G25" s="204" t="s">
        <v>27</v>
      </c>
      <c r="H25" s="204"/>
      <c r="I25" s="205" t="s">
        <v>1338</v>
      </c>
      <c r="J25" s="205"/>
      <c r="K25" s="31"/>
      <c r="L25" s="31" t="s">
        <v>29</v>
      </c>
      <c r="M25" s="32"/>
      <c r="N25" s="32" t="s">
        <v>29</v>
      </c>
      <c r="O25" s="32"/>
      <c r="P25" s="32" t="s">
        <v>29</v>
      </c>
      <c r="Q25" s="32"/>
      <c r="R25" s="32" t="str">
        <f t="shared" si="1"/>
        <v>No</v>
      </c>
      <c r="S25" s="32"/>
      <c r="T25" s="32"/>
      <c r="U25" s="32" t="s">
        <v>29</v>
      </c>
      <c r="V25" s="32"/>
      <c r="W25" s="32" t="s">
        <v>27</v>
      </c>
      <c r="X25" s="32"/>
      <c r="Y25" s="32" t="s">
        <v>29</v>
      </c>
      <c r="Z25" s="32"/>
      <c r="AA25" s="32" t="s">
        <v>27</v>
      </c>
      <c r="AB25" s="32"/>
      <c r="AC25" s="32" t="str">
        <f t="shared" si="0"/>
        <v>Yes</v>
      </c>
    </row>
    <row r="26" spans="2:29" ht="15.6">
      <c r="B26" s="4"/>
      <c r="C26" s="4" t="s">
        <v>1366</v>
      </c>
      <c r="D26" s="29" t="s">
        <v>1368</v>
      </c>
      <c r="E26" s="30" t="s">
        <v>1339</v>
      </c>
      <c r="F26" s="30"/>
      <c r="G26" s="204" t="s">
        <v>27</v>
      </c>
      <c r="H26" s="204"/>
      <c r="I26" s="205" t="s">
        <v>1338</v>
      </c>
      <c r="J26" s="205"/>
      <c r="K26" s="31"/>
      <c r="L26" s="31" t="s">
        <v>1345</v>
      </c>
      <c r="M26" s="32"/>
      <c r="N26" s="32" t="s">
        <v>29</v>
      </c>
      <c r="O26" s="32"/>
      <c r="P26" s="32" t="s">
        <v>29</v>
      </c>
      <c r="Q26" s="32"/>
      <c r="R26" s="32" t="str">
        <f t="shared" si="1"/>
        <v>Yes</v>
      </c>
      <c r="S26" s="32"/>
      <c r="T26" s="32"/>
      <c r="U26" s="32" t="s">
        <v>29</v>
      </c>
      <c r="V26" s="32"/>
      <c r="W26" s="32" t="s">
        <v>29</v>
      </c>
      <c r="X26" s="32"/>
      <c r="Y26" s="32" t="s">
        <v>29</v>
      </c>
      <c r="Z26" s="32"/>
      <c r="AA26" s="32" t="s">
        <v>29</v>
      </c>
      <c r="AB26" s="32"/>
      <c r="AC26" s="32" t="str">
        <f t="shared" si="0"/>
        <v>No</v>
      </c>
    </row>
    <row r="27" spans="2:29" ht="15.6">
      <c r="B27" s="4"/>
      <c r="C27" s="4" t="s">
        <v>1366</v>
      </c>
      <c r="D27" s="29" t="s">
        <v>1357</v>
      </c>
      <c r="E27" s="30" t="s">
        <v>1339</v>
      </c>
      <c r="F27" s="30"/>
      <c r="G27" s="204" t="s">
        <v>27</v>
      </c>
      <c r="H27" s="204"/>
      <c r="I27" s="205" t="s">
        <v>1335</v>
      </c>
      <c r="J27" s="205"/>
      <c r="K27" s="31"/>
      <c r="L27" s="31" t="s">
        <v>1345</v>
      </c>
      <c r="M27" s="32"/>
      <c r="N27" s="31" t="s">
        <v>29</v>
      </c>
      <c r="O27" s="31"/>
      <c r="P27" s="31" t="s">
        <v>29</v>
      </c>
      <c r="Q27" s="32"/>
      <c r="R27" s="32" t="str">
        <f t="shared" si="1"/>
        <v>Yes</v>
      </c>
      <c r="S27" s="32"/>
      <c r="T27" s="32"/>
      <c r="U27" s="32" t="s">
        <v>29</v>
      </c>
      <c r="V27" s="32"/>
      <c r="W27" s="32" t="s">
        <v>29</v>
      </c>
      <c r="X27" s="32"/>
      <c r="Y27" s="32" t="s">
        <v>27</v>
      </c>
      <c r="Z27" s="32"/>
      <c r="AA27" s="32" t="s">
        <v>29</v>
      </c>
      <c r="AB27" s="32"/>
      <c r="AC27" s="32" t="str">
        <f t="shared" si="0"/>
        <v>Yes</v>
      </c>
    </row>
    <row r="28" spans="2:29" ht="15.6">
      <c r="B28" s="4" t="s">
        <v>450</v>
      </c>
      <c r="C28" s="4" t="s">
        <v>1369</v>
      </c>
      <c r="D28" s="29" t="s">
        <v>1370</v>
      </c>
      <c r="E28" s="30" t="s">
        <v>1334</v>
      </c>
      <c r="F28" s="30"/>
      <c r="G28" s="204" t="s">
        <v>27</v>
      </c>
      <c r="H28" s="204"/>
      <c r="I28" s="205" t="s">
        <v>1335</v>
      </c>
      <c r="J28" s="205"/>
      <c r="K28" s="31"/>
      <c r="L28" s="31" t="s">
        <v>1351</v>
      </c>
      <c r="M28" s="32"/>
      <c r="N28" s="31" t="s">
        <v>29</v>
      </c>
      <c r="O28" s="31"/>
      <c r="P28" s="31" t="s">
        <v>29</v>
      </c>
      <c r="Q28" s="32"/>
      <c r="R28" s="32" t="str">
        <f t="shared" si="1"/>
        <v>Yes</v>
      </c>
      <c r="S28" s="32"/>
      <c r="T28" s="32"/>
      <c r="U28" s="32" t="s">
        <v>29</v>
      </c>
      <c r="V28" s="32"/>
      <c r="W28" s="32" t="s">
        <v>29</v>
      </c>
      <c r="X28" s="32"/>
      <c r="Y28" s="32" t="s">
        <v>29</v>
      </c>
      <c r="Z28" s="32"/>
      <c r="AA28" s="32" t="s">
        <v>29</v>
      </c>
      <c r="AB28" s="32"/>
      <c r="AC28" s="32" t="str">
        <f t="shared" si="0"/>
        <v>No</v>
      </c>
    </row>
    <row r="29" spans="2:29" ht="15.6">
      <c r="B29" s="4" t="s">
        <v>1083</v>
      </c>
      <c r="C29" s="4" t="s">
        <v>1371</v>
      </c>
      <c r="D29" s="29" t="s">
        <v>1349</v>
      </c>
      <c r="E29" s="30" t="s">
        <v>1334</v>
      </c>
      <c r="F29" s="30"/>
      <c r="G29" s="206" t="s">
        <v>27</v>
      </c>
      <c r="H29" s="204"/>
      <c r="I29" s="205" t="s">
        <v>1335</v>
      </c>
      <c r="J29" s="205"/>
      <c r="K29" s="31"/>
      <c r="L29" s="31" t="s">
        <v>1345</v>
      </c>
      <c r="M29" s="32"/>
      <c r="N29" s="32" t="s">
        <v>27</v>
      </c>
      <c r="O29" s="32"/>
      <c r="P29" s="32" t="s">
        <v>29</v>
      </c>
      <c r="Q29" s="32"/>
      <c r="R29" s="32" t="str">
        <f t="shared" si="1"/>
        <v>Yes</v>
      </c>
      <c r="S29" s="32"/>
      <c r="T29" s="32"/>
      <c r="U29" s="32" t="s">
        <v>27</v>
      </c>
      <c r="V29" s="32"/>
      <c r="W29" s="32" t="s">
        <v>27</v>
      </c>
      <c r="X29" s="32"/>
      <c r="Y29" s="32" t="s">
        <v>27</v>
      </c>
      <c r="Z29" s="32"/>
      <c r="AA29" s="32" t="s">
        <v>29</v>
      </c>
      <c r="AB29" s="32"/>
      <c r="AC29" s="32" t="str">
        <f t="shared" si="0"/>
        <v>Yes</v>
      </c>
    </row>
    <row r="30" spans="2:29" ht="15.6">
      <c r="B30" s="4"/>
      <c r="C30" s="4" t="s">
        <v>1372</v>
      </c>
      <c r="D30" s="29" t="s">
        <v>1373</v>
      </c>
      <c r="E30" s="30" t="s">
        <v>1334</v>
      </c>
      <c r="F30" s="30"/>
      <c r="G30" s="206" t="s">
        <v>27</v>
      </c>
      <c r="H30" s="204"/>
      <c r="I30" s="205" t="s">
        <v>1355</v>
      </c>
      <c r="J30" s="205"/>
      <c r="K30" s="31"/>
      <c r="L30" s="31" t="s">
        <v>29</v>
      </c>
      <c r="M30" s="32"/>
      <c r="N30" s="32" t="s">
        <v>27</v>
      </c>
      <c r="O30" s="32"/>
      <c r="P30" s="32" t="s">
        <v>29</v>
      </c>
      <c r="Q30" s="32"/>
      <c r="R30" s="32" t="str">
        <f t="shared" si="1"/>
        <v>Yes</v>
      </c>
      <c r="S30" s="32"/>
      <c r="T30" s="32"/>
      <c r="U30" s="32" t="s">
        <v>29</v>
      </c>
      <c r="V30" s="32"/>
      <c r="W30" s="32" t="s">
        <v>27</v>
      </c>
      <c r="X30" s="32"/>
      <c r="Y30" s="32" t="s">
        <v>29</v>
      </c>
      <c r="Z30" s="32"/>
      <c r="AA30" s="32" t="s">
        <v>27</v>
      </c>
      <c r="AB30" s="32"/>
      <c r="AC30" s="32" t="str">
        <f t="shared" si="0"/>
        <v>Yes</v>
      </c>
    </row>
    <row r="31" spans="2:29" ht="15.6">
      <c r="B31" s="4"/>
      <c r="C31" s="4" t="s">
        <v>1372</v>
      </c>
      <c r="D31" s="29" t="s">
        <v>1373</v>
      </c>
      <c r="E31" s="30" t="s">
        <v>1339</v>
      </c>
      <c r="F31" s="30"/>
      <c r="G31" s="206" t="s">
        <v>27</v>
      </c>
      <c r="H31" s="204"/>
      <c r="I31" s="205" t="s">
        <v>1355</v>
      </c>
      <c r="J31" s="205"/>
      <c r="K31" s="31"/>
      <c r="L31" s="31" t="s">
        <v>29</v>
      </c>
      <c r="M31" s="32"/>
      <c r="N31" s="32" t="s">
        <v>27</v>
      </c>
      <c r="O31" s="32"/>
      <c r="P31" s="32" t="s">
        <v>29</v>
      </c>
      <c r="Q31" s="32"/>
      <c r="R31" s="32" t="str">
        <f t="shared" si="1"/>
        <v>Yes</v>
      </c>
      <c r="S31" s="32"/>
      <c r="T31" s="32"/>
      <c r="U31" s="32" t="s">
        <v>29</v>
      </c>
      <c r="V31" s="32"/>
      <c r="W31" s="32" t="s">
        <v>29</v>
      </c>
      <c r="X31" s="32"/>
      <c r="Y31" s="32" t="s">
        <v>29</v>
      </c>
      <c r="Z31" s="32"/>
      <c r="AA31" s="32" t="s">
        <v>29</v>
      </c>
      <c r="AB31" s="32"/>
      <c r="AC31" s="32" t="str">
        <f t="shared" si="0"/>
        <v>No</v>
      </c>
    </row>
    <row r="32" spans="2:29" ht="15.6">
      <c r="B32" s="4"/>
      <c r="C32" s="4" t="s">
        <v>1374</v>
      </c>
      <c r="D32" s="29" t="s">
        <v>1353</v>
      </c>
      <c r="E32" s="30" t="s">
        <v>1334</v>
      </c>
      <c r="F32" s="30"/>
      <c r="G32" s="206" t="s">
        <v>27</v>
      </c>
      <c r="H32" s="204"/>
      <c r="I32" s="205" t="s">
        <v>1338</v>
      </c>
      <c r="J32" s="205"/>
      <c r="K32" s="31"/>
      <c r="L32" s="31" t="s">
        <v>1345</v>
      </c>
      <c r="M32" s="32"/>
      <c r="N32" s="32" t="s">
        <v>27</v>
      </c>
      <c r="O32" s="32"/>
      <c r="P32" s="32" t="s">
        <v>29</v>
      </c>
      <c r="Q32" s="32"/>
      <c r="R32" s="32" t="str">
        <f t="shared" si="1"/>
        <v>Yes</v>
      </c>
      <c r="S32" s="32"/>
      <c r="T32" s="32"/>
      <c r="U32" s="32" t="s">
        <v>29</v>
      </c>
      <c r="V32" s="32"/>
      <c r="W32" s="32" t="s">
        <v>29</v>
      </c>
      <c r="X32" s="32"/>
      <c r="Y32" s="32" t="s">
        <v>29</v>
      </c>
      <c r="Z32" s="32"/>
      <c r="AA32" s="32" t="s">
        <v>27</v>
      </c>
      <c r="AB32" s="32"/>
      <c r="AC32" s="32" t="str">
        <f t="shared" si="0"/>
        <v>Yes</v>
      </c>
    </row>
    <row r="33" spans="2:29" ht="15.6">
      <c r="B33" s="4"/>
      <c r="C33" s="4" t="s">
        <v>1374</v>
      </c>
      <c r="D33" s="29" t="s">
        <v>1353</v>
      </c>
      <c r="E33" s="30" t="s">
        <v>1339</v>
      </c>
      <c r="F33" s="30"/>
      <c r="G33" s="206" t="s">
        <v>27</v>
      </c>
      <c r="H33" s="204"/>
      <c r="I33" s="205" t="s">
        <v>1338</v>
      </c>
      <c r="J33" s="205"/>
      <c r="K33" s="31"/>
      <c r="L33" s="31" t="s">
        <v>29</v>
      </c>
      <c r="M33" s="32"/>
      <c r="N33" s="32" t="s">
        <v>27</v>
      </c>
      <c r="O33" s="32"/>
      <c r="P33" s="32" t="s">
        <v>29</v>
      </c>
      <c r="Q33" s="32"/>
      <c r="R33" s="32" t="str">
        <f t="shared" si="1"/>
        <v>Yes</v>
      </c>
      <c r="S33" s="32"/>
      <c r="T33" s="32"/>
      <c r="U33" s="32" t="s">
        <v>29</v>
      </c>
      <c r="V33" s="32"/>
      <c r="W33" s="32" t="s">
        <v>29</v>
      </c>
      <c r="X33" s="32"/>
      <c r="Y33" s="32" t="s">
        <v>27</v>
      </c>
      <c r="Z33" s="32"/>
      <c r="AA33" s="32" t="s">
        <v>29</v>
      </c>
      <c r="AB33" s="32"/>
      <c r="AC33" s="32" t="str">
        <f t="shared" si="0"/>
        <v>Yes</v>
      </c>
    </row>
    <row r="34" spans="2:29" ht="15.6">
      <c r="B34" s="4"/>
      <c r="C34" s="4" t="s">
        <v>1375</v>
      </c>
      <c r="D34" s="29" t="s">
        <v>1376</v>
      </c>
      <c r="E34" s="30" t="s">
        <v>1334</v>
      </c>
      <c r="F34" s="30"/>
      <c r="G34" s="206" t="s">
        <v>27</v>
      </c>
      <c r="H34" s="204"/>
      <c r="I34" s="205" t="s">
        <v>1335</v>
      </c>
      <c r="J34" s="205"/>
      <c r="K34" s="31"/>
      <c r="L34" s="31" t="s">
        <v>1345</v>
      </c>
      <c r="M34" s="32"/>
      <c r="N34" s="32" t="s">
        <v>27</v>
      </c>
      <c r="O34" s="32"/>
      <c r="P34" s="32" t="s">
        <v>29</v>
      </c>
      <c r="Q34" s="32"/>
      <c r="R34" s="32" t="str">
        <f t="shared" si="1"/>
        <v>Yes</v>
      </c>
      <c r="S34" s="32"/>
      <c r="T34" s="32"/>
      <c r="U34" s="32" t="s">
        <v>29</v>
      </c>
      <c r="V34" s="32"/>
      <c r="W34" s="32" t="s">
        <v>29</v>
      </c>
      <c r="X34" s="32"/>
      <c r="Y34" s="32" t="s">
        <v>29</v>
      </c>
      <c r="Z34" s="32"/>
      <c r="AA34" s="32" t="s">
        <v>29</v>
      </c>
      <c r="AB34" s="32"/>
      <c r="AC34" s="32" t="str">
        <f t="shared" si="0"/>
        <v>No</v>
      </c>
    </row>
    <row r="35" spans="2:29" ht="15.6">
      <c r="B35" s="4"/>
      <c r="C35" s="4" t="s">
        <v>1377</v>
      </c>
      <c r="D35" s="29" t="s">
        <v>1359</v>
      </c>
      <c r="E35" s="30" t="s">
        <v>1334</v>
      </c>
      <c r="F35" s="30"/>
      <c r="G35" s="206" t="s">
        <v>27</v>
      </c>
      <c r="H35" s="204"/>
      <c r="I35" s="205" t="s">
        <v>1338</v>
      </c>
      <c r="J35" s="205"/>
      <c r="K35" s="31"/>
      <c r="L35" s="31" t="s">
        <v>29</v>
      </c>
      <c r="M35" s="32"/>
      <c r="N35" s="32" t="s">
        <v>29</v>
      </c>
      <c r="O35" s="32"/>
      <c r="P35" s="32" t="s">
        <v>29</v>
      </c>
      <c r="Q35" s="32"/>
      <c r="R35" s="32" t="str">
        <f t="shared" si="1"/>
        <v>No</v>
      </c>
      <c r="S35" s="32"/>
      <c r="T35" s="32"/>
      <c r="U35" s="32" t="s">
        <v>27</v>
      </c>
      <c r="V35" s="32"/>
      <c r="W35" s="32" t="s">
        <v>29</v>
      </c>
      <c r="X35" s="32"/>
      <c r="Y35" s="32" t="s">
        <v>27</v>
      </c>
      <c r="Z35" s="32"/>
      <c r="AA35" s="32" t="s">
        <v>29</v>
      </c>
      <c r="AB35" s="32"/>
      <c r="AC35" s="32" t="str">
        <f t="shared" si="0"/>
        <v>Yes</v>
      </c>
    </row>
    <row r="36" spans="2:29" ht="15.6">
      <c r="B36" s="29" t="s">
        <v>411</v>
      </c>
      <c r="C36" s="29" t="s">
        <v>1378</v>
      </c>
      <c r="D36" s="29" t="s">
        <v>1379</v>
      </c>
      <c r="E36" s="29" t="s">
        <v>1334</v>
      </c>
      <c r="G36" s="34" t="s">
        <v>1344</v>
      </c>
      <c r="I36" s="205" t="s">
        <v>1338</v>
      </c>
      <c r="L36" s="34" t="s">
        <v>1351</v>
      </c>
      <c r="N36" s="32" t="s">
        <v>29</v>
      </c>
      <c r="O36" s="207"/>
      <c r="P36" s="32" t="s">
        <v>29</v>
      </c>
      <c r="R36" s="32" t="str">
        <f t="shared" si="1"/>
        <v>Yes</v>
      </c>
      <c r="U36" s="34" t="s">
        <v>29</v>
      </c>
      <c r="V36" s="34"/>
      <c r="W36" s="32" t="s">
        <v>29</v>
      </c>
      <c r="X36" s="34"/>
      <c r="Y36" s="34" t="s">
        <v>27</v>
      </c>
      <c r="Z36" s="34"/>
      <c r="AA36" s="34" t="s">
        <v>29</v>
      </c>
      <c r="AC36" s="32" t="str">
        <f t="shared" si="0"/>
        <v>Yes</v>
      </c>
    </row>
    <row r="37" spans="2:29" ht="15.6">
      <c r="C37" s="29" t="s">
        <v>1380</v>
      </c>
      <c r="D37" s="29" t="s">
        <v>1379</v>
      </c>
      <c r="E37" s="29" t="s">
        <v>1339</v>
      </c>
      <c r="G37" s="34" t="s">
        <v>27</v>
      </c>
      <c r="I37" s="205" t="s">
        <v>1338</v>
      </c>
      <c r="L37" s="34" t="s">
        <v>1351</v>
      </c>
      <c r="N37" s="32" t="s">
        <v>29</v>
      </c>
      <c r="O37" s="207"/>
      <c r="P37" s="32" t="s">
        <v>29</v>
      </c>
      <c r="R37" s="32" t="str">
        <f t="shared" si="1"/>
        <v>Yes</v>
      </c>
      <c r="U37" s="34" t="s">
        <v>29</v>
      </c>
      <c r="V37" s="34"/>
      <c r="W37" s="32" t="s">
        <v>29</v>
      </c>
      <c r="X37" s="34"/>
      <c r="Y37" s="34" t="s">
        <v>27</v>
      </c>
      <c r="Z37" s="34"/>
      <c r="AA37" s="34" t="s">
        <v>29</v>
      </c>
      <c r="AC37" s="32" t="str">
        <f t="shared" si="0"/>
        <v>Yes</v>
      </c>
    </row>
    <row r="38" spans="2:29" ht="15.6">
      <c r="C38" s="29" t="s">
        <v>1381</v>
      </c>
      <c r="D38" s="29" t="s">
        <v>1382</v>
      </c>
      <c r="E38" s="29" t="s">
        <v>1339</v>
      </c>
      <c r="G38" s="34" t="s">
        <v>27</v>
      </c>
      <c r="I38" s="205" t="s">
        <v>1338</v>
      </c>
      <c r="L38" s="34" t="s">
        <v>1351</v>
      </c>
      <c r="N38" s="32" t="s">
        <v>29</v>
      </c>
      <c r="O38" s="207"/>
      <c r="P38" s="32" t="s">
        <v>29</v>
      </c>
      <c r="R38" s="32" t="str">
        <f t="shared" si="1"/>
        <v>Yes</v>
      </c>
      <c r="U38" s="34" t="s">
        <v>29</v>
      </c>
      <c r="V38" s="34"/>
      <c r="W38" s="34" t="s">
        <v>29</v>
      </c>
      <c r="X38" s="34"/>
      <c r="Y38" s="34" t="s">
        <v>27</v>
      </c>
      <c r="Z38" s="34"/>
      <c r="AA38" s="34" t="s">
        <v>27</v>
      </c>
      <c r="AC38" s="32" t="str">
        <f t="shared" si="0"/>
        <v>Yes</v>
      </c>
    </row>
    <row r="39" spans="2:29" ht="15.6">
      <c r="C39" s="29" t="s">
        <v>1383</v>
      </c>
      <c r="D39" s="29" t="s">
        <v>1382</v>
      </c>
      <c r="E39" s="29" t="s">
        <v>1334</v>
      </c>
      <c r="G39" s="34" t="s">
        <v>29</v>
      </c>
      <c r="I39" s="205" t="s">
        <v>1338</v>
      </c>
      <c r="L39" s="34" t="s">
        <v>1351</v>
      </c>
      <c r="N39" s="32" t="s">
        <v>27</v>
      </c>
      <c r="O39" s="207"/>
      <c r="P39" s="32" t="s">
        <v>29</v>
      </c>
      <c r="R39" s="32" t="str">
        <f t="shared" si="1"/>
        <v>Yes</v>
      </c>
      <c r="U39" s="34" t="s">
        <v>29</v>
      </c>
      <c r="V39" s="34"/>
      <c r="W39" s="34" t="s">
        <v>27</v>
      </c>
      <c r="X39" s="34"/>
      <c r="Y39" s="34" t="s">
        <v>27</v>
      </c>
      <c r="Z39" s="34"/>
      <c r="AA39" s="34" t="s">
        <v>29</v>
      </c>
      <c r="AC39" s="32" t="str">
        <f t="shared" si="0"/>
        <v>Yes</v>
      </c>
    </row>
    <row r="40" spans="2:29" ht="15.6">
      <c r="C40" s="29" t="s">
        <v>1384</v>
      </c>
      <c r="D40" s="29" t="s">
        <v>1382</v>
      </c>
      <c r="E40" s="29" t="s">
        <v>1339</v>
      </c>
      <c r="G40" s="34" t="s">
        <v>27</v>
      </c>
      <c r="I40" s="205" t="s">
        <v>1338</v>
      </c>
      <c r="L40" s="34" t="s">
        <v>1351</v>
      </c>
      <c r="N40" s="32" t="s">
        <v>27</v>
      </c>
      <c r="O40" s="207"/>
      <c r="P40" s="32" t="s">
        <v>29</v>
      </c>
      <c r="R40" s="32" t="str">
        <f t="shared" si="1"/>
        <v>Yes</v>
      </c>
      <c r="U40" s="34" t="s">
        <v>29</v>
      </c>
      <c r="V40" s="34"/>
      <c r="W40" s="34" t="s">
        <v>29</v>
      </c>
      <c r="X40" s="34"/>
      <c r="Y40" s="34" t="s">
        <v>27</v>
      </c>
      <c r="Z40" s="34"/>
      <c r="AA40" s="34" t="s">
        <v>27</v>
      </c>
      <c r="AC40" s="32" t="str">
        <f t="shared" si="0"/>
        <v>Yes</v>
      </c>
    </row>
    <row r="41" spans="2:29" ht="15.6">
      <c r="C41" s="29" t="s">
        <v>1385</v>
      </c>
      <c r="D41" s="29" t="s">
        <v>1386</v>
      </c>
      <c r="E41" s="29" t="s">
        <v>1334</v>
      </c>
      <c r="G41" s="34" t="s">
        <v>27</v>
      </c>
      <c r="I41" s="205" t="s">
        <v>1338</v>
      </c>
      <c r="L41" s="34" t="s">
        <v>1345</v>
      </c>
      <c r="N41" s="32" t="s">
        <v>29</v>
      </c>
      <c r="O41" s="207"/>
      <c r="P41" s="32" t="s">
        <v>29</v>
      </c>
      <c r="R41" s="32" t="str">
        <f t="shared" si="1"/>
        <v>Yes</v>
      </c>
      <c r="U41" s="34" t="s">
        <v>29</v>
      </c>
      <c r="V41" s="34"/>
      <c r="W41" s="34" t="s">
        <v>29</v>
      </c>
      <c r="X41" s="34"/>
      <c r="Y41" s="34" t="s">
        <v>27</v>
      </c>
      <c r="Z41" s="34"/>
      <c r="AA41" s="34" t="s">
        <v>29</v>
      </c>
      <c r="AC41" s="32" t="str">
        <f t="shared" si="0"/>
        <v>Yes</v>
      </c>
    </row>
    <row r="42" spans="2:29" ht="15.6">
      <c r="B42" s="4" t="s">
        <v>1084</v>
      </c>
      <c r="C42" s="4" t="s">
        <v>1387</v>
      </c>
      <c r="D42" s="29" t="s">
        <v>1388</v>
      </c>
      <c r="E42" s="30" t="s">
        <v>1334</v>
      </c>
      <c r="F42" s="30"/>
      <c r="G42" s="206" t="s">
        <v>27</v>
      </c>
      <c r="H42" s="206"/>
      <c r="I42" s="205" t="s">
        <v>1338</v>
      </c>
      <c r="J42" s="205"/>
      <c r="K42" s="31"/>
      <c r="L42" s="31" t="s">
        <v>1345</v>
      </c>
      <c r="M42" s="32"/>
      <c r="N42" s="32" t="s">
        <v>29</v>
      </c>
      <c r="O42" s="32"/>
      <c r="P42" s="32" t="s">
        <v>29</v>
      </c>
      <c r="Q42" s="32"/>
      <c r="R42" s="32" t="str">
        <f t="shared" si="1"/>
        <v>Yes</v>
      </c>
      <c r="S42" s="32"/>
      <c r="T42" s="32"/>
      <c r="U42" s="32" t="s">
        <v>29</v>
      </c>
      <c r="V42" s="32"/>
      <c r="W42" s="32" t="s">
        <v>27</v>
      </c>
      <c r="X42" s="32"/>
      <c r="Y42" s="32" t="s">
        <v>29</v>
      </c>
      <c r="Z42" s="32"/>
      <c r="AA42" s="32" t="s">
        <v>27</v>
      </c>
      <c r="AB42" s="32"/>
      <c r="AC42" s="32" t="str">
        <f t="shared" si="0"/>
        <v>Yes</v>
      </c>
    </row>
    <row r="43" spans="2:29" ht="15.6">
      <c r="B43" s="4"/>
      <c r="C43" s="4" t="s">
        <v>1389</v>
      </c>
      <c r="D43" s="29" t="s">
        <v>1388</v>
      </c>
      <c r="E43" s="30" t="s">
        <v>1334</v>
      </c>
      <c r="F43" s="30"/>
      <c r="G43" s="206" t="s">
        <v>27</v>
      </c>
      <c r="H43" s="206"/>
      <c r="I43" s="205" t="s">
        <v>1338</v>
      </c>
      <c r="J43" s="205"/>
      <c r="K43" s="31"/>
      <c r="L43" s="31" t="s">
        <v>29</v>
      </c>
      <c r="M43" s="32"/>
      <c r="N43" s="32" t="s">
        <v>29</v>
      </c>
      <c r="O43" s="32"/>
      <c r="P43" s="32" t="s">
        <v>29</v>
      </c>
      <c r="Q43" s="32"/>
      <c r="R43" s="32" t="str">
        <f t="shared" si="1"/>
        <v>No</v>
      </c>
      <c r="S43" s="32"/>
      <c r="T43" s="32"/>
      <c r="U43" s="32" t="s">
        <v>29</v>
      </c>
      <c r="V43" s="32"/>
      <c r="W43" s="32" t="s">
        <v>29</v>
      </c>
      <c r="X43" s="32"/>
      <c r="Y43" s="32" t="s">
        <v>27</v>
      </c>
      <c r="Z43" s="32"/>
      <c r="AA43" s="32" t="s">
        <v>29</v>
      </c>
      <c r="AB43" s="32"/>
      <c r="AC43" s="32" t="str">
        <f t="shared" si="0"/>
        <v>Yes</v>
      </c>
    </row>
    <row r="44" spans="2:29" ht="15.6">
      <c r="B44" s="4"/>
      <c r="C44" s="4" t="s">
        <v>1390</v>
      </c>
      <c r="D44" s="29" t="s">
        <v>1347</v>
      </c>
      <c r="E44" s="30" t="s">
        <v>1334</v>
      </c>
      <c r="F44" s="30"/>
      <c r="G44" s="204" t="s">
        <v>1348</v>
      </c>
      <c r="H44" s="208"/>
      <c r="I44" s="205" t="s">
        <v>1338</v>
      </c>
      <c r="J44" s="205"/>
      <c r="K44" s="31"/>
      <c r="L44" s="31" t="s">
        <v>1345</v>
      </c>
      <c r="M44" s="32"/>
      <c r="N44" s="32" t="s">
        <v>29</v>
      </c>
      <c r="O44" s="32"/>
      <c r="P44" s="32" t="s">
        <v>29</v>
      </c>
      <c r="Q44" s="32"/>
      <c r="R44" s="32" t="str">
        <f t="shared" si="1"/>
        <v>Yes</v>
      </c>
      <c r="S44" s="32"/>
      <c r="T44" s="32"/>
      <c r="U44" s="32" t="s">
        <v>29</v>
      </c>
      <c r="V44" s="32"/>
      <c r="W44" s="32" t="s">
        <v>29</v>
      </c>
      <c r="X44" s="32"/>
      <c r="Y44" s="32" t="s">
        <v>27</v>
      </c>
      <c r="Z44" s="32"/>
      <c r="AA44" s="32" t="s">
        <v>29</v>
      </c>
      <c r="AB44" s="32"/>
      <c r="AC44" s="32" t="str">
        <f t="shared" si="0"/>
        <v>Yes</v>
      </c>
    </row>
    <row r="45" spans="2:29" ht="15.6">
      <c r="B45" s="4"/>
      <c r="C45" s="4" t="s">
        <v>1391</v>
      </c>
      <c r="D45" s="29" t="s">
        <v>1347</v>
      </c>
      <c r="E45" s="30" t="s">
        <v>1334</v>
      </c>
      <c r="F45" s="30"/>
      <c r="G45" s="204" t="s">
        <v>1348</v>
      </c>
      <c r="H45" s="208"/>
      <c r="I45" s="205" t="s">
        <v>1338</v>
      </c>
      <c r="J45" s="205"/>
      <c r="K45" s="31"/>
      <c r="L45" s="31" t="s">
        <v>1345</v>
      </c>
      <c r="M45" s="32"/>
      <c r="N45" s="32" t="s">
        <v>29</v>
      </c>
      <c r="O45" s="32"/>
      <c r="P45" s="32" t="s">
        <v>29</v>
      </c>
      <c r="Q45" s="32"/>
      <c r="R45" s="32" t="str">
        <f t="shared" si="1"/>
        <v>Yes</v>
      </c>
      <c r="S45" s="32"/>
      <c r="T45" s="32"/>
      <c r="U45" s="32" t="s">
        <v>29</v>
      </c>
      <c r="V45" s="32"/>
      <c r="W45" s="32" t="s">
        <v>27</v>
      </c>
      <c r="X45" s="32"/>
      <c r="Y45" s="32" t="s">
        <v>27</v>
      </c>
      <c r="Z45" s="32"/>
      <c r="AA45" s="32" t="s">
        <v>29</v>
      </c>
      <c r="AB45" s="32"/>
      <c r="AC45" s="32" t="str">
        <f t="shared" si="0"/>
        <v>Yes</v>
      </c>
    </row>
    <row r="46" spans="2:29" ht="15.6">
      <c r="B46" s="4" t="s">
        <v>1085</v>
      </c>
      <c r="C46" s="4" t="s">
        <v>1392</v>
      </c>
      <c r="D46" s="29" t="s">
        <v>1393</v>
      </c>
      <c r="E46" s="29" t="s">
        <v>1334</v>
      </c>
      <c r="G46" s="204" t="s">
        <v>1348</v>
      </c>
      <c r="H46" s="208"/>
      <c r="I46" s="205" t="s">
        <v>1355</v>
      </c>
      <c r="J46" s="205"/>
      <c r="K46" s="31"/>
      <c r="L46" s="31" t="s">
        <v>1351</v>
      </c>
      <c r="M46" s="32"/>
      <c r="N46" s="32" t="s">
        <v>29</v>
      </c>
      <c r="O46" s="32"/>
      <c r="P46" s="32" t="s">
        <v>29</v>
      </c>
      <c r="Q46" s="32"/>
      <c r="R46" s="32" t="str">
        <f t="shared" si="1"/>
        <v>Yes</v>
      </c>
      <c r="S46" s="32"/>
      <c r="T46" s="32"/>
      <c r="U46" s="32" t="s">
        <v>29</v>
      </c>
      <c r="V46" s="32"/>
      <c r="W46" s="32" t="s">
        <v>29</v>
      </c>
      <c r="X46" s="32"/>
      <c r="Y46" s="32" t="s">
        <v>29</v>
      </c>
      <c r="Z46" s="32"/>
      <c r="AA46" s="32" t="s">
        <v>29</v>
      </c>
      <c r="AB46" s="32"/>
      <c r="AC46" s="32" t="str">
        <f t="shared" si="0"/>
        <v>No</v>
      </c>
    </row>
    <row r="47" spans="2:29" ht="15.6">
      <c r="B47" s="4"/>
      <c r="C47" s="4" t="s">
        <v>1392</v>
      </c>
      <c r="D47" s="29" t="s">
        <v>1394</v>
      </c>
      <c r="E47" s="29" t="s">
        <v>1334</v>
      </c>
      <c r="G47" s="204" t="s">
        <v>1348</v>
      </c>
      <c r="H47" s="208"/>
      <c r="I47" s="205" t="s">
        <v>1355</v>
      </c>
      <c r="J47" s="205"/>
      <c r="K47" s="31"/>
      <c r="L47" s="31" t="s">
        <v>29</v>
      </c>
      <c r="M47" s="32"/>
      <c r="N47" s="32" t="s">
        <v>29</v>
      </c>
      <c r="O47" s="32"/>
      <c r="P47" s="32" t="s">
        <v>29</v>
      </c>
      <c r="Q47" s="32"/>
      <c r="R47" s="32" t="str">
        <f t="shared" si="1"/>
        <v>No</v>
      </c>
      <c r="S47" s="32"/>
      <c r="T47" s="32"/>
      <c r="U47" s="32" t="s">
        <v>29</v>
      </c>
      <c r="V47" s="32"/>
      <c r="W47" s="32" t="s">
        <v>29</v>
      </c>
      <c r="X47" s="32"/>
      <c r="Y47" s="32" t="s">
        <v>29</v>
      </c>
      <c r="Z47" s="32"/>
      <c r="AA47" s="32" t="s">
        <v>29</v>
      </c>
      <c r="AB47" s="32"/>
      <c r="AC47" s="32" t="str">
        <f t="shared" si="0"/>
        <v>No</v>
      </c>
    </row>
    <row r="48" spans="2:29" ht="12" customHeight="1">
      <c r="B48" s="4" t="s">
        <v>1087</v>
      </c>
      <c r="C48" s="4" t="s">
        <v>1395</v>
      </c>
      <c r="D48" s="29" t="s">
        <v>1361</v>
      </c>
      <c r="E48" s="29" t="s">
        <v>1334</v>
      </c>
      <c r="G48" s="204" t="s">
        <v>27</v>
      </c>
      <c r="H48" s="204"/>
      <c r="I48" s="205" t="s">
        <v>1335</v>
      </c>
      <c r="J48" s="205"/>
      <c r="K48" s="31"/>
      <c r="L48" s="31" t="s">
        <v>29</v>
      </c>
      <c r="M48" s="32"/>
      <c r="N48" s="32" t="s">
        <v>29</v>
      </c>
      <c r="O48" s="32"/>
      <c r="P48" s="32" t="s">
        <v>29</v>
      </c>
      <c r="Q48" s="32"/>
      <c r="R48" s="32" t="str">
        <f t="shared" si="1"/>
        <v>No</v>
      </c>
      <c r="S48" s="32"/>
      <c r="T48" s="32"/>
      <c r="U48" s="32" t="s">
        <v>27</v>
      </c>
      <c r="V48" s="32"/>
      <c r="W48" s="32" t="s">
        <v>27</v>
      </c>
      <c r="X48" s="32"/>
      <c r="Y48" s="32" t="s">
        <v>29</v>
      </c>
      <c r="Z48" s="32"/>
      <c r="AA48" s="32" t="s">
        <v>27</v>
      </c>
      <c r="AB48" s="32"/>
      <c r="AC48" s="32" t="str">
        <f t="shared" si="0"/>
        <v>Yes</v>
      </c>
    </row>
    <row r="49" spans="2:29" ht="15.6">
      <c r="B49" s="4"/>
      <c r="C49" s="4" t="s">
        <v>1396</v>
      </c>
      <c r="D49" s="29" t="s">
        <v>1361</v>
      </c>
      <c r="E49" s="29" t="s">
        <v>1339</v>
      </c>
      <c r="G49" s="204" t="s">
        <v>27</v>
      </c>
      <c r="H49" s="204"/>
      <c r="I49" s="205" t="s">
        <v>1335</v>
      </c>
      <c r="J49" s="205"/>
      <c r="K49" s="31"/>
      <c r="L49" s="31" t="s">
        <v>29</v>
      </c>
      <c r="M49" s="32"/>
      <c r="N49" s="32" t="s">
        <v>29</v>
      </c>
      <c r="O49" s="32"/>
      <c r="P49" s="32" t="s">
        <v>29</v>
      </c>
      <c r="Q49" s="32"/>
      <c r="R49" s="32" t="str">
        <f t="shared" si="1"/>
        <v>No</v>
      </c>
      <c r="S49" s="32"/>
      <c r="T49" s="32"/>
      <c r="U49" s="32" t="s">
        <v>29</v>
      </c>
      <c r="V49" s="32"/>
      <c r="W49" s="32" t="s">
        <v>29</v>
      </c>
      <c r="X49" s="32"/>
      <c r="Y49" s="32" t="s">
        <v>27</v>
      </c>
      <c r="Z49" s="32"/>
      <c r="AA49" s="32" t="s">
        <v>27</v>
      </c>
      <c r="AB49" s="32"/>
      <c r="AC49" s="32" t="str">
        <f t="shared" si="0"/>
        <v>Yes</v>
      </c>
    </row>
    <row r="50" spans="2:29" ht="15.6">
      <c r="B50" s="4"/>
      <c r="C50" s="4" t="s">
        <v>1397</v>
      </c>
      <c r="D50" s="29" t="s">
        <v>1359</v>
      </c>
      <c r="E50" s="29" t="s">
        <v>1334</v>
      </c>
      <c r="G50" s="204" t="s">
        <v>1344</v>
      </c>
      <c r="H50" s="204"/>
      <c r="I50" s="205" t="s">
        <v>1338</v>
      </c>
      <c r="J50" s="205"/>
      <c r="K50" s="31"/>
      <c r="L50" s="31" t="s">
        <v>29</v>
      </c>
      <c r="M50" s="32"/>
      <c r="N50" s="32" t="s">
        <v>29</v>
      </c>
      <c r="O50" s="32"/>
      <c r="P50" s="32" t="s">
        <v>29</v>
      </c>
      <c r="Q50" s="32"/>
      <c r="R50" s="32" t="str">
        <f t="shared" si="1"/>
        <v>No</v>
      </c>
      <c r="S50" s="32"/>
      <c r="T50" s="32"/>
      <c r="U50" s="32" t="s">
        <v>29</v>
      </c>
      <c r="V50" s="32"/>
      <c r="W50" s="32" t="s">
        <v>29</v>
      </c>
      <c r="X50" s="32"/>
      <c r="Y50" s="32" t="s">
        <v>27</v>
      </c>
      <c r="Z50" s="32"/>
      <c r="AA50" s="32" t="s">
        <v>29</v>
      </c>
      <c r="AB50" s="32"/>
      <c r="AC50" s="32" t="str">
        <f t="shared" si="0"/>
        <v>Yes</v>
      </c>
    </row>
    <row r="51" spans="2:29" ht="15.6">
      <c r="B51" s="4" t="s">
        <v>1088</v>
      </c>
      <c r="C51" s="4" t="s">
        <v>1088</v>
      </c>
      <c r="D51" s="29" t="s">
        <v>1398</v>
      </c>
      <c r="E51" s="29" t="s">
        <v>1334</v>
      </c>
      <c r="G51" s="208" t="s">
        <v>1348</v>
      </c>
      <c r="H51" s="208"/>
      <c r="I51" s="205" t="s">
        <v>1338</v>
      </c>
      <c r="J51" s="205"/>
      <c r="K51" s="31"/>
      <c r="L51" s="31" t="s">
        <v>29</v>
      </c>
      <c r="M51" s="32"/>
      <c r="N51" s="32" t="s">
        <v>29</v>
      </c>
      <c r="O51" s="32"/>
      <c r="P51" s="32" t="s">
        <v>29</v>
      </c>
      <c r="Q51" s="32"/>
      <c r="R51" s="32" t="str">
        <f t="shared" si="1"/>
        <v>No</v>
      </c>
      <c r="S51" s="32"/>
      <c r="T51" s="32"/>
      <c r="U51" s="32" t="s">
        <v>29</v>
      </c>
      <c r="V51" s="32"/>
      <c r="W51" s="32" t="s">
        <v>29</v>
      </c>
      <c r="X51" s="32"/>
      <c r="Y51" s="32" t="s">
        <v>29</v>
      </c>
      <c r="Z51" s="32"/>
      <c r="AA51" s="32" t="s">
        <v>29</v>
      </c>
      <c r="AB51" s="32"/>
      <c r="AC51" s="32" t="str">
        <f t="shared" si="0"/>
        <v>No</v>
      </c>
    </row>
    <row r="52" spans="2:29" ht="15.6">
      <c r="B52" s="4"/>
      <c r="C52" s="4" t="s">
        <v>1088</v>
      </c>
      <c r="D52" s="29" t="s">
        <v>1398</v>
      </c>
      <c r="E52" s="29" t="s">
        <v>1339</v>
      </c>
      <c r="G52" s="204" t="s">
        <v>27</v>
      </c>
      <c r="H52" s="204"/>
      <c r="I52" s="205" t="s">
        <v>1338</v>
      </c>
      <c r="J52" s="205"/>
      <c r="K52" s="31"/>
      <c r="L52" s="31" t="s">
        <v>29</v>
      </c>
      <c r="M52" s="32"/>
      <c r="N52" s="32" t="s">
        <v>29</v>
      </c>
      <c r="O52" s="32"/>
      <c r="P52" s="32" t="s">
        <v>29</v>
      </c>
      <c r="Q52" s="32"/>
      <c r="R52" s="32" t="str">
        <f t="shared" si="1"/>
        <v>No</v>
      </c>
      <c r="S52" s="32"/>
      <c r="T52" s="32"/>
      <c r="U52" s="32" t="s">
        <v>29</v>
      </c>
      <c r="V52" s="32"/>
      <c r="W52" s="32" t="s">
        <v>29</v>
      </c>
      <c r="X52" s="32"/>
      <c r="Y52" s="32" t="s">
        <v>29</v>
      </c>
      <c r="Z52" s="32"/>
      <c r="AA52" s="32" t="s">
        <v>29</v>
      </c>
      <c r="AB52" s="32"/>
      <c r="AC52" s="32" t="str">
        <f t="shared" si="0"/>
        <v>No</v>
      </c>
    </row>
    <row r="53" spans="2:29" ht="15.6">
      <c r="B53" s="4"/>
      <c r="C53" s="4" t="s">
        <v>1088</v>
      </c>
      <c r="D53" s="29" t="s">
        <v>1399</v>
      </c>
      <c r="E53" s="29" t="s">
        <v>1339</v>
      </c>
      <c r="G53" s="204" t="s">
        <v>27</v>
      </c>
      <c r="H53" s="204"/>
      <c r="I53" s="205" t="s">
        <v>1338</v>
      </c>
      <c r="J53" s="205"/>
      <c r="K53" s="31"/>
      <c r="L53" s="31" t="s">
        <v>29</v>
      </c>
      <c r="M53" s="32"/>
      <c r="N53" s="32" t="s">
        <v>29</v>
      </c>
      <c r="O53" s="32"/>
      <c r="P53" s="32" t="s">
        <v>29</v>
      </c>
      <c r="Q53" s="32"/>
      <c r="R53" s="32" t="str">
        <f t="shared" si="1"/>
        <v>No</v>
      </c>
      <c r="S53" s="32"/>
      <c r="T53" s="32"/>
      <c r="U53" s="32" t="s">
        <v>29</v>
      </c>
      <c r="V53" s="32"/>
      <c r="W53" s="32" t="s">
        <v>29</v>
      </c>
      <c r="X53" s="32"/>
      <c r="Y53" s="32" t="s">
        <v>29</v>
      </c>
      <c r="Z53" s="32"/>
      <c r="AA53" s="32" t="s">
        <v>29</v>
      </c>
      <c r="AB53" s="32"/>
      <c r="AC53" s="32" t="str">
        <f t="shared" si="0"/>
        <v>No</v>
      </c>
    </row>
    <row r="54" spans="2:29" s="207" customFormat="1" ht="15.6">
      <c r="B54" s="4"/>
      <c r="C54" s="4" t="s">
        <v>1088</v>
      </c>
      <c r="D54" s="29" t="s">
        <v>1400</v>
      </c>
      <c r="E54" s="29" t="s">
        <v>1334</v>
      </c>
      <c r="F54" s="29"/>
      <c r="G54" s="204" t="s">
        <v>27</v>
      </c>
      <c r="H54" s="204"/>
      <c r="I54" s="205" t="s">
        <v>1338</v>
      </c>
      <c r="J54" s="205"/>
      <c r="K54" s="31"/>
      <c r="L54" s="31" t="s">
        <v>29</v>
      </c>
      <c r="M54" s="32"/>
      <c r="N54" s="32" t="s">
        <v>29</v>
      </c>
      <c r="O54" s="32"/>
      <c r="P54" s="32" t="s">
        <v>29</v>
      </c>
      <c r="Q54" s="32"/>
      <c r="R54" s="32" t="str">
        <f t="shared" si="1"/>
        <v>No</v>
      </c>
      <c r="S54" s="32"/>
      <c r="T54" s="32"/>
      <c r="U54" s="32" t="s">
        <v>29</v>
      </c>
      <c r="V54" s="32"/>
      <c r="W54" s="32" t="s">
        <v>29</v>
      </c>
      <c r="X54" s="32"/>
      <c r="Y54" s="32" t="s">
        <v>29</v>
      </c>
      <c r="Z54" s="32"/>
      <c r="AA54" s="32" t="s">
        <v>29</v>
      </c>
      <c r="AB54" s="32"/>
      <c r="AC54" s="32" t="str">
        <f t="shared" si="0"/>
        <v>No</v>
      </c>
    </row>
    <row r="55" spans="2:29" s="207" customFormat="1" ht="15.6">
      <c r="B55" s="4"/>
      <c r="C55" s="4" t="s">
        <v>1088</v>
      </c>
      <c r="D55" s="29" t="s">
        <v>1400</v>
      </c>
      <c r="E55" s="29" t="s">
        <v>1339</v>
      </c>
      <c r="F55" s="29"/>
      <c r="G55" s="208" t="s">
        <v>27</v>
      </c>
      <c r="H55" s="208"/>
      <c r="I55" s="205" t="s">
        <v>1338</v>
      </c>
      <c r="J55" s="205"/>
      <c r="K55" s="31"/>
      <c r="L55" s="31" t="s">
        <v>29</v>
      </c>
      <c r="M55" s="32"/>
      <c r="N55" s="32" t="s">
        <v>29</v>
      </c>
      <c r="O55" s="32"/>
      <c r="P55" s="32" t="s">
        <v>29</v>
      </c>
      <c r="Q55" s="32"/>
      <c r="R55" s="32" t="str">
        <f t="shared" si="1"/>
        <v>No</v>
      </c>
      <c r="S55" s="32"/>
      <c r="T55" s="32"/>
      <c r="U55" s="32" t="s">
        <v>29</v>
      </c>
      <c r="V55" s="32"/>
      <c r="W55" s="32" t="s">
        <v>29</v>
      </c>
      <c r="X55" s="32"/>
      <c r="Y55" s="32" t="s">
        <v>29</v>
      </c>
      <c r="Z55" s="32"/>
      <c r="AA55" s="32" t="s">
        <v>29</v>
      </c>
      <c r="AB55" s="32"/>
      <c r="AC55" s="32" t="str">
        <f t="shared" si="0"/>
        <v>No</v>
      </c>
    </row>
    <row r="56" spans="2:29" s="207" customFormat="1" ht="15.6">
      <c r="B56" s="207" t="s">
        <v>1401</v>
      </c>
      <c r="C56" s="207" t="s">
        <v>1402</v>
      </c>
      <c r="D56" s="29" t="s">
        <v>1349</v>
      </c>
      <c r="E56" s="29" t="s">
        <v>1334</v>
      </c>
      <c r="F56" s="29"/>
      <c r="G56" s="208" t="s">
        <v>27</v>
      </c>
      <c r="H56" s="208"/>
      <c r="I56" s="205" t="s">
        <v>1338</v>
      </c>
      <c r="J56" s="205"/>
      <c r="K56" s="31"/>
      <c r="L56" s="31" t="s">
        <v>1345</v>
      </c>
      <c r="M56" s="31"/>
      <c r="N56" s="32" t="s">
        <v>27</v>
      </c>
      <c r="O56" s="31"/>
      <c r="P56" s="32" t="s">
        <v>29</v>
      </c>
      <c r="Q56" s="31"/>
      <c r="R56" s="31" t="str">
        <f t="shared" si="1"/>
        <v>Yes</v>
      </c>
      <c r="S56" s="31"/>
      <c r="T56" s="31"/>
      <c r="U56" s="31" t="s">
        <v>27</v>
      </c>
      <c r="V56" s="31"/>
      <c r="W56" s="31" t="s">
        <v>27</v>
      </c>
      <c r="X56" s="31"/>
      <c r="Y56" s="31" t="s">
        <v>27</v>
      </c>
      <c r="Z56" s="31"/>
      <c r="AA56" s="31" t="s">
        <v>27</v>
      </c>
      <c r="AB56" s="31"/>
      <c r="AC56" s="31" t="str">
        <f>IF(AND(U56="No",W56="No",Y56="No",AA56="No"),"No","Yes")</f>
        <v>Yes</v>
      </c>
    </row>
    <row r="57" spans="2:29" s="207" customFormat="1" ht="15.6">
      <c r="C57" s="207" t="s">
        <v>1402</v>
      </c>
      <c r="D57" s="29" t="s">
        <v>1356</v>
      </c>
      <c r="E57" s="29" t="s">
        <v>1334</v>
      </c>
      <c r="F57" s="29"/>
      <c r="G57" s="208" t="s">
        <v>27</v>
      </c>
      <c r="H57" s="208"/>
      <c r="I57" s="205" t="s">
        <v>1338</v>
      </c>
      <c r="J57" s="205"/>
      <c r="K57" s="31"/>
      <c r="L57" s="31" t="s">
        <v>1345</v>
      </c>
      <c r="M57" s="31"/>
      <c r="N57" s="32" t="s">
        <v>29</v>
      </c>
      <c r="O57" s="31"/>
      <c r="P57" s="32" t="s">
        <v>29</v>
      </c>
      <c r="Q57" s="31"/>
      <c r="R57" s="31" t="str">
        <f t="shared" si="1"/>
        <v>Yes</v>
      </c>
      <c r="S57" s="31"/>
      <c r="T57" s="31"/>
      <c r="U57" s="31" t="s">
        <v>29</v>
      </c>
      <c r="V57" s="31"/>
      <c r="W57" s="31" t="s">
        <v>29</v>
      </c>
      <c r="X57" s="31"/>
      <c r="Y57" s="31" t="s">
        <v>27</v>
      </c>
      <c r="Z57" s="31"/>
      <c r="AA57" s="31" t="s">
        <v>27</v>
      </c>
      <c r="AB57" s="31"/>
      <c r="AC57" s="31" t="str">
        <f t="shared" si="0"/>
        <v>Yes</v>
      </c>
    </row>
    <row r="58" spans="2:29" s="207" customFormat="1" ht="15.6">
      <c r="B58" s="207" t="s">
        <v>1265</v>
      </c>
      <c r="C58" s="207" t="s">
        <v>440</v>
      </c>
      <c r="D58" s="207" t="s">
        <v>1403</v>
      </c>
      <c r="E58" s="209" t="s">
        <v>1334</v>
      </c>
      <c r="F58" s="209"/>
      <c r="G58" s="206" t="s">
        <v>27</v>
      </c>
      <c r="H58" s="208"/>
      <c r="I58" s="205" t="s">
        <v>1338</v>
      </c>
      <c r="J58" s="205"/>
      <c r="K58" s="31"/>
      <c r="L58" s="31" t="s">
        <v>1345</v>
      </c>
      <c r="M58" s="31"/>
      <c r="N58" s="31" t="s">
        <v>27</v>
      </c>
      <c r="O58" s="31"/>
      <c r="P58" s="31" t="s">
        <v>29</v>
      </c>
      <c r="Q58" s="31"/>
      <c r="R58" s="31" t="str">
        <f t="shared" si="1"/>
        <v>Yes</v>
      </c>
      <c r="S58" s="31"/>
      <c r="T58" s="31"/>
      <c r="U58" s="31" t="s">
        <v>29</v>
      </c>
      <c r="V58" s="31"/>
      <c r="W58" s="31" t="s">
        <v>27</v>
      </c>
      <c r="X58" s="31"/>
      <c r="Y58" s="31" t="s">
        <v>29</v>
      </c>
      <c r="Z58" s="31"/>
      <c r="AA58" s="31" t="s">
        <v>27</v>
      </c>
      <c r="AB58" s="31"/>
      <c r="AC58" s="31" t="str">
        <f t="shared" si="0"/>
        <v>Yes</v>
      </c>
    </row>
    <row r="59" spans="2:29" ht="15.6">
      <c r="B59" s="29" t="s">
        <v>1090</v>
      </c>
      <c r="C59" s="29" t="s">
        <v>1404</v>
      </c>
      <c r="D59" s="29" t="s">
        <v>1394</v>
      </c>
      <c r="E59" s="30" t="s">
        <v>1334</v>
      </c>
      <c r="F59" s="30"/>
      <c r="G59" s="204" t="s">
        <v>1348</v>
      </c>
      <c r="H59" s="208"/>
      <c r="I59" s="205" t="s">
        <v>1335</v>
      </c>
      <c r="J59" s="205"/>
      <c r="K59" s="31"/>
      <c r="L59" s="31" t="s">
        <v>29</v>
      </c>
      <c r="M59" s="32"/>
      <c r="N59" s="32" t="s">
        <v>29</v>
      </c>
      <c r="O59" s="32"/>
      <c r="P59" s="32" t="s">
        <v>29</v>
      </c>
      <c r="Q59" s="32"/>
      <c r="R59" s="32" t="str">
        <f t="shared" si="1"/>
        <v>No</v>
      </c>
      <c r="S59" s="32"/>
      <c r="T59" s="32"/>
      <c r="U59" s="32" t="s">
        <v>27</v>
      </c>
      <c r="V59" s="32"/>
      <c r="W59" s="32" t="s">
        <v>27</v>
      </c>
      <c r="X59" s="32"/>
      <c r="Y59" s="32" t="s">
        <v>29</v>
      </c>
      <c r="Z59" s="32"/>
      <c r="AA59" s="32" t="s">
        <v>27</v>
      </c>
      <c r="AB59" s="32"/>
      <c r="AC59" s="32" t="str">
        <f t="shared" si="0"/>
        <v>Yes</v>
      </c>
    </row>
    <row r="60" spans="2:29" ht="15.6">
      <c r="B60" s="29" t="s">
        <v>1092</v>
      </c>
      <c r="C60" s="29" t="s">
        <v>1405</v>
      </c>
      <c r="D60" s="29" t="s">
        <v>1406</v>
      </c>
      <c r="E60" s="30" t="s">
        <v>1334</v>
      </c>
      <c r="F60" s="30"/>
      <c r="G60" s="204" t="s">
        <v>27</v>
      </c>
      <c r="H60" s="204"/>
      <c r="I60" s="205" t="s">
        <v>1338</v>
      </c>
      <c r="J60" s="205"/>
      <c r="K60" s="31"/>
      <c r="L60" s="31" t="s">
        <v>1345</v>
      </c>
      <c r="M60" s="32"/>
      <c r="N60" s="32" t="s">
        <v>29</v>
      </c>
      <c r="O60" s="32"/>
      <c r="P60" s="32" t="s">
        <v>29</v>
      </c>
      <c r="Q60" s="32"/>
      <c r="R60" s="32" t="str">
        <f t="shared" si="1"/>
        <v>Yes</v>
      </c>
      <c r="S60" s="32"/>
      <c r="T60" s="32"/>
      <c r="U60" s="32" t="s">
        <v>29</v>
      </c>
      <c r="V60" s="32"/>
      <c r="W60" s="32" t="s">
        <v>27</v>
      </c>
      <c r="X60" s="32"/>
      <c r="Y60" s="32" t="s">
        <v>29</v>
      </c>
      <c r="Z60" s="32"/>
      <c r="AA60" s="32" t="s">
        <v>29</v>
      </c>
      <c r="AB60" s="32"/>
      <c r="AC60" s="32" t="str">
        <f t="shared" ref="AC60:AC70" si="2">IF(AND(U60="No",W60="No",Y60="No",AA60="No"),"No","Yes")</f>
        <v>Yes</v>
      </c>
    </row>
    <row r="61" spans="2:29" ht="15.6">
      <c r="C61" s="29" t="s">
        <v>1405</v>
      </c>
      <c r="D61" s="29" t="s">
        <v>1406</v>
      </c>
      <c r="E61" s="30" t="s">
        <v>1339</v>
      </c>
      <c r="F61" s="30"/>
      <c r="G61" s="204" t="s">
        <v>27</v>
      </c>
      <c r="H61" s="204"/>
      <c r="I61" s="205" t="s">
        <v>1338</v>
      </c>
      <c r="J61" s="205"/>
      <c r="K61" s="31"/>
      <c r="L61" s="31" t="s">
        <v>1345</v>
      </c>
      <c r="M61" s="32"/>
      <c r="N61" s="32" t="s">
        <v>29</v>
      </c>
      <c r="O61" s="32"/>
      <c r="P61" s="32" t="s">
        <v>29</v>
      </c>
      <c r="Q61" s="32"/>
      <c r="R61" s="32" t="str">
        <f t="shared" ref="R61:R70" si="3">IF(AND(L61="No",N61="No",P61="No"),"No","Yes")</f>
        <v>Yes</v>
      </c>
      <c r="S61" s="32"/>
      <c r="T61" s="32"/>
      <c r="U61" s="32" t="s">
        <v>29</v>
      </c>
      <c r="V61" s="32"/>
      <c r="W61" s="32" t="s">
        <v>29</v>
      </c>
      <c r="X61" s="32"/>
      <c r="Y61" s="32" t="s">
        <v>27</v>
      </c>
      <c r="Z61" s="32"/>
      <c r="AA61" s="32" t="s">
        <v>29</v>
      </c>
      <c r="AB61" s="32"/>
      <c r="AC61" s="32" t="str">
        <f t="shared" si="2"/>
        <v>Yes</v>
      </c>
    </row>
    <row r="62" spans="2:29" ht="15.6">
      <c r="C62" s="29" t="s">
        <v>1407</v>
      </c>
      <c r="D62" s="29" t="s">
        <v>1333</v>
      </c>
      <c r="E62" s="30" t="s">
        <v>1334</v>
      </c>
      <c r="F62" s="30"/>
      <c r="G62" s="204" t="s">
        <v>27</v>
      </c>
      <c r="H62" s="204"/>
      <c r="I62" s="205" t="s">
        <v>1335</v>
      </c>
      <c r="J62" s="205"/>
      <c r="K62" s="31"/>
      <c r="L62" s="31" t="s">
        <v>1345</v>
      </c>
      <c r="M62" s="32"/>
      <c r="N62" s="32" t="s">
        <v>27</v>
      </c>
      <c r="O62" s="32"/>
      <c r="P62" s="32" t="s">
        <v>29</v>
      </c>
      <c r="Q62" s="32"/>
      <c r="R62" s="32" t="str">
        <f t="shared" si="3"/>
        <v>Yes</v>
      </c>
      <c r="S62" s="32"/>
      <c r="T62" s="32"/>
      <c r="U62" s="32" t="s">
        <v>29</v>
      </c>
      <c r="V62" s="32"/>
      <c r="W62" s="32" t="s">
        <v>27</v>
      </c>
      <c r="X62" s="32"/>
      <c r="Y62" s="32" t="s">
        <v>29</v>
      </c>
      <c r="Z62" s="32"/>
      <c r="AA62" s="32" t="s">
        <v>27</v>
      </c>
      <c r="AB62" s="32"/>
      <c r="AC62" s="32" t="str">
        <f t="shared" si="2"/>
        <v>Yes</v>
      </c>
    </row>
    <row r="63" spans="2:29" ht="15.6">
      <c r="C63" s="29" t="s">
        <v>1407</v>
      </c>
      <c r="D63" s="29" t="s">
        <v>1333</v>
      </c>
      <c r="E63" s="30" t="s">
        <v>1339</v>
      </c>
      <c r="F63" s="30"/>
      <c r="G63" s="204" t="s">
        <v>27</v>
      </c>
      <c r="H63" s="204"/>
      <c r="I63" s="205" t="s">
        <v>1335</v>
      </c>
      <c r="J63" s="205"/>
      <c r="K63" s="31"/>
      <c r="L63" s="31" t="s">
        <v>29</v>
      </c>
      <c r="M63" s="32"/>
      <c r="N63" s="32" t="s">
        <v>29</v>
      </c>
      <c r="O63" s="32"/>
      <c r="P63" s="32" t="s">
        <v>29</v>
      </c>
      <c r="Q63" s="32"/>
      <c r="R63" s="32" t="str">
        <f t="shared" si="3"/>
        <v>No</v>
      </c>
      <c r="S63" s="32"/>
      <c r="T63" s="32"/>
      <c r="U63" s="32" t="s">
        <v>29</v>
      </c>
      <c r="V63" s="32"/>
      <c r="W63" s="32" t="s">
        <v>29</v>
      </c>
      <c r="X63" s="32"/>
      <c r="Y63" s="32" t="s">
        <v>27</v>
      </c>
      <c r="Z63" s="32"/>
      <c r="AA63" s="32" t="s">
        <v>29</v>
      </c>
      <c r="AB63" s="32"/>
      <c r="AC63" s="32" t="str">
        <f t="shared" si="2"/>
        <v>Yes</v>
      </c>
    </row>
    <row r="64" spans="2:29" ht="15.6">
      <c r="C64" s="29" t="s">
        <v>1408</v>
      </c>
      <c r="D64" s="29" t="s">
        <v>1409</v>
      </c>
      <c r="E64" s="30" t="s">
        <v>1334</v>
      </c>
      <c r="F64" s="30"/>
      <c r="G64" s="204" t="s">
        <v>27</v>
      </c>
      <c r="H64" s="204"/>
      <c r="I64" s="205" t="s">
        <v>1338</v>
      </c>
      <c r="J64" s="205"/>
      <c r="K64" s="31"/>
      <c r="L64" s="31" t="s">
        <v>29</v>
      </c>
      <c r="M64" s="32"/>
      <c r="N64" s="32" t="s">
        <v>29</v>
      </c>
      <c r="O64" s="32"/>
      <c r="P64" s="32" t="s">
        <v>29</v>
      </c>
      <c r="Q64" s="32"/>
      <c r="R64" s="32" t="str">
        <f t="shared" si="3"/>
        <v>No</v>
      </c>
      <c r="S64" s="32"/>
      <c r="T64" s="32"/>
      <c r="U64" s="32" t="s">
        <v>29</v>
      </c>
      <c r="V64" s="32"/>
      <c r="W64" s="32" t="s">
        <v>27</v>
      </c>
      <c r="X64" s="32"/>
      <c r="Y64" s="32" t="s">
        <v>29</v>
      </c>
      <c r="Z64" s="32"/>
      <c r="AA64" s="32" t="s">
        <v>29</v>
      </c>
      <c r="AB64" s="32"/>
      <c r="AC64" s="32" t="str">
        <f t="shared" si="2"/>
        <v>Yes</v>
      </c>
    </row>
    <row r="65" spans="2:29" ht="15.6">
      <c r="C65" s="29" t="s">
        <v>1407</v>
      </c>
      <c r="D65" s="29" t="s">
        <v>1410</v>
      </c>
      <c r="E65" s="30" t="s">
        <v>1334</v>
      </c>
      <c r="F65" s="30"/>
      <c r="G65" s="204" t="s">
        <v>27</v>
      </c>
      <c r="H65" s="204"/>
      <c r="I65" s="205" t="s">
        <v>1335</v>
      </c>
      <c r="J65" s="205"/>
      <c r="K65" s="31"/>
      <c r="L65" s="31" t="s">
        <v>29</v>
      </c>
      <c r="M65" s="32"/>
      <c r="N65" s="32" t="s">
        <v>29</v>
      </c>
      <c r="O65" s="32"/>
      <c r="P65" s="32" t="s">
        <v>29</v>
      </c>
      <c r="Q65" s="32"/>
      <c r="R65" s="32" t="str">
        <f t="shared" si="3"/>
        <v>No</v>
      </c>
      <c r="S65" s="32"/>
      <c r="T65" s="32"/>
      <c r="U65" s="32" t="s">
        <v>29</v>
      </c>
      <c r="V65" s="32"/>
      <c r="W65" s="32" t="s">
        <v>27</v>
      </c>
      <c r="X65" s="32"/>
      <c r="Y65" s="32" t="s">
        <v>27</v>
      </c>
      <c r="Z65" s="32"/>
      <c r="AA65" s="32" t="s">
        <v>29</v>
      </c>
      <c r="AB65" s="32"/>
      <c r="AC65" s="32" t="str">
        <f t="shared" si="2"/>
        <v>Yes</v>
      </c>
    </row>
    <row r="66" spans="2:29" ht="15.6">
      <c r="C66" s="29" t="s">
        <v>1407</v>
      </c>
      <c r="D66" s="29" t="s">
        <v>1410</v>
      </c>
      <c r="E66" s="30" t="s">
        <v>1339</v>
      </c>
      <c r="F66" s="30"/>
      <c r="G66" s="204" t="s">
        <v>27</v>
      </c>
      <c r="H66" s="204"/>
      <c r="I66" s="205" t="s">
        <v>1335</v>
      </c>
      <c r="J66" s="205"/>
      <c r="K66" s="31"/>
      <c r="L66" s="31" t="s">
        <v>29</v>
      </c>
      <c r="M66" s="32"/>
      <c r="N66" s="32" t="s">
        <v>29</v>
      </c>
      <c r="O66" s="32"/>
      <c r="P66" s="32" t="s">
        <v>27</v>
      </c>
      <c r="Q66" s="32"/>
      <c r="R66" s="32" t="str">
        <f t="shared" si="3"/>
        <v>Yes</v>
      </c>
      <c r="S66" s="32"/>
      <c r="T66" s="32"/>
      <c r="U66" s="32" t="s">
        <v>29</v>
      </c>
      <c r="V66" s="32"/>
      <c r="W66" s="32" t="s">
        <v>29</v>
      </c>
      <c r="X66" s="32"/>
      <c r="Y66" s="32" t="s">
        <v>29</v>
      </c>
      <c r="Z66" s="32"/>
      <c r="AA66" s="32" t="s">
        <v>29</v>
      </c>
      <c r="AB66" s="32"/>
      <c r="AC66" s="32" t="str">
        <f t="shared" si="2"/>
        <v>No</v>
      </c>
    </row>
    <row r="67" spans="2:29" ht="15.6">
      <c r="C67" s="29" t="s">
        <v>1407</v>
      </c>
      <c r="D67" s="29" t="s">
        <v>1400</v>
      </c>
      <c r="E67" s="30" t="s">
        <v>1334</v>
      </c>
      <c r="F67" s="30"/>
      <c r="G67" s="204" t="s">
        <v>27</v>
      </c>
      <c r="H67" s="204"/>
      <c r="I67" s="205" t="s">
        <v>1338</v>
      </c>
      <c r="J67" s="205"/>
      <c r="K67" s="31"/>
      <c r="L67" s="31" t="s">
        <v>1345</v>
      </c>
      <c r="M67" s="32"/>
      <c r="N67" s="32" t="s">
        <v>29</v>
      </c>
      <c r="O67" s="32"/>
      <c r="P67" s="32" t="s">
        <v>29</v>
      </c>
      <c r="Q67" s="32"/>
      <c r="R67" s="32" t="str">
        <f t="shared" si="3"/>
        <v>Yes</v>
      </c>
      <c r="S67" s="32"/>
      <c r="T67" s="32"/>
      <c r="U67" s="32" t="s">
        <v>27</v>
      </c>
      <c r="V67" s="32"/>
      <c r="W67" s="32" t="s">
        <v>29</v>
      </c>
      <c r="X67" s="32"/>
      <c r="Y67" s="32" t="s">
        <v>27</v>
      </c>
      <c r="Z67" s="32"/>
      <c r="AA67" s="32" t="s">
        <v>27</v>
      </c>
      <c r="AB67" s="32"/>
      <c r="AC67" s="32" t="str">
        <f t="shared" si="2"/>
        <v>Yes</v>
      </c>
    </row>
    <row r="68" spans="2:29" ht="15.6">
      <c r="C68" s="29" t="s">
        <v>1411</v>
      </c>
      <c r="D68" s="29" t="s">
        <v>1359</v>
      </c>
      <c r="E68" s="30" t="s">
        <v>1334</v>
      </c>
      <c r="F68" s="30"/>
      <c r="G68" s="204" t="s">
        <v>27</v>
      </c>
      <c r="H68" s="204"/>
      <c r="I68" s="205" t="s">
        <v>1338</v>
      </c>
      <c r="J68" s="205"/>
      <c r="K68" s="31"/>
      <c r="L68" s="31" t="s">
        <v>29</v>
      </c>
      <c r="M68" s="32"/>
      <c r="N68" s="32" t="s">
        <v>29</v>
      </c>
      <c r="O68" s="32"/>
      <c r="P68" s="32" t="s">
        <v>29</v>
      </c>
      <c r="Q68" s="32"/>
      <c r="R68" s="32" t="str">
        <f t="shared" si="3"/>
        <v>No</v>
      </c>
      <c r="S68" s="32"/>
      <c r="T68" s="32"/>
      <c r="U68" s="32" t="s">
        <v>29</v>
      </c>
      <c r="V68" s="32"/>
      <c r="W68" s="32" t="s">
        <v>29</v>
      </c>
      <c r="X68" s="32"/>
      <c r="Y68" s="32" t="s">
        <v>29</v>
      </c>
      <c r="Z68" s="32"/>
      <c r="AA68" s="32" t="s">
        <v>29</v>
      </c>
      <c r="AB68" s="32"/>
      <c r="AC68" s="32" t="str">
        <f t="shared" si="2"/>
        <v>No</v>
      </c>
    </row>
    <row r="69" spans="2:29" ht="15.6">
      <c r="C69" s="29" t="s">
        <v>1412</v>
      </c>
      <c r="D69" s="29" t="s">
        <v>1341</v>
      </c>
      <c r="E69" s="30" t="s">
        <v>1334</v>
      </c>
      <c r="F69" s="30"/>
      <c r="G69" s="204" t="s">
        <v>27</v>
      </c>
      <c r="H69" s="204"/>
      <c r="I69" s="205" t="s">
        <v>1335</v>
      </c>
      <c r="J69" s="205"/>
      <c r="K69" s="31"/>
      <c r="L69" s="31" t="s">
        <v>29</v>
      </c>
      <c r="M69" s="32"/>
      <c r="N69" s="32" t="s">
        <v>29</v>
      </c>
      <c r="O69" s="32"/>
      <c r="P69" s="32" t="s">
        <v>29</v>
      </c>
      <c r="Q69" s="32"/>
      <c r="R69" s="32" t="str">
        <f t="shared" si="3"/>
        <v>No</v>
      </c>
      <c r="S69" s="32"/>
      <c r="T69" s="32"/>
      <c r="U69" s="32" t="s">
        <v>29</v>
      </c>
      <c r="V69" s="32"/>
      <c r="W69" s="32" t="s">
        <v>29</v>
      </c>
      <c r="X69" s="32"/>
      <c r="Y69" s="32" t="s">
        <v>29</v>
      </c>
      <c r="Z69" s="32"/>
      <c r="AA69" s="32" t="s">
        <v>29</v>
      </c>
      <c r="AB69" s="32"/>
      <c r="AC69" s="32" t="str">
        <f t="shared" si="2"/>
        <v>No</v>
      </c>
    </row>
    <row r="70" spans="2:29" ht="15.6">
      <c r="C70" s="29" t="s">
        <v>1412</v>
      </c>
      <c r="D70" s="29" t="s">
        <v>1341</v>
      </c>
      <c r="E70" s="30" t="s">
        <v>1339</v>
      </c>
      <c r="F70" s="30"/>
      <c r="G70" s="204" t="s">
        <v>27</v>
      </c>
      <c r="H70" s="204"/>
      <c r="I70" s="205" t="s">
        <v>1335</v>
      </c>
      <c r="J70" s="205"/>
      <c r="K70" s="31"/>
      <c r="L70" s="31" t="s">
        <v>29</v>
      </c>
      <c r="M70" s="32"/>
      <c r="N70" s="32" t="s">
        <v>29</v>
      </c>
      <c r="O70" s="32"/>
      <c r="P70" s="32" t="s">
        <v>29</v>
      </c>
      <c r="Q70" s="32"/>
      <c r="R70" s="32" t="str">
        <f t="shared" si="3"/>
        <v>No</v>
      </c>
      <c r="S70" s="32"/>
      <c r="T70" s="32"/>
      <c r="U70" s="32" t="s">
        <v>29</v>
      </c>
      <c r="V70" s="32"/>
      <c r="W70" s="32" t="s">
        <v>29</v>
      </c>
      <c r="X70" s="32"/>
      <c r="Y70" s="32" t="s">
        <v>29</v>
      </c>
      <c r="Z70" s="32"/>
      <c r="AA70" s="32" t="s">
        <v>29</v>
      </c>
      <c r="AB70" s="32"/>
      <c r="AC70" s="32" t="str">
        <f t="shared" si="2"/>
        <v>No</v>
      </c>
    </row>
    <row r="71" spans="2:29" ht="15.6">
      <c r="E71" s="30"/>
      <c r="F71" s="30"/>
      <c r="G71" s="195"/>
      <c r="H71" s="30"/>
      <c r="I71" s="34"/>
      <c r="J71" s="34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spans="2:29" ht="15" customHeight="1">
      <c r="B72" s="210"/>
      <c r="C72" s="210"/>
      <c r="D72" s="210"/>
      <c r="E72" s="211"/>
      <c r="F72" s="212"/>
      <c r="G72" s="213"/>
      <c r="H72" s="212"/>
      <c r="I72" s="214"/>
      <c r="J72" s="214"/>
      <c r="K72" s="215"/>
      <c r="L72" s="215"/>
      <c r="M72" s="215"/>
      <c r="N72" s="215"/>
      <c r="O72" s="215"/>
      <c r="P72" s="215"/>
      <c r="Q72" s="411"/>
      <c r="R72" s="411"/>
      <c r="S72" s="216"/>
      <c r="T72" s="215"/>
      <c r="U72" s="215"/>
      <c r="V72" s="217"/>
      <c r="W72" s="217"/>
      <c r="X72" s="215"/>
      <c r="Y72" s="215"/>
      <c r="Z72" s="215"/>
      <c r="AA72" s="215"/>
      <c r="AB72" s="412"/>
      <c r="AC72" s="412"/>
    </row>
    <row r="73" spans="2:29" ht="15" customHeight="1">
      <c r="B73" s="218" t="s">
        <v>1413</v>
      </c>
      <c r="C73" s="218"/>
      <c r="E73" s="219"/>
      <c r="F73" s="220" t="s">
        <v>27</v>
      </c>
      <c r="G73" s="221">
        <f>COUNTIF($G$8:$G$70,F73)</f>
        <v>51</v>
      </c>
      <c r="H73" s="218" t="s">
        <v>1335</v>
      </c>
      <c r="I73" s="222">
        <f>COUNTIF($I$8:$I$70,"Fully Forecast")</f>
        <v>20</v>
      </c>
      <c r="J73" s="222"/>
      <c r="K73" s="222"/>
      <c r="L73" s="222"/>
      <c r="M73" s="222"/>
      <c r="N73" s="222"/>
      <c r="O73" s="222"/>
      <c r="P73" s="222"/>
      <c r="Q73" s="222" t="s">
        <v>27</v>
      </c>
      <c r="R73" s="222">
        <f>COUNTIF($R$8:$R$70,"Yes")</f>
        <v>37</v>
      </c>
      <c r="S73" s="222"/>
      <c r="T73" s="222"/>
      <c r="U73" s="222"/>
      <c r="V73" s="222"/>
      <c r="W73" s="222"/>
      <c r="X73" s="222"/>
      <c r="Y73" s="222"/>
      <c r="Z73" s="222"/>
      <c r="AA73" s="222"/>
      <c r="AB73" s="222" t="s">
        <v>27</v>
      </c>
      <c r="AC73" s="222">
        <f>COUNTIF($AC$8:$AC$70,"Yes")</f>
        <v>45</v>
      </c>
    </row>
    <row r="74" spans="2:29" ht="15" customHeight="1">
      <c r="B74" s="218"/>
      <c r="C74" s="218"/>
      <c r="E74" s="219"/>
      <c r="F74" s="220" t="s">
        <v>29</v>
      </c>
      <c r="G74" s="221">
        <f>COUNTIF($G$8:$G$70,F74)</f>
        <v>1</v>
      </c>
      <c r="H74" s="218" t="s">
        <v>1355</v>
      </c>
      <c r="I74" s="222">
        <f>COUNTIF($I$8:$I$70,"Partially Forecast")</f>
        <v>6</v>
      </c>
      <c r="J74" s="222"/>
      <c r="K74" s="222"/>
      <c r="L74" s="222"/>
      <c r="M74" s="222"/>
      <c r="N74" s="222"/>
      <c r="O74" s="222"/>
      <c r="P74" s="222"/>
      <c r="Q74" s="222" t="s">
        <v>29</v>
      </c>
      <c r="R74" s="222">
        <f>COUNTIF($R$8:$R$70,"No")</f>
        <v>26</v>
      </c>
      <c r="S74" s="222"/>
      <c r="T74" s="222"/>
      <c r="U74" s="222"/>
      <c r="V74" s="222"/>
      <c r="W74" s="222"/>
      <c r="X74" s="222"/>
      <c r="Y74" s="222"/>
      <c r="Z74" s="222"/>
      <c r="AA74" s="222"/>
      <c r="AB74" s="222" t="s">
        <v>29</v>
      </c>
      <c r="AC74" s="222">
        <f>COUNTIF($AC$8:$AC$70,"No")</f>
        <v>18</v>
      </c>
    </row>
    <row r="75" spans="2:29" ht="15" customHeight="1">
      <c r="B75" s="223"/>
      <c r="C75" s="223"/>
      <c r="E75" s="308" t="s">
        <v>1348</v>
      </c>
      <c r="G75" s="221">
        <f>COUNTIF($G$8:$G$70,E75)</f>
        <v>7</v>
      </c>
      <c r="H75" s="225" t="s">
        <v>1338</v>
      </c>
      <c r="I75" s="222">
        <f>COUNTIF($I$8:$I$70,"Historical")</f>
        <v>37</v>
      </c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  <c r="AC75" s="218"/>
    </row>
    <row r="76" spans="2:29" ht="15" customHeight="1">
      <c r="B76" s="223"/>
      <c r="C76" s="223"/>
      <c r="E76" s="224"/>
      <c r="F76" s="226" t="s">
        <v>1344</v>
      </c>
      <c r="G76" s="221">
        <f>COUNTIF($G$8:$G$70,F76)</f>
        <v>4</v>
      </c>
      <c r="H76" s="225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18"/>
    </row>
    <row r="77" spans="2:29" ht="15.6">
      <c r="B77" s="227"/>
      <c r="C77" s="227"/>
      <c r="E77" s="225"/>
      <c r="F77" s="225"/>
      <c r="G77" s="228"/>
      <c r="H77" s="221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  <c r="AC77" s="218"/>
    </row>
    <row r="78" spans="2:29" ht="15.6">
      <c r="F78" s="229" t="s">
        <v>1414</v>
      </c>
      <c r="G78" s="230">
        <f>(G73+G76)/(G73+G74+G75+G76)</f>
        <v>0.87301587301587302</v>
      </c>
      <c r="H78" s="225" t="s">
        <v>1415</v>
      </c>
      <c r="I78" s="231">
        <f>(I73+I74)/(I73+I74+I75)</f>
        <v>0.41269841269841268</v>
      </c>
      <c r="J78" s="232"/>
      <c r="K78" s="222"/>
      <c r="L78" s="232"/>
      <c r="M78" s="232"/>
      <c r="N78" s="232"/>
      <c r="O78" s="232"/>
      <c r="P78" s="232"/>
      <c r="Q78" s="232" t="s">
        <v>1416</v>
      </c>
      <c r="R78" s="231">
        <f>R73/(R73+R74)</f>
        <v>0.58730158730158732</v>
      </c>
      <c r="S78" s="232"/>
      <c r="T78" s="232"/>
      <c r="U78" s="232"/>
      <c r="V78" s="232"/>
      <c r="W78" s="232"/>
      <c r="X78" s="232"/>
      <c r="Y78" s="232"/>
      <c r="Z78" s="232"/>
      <c r="AA78" s="232"/>
      <c r="AB78" s="232" t="s">
        <v>1416</v>
      </c>
      <c r="AC78" s="232">
        <f>AC73/(AC73+AC74)</f>
        <v>0.7142857142857143</v>
      </c>
    </row>
    <row r="79" spans="2:29" ht="15.6">
      <c r="B79" s="233"/>
      <c r="C79" s="233"/>
      <c r="D79" s="233"/>
      <c r="E79" s="234"/>
      <c r="F79" s="234"/>
      <c r="G79" s="235"/>
      <c r="H79" s="234"/>
      <c r="I79" s="236"/>
      <c r="J79" s="236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7"/>
      <c r="AB79" s="237"/>
      <c r="AC79" s="237"/>
    </row>
    <row r="80" spans="2:29" s="207" customFormat="1" ht="16.2" thickBot="1">
      <c r="B80" s="238" t="s">
        <v>1456</v>
      </c>
      <c r="C80" s="238"/>
      <c r="D80" s="238" t="s">
        <v>1359</v>
      </c>
      <c r="E80" s="239"/>
      <c r="F80" s="239"/>
      <c r="G80" s="386" t="s">
        <v>1344</v>
      </c>
      <c r="H80" s="387"/>
      <c r="I80" s="388" t="s">
        <v>1338</v>
      </c>
      <c r="J80" s="389"/>
      <c r="K80" s="390"/>
      <c r="L80" s="390"/>
      <c r="M80" s="390"/>
      <c r="N80" s="390"/>
      <c r="O80" s="390"/>
      <c r="P80" s="390"/>
      <c r="Q80" s="390"/>
      <c r="R80" s="390"/>
      <c r="S80" s="391"/>
      <c r="T80" s="391"/>
      <c r="U80" s="390"/>
      <c r="V80" s="390"/>
      <c r="W80" s="390"/>
      <c r="X80" s="390"/>
      <c r="Y80" s="390"/>
      <c r="Z80" s="390"/>
      <c r="AA80" s="390"/>
      <c r="AB80" s="390"/>
      <c r="AC80" s="390" t="str">
        <f>IF(AND(U80="No",W80="No",Y80="No",AA80="No"),"No","Yes")</f>
        <v>Yes</v>
      </c>
    </row>
    <row r="81" spans="2:29" ht="15.6"/>
    <row r="83" spans="2:29" ht="15.6">
      <c r="B83" s="240" t="s">
        <v>32</v>
      </c>
    </row>
    <row r="84" spans="2:29" ht="15.6">
      <c r="B84" s="35" t="s">
        <v>1417</v>
      </c>
    </row>
    <row r="85" spans="2:29" ht="12.75" customHeight="1">
      <c r="B85" s="407" t="s">
        <v>1418</v>
      </c>
      <c r="C85" s="407"/>
      <c r="D85" s="407"/>
      <c r="E85" s="407"/>
      <c r="F85" s="407"/>
      <c r="G85" s="407"/>
      <c r="H85" s="407"/>
      <c r="I85" s="407"/>
      <c r="J85" s="407"/>
      <c r="K85" s="407"/>
      <c r="L85" s="407"/>
      <c r="M85" s="407"/>
      <c r="N85" s="407"/>
      <c r="O85" s="241"/>
      <c r="P85" s="241"/>
      <c r="Q85" s="241"/>
      <c r="R85" s="241"/>
      <c r="S85" s="241"/>
      <c r="T85" s="241"/>
      <c r="U85" s="242"/>
      <c r="V85" s="242"/>
      <c r="W85" s="242"/>
      <c r="X85" s="242"/>
      <c r="Y85" s="242"/>
      <c r="Z85" s="242"/>
      <c r="AA85" s="242"/>
      <c r="AB85" s="241"/>
      <c r="AC85" s="241"/>
    </row>
    <row r="86" spans="2:29" ht="12.75" customHeight="1">
      <c r="B86" s="223" t="s">
        <v>1419</v>
      </c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1"/>
      <c r="P86" s="241"/>
      <c r="Q86" s="241"/>
      <c r="R86" s="241"/>
      <c r="S86" s="241"/>
      <c r="T86" s="241"/>
      <c r="U86" s="242"/>
      <c r="V86" s="242"/>
      <c r="W86" s="242"/>
      <c r="X86" s="242"/>
      <c r="Y86" s="242"/>
      <c r="Z86" s="242"/>
      <c r="AA86" s="242"/>
      <c r="AB86" s="241"/>
      <c r="AC86" s="241"/>
    </row>
    <row r="87" spans="2:29" ht="15.6">
      <c r="B87" s="223" t="s">
        <v>1420</v>
      </c>
      <c r="C87" s="223"/>
      <c r="D87" s="242"/>
      <c r="E87" s="242"/>
      <c r="F87" s="242"/>
      <c r="G87" s="243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</row>
    <row r="88" spans="2:29" ht="15.6">
      <c r="B88" s="223" t="s">
        <v>1421</v>
      </c>
      <c r="C88" s="223"/>
      <c r="D88" s="242"/>
      <c r="E88" s="242"/>
      <c r="F88" s="242"/>
      <c r="G88" s="243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2"/>
    </row>
    <row r="89" spans="2:29" ht="15.6">
      <c r="B89" s="223" t="s">
        <v>1422</v>
      </c>
      <c r="C89" s="223"/>
      <c r="D89" s="242"/>
      <c r="E89" s="242"/>
      <c r="F89" s="242"/>
      <c r="G89" s="243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</row>
    <row r="90" spans="2:29" ht="15.6">
      <c r="B90" s="223" t="s">
        <v>1423</v>
      </c>
      <c r="C90" s="223"/>
      <c r="D90" s="242"/>
      <c r="E90" s="242"/>
      <c r="F90" s="242"/>
      <c r="G90" s="243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</row>
    <row r="91" spans="2:29" ht="15.6">
      <c r="B91" s="223" t="s">
        <v>1424</v>
      </c>
      <c r="C91" s="223"/>
      <c r="D91" s="242"/>
      <c r="E91" s="242"/>
      <c r="F91" s="242"/>
      <c r="G91" s="243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2"/>
    </row>
    <row r="92" spans="2:29" ht="15.6">
      <c r="B92" s="223" t="s">
        <v>1425</v>
      </c>
      <c r="C92" s="223"/>
      <c r="D92" s="242"/>
      <c r="E92" s="242"/>
      <c r="F92" s="242"/>
      <c r="G92" s="243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</row>
    <row r="93" spans="2:29" ht="15.6">
      <c r="B93" s="223" t="s">
        <v>1426</v>
      </c>
      <c r="C93" s="223"/>
      <c r="D93" s="242"/>
      <c r="E93" s="242"/>
      <c r="F93" s="242"/>
      <c r="G93" s="243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</row>
    <row r="94" spans="2:29" ht="15.6">
      <c r="B94" s="223" t="s">
        <v>1427</v>
      </c>
      <c r="C94" s="223"/>
      <c r="D94" s="242"/>
      <c r="E94" s="242"/>
      <c r="F94" s="242"/>
      <c r="G94" s="243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/>
    </row>
    <row r="95" spans="2:29" ht="15.6">
      <c r="B95" s="244" t="s">
        <v>1457</v>
      </c>
      <c r="C95" s="223"/>
      <c r="D95" s="242"/>
      <c r="E95" s="242"/>
      <c r="F95" s="242"/>
      <c r="G95" s="243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</row>
    <row r="96" spans="2:29" ht="15.6">
      <c r="B96" s="223"/>
      <c r="C96" s="223"/>
      <c r="D96" s="242"/>
      <c r="E96" s="242"/>
      <c r="F96" s="242"/>
      <c r="G96" s="243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2"/>
    </row>
    <row r="97" spans="2:29" ht="15.6">
      <c r="B97" s="223"/>
      <c r="C97" s="223"/>
      <c r="D97" s="242"/>
      <c r="E97" s="242"/>
      <c r="F97" s="242"/>
      <c r="G97" s="243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</row>
    <row r="98" spans="2:29" ht="15" customHeight="1">
      <c r="B98" s="207"/>
    </row>
    <row r="101" spans="2:29" ht="15.6"/>
    <row r="104" spans="2:29" ht="15.6">
      <c r="I104" s="34"/>
      <c r="J104" s="34"/>
    </row>
    <row r="105" spans="2:29" ht="15.6">
      <c r="I105" s="34"/>
      <c r="J105" s="34"/>
    </row>
    <row r="106" spans="2:29" ht="15.6">
      <c r="B106" s="245"/>
      <c r="C106" s="245"/>
      <c r="D106" s="245"/>
      <c r="E106" s="246"/>
      <c r="F106" s="246"/>
      <c r="G106" s="247"/>
      <c r="H106" s="246"/>
      <c r="I106" s="248"/>
      <c r="J106" s="248"/>
    </row>
    <row r="107" spans="2:29" ht="15.6">
      <c r="I107" s="34"/>
      <c r="J107" s="34"/>
    </row>
    <row r="108" spans="2:29" ht="15.6">
      <c r="I108" s="34"/>
      <c r="J108" s="34"/>
    </row>
    <row r="148" ht="15.75" customHeight="1"/>
  </sheetData>
  <mergeCells count="32">
    <mergeCell ref="C6:C7"/>
    <mergeCell ref="D6:D7"/>
    <mergeCell ref="E6:E7"/>
    <mergeCell ref="G6:G7"/>
    <mergeCell ref="B2:AC2"/>
    <mergeCell ref="B3:AC3"/>
    <mergeCell ref="H5:I5"/>
    <mergeCell ref="K5:L5"/>
    <mergeCell ref="M5:N5"/>
    <mergeCell ref="O5:P5"/>
    <mergeCell ref="Q5:R5"/>
    <mergeCell ref="T5:U5"/>
    <mergeCell ref="V5:W5"/>
    <mergeCell ref="X5:Y5"/>
    <mergeCell ref="Z5:AA5"/>
    <mergeCell ref="AB5:AC5"/>
    <mergeCell ref="I6:I7"/>
    <mergeCell ref="K6:R6"/>
    <mergeCell ref="T6:AC6"/>
    <mergeCell ref="B85:N85"/>
    <mergeCell ref="K7:L7"/>
    <mergeCell ref="M7:N7"/>
    <mergeCell ref="O7:P7"/>
    <mergeCell ref="Q7:R7"/>
    <mergeCell ref="X7:Y7"/>
    <mergeCell ref="Z7:AA7"/>
    <mergeCell ref="AB7:AC7"/>
    <mergeCell ref="Q72:R72"/>
    <mergeCell ref="AB72:AC72"/>
    <mergeCell ref="T7:U7"/>
    <mergeCell ref="V7:W7"/>
    <mergeCell ref="B6:B7"/>
  </mergeCells>
  <conditionalFormatting sqref="B9:C11 B46:C55">
    <cfRule type="expression" dxfId="3" priority="3">
      <formula>#REF!</formula>
    </cfRule>
  </conditionalFormatting>
  <conditionalFormatting sqref="B9:C11 B29:C35 B42:C55">
    <cfRule type="expression" dxfId="2" priority="4">
      <formula>"(blank)"</formula>
    </cfRule>
  </conditionalFormatting>
  <conditionalFormatting sqref="B17:C35 B42:C45">
    <cfRule type="expression" dxfId="1" priority="1">
      <formula>#REF!</formula>
    </cfRule>
  </conditionalFormatting>
  <conditionalFormatting sqref="B17:C28">
    <cfRule type="expression" dxfId="0" priority="2">
      <formula>"(blank)"</formula>
    </cfRule>
  </conditionalFormatting>
  <printOptions horizontalCentered="1"/>
  <pageMargins left="0.7" right="0.7" top="0.75" bottom="0.75" header="0.3" footer="0.3"/>
  <pageSetup scale="28" pageOrder="overThenDown" orientation="landscape" useFirstPageNumber="1" horizontalDpi="1200" verticalDpi="1200" r:id="rId1"/>
  <headerFooter scaleWithDoc="0">
    <oddHeader>&amp;RDocket No. 56165
Exhibit AEB-10 
Page &amp;P of 1</oddHeader>
  </headerFooter>
  <ignoredErrors>
    <ignoredError sqref="G7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B2:W106"/>
  <sheetViews>
    <sheetView view="pageBreakPreview" zoomScale="70" zoomScaleNormal="70" zoomScaleSheetLayoutView="70" workbookViewId="0">
      <selection activeCell="J28" sqref="J28"/>
    </sheetView>
  </sheetViews>
  <sheetFormatPr defaultColWidth="9.109375" defaultRowHeight="15.6"/>
  <cols>
    <col min="1" max="1" width="2.88671875" style="29" customWidth="1"/>
    <col min="2" max="2" width="50.21875" style="249" customWidth="1"/>
    <col min="3" max="3" width="16.77734375" style="249" customWidth="1"/>
    <col min="4" max="4" width="21.109375" style="34" customWidth="1"/>
    <col min="5" max="5" width="16" style="34" customWidth="1"/>
    <col min="6" max="6" width="7.5546875" style="29" customWidth="1"/>
    <col min="7" max="7" width="7.77734375" style="29" customWidth="1"/>
    <col min="8" max="8" width="29.88671875" style="29" customWidth="1"/>
    <col min="9" max="10" width="9.109375" style="29"/>
    <col min="12" max="12" width="29.5546875" customWidth="1"/>
    <col min="13" max="13" width="28.44140625" bestFit="1" customWidth="1"/>
    <col min="14" max="14" width="28.44140625" customWidth="1"/>
    <col min="15" max="15" width="14.44140625" bestFit="1" customWidth="1"/>
    <col min="16" max="16" width="14.33203125" bestFit="1" customWidth="1"/>
    <col min="24" max="16384" width="9.109375" style="29"/>
  </cols>
  <sheetData>
    <row r="2" spans="2:9">
      <c r="B2" s="419" t="s">
        <v>1450</v>
      </c>
      <c r="C2" s="419"/>
      <c r="D2" s="419"/>
      <c r="E2" s="419"/>
    </row>
    <row r="3" spans="2:9">
      <c r="B3" s="419" t="s">
        <v>1428</v>
      </c>
      <c r="C3" s="420"/>
      <c r="D3" s="420"/>
      <c r="E3" s="420"/>
      <c r="F3" s="250"/>
    </row>
    <row r="5" spans="2:9" ht="16.2" thickBot="1">
      <c r="B5" s="251"/>
      <c r="C5" s="251"/>
      <c r="D5" s="252" t="s">
        <v>14</v>
      </c>
      <c r="E5" s="252" t="s">
        <v>15</v>
      </c>
      <c r="H5" s="418" t="s">
        <v>1451</v>
      </c>
      <c r="I5" s="418"/>
    </row>
    <row r="6" spans="2:9">
      <c r="B6" s="253" t="s">
        <v>1467</v>
      </c>
      <c r="C6" s="253"/>
      <c r="D6" s="421" t="s">
        <v>1429</v>
      </c>
      <c r="E6" s="421"/>
      <c r="H6" s="218"/>
      <c r="I6" s="218"/>
    </row>
    <row r="7" spans="2:9">
      <c r="B7" s="254"/>
      <c r="C7" s="254" t="s">
        <v>1319</v>
      </c>
      <c r="D7" s="255" t="s">
        <v>1315</v>
      </c>
      <c r="E7" s="256" t="s">
        <v>1430</v>
      </c>
      <c r="H7" s="295" t="s">
        <v>1452</v>
      </c>
      <c r="I7" s="296" t="s">
        <v>1453</v>
      </c>
    </row>
    <row r="8" spans="2:9">
      <c r="H8" s="297" t="s">
        <v>1439</v>
      </c>
      <c r="I8" s="298">
        <v>9</v>
      </c>
    </row>
    <row r="9" spans="2:9">
      <c r="B9" s="249" t="s">
        <v>1077</v>
      </c>
      <c r="C9" s="249" t="s">
        <v>1333</v>
      </c>
      <c r="D9" s="34" t="s">
        <v>1431</v>
      </c>
      <c r="E9" s="34">
        <f>IFERROR(INDEX($I$8:$I$16,MATCH(D9,$H$8:$H$16,0)),"")</f>
        <v>5</v>
      </c>
      <c r="H9" s="299" t="s">
        <v>1440</v>
      </c>
      <c r="I9" s="300">
        <v>8</v>
      </c>
    </row>
    <row r="10" spans="2:9">
      <c r="B10" s="249" t="s">
        <v>1080</v>
      </c>
      <c r="C10" s="249" t="s">
        <v>1337</v>
      </c>
      <c r="D10" s="34" t="s">
        <v>1432</v>
      </c>
      <c r="E10" s="34">
        <f t="shared" ref="E10:E49" si="0">IFERROR(INDEX($I$8:$I$16,MATCH(D10,$H$8:$H$16,0)),"")</f>
        <v>3</v>
      </c>
      <c r="H10" s="299" t="s">
        <v>1436</v>
      </c>
      <c r="I10" s="300">
        <v>7</v>
      </c>
    </row>
    <row r="11" spans="2:9">
      <c r="B11" s="257"/>
      <c r="C11" s="257" t="s">
        <v>1341</v>
      </c>
      <c r="D11" s="34" t="s">
        <v>1432</v>
      </c>
      <c r="E11" s="34">
        <f t="shared" si="0"/>
        <v>3</v>
      </c>
      <c r="H11" s="299" t="s">
        <v>1433</v>
      </c>
      <c r="I11" s="300">
        <v>6</v>
      </c>
    </row>
    <row r="12" spans="2:9">
      <c r="B12" s="257" t="s">
        <v>1081</v>
      </c>
      <c r="C12" s="257" t="s">
        <v>1343</v>
      </c>
      <c r="D12" s="34" t="s">
        <v>1431</v>
      </c>
      <c r="E12" s="34">
        <f t="shared" si="0"/>
        <v>5</v>
      </c>
      <c r="H12" s="299" t="s">
        <v>1431</v>
      </c>
      <c r="I12" s="300">
        <v>5</v>
      </c>
    </row>
    <row r="13" spans="2:9">
      <c r="B13" s="257"/>
      <c r="C13" s="257" t="s">
        <v>1347</v>
      </c>
      <c r="D13" s="34" t="s">
        <v>1433</v>
      </c>
      <c r="E13" s="34">
        <f t="shared" si="0"/>
        <v>6</v>
      </c>
      <c r="H13" s="299" t="s">
        <v>1434</v>
      </c>
      <c r="I13" s="300">
        <v>4</v>
      </c>
    </row>
    <row r="14" spans="2:9">
      <c r="B14" s="258" t="s">
        <v>1082</v>
      </c>
      <c r="C14" s="258" t="s">
        <v>1361</v>
      </c>
      <c r="D14" s="34" t="s">
        <v>1437</v>
      </c>
      <c r="E14" s="34">
        <f t="shared" si="0"/>
        <v>2</v>
      </c>
      <c r="H14" s="299" t="s">
        <v>1432</v>
      </c>
      <c r="I14" s="300">
        <v>3</v>
      </c>
    </row>
    <row r="15" spans="2:9">
      <c r="B15" s="258"/>
      <c r="C15" s="258" t="s">
        <v>1350</v>
      </c>
      <c r="D15" s="34" t="s">
        <v>1434</v>
      </c>
      <c r="E15" s="34">
        <f t="shared" si="0"/>
        <v>4</v>
      </c>
      <c r="H15" s="299" t="s">
        <v>1437</v>
      </c>
      <c r="I15" s="300">
        <v>2</v>
      </c>
    </row>
    <row r="16" spans="2:9">
      <c r="B16" s="258"/>
      <c r="C16" s="258" t="s">
        <v>1352</v>
      </c>
      <c r="D16" s="34" t="s">
        <v>1431</v>
      </c>
      <c r="E16" s="34">
        <f t="shared" si="0"/>
        <v>5</v>
      </c>
      <c r="G16" s="218"/>
      <c r="H16" s="301" t="s">
        <v>1454</v>
      </c>
      <c r="I16" s="302">
        <v>1</v>
      </c>
    </row>
    <row r="17" spans="2:8">
      <c r="B17" s="258"/>
      <c r="C17" s="258" t="s">
        <v>1365</v>
      </c>
      <c r="D17" s="34" t="s">
        <v>1432</v>
      </c>
      <c r="E17" s="34">
        <f t="shared" si="0"/>
        <v>3</v>
      </c>
      <c r="G17" s="218"/>
      <c r="H17" s="222"/>
    </row>
    <row r="18" spans="2:8">
      <c r="B18" s="258"/>
      <c r="C18" s="258" t="s">
        <v>1354</v>
      </c>
      <c r="D18" s="34" t="s">
        <v>1431</v>
      </c>
      <c r="E18" s="34">
        <f t="shared" si="0"/>
        <v>5</v>
      </c>
      <c r="G18" s="218"/>
      <c r="H18" s="222"/>
    </row>
    <row r="19" spans="2:8">
      <c r="C19" s="249" t="s">
        <v>1368</v>
      </c>
      <c r="D19" s="34" t="s">
        <v>1433</v>
      </c>
      <c r="E19" s="34">
        <f t="shared" si="0"/>
        <v>6</v>
      </c>
      <c r="G19" s="218"/>
      <c r="H19" s="222"/>
    </row>
    <row r="20" spans="2:8">
      <c r="B20" s="259"/>
      <c r="C20" s="260" t="s">
        <v>1357</v>
      </c>
      <c r="D20" s="34" t="s">
        <v>1432</v>
      </c>
      <c r="E20" s="34">
        <f t="shared" si="0"/>
        <v>3</v>
      </c>
      <c r="G20" s="218"/>
      <c r="H20" s="222"/>
    </row>
    <row r="21" spans="2:8">
      <c r="B21" s="261" t="s">
        <v>450</v>
      </c>
      <c r="C21" s="261" t="s">
        <v>1370</v>
      </c>
      <c r="D21" s="34" t="s">
        <v>1434</v>
      </c>
      <c r="E21" s="34">
        <f t="shared" si="0"/>
        <v>4</v>
      </c>
      <c r="G21" s="218"/>
      <c r="H21" s="222"/>
    </row>
    <row r="22" spans="2:8">
      <c r="B22" s="262" t="s">
        <v>1083</v>
      </c>
      <c r="C22" s="263" t="s">
        <v>1349</v>
      </c>
      <c r="D22" s="34" t="s">
        <v>1434</v>
      </c>
      <c r="E22" s="34">
        <f t="shared" si="0"/>
        <v>4</v>
      </c>
      <c r="G22" s="218"/>
      <c r="H22" s="222"/>
    </row>
    <row r="23" spans="2:8">
      <c r="B23" s="261"/>
      <c r="C23" s="261" t="s">
        <v>1438</v>
      </c>
      <c r="D23" s="34" t="s">
        <v>1433</v>
      </c>
      <c r="E23" s="34">
        <f t="shared" si="0"/>
        <v>6</v>
      </c>
      <c r="G23" s="218"/>
      <c r="H23" s="222"/>
    </row>
    <row r="24" spans="2:8">
      <c r="B24" s="264"/>
      <c r="C24" s="261" t="s">
        <v>1353</v>
      </c>
      <c r="D24" s="34" t="s">
        <v>1431</v>
      </c>
      <c r="E24" s="34">
        <f t="shared" si="0"/>
        <v>5</v>
      </c>
      <c r="G24" s="218"/>
      <c r="H24" s="222"/>
    </row>
    <row r="25" spans="2:8">
      <c r="B25" s="265"/>
      <c r="C25" s="249" t="s">
        <v>1376</v>
      </c>
      <c r="D25" s="34" t="s">
        <v>1432</v>
      </c>
      <c r="E25" s="34">
        <f t="shared" si="0"/>
        <v>3</v>
      </c>
      <c r="F25" s="207"/>
      <c r="G25" s="218"/>
      <c r="H25" s="222"/>
    </row>
    <row r="26" spans="2:8">
      <c r="B26" s="266"/>
      <c r="C26" s="249" t="s">
        <v>1435</v>
      </c>
      <c r="D26" s="34" t="s">
        <v>1433</v>
      </c>
      <c r="E26" s="34">
        <f t="shared" si="0"/>
        <v>6</v>
      </c>
      <c r="F26" s="207"/>
      <c r="G26" s="218"/>
      <c r="H26" s="222"/>
    </row>
    <row r="27" spans="2:8">
      <c r="B27" s="29" t="s">
        <v>411</v>
      </c>
      <c r="C27" s="29" t="s">
        <v>1379</v>
      </c>
      <c r="D27" s="34" t="s">
        <v>1440</v>
      </c>
      <c r="E27" s="34">
        <f t="shared" si="0"/>
        <v>8</v>
      </c>
      <c r="F27" s="207"/>
      <c r="G27" s="218"/>
      <c r="H27" s="222"/>
    </row>
    <row r="28" spans="2:8">
      <c r="B28" s="29"/>
      <c r="C28" s="29" t="s">
        <v>1382</v>
      </c>
      <c r="D28" s="34" t="s">
        <v>1431</v>
      </c>
      <c r="E28" s="34">
        <f t="shared" si="0"/>
        <v>5</v>
      </c>
      <c r="G28" s="218"/>
      <c r="H28" s="222"/>
    </row>
    <row r="29" spans="2:8">
      <c r="B29" s="29"/>
      <c r="C29" s="29" t="s">
        <v>1386</v>
      </c>
      <c r="D29" s="34" t="s">
        <v>1431</v>
      </c>
      <c r="E29" s="34">
        <f t="shared" si="0"/>
        <v>5</v>
      </c>
      <c r="G29" s="218"/>
      <c r="H29" s="222"/>
    </row>
    <row r="30" spans="2:8">
      <c r="B30" s="29" t="s">
        <v>1084</v>
      </c>
      <c r="C30" s="29" t="s">
        <v>1388</v>
      </c>
      <c r="D30" s="34" t="s">
        <v>1436</v>
      </c>
      <c r="E30" s="34">
        <f t="shared" si="0"/>
        <v>7</v>
      </c>
      <c r="G30" s="218"/>
      <c r="H30" s="222"/>
    </row>
    <row r="31" spans="2:8">
      <c r="B31" s="29"/>
      <c r="C31" s="29" t="s">
        <v>1347</v>
      </c>
      <c r="D31" s="34" t="s">
        <v>1433</v>
      </c>
      <c r="E31" s="34">
        <f t="shared" si="0"/>
        <v>6</v>
      </c>
      <c r="G31" s="218"/>
      <c r="H31" s="222"/>
    </row>
    <row r="32" spans="2:8">
      <c r="B32" s="249" t="s">
        <v>1085</v>
      </c>
      <c r="C32" s="249" t="s">
        <v>1393</v>
      </c>
      <c r="D32" s="34" t="s">
        <v>1431</v>
      </c>
      <c r="E32" s="34">
        <f t="shared" si="0"/>
        <v>5</v>
      </c>
      <c r="G32" s="218"/>
      <c r="H32" s="222"/>
    </row>
    <row r="33" spans="2:8">
      <c r="C33" s="249" t="s">
        <v>1394</v>
      </c>
      <c r="D33" s="34" t="s">
        <v>1431</v>
      </c>
      <c r="E33" s="34">
        <f t="shared" si="0"/>
        <v>5</v>
      </c>
      <c r="G33" s="218"/>
      <c r="H33" s="222"/>
    </row>
    <row r="34" spans="2:8">
      <c r="B34" s="249" t="s">
        <v>1087</v>
      </c>
      <c r="C34" s="249" t="s">
        <v>1361</v>
      </c>
      <c r="D34" s="34" t="s">
        <v>1437</v>
      </c>
      <c r="E34" s="34">
        <f t="shared" si="0"/>
        <v>2</v>
      </c>
      <c r="G34" s="218"/>
      <c r="H34" s="222"/>
    </row>
    <row r="35" spans="2:8">
      <c r="C35" s="249" t="s">
        <v>1435</v>
      </c>
      <c r="D35" s="34" t="s">
        <v>1433</v>
      </c>
      <c r="E35" s="34">
        <f t="shared" si="0"/>
        <v>6</v>
      </c>
      <c r="G35" s="218"/>
      <c r="H35" s="222"/>
    </row>
    <row r="36" spans="2:8">
      <c r="B36" s="249" t="s">
        <v>1088</v>
      </c>
      <c r="C36" s="249" t="s">
        <v>1398</v>
      </c>
      <c r="D36" s="34" t="s">
        <v>1436</v>
      </c>
      <c r="E36" s="34">
        <f t="shared" si="0"/>
        <v>7</v>
      </c>
      <c r="G36" s="218"/>
      <c r="H36" s="222"/>
    </row>
    <row r="37" spans="2:8">
      <c r="C37" s="249" t="s">
        <v>1399</v>
      </c>
      <c r="D37" s="34" t="s">
        <v>1434</v>
      </c>
      <c r="E37" s="34">
        <f t="shared" si="0"/>
        <v>4</v>
      </c>
      <c r="G37" s="218"/>
      <c r="H37" s="222"/>
    </row>
    <row r="38" spans="2:8">
      <c r="C38" s="249" t="s">
        <v>1400</v>
      </c>
      <c r="D38" s="34" t="s">
        <v>1431</v>
      </c>
      <c r="E38" s="34">
        <f t="shared" si="0"/>
        <v>5</v>
      </c>
      <c r="G38" s="218"/>
      <c r="H38" s="222"/>
    </row>
    <row r="39" spans="2:8">
      <c r="B39" s="249" t="s">
        <v>1401</v>
      </c>
      <c r="C39" s="249" t="s">
        <v>1349</v>
      </c>
      <c r="D39" s="34" t="s">
        <v>1434</v>
      </c>
      <c r="E39" s="34">
        <f t="shared" si="0"/>
        <v>4</v>
      </c>
      <c r="G39" s="218"/>
      <c r="H39" s="222"/>
    </row>
    <row r="40" spans="2:8">
      <c r="C40" s="249" t="s">
        <v>1356</v>
      </c>
      <c r="D40" s="34" t="s">
        <v>1433</v>
      </c>
      <c r="E40" s="34">
        <f t="shared" si="0"/>
        <v>6</v>
      </c>
      <c r="G40" s="218"/>
      <c r="H40" s="222"/>
    </row>
    <row r="41" spans="2:8">
      <c r="B41" s="249" t="s">
        <v>1265</v>
      </c>
      <c r="C41" s="249" t="s">
        <v>1403</v>
      </c>
      <c r="D41" s="34" t="s">
        <v>1439</v>
      </c>
      <c r="E41" s="34">
        <f t="shared" si="0"/>
        <v>9</v>
      </c>
      <c r="G41" s="218"/>
      <c r="H41" s="222"/>
    </row>
    <row r="42" spans="2:8">
      <c r="B42" s="249" t="s">
        <v>1090</v>
      </c>
      <c r="C42" s="249" t="s">
        <v>1394</v>
      </c>
      <c r="D42" s="34" t="s">
        <v>1431</v>
      </c>
      <c r="E42" s="34">
        <f t="shared" si="0"/>
        <v>5</v>
      </c>
      <c r="G42" s="218"/>
      <c r="H42" s="222"/>
    </row>
    <row r="43" spans="2:8">
      <c r="B43" s="249" t="s">
        <v>1092</v>
      </c>
      <c r="C43" s="249" t="s">
        <v>1406</v>
      </c>
      <c r="D43" s="34" t="s">
        <v>1434</v>
      </c>
      <c r="E43" s="34">
        <f t="shared" si="0"/>
        <v>4</v>
      </c>
      <c r="G43" s="218"/>
      <c r="H43" s="222"/>
    </row>
    <row r="44" spans="2:8">
      <c r="C44" s="249" t="s">
        <v>1333</v>
      </c>
      <c r="D44" s="34" t="s">
        <v>1431</v>
      </c>
      <c r="E44" s="34">
        <f t="shared" si="0"/>
        <v>5</v>
      </c>
      <c r="G44" s="218"/>
      <c r="H44" s="222"/>
    </row>
    <row r="45" spans="2:8">
      <c r="C45" s="249" t="s">
        <v>1409</v>
      </c>
      <c r="D45" s="34" t="s">
        <v>1436</v>
      </c>
      <c r="E45" s="34">
        <f t="shared" si="0"/>
        <v>7</v>
      </c>
      <c r="G45" s="218"/>
      <c r="H45" s="222"/>
    </row>
    <row r="46" spans="2:8">
      <c r="C46" s="249" t="s">
        <v>1410</v>
      </c>
      <c r="D46" s="34" t="s">
        <v>1434</v>
      </c>
      <c r="E46" s="34">
        <f t="shared" si="0"/>
        <v>4</v>
      </c>
      <c r="G46" s="218"/>
      <c r="H46" s="222"/>
    </row>
    <row r="47" spans="2:8">
      <c r="C47" s="249" t="s">
        <v>1400</v>
      </c>
      <c r="D47" s="34" t="s">
        <v>1431</v>
      </c>
      <c r="E47" s="34">
        <f t="shared" si="0"/>
        <v>5</v>
      </c>
      <c r="G47" s="218"/>
      <c r="H47" s="222"/>
    </row>
    <row r="48" spans="2:8">
      <c r="C48" s="249" t="s">
        <v>1435</v>
      </c>
      <c r="D48" s="34" t="s">
        <v>1433</v>
      </c>
      <c r="E48" s="34">
        <f t="shared" si="0"/>
        <v>6</v>
      </c>
      <c r="G48" s="218"/>
      <c r="H48" s="222"/>
    </row>
    <row r="49" spans="2:8">
      <c r="C49" s="249" t="s">
        <v>1341</v>
      </c>
      <c r="D49" s="34" t="s">
        <v>1432</v>
      </c>
      <c r="E49" s="34">
        <f t="shared" si="0"/>
        <v>3</v>
      </c>
      <c r="G49" s="218"/>
      <c r="H49" s="222"/>
    </row>
    <row r="50" spans="2:8">
      <c r="G50" s="218"/>
      <c r="H50" s="222"/>
    </row>
    <row r="51" spans="2:8">
      <c r="B51" s="267" t="s">
        <v>1413</v>
      </c>
      <c r="C51" s="267"/>
      <c r="D51" s="236" t="s">
        <v>1455</v>
      </c>
      <c r="E51" s="268">
        <f>AVERAGE(E9:E49)</f>
        <v>4.9024390243902438</v>
      </c>
      <c r="G51" s="218"/>
      <c r="H51" s="222"/>
    </row>
    <row r="52" spans="2:8">
      <c r="G52" s="218"/>
      <c r="H52" s="222"/>
    </row>
    <row r="53" spans="2:8" ht="16.2" thickBot="1">
      <c r="B53" s="269" t="s">
        <v>1358</v>
      </c>
      <c r="C53" s="269" t="s">
        <v>1435</v>
      </c>
      <c r="D53" s="270" t="str">
        <f>D26</f>
        <v>Average/3</v>
      </c>
      <c r="E53" s="270">
        <f>E35</f>
        <v>6</v>
      </c>
      <c r="G53" s="218"/>
      <c r="H53" s="222"/>
    </row>
    <row r="54" spans="2:8">
      <c r="G54" s="218"/>
      <c r="H54" s="222"/>
    </row>
    <row r="55" spans="2:8">
      <c r="B55" s="249" t="s">
        <v>1441</v>
      </c>
      <c r="G55" s="218"/>
      <c r="H55" s="222"/>
    </row>
    <row r="56" spans="2:8">
      <c r="B56" s="249" t="s">
        <v>1561</v>
      </c>
      <c r="G56" s="218"/>
      <c r="H56" s="222"/>
    </row>
    <row r="57" spans="2:8">
      <c r="B57" s="249" t="s">
        <v>1442</v>
      </c>
      <c r="G57" s="218"/>
      <c r="H57" s="222"/>
    </row>
    <row r="58" spans="2:8">
      <c r="G58" s="218"/>
      <c r="H58" s="222"/>
    </row>
    <row r="59" spans="2:8">
      <c r="G59" s="218"/>
      <c r="H59" s="222"/>
    </row>
    <row r="60" spans="2:8">
      <c r="G60" s="218"/>
      <c r="H60" s="222"/>
    </row>
    <row r="61" spans="2:8">
      <c r="G61" s="218"/>
      <c r="H61" s="222"/>
    </row>
    <row r="62" spans="2:8">
      <c r="G62" s="218"/>
      <c r="H62" s="222"/>
    </row>
    <row r="63" spans="2:8">
      <c r="G63" s="218"/>
      <c r="H63" s="222"/>
    </row>
    <row r="64" spans="2:8">
      <c r="G64" s="218"/>
      <c r="H64" s="222"/>
    </row>
    <row r="65" spans="7:8">
      <c r="G65" s="218"/>
      <c r="H65" s="222"/>
    </row>
    <row r="66" spans="7:8">
      <c r="G66" s="218"/>
      <c r="H66" s="222"/>
    </row>
    <row r="67" spans="7:8">
      <c r="G67" s="218"/>
      <c r="H67" s="222"/>
    </row>
    <row r="68" spans="7:8">
      <c r="G68" s="218"/>
      <c r="H68" s="222"/>
    </row>
    <row r="69" spans="7:8">
      <c r="G69" s="218"/>
      <c r="H69" s="222"/>
    </row>
    <row r="70" spans="7:8">
      <c r="G70" s="218"/>
      <c r="H70" s="222"/>
    </row>
    <row r="71" spans="7:8">
      <c r="G71" s="218"/>
      <c r="H71" s="222"/>
    </row>
    <row r="72" spans="7:8">
      <c r="G72" s="218"/>
      <c r="H72" s="222"/>
    </row>
    <row r="73" spans="7:8">
      <c r="G73" s="218"/>
      <c r="H73" s="222"/>
    </row>
    <row r="74" spans="7:8">
      <c r="G74" s="218"/>
      <c r="H74" s="222"/>
    </row>
    <row r="75" spans="7:8">
      <c r="G75" s="218"/>
      <c r="H75" s="222"/>
    </row>
    <row r="76" spans="7:8">
      <c r="G76" s="218"/>
      <c r="H76" s="222"/>
    </row>
    <row r="77" spans="7:8">
      <c r="G77" s="218"/>
      <c r="H77" s="222"/>
    </row>
    <row r="78" spans="7:8">
      <c r="G78" s="218"/>
      <c r="H78" s="222"/>
    </row>
    <row r="79" spans="7:8">
      <c r="G79" s="218"/>
      <c r="H79" s="222"/>
    </row>
    <row r="80" spans="7:8">
      <c r="G80" s="218"/>
      <c r="H80" s="222"/>
    </row>
    <row r="81" spans="7:8">
      <c r="G81" s="218"/>
      <c r="H81" s="222"/>
    </row>
    <row r="82" spans="7:8">
      <c r="G82" s="218"/>
      <c r="H82" s="222"/>
    </row>
    <row r="83" spans="7:8">
      <c r="G83" s="218"/>
      <c r="H83" s="222"/>
    </row>
    <row r="84" spans="7:8">
      <c r="G84" s="218"/>
      <c r="H84" s="222"/>
    </row>
    <row r="85" spans="7:8">
      <c r="G85" s="218"/>
      <c r="H85" s="222"/>
    </row>
    <row r="86" spans="7:8">
      <c r="G86" s="218"/>
      <c r="H86" s="222"/>
    </row>
    <row r="87" spans="7:8">
      <c r="G87" s="218"/>
      <c r="H87" s="222"/>
    </row>
    <row r="88" spans="7:8">
      <c r="G88" s="218"/>
      <c r="H88" s="222"/>
    </row>
    <row r="89" spans="7:8">
      <c r="G89" s="218"/>
      <c r="H89" s="222"/>
    </row>
    <row r="101" spans="7:8">
      <c r="G101" s="218"/>
      <c r="H101" s="222"/>
    </row>
    <row r="102" spans="7:8">
      <c r="G102" s="218"/>
      <c r="H102" s="222"/>
    </row>
    <row r="103" spans="7:8">
      <c r="G103" s="218"/>
      <c r="H103" s="222"/>
    </row>
    <row r="104" spans="7:8">
      <c r="G104" s="218"/>
      <c r="H104" s="222"/>
    </row>
    <row r="105" spans="7:8">
      <c r="G105" s="218"/>
      <c r="H105" s="222"/>
    </row>
    <row r="106" spans="7:8">
      <c r="G106" s="218"/>
      <c r="H106" s="222"/>
    </row>
  </sheetData>
  <sortState xmlns:xlrd2="http://schemas.microsoft.com/office/spreadsheetml/2017/richdata2" ref="M1:P106">
    <sortCondition ref="P1:P106"/>
    <sortCondition ref="O1:O106"/>
    <sortCondition ref="N1:N106"/>
  </sortState>
  <mergeCells count="4">
    <mergeCell ref="H5:I5"/>
    <mergeCell ref="B2:E2"/>
    <mergeCell ref="B3:E3"/>
    <mergeCell ref="D6:E6"/>
  </mergeCells>
  <printOptions horizontalCentered="1"/>
  <pageMargins left="0.7" right="0.7" top="1.5" bottom="0.75" header="0.3" footer="0.3"/>
  <pageSetup scale="56" orientation="portrait" useFirstPageNumber="1" r:id="rId1"/>
  <headerFooter scaleWithDoc="0">
    <oddHeader>&amp;RDocket No. 56165
Exhibit AEB-11
Page &amp;P of 1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autoPageBreaks="0"/>
  </sheetPr>
  <dimension ref="B1:T106"/>
  <sheetViews>
    <sheetView view="pageBreakPreview" zoomScale="60" zoomScaleNormal="70" workbookViewId="0">
      <selection activeCell="J28" sqref="J28"/>
    </sheetView>
  </sheetViews>
  <sheetFormatPr defaultColWidth="9.109375" defaultRowHeight="15" customHeight="1"/>
  <cols>
    <col min="1" max="1" width="2.88671875" style="29" customWidth="1"/>
    <col min="2" max="2" width="50.21875" style="249" customWidth="1"/>
    <col min="3" max="3" width="16.77734375" style="249" customWidth="1"/>
    <col min="4" max="4" width="32.21875" style="34" customWidth="1"/>
    <col min="5" max="5" width="16" style="34" customWidth="1"/>
    <col min="6" max="6" width="7.5546875" style="29" customWidth="1"/>
    <col min="7" max="7" width="7.77734375" style="29" customWidth="1"/>
    <col min="8" max="8" width="24.109375" style="29" customWidth="1"/>
    <col min="9" max="11" width="9.109375" style="29"/>
    <col min="12" max="12" width="26.77734375" customWidth="1"/>
    <col min="21" max="16384" width="9.109375" style="29"/>
  </cols>
  <sheetData>
    <row r="1" spans="2:9" ht="15.6"/>
    <row r="2" spans="2:9" ht="15.6">
      <c r="B2" s="419" t="s">
        <v>1450</v>
      </c>
      <c r="C2" s="419"/>
      <c r="D2" s="419"/>
      <c r="E2" s="419"/>
    </row>
    <row r="3" spans="2:9" ht="15.6">
      <c r="B3" s="419" t="s">
        <v>1463</v>
      </c>
      <c r="C3" s="420"/>
      <c r="D3" s="420"/>
      <c r="E3" s="420"/>
      <c r="F3" s="250"/>
    </row>
    <row r="5" spans="2:9" ht="16.2" thickBot="1">
      <c r="B5" s="251"/>
      <c r="C5" s="251"/>
      <c r="D5" s="252" t="s">
        <v>14</v>
      </c>
      <c r="E5" s="252" t="s">
        <v>15</v>
      </c>
      <c r="H5" s="418" t="s">
        <v>1451</v>
      </c>
      <c r="I5" s="418"/>
    </row>
    <row r="6" spans="2:9" ht="15.6">
      <c r="B6" s="253" t="s">
        <v>1467</v>
      </c>
      <c r="C6" s="253"/>
      <c r="D6" s="421" t="s">
        <v>1466</v>
      </c>
      <c r="E6" s="421"/>
      <c r="H6" s="218"/>
      <c r="I6" s="218"/>
    </row>
    <row r="7" spans="2:9" ht="15.6">
      <c r="B7" s="254"/>
      <c r="C7" s="254" t="s">
        <v>1319</v>
      </c>
      <c r="D7" s="255" t="s">
        <v>1315</v>
      </c>
      <c r="E7" s="256" t="s">
        <v>1430</v>
      </c>
      <c r="H7" s="295" t="s">
        <v>1452</v>
      </c>
      <c r="I7" s="296" t="s">
        <v>1453</v>
      </c>
    </row>
    <row r="8" spans="2:9" ht="15.6">
      <c r="H8" s="297" t="s">
        <v>1459</v>
      </c>
      <c r="I8" s="298">
        <v>1</v>
      </c>
    </row>
    <row r="9" spans="2:9" ht="15.6">
      <c r="B9" s="249" t="s">
        <v>1077</v>
      </c>
      <c r="C9" s="249" t="s">
        <v>1333</v>
      </c>
      <c r="D9" s="34" t="s">
        <v>1458</v>
      </c>
      <c r="E9" s="34">
        <f>IFERROR(INDEX($I$8:$I$12,MATCH(D9,$H$8:$H$12,0)),"")</f>
        <v>2</v>
      </c>
      <c r="H9" s="299" t="s">
        <v>1458</v>
      </c>
      <c r="I9" s="300">
        <v>2</v>
      </c>
    </row>
    <row r="10" spans="2:9" ht="15.6">
      <c r="B10" s="249" t="s">
        <v>1080</v>
      </c>
      <c r="C10" s="249" t="s">
        <v>1337</v>
      </c>
      <c r="D10" s="34" t="s">
        <v>1459</v>
      </c>
      <c r="E10" s="34">
        <f t="shared" ref="E10:E49" si="0">IFERROR(INDEX($I$8:$I$12,MATCH(D10,$H$8:$H$12,0)),"")</f>
        <v>1</v>
      </c>
      <c r="H10" s="299" t="s">
        <v>1460</v>
      </c>
      <c r="I10" s="300">
        <v>3</v>
      </c>
    </row>
    <row r="11" spans="2:9" ht="15.6">
      <c r="B11" s="257"/>
      <c r="C11" s="257" t="s">
        <v>1341</v>
      </c>
      <c r="D11" s="34" t="s">
        <v>1459</v>
      </c>
      <c r="E11" s="34">
        <f t="shared" si="0"/>
        <v>1</v>
      </c>
      <c r="H11" s="299" t="s">
        <v>1461</v>
      </c>
      <c r="I11" s="300">
        <v>4</v>
      </c>
    </row>
    <row r="12" spans="2:9" ht="15.6">
      <c r="B12" s="257" t="s">
        <v>1081</v>
      </c>
      <c r="C12" s="257" t="s">
        <v>1343</v>
      </c>
      <c r="D12" s="34" t="s">
        <v>1460</v>
      </c>
      <c r="E12" s="34">
        <f t="shared" si="0"/>
        <v>3</v>
      </c>
      <c r="H12" s="301" t="s">
        <v>1462</v>
      </c>
      <c r="I12" s="302">
        <v>5</v>
      </c>
    </row>
    <row r="13" spans="2:9" ht="15.6">
      <c r="B13" s="257"/>
      <c r="C13" s="257" t="s">
        <v>1347</v>
      </c>
      <c r="D13" s="34" t="s">
        <v>1460</v>
      </c>
      <c r="E13" s="34">
        <f t="shared" si="0"/>
        <v>3</v>
      </c>
      <c r="H13"/>
      <c r="I13"/>
    </row>
    <row r="14" spans="2:9" ht="15.6">
      <c r="B14" s="258" t="s">
        <v>1082</v>
      </c>
      <c r="C14" s="258" t="s">
        <v>1361</v>
      </c>
      <c r="D14" s="34" t="s">
        <v>1459</v>
      </c>
      <c r="E14" s="34">
        <f t="shared" si="0"/>
        <v>1</v>
      </c>
      <c r="H14"/>
      <c r="I14"/>
    </row>
    <row r="15" spans="2:9" ht="15.6">
      <c r="B15" s="258"/>
      <c r="C15" s="258" t="s">
        <v>1350</v>
      </c>
      <c r="D15" s="34" t="s">
        <v>1458</v>
      </c>
      <c r="E15" s="34">
        <f t="shared" si="0"/>
        <v>2</v>
      </c>
      <c r="H15"/>
      <c r="I15"/>
    </row>
    <row r="16" spans="2:9" ht="15.6">
      <c r="B16" s="258"/>
      <c r="C16" s="258" t="s">
        <v>1352</v>
      </c>
      <c r="D16" s="34" t="s">
        <v>1459</v>
      </c>
      <c r="E16" s="34">
        <f t="shared" si="0"/>
        <v>1</v>
      </c>
      <c r="G16" s="218"/>
      <c r="H16"/>
      <c r="I16"/>
    </row>
    <row r="17" spans="2:8" ht="15.6">
      <c r="B17" s="258"/>
      <c r="C17" s="258" t="s">
        <v>1365</v>
      </c>
      <c r="D17" s="34" t="s">
        <v>1458</v>
      </c>
      <c r="E17" s="34">
        <f t="shared" si="0"/>
        <v>2</v>
      </c>
      <c r="G17" s="218"/>
      <c r="H17" s="222"/>
    </row>
    <row r="18" spans="2:8" ht="15.6">
      <c r="B18" s="258"/>
      <c r="C18" s="258" t="s">
        <v>1354</v>
      </c>
      <c r="D18" s="34" t="s">
        <v>1460</v>
      </c>
      <c r="E18" s="34">
        <f t="shared" si="0"/>
        <v>3</v>
      </c>
      <c r="G18" s="218"/>
      <c r="H18" s="222"/>
    </row>
    <row r="19" spans="2:8" ht="15.6">
      <c r="C19" s="249" t="s">
        <v>1368</v>
      </c>
      <c r="D19" s="34" t="s">
        <v>1461</v>
      </c>
      <c r="E19" s="34">
        <f t="shared" si="0"/>
        <v>4</v>
      </c>
      <c r="G19" s="218"/>
      <c r="H19" s="222"/>
    </row>
    <row r="20" spans="2:8" ht="15.6">
      <c r="B20" s="259"/>
      <c r="C20" s="260" t="s">
        <v>1357</v>
      </c>
      <c r="D20" s="34" t="s">
        <v>1458</v>
      </c>
      <c r="E20" s="34">
        <f t="shared" si="0"/>
        <v>2</v>
      </c>
      <c r="G20" s="218"/>
      <c r="H20" s="222"/>
    </row>
    <row r="21" spans="2:8" ht="15.6">
      <c r="B21" s="261" t="s">
        <v>450</v>
      </c>
      <c r="C21" s="261" t="s">
        <v>1370</v>
      </c>
      <c r="D21" s="34" t="s">
        <v>1461</v>
      </c>
      <c r="E21" s="34">
        <f t="shared" si="0"/>
        <v>4</v>
      </c>
      <c r="G21" s="218"/>
      <c r="H21" s="222"/>
    </row>
    <row r="22" spans="2:8" ht="15.6">
      <c r="B22" s="262" t="s">
        <v>1083</v>
      </c>
      <c r="C22" s="263" t="s">
        <v>1349</v>
      </c>
      <c r="D22" s="34" t="s">
        <v>1458</v>
      </c>
      <c r="E22" s="34">
        <f t="shared" si="0"/>
        <v>2</v>
      </c>
      <c r="G22" s="218"/>
      <c r="H22" s="222"/>
    </row>
    <row r="23" spans="2:8" ht="15.6">
      <c r="B23" s="261"/>
      <c r="C23" s="261" t="s">
        <v>1438</v>
      </c>
      <c r="D23" s="34" t="s">
        <v>1458</v>
      </c>
      <c r="E23" s="34">
        <f t="shared" si="0"/>
        <v>2</v>
      </c>
      <c r="G23" s="218"/>
      <c r="H23" s="222"/>
    </row>
    <row r="24" spans="2:8" ht="15.6">
      <c r="B24" s="264"/>
      <c r="C24" s="261" t="s">
        <v>1353</v>
      </c>
      <c r="D24" s="34" t="s">
        <v>1458</v>
      </c>
      <c r="E24" s="34">
        <f t="shared" si="0"/>
        <v>2</v>
      </c>
      <c r="G24" s="218"/>
      <c r="H24" s="222"/>
    </row>
    <row r="25" spans="2:8" ht="15.6">
      <c r="B25" s="265"/>
      <c r="C25" s="249" t="s">
        <v>1376</v>
      </c>
      <c r="D25" s="34" t="s">
        <v>1460</v>
      </c>
      <c r="E25" s="34">
        <f t="shared" si="0"/>
        <v>3</v>
      </c>
      <c r="F25" s="207"/>
      <c r="G25" s="218"/>
      <c r="H25" s="222"/>
    </row>
    <row r="26" spans="2:8" ht="15.6">
      <c r="B26" s="266"/>
      <c r="C26" s="249" t="s">
        <v>1435</v>
      </c>
      <c r="D26" s="34" t="s">
        <v>1460</v>
      </c>
      <c r="E26" s="34">
        <f t="shared" si="0"/>
        <v>3</v>
      </c>
      <c r="F26" s="207"/>
      <c r="G26" s="218"/>
      <c r="H26" s="222"/>
    </row>
    <row r="27" spans="2:8" ht="15.6">
      <c r="B27" s="29" t="s">
        <v>411</v>
      </c>
      <c r="C27" s="29" t="s">
        <v>1379</v>
      </c>
      <c r="D27" s="34" t="s">
        <v>1461</v>
      </c>
      <c r="E27" s="34">
        <f t="shared" si="0"/>
        <v>4</v>
      </c>
      <c r="F27" s="207"/>
      <c r="G27" s="218"/>
      <c r="H27" s="222"/>
    </row>
    <row r="28" spans="2:8" ht="15.6">
      <c r="B28" s="29"/>
      <c r="C28" s="29" t="s">
        <v>1382</v>
      </c>
      <c r="D28" s="34" t="s">
        <v>1458</v>
      </c>
      <c r="E28" s="34">
        <f t="shared" si="0"/>
        <v>2</v>
      </c>
      <c r="G28" s="218"/>
      <c r="H28" s="222"/>
    </row>
    <row r="29" spans="2:8" ht="15.6">
      <c r="B29" s="29"/>
      <c r="C29" s="29" t="s">
        <v>1386</v>
      </c>
      <c r="D29" s="34" t="s">
        <v>1458</v>
      </c>
      <c r="E29" s="34">
        <f t="shared" si="0"/>
        <v>2</v>
      </c>
      <c r="G29" s="218"/>
      <c r="H29" s="222"/>
    </row>
    <row r="30" spans="2:8" ht="15.6">
      <c r="B30" s="29" t="s">
        <v>1084</v>
      </c>
      <c r="C30" s="29" t="s">
        <v>1388</v>
      </c>
      <c r="D30" s="34" t="s">
        <v>1458</v>
      </c>
      <c r="E30" s="34">
        <f t="shared" si="0"/>
        <v>2</v>
      </c>
      <c r="G30" s="218"/>
      <c r="H30" s="222"/>
    </row>
    <row r="31" spans="2:8" ht="15.6">
      <c r="B31" s="29"/>
      <c r="C31" s="29" t="s">
        <v>1347</v>
      </c>
      <c r="D31" s="34" t="s">
        <v>1460</v>
      </c>
      <c r="E31" s="34">
        <f t="shared" si="0"/>
        <v>3</v>
      </c>
      <c r="G31" s="218"/>
      <c r="H31" s="222"/>
    </row>
    <row r="32" spans="2:8" ht="15.6">
      <c r="B32" s="249" t="s">
        <v>1085</v>
      </c>
      <c r="C32" s="249" t="s">
        <v>1393</v>
      </c>
      <c r="D32" s="34" t="s">
        <v>1460</v>
      </c>
      <c r="E32" s="34">
        <f t="shared" si="0"/>
        <v>3</v>
      </c>
      <c r="G32" s="218"/>
      <c r="H32" s="222"/>
    </row>
    <row r="33" spans="2:8" ht="15.6">
      <c r="C33" s="249" t="s">
        <v>1394</v>
      </c>
      <c r="D33" s="34" t="s">
        <v>1461</v>
      </c>
      <c r="E33" s="34">
        <f t="shared" si="0"/>
        <v>4</v>
      </c>
      <c r="G33" s="218"/>
      <c r="H33" s="222"/>
    </row>
    <row r="34" spans="2:8" ht="15.6">
      <c r="B34" s="249" t="s">
        <v>1087</v>
      </c>
      <c r="C34" s="249" t="s">
        <v>1361</v>
      </c>
      <c r="D34" s="34" t="s">
        <v>1459</v>
      </c>
      <c r="E34" s="34">
        <f t="shared" si="0"/>
        <v>1</v>
      </c>
      <c r="G34" s="218"/>
      <c r="H34" s="222"/>
    </row>
    <row r="35" spans="2:8" ht="15.6">
      <c r="C35" s="249" t="s">
        <v>1435</v>
      </c>
      <c r="D35" s="34" t="s">
        <v>1460</v>
      </c>
      <c r="E35" s="34">
        <f t="shared" si="0"/>
        <v>3</v>
      </c>
      <c r="G35" s="218"/>
      <c r="H35" s="222"/>
    </row>
    <row r="36" spans="2:8" ht="15.6">
      <c r="B36" s="249" t="s">
        <v>1088</v>
      </c>
      <c r="C36" s="249" t="s">
        <v>1398</v>
      </c>
      <c r="D36" s="34" t="s">
        <v>1461</v>
      </c>
      <c r="E36" s="34">
        <f t="shared" si="0"/>
        <v>4</v>
      </c>
      <c r="G36" s="218"/>
      <c r="H36" s="222"/>
    </row>
    <row r="37" spans="2:8" ht="15.6">
      <c r="C37" s="249" t="s">
        <v>1399</v>
      </c>
      <c r="D37" s="34" t="s">
        <v>1460</v>
      </c>
      <c r="E37" s="34">
        <f t="shared" si="0"/>
        <v>3</v>
      </c>
      <c r="G37" s="218"/>
      <c r="H37" s="222"/>
    </row>
    <row r="38" spans="2:8" ht="15.6">
      <c r="C38" s="249" t="s">
        <v>1400</v>
      </c>
      <c r="D38" s="34" t="s">
        <v>1460</v>
      </c>
      <c r="E38" s="34">
        <f t="shared" si="0"/>
        <v>3</v>
      </c>
      <c r="G38" s="218"/>
      <c r="H38" s="222"/>
    </row>
    <row r="39" spans="2:8" ht="15.6">
      <c r="B39" s="249" t="s">
        <v>1401</v>
      </c>
      <c r="C39" s="249" t="s">
        <v>1349</v>
      </c>
      <c r="D39" s="34" t="s">
        <v>1458</v>
      </c>
      <c r="E39" s="34">
        <f t="shared" si="0"/>
        <v>2</v>
      </c>
      <c r="G39" s="218"/>
      <c r="H39" s="222"/>
    </row>
    <row r="40" spans="2:8" ht="15.6">
      <c r="C40" s="249" t="s">
        <v>1356</v>
      </c>
      <c r="D40" s="34" t="s">
        <v>1460</v>
      </c>
      <c r="E40" s="34">
        <f t="shared" si="0"/>
        <v>3</v>
      </c>
      <c r="G40" s="218"/>
      <c r="H40" s="222"/>
    </row>
    <row r="41" spans="2:8" ht="15.6">
      <c r="B41" s="249" t="s">
        <v>1265</v>
      </c>
      <c r="C41" s="249" t="s">
        <v>1403</v>
      </c>
      <c r="D41" s="34" t="s">
        <v>1461</v>
      </c>
      <c r="E41" s="34">
        <f t="shared" si="0"/>
        <v>4</v>
      </c>
      <c r="G41" s="218"/>
      <c r="H41" s="222"/>
    </row>
    <row r="42" spans="2:8" ht="15.6">
      <c r="B42" s="249" t="s">
        <v>1090</v>
      </c>
      <c r="C42" s="249" t="s">
        <v>1394</v>
      </c>
      <c r="D42" s="34" t="s">
        <v>1461</v>
      </c>
      <c r="E42" s="34">
        <f t="shared" si="0"/>
        <v>4</v>
      </c>
      <c r="G42" s="218"/>
      <c r="H42" s="222"/>
    </row>
    <row r="43" spans="2:8" ht="15.6">
      <c r="B43" s="249" t="s">
        <v>1092</v>
      </c>
      <c r="C43" s="249" t="s">
        <v>1406</v>
      </c>
      <c r="D43" s="34" t="s">
        <v>1460</v>
      </c>
      <c r="E43" s="34">
        <f t="shared" si="0"/>
        <v>3</v>
      </c>
      <c r="G43" s="218"/>
      <c r="H43" s="222"/>
    </row>
    <row r="44" spans="2:8" ht="15.6">
      <c r="C44" s="249" t="s">
        <v>1333</v>
      </c>
      <c r="D44" s="34" t="s">
        <v>1458</v>
      </c>
      <c r="E44" s="34">
        <f t="shared" si="0"/>
        <v>2</v>
      </c>
      <c r="G44" s="218"/>
      <c r="H44" s="222"/>
    </row>
    <row r="45" spans="2:8" ht="15.6">
      <c r="C45" s="249" t="s">
        <v>1409</v>
      </c>
      <c r="D45" s="34" t="s">
        <v>1462</v>
      </c>
      <c r="E45" s="34">
        <f t="shared" si="0"/>
        <v>5</v>
      </c>
      <c r="G45" s="218"/>
      <c r="H45" s="222"/>
    </row>
    <row r="46" spans="2:8" ht="15.6">
      <c r="C46" s="249" t="s">
        <v>1410</v>
      </c>
      <c r="D46" s="34" t="s">
        <v>1458</v>
      </c>
      <c r="E46" s="34">
        <f t="shared" si="0"/>
        <v>2</v>
      </c>
      <c r="G46" s="218"/>
      <c r="H46" s="222"/>
    </row>
    <row r="47" spans="2:8" ht="15.6">
      <c r="C47" s="249" t="s">
        <v>1400</v>
      </c>
      <c r="D47" s="34" t="s">
        <v>1460</v>
      </c>
      <c r="E47" s="34">
        <f t="shared" si="0"/>
        <v>3</v>
      </c>
      <c r="G47" s="218"/>
      <c r="H47" s="222"/>
    </row>
    <row r="48" spans="2:8" ht="15.6">
      <c r="C48" s="249" t="s">
        <v>1435</v>
      </c>
      <c r="D48" s="34" t="s">
        <v>1460</v>
      </c>
      <c r="E48" s="34">
        <f t="shared" si="0"/>
        <v>3</v>
      </c>
      <c r="G48" s="218"/>
      <c r="H48" s="222"/>
    </row>
    <row r="49" spans="2:8" ht="15.6">
      <c r="C49" s="249" t="s">
        <v>1341</v>
      </c>
      <c r="D49" s="34" t="s">
        <v>1459</v>
      </c>
      <c r="E49" s="34">
        <f t="shared" si="0"/>
        <v>1</v>
      </c>
      <c r="G49" s="218"/>
      <c r="H49" s="222"/>
    </row>
    <row r="50" spans="2:8" ht="15.6">
      <c r="G50" s="218"/>
      <c r="H50" s="222"/>
    </row>
    <row r="51" spans="2:8" ht="31.2">
      <c r="B51" s="307" t="s">
        <v>1413</v>
      </c>
      <c r="C51" s="267"/>
      <c r="D51" s="306" t="s">
        <v>1465</v>
      </c>
      <c r="E51" s="268">
        <f>AVERAGE(E9:E49)</f>
        <v>2.6097560975609757</v>
      </c>
      <c r="G51" s="218"/>
      <c r="H51" s="222"/>
    </row>
    <row r="52" spans="2:8" ht="15.6">
      <c r="G52" s="218"/>
      <c r="H52" s="222"/>
    </row>
    <row r="53" spans="2:8" ht="16.2" thickBot="1">
      <c r="B53" s="269" t="s">
        <v>1358</v>
      </c>
      <c r="C53" s="269" t="s">
        <v>1435</v>
      </c>
      <c r="D53" s="270" t="str">
        <f>D26</f>
        <v>Very credit supportive</v>
      </c>
      <c r="E53" s="270">
        <f>E26</f>
        <v>3</v>
      </c>
      <c r="G53" s="218"/>
      <c r="H53" s="222"/>
    </row>
    <row r="54" spans="2:8" ht="15.6">
      <c r="G54" s="218"/>
      <c r="H54" s="222"/>
    </row>
    <row r="55" spans="2:8" ht="15.6">
      <c r="B55" s="249" t="s">
        <v>1441</v>
      </c>
      <c r="G55" s="218"/>
      <c r="H55" s="222"/>
    </row>
    <row r="56" spans="2:8" ht="15.6">
      <c r="B56" s="249" t="s">
        <v>1532</v>
      </c>
      <c r="G56" s="218"/>
      <c r="H56" s="222"/>
    </row>
    <row r="57" spans="2:8" ht="15.6">
      <c r="B57" s="249" t="s">
        <v>1464</v>
      </c>
      <c r="G57" s="218"/>
      <c r="H57" s="222"/>
    </row>
    <row r="58" spans="2:8" ht="15.6">
      <c r="G58" s="218"/>
      <c r="H58" s="222"/>
    </row>
    <row r="59" spans="2:8" ht="15.6">
      <c r="G59" s="218"/>
      <c r="H59" s="222"/>
    </row>
    <row r="60" spans="2:8" ht="15.6">
      <c r="G60" s="218"/>
      <c r="H60" s="222"/>
    </row>
    <row r="61" spans="2:8" ht="15.6">
      <c r="G61" s="218"/>
      <c r="H61" s="222"/>
    </row>
    <row r="62" spans="2:8" ht="15.6">
      <c r="G62" s="218"/>
      <c r="H62" s="222"/>
    </row>
    <row r="63" spans="2:8" ht="15.6">
      <c r="G63" s="218"/>
      <c r="H63" s="222"/>
    </row>
    <row r="64" spans="2:8" ht="15.6">
      <c r="G64" s="218"/>
      <c r="H64" s="222"/>
    </row>
    <row r="65" spans="7:8" ht="15.6">
      <c r="G65" s="218"/>
      <c r="H65" s="222"/>
    </row>
    <row r="66" spans="7:8" ht="15.6">
      <c r="G66" s="218"/>
      <c r="H66" s="222"/>
    </row>
    <row r="67" spans="7:8" ht="15.6">
      <c r="G67" s="218"/>
      <c r="H67" s="222"/>
    </row>
    <row r="68" spans="7:8" ht="15.6">
      <c r="G68" s="218"/>
      <c r="H68" s="222"/>
    </row>
    <row r="69" spans="7:8" ht="15.6">
      <c r="G69" s="218"/>
      <c r="H69" s="222"/>
    </row>
    <row r="70" spans="7:8" ht="15.6">
      <c r="G70" s="218"/>
      <c r="H70" s="222"/>
    </row>
    <row r="71" spans="7:8" ht="15.6">
      <c r="G71" s="218"/>
      <c r="H71" s="222"/>
    </row>
    <row r="72" spans="7:8" ht="15.6">
      <c r="G72" s="218"/>
      <c r="H72" s="222"/>
    </row>
    <row r="73" spans="7:8" ht="15.6">
      <c r="G73" s="218"/>
      <c r="H73" s="222"/>
    </row>
    <row r="74" spans="7:8" ht="15.6">
      <c r="G74" s="218"/>
      <c r="H74" s="222"/>
    </row>
    <row r="75" spans="7:8" ht="15.6">
      <c r="G75" s="218"/>
      <c r="H75" s="222"/>
    </row>
    <row r="76" spans="7:8" ht="15.6">
      <c r="G76" s="218"/>
      <c r="H76" s="222"/>
    </row>
    <row r="77" spans="7:8" ht="15.6">
      <c r="G77" s="218"/>
      <c r="H77" s="222"/>
    </row>
    <row r="78" spans="7:8" ht="15.6">
      <c r="G78" s="218"/>
      <c r="H78" s="222"/>
    </row>
    <row r="79" spans="7:8" ht="15.6">
      <c r="G79" s="218"/>
      <c r="H79" s="222"/>
    </row>
    <row r="80" spans="7:8" ht="15.6">
      <c r="G80" s="218"/>
      <c r="H80" s="222"/>
    </row>
    <row r="81" spans="7:8" ht="15.6">
      <c r="G81" s="218"/>
      <c r="H81" s="222"/>
    </row>
    <row r="82" spans="7:8" ht="15.6">
      <c r="G82" s="218"/>
      <c r="H82" s="222"/>
    </row>
    <row r="83" spans="7:8" ht="15.6">
      <c r="G83" s="218"/>
      <c r="H83" s="222"/>
    </row>
    <row r="84" spans="7:8" ht="15.6">
      <c r="G84" s="218"/>
      <c r="H84" s="222"/>
    </row>
    <row r="85" spans="7:8" ht="15.6">
      <c r="G85" s="218"/>
      <c r="H85" s="222"/>
    </row>
    <row r="86" spans="7:8" ht="15.6">
      <c r="G86" s="218"/>
      <c r="H86" s="222"/>
    </row>
    <row r="87" spans="7:8" ht="15.6">
      <c r="G87" s="218"/>
      <c r="H87" s="222"/>
    </row>
    <row r="88" spans="7:8" ht="15.6">
      <c r="G88" s="218"/>
      <c r="H88" s="222"/>
    </row>
    <row r="89" spans="7:8" ht="15.6">
      <c r="G89" s="218"/>
      <c r="H89" s="222"/>
    </row>
    <row r="101" spans="7:8" ht="15.6">
      <c r="G101" s="218"/>
      <c r="H101" s="222"/>
    </row>
    <row r="102" spans="7:8" ht="15.6">
      <c r="G102" s="218"/>
      <c r="H102" s="222"/>
    </row>
    <row r="103" spans="7:8" ht="15.6">
      <c r="G103" s="218"/>
      <c r="H103" s="222"/>
    </row>
    <row r="104" spans="7:8" ht="15.6">
      <c r="G104" s="218"/>
      <c r="H104" s="222"/>
    </row>
    <row r="105" spans="7:8" ht="15.6">
      <c r="G105" s="218"/>
      <c r="H105" s="222"/>
    </row>
    <row r="106" spans="7:8" ht="15.6">
      <c r="G106" s="218"/>
      <c r="H106" s="222"/>
    </row>
  </sheetData>
  <mergeCells count="4">
    <mergeCell ref="B2:E2"/>
    <mergeCell ref="B3:E3"/>
    <mergeCell ref="H5:I5"/>
    <mergeCell ref="D6:E6"/>
  </mergeCells>
  <printOptions horizontalCentered="1"/>
  <pageMargins left="0.7" right="0.7" top="0.75" bottom="0.75" header="0.3" footer="0.3"/>
  <pageSetup scale="54" orientation="landscape" horizontalDpi="1200" verticalDpi="1200" r:id="rId1"/>
  <headerFooter scaleWithDoc="0">
    <oddHeader>&amp;RDocket No. 56165
Exhibit AEB-12
Page &amp;P of 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autoPageBreaks="0"/>
  </sheetPr>
  <dimension ref="A1:H34"/>
  <sheetViews>
    <sheetView zoomScale="70" zoomScaleNormal="70" zoomScalePageLayoutView="55" workbookViewId="0">
      <selection activeCell="J28" sqref="J28"/>
    </sheetView>
  </sheetViews>
  <sheetFormatPr defaultColWidth="8.88671875" defaultRowHeight="15" customHeight="1"/>
  <cols>
    <col min="1" max="1" width="8.88671875" style="273"/>
    <col min="2" max="2" width="39.88671875" style="273" customWidth="1"/>
    <col min="3" max="3" width="8.88671875" style="273"/>
    <col min="4" max="4" width="13.88671875" style="273" customWidth="1"/>
    <col min="5" max="5" width="13.109375" style="273" customWidth="1"/>
    <col min="6" max="6" width="12.88671875" style="273" customWidth="1"/>
    <col min="7" max="7" width="15.5546875" style="273" customWidth="1"/>
    <col min="8" max="16384" width="8.88671875" style="273"/>
  </cols>
  <sheetData>
    <row r="1" spans="1:8" ht="15" customHeight="1">
      <c r="A1" s="271"/>
      <c r="B1" s="271"/>
      <c r="C1" s="272"/>
      <c r="D1" s="272"/>
      <c r="E1" s="272"/>
      <c r="F1" s="272"/>
      <c r="G1" s="272"/>
      <c r="H1" s="272"/>
    </row>
    <row r="2" spans="1:8" ht="15" customHeight="1">
      <c r="A2" s="271"/>
      <c r="B2" s="195"/>
      <c r="C2" s="195"/>
      <c r="D2" s="195"/>
      <c r="E2" s="195"/>
      <c r="F2" s="195"/>
      <c r="G2" s="195"/>
      <c r="H2" s="195"/>
    </row>
    <row r="3" spans="1:8" ht="15" customHeight="1">
      <c r="A3" s="271"/>
      <c r="B3" s="195"/>
      <c r="C3" s="195"/>
      <c r="D3" s="195"/>
      <c r="E3" s="195"/>
      <c r="F3" s="195"/>
      <c r="G3" s="195"/>
      <c r="H3" s="195"/>
    </row>
    <row r="4" spans="1:8" ht="15" customHeight="1">
      <c r="A4" s="271"/>
      <c r="B4" s="422" t="s">
        <v>1443</v>
      </c>
      <c r="C4" s="422"/>
      <c r="D4" s="422"/>
      <c r="E4" s="422"/>
      <c r="F4" s="422"/>
      <c r="G4" s="422"/>
      <c r="H4" s="274"/>
    </row>
    <row r="5" spans="1:8" ht="15" customHeight="1">
      <c r="A5" s="271"/>
      <c r="B5" s="195"/>
      <c r="C5" s="195"/>
      <c r="D5" s="195"/>
      <c r="E5" s="195"/>
      <c r="F5" s="195"/>
      <c r="G5" s="195"/>
      <c r="H5" s="195"/>
    </row>
    <row r="6" spans="1:8" ht="15" customHeight="1">
      <c r="A6" s="271"/>
      <c r="B6" s="195"/>
      <c r="C6" s="195"/>
      <c r="D6" s="275" t="s">
        <v>1539</v>
      </c>
      <c r="E6" s="275"/>
      <c r="F6" s="275"/>
      <c r="G6" s="275"/>
      <c r="H6" s="271"/>
    </row>
    <row r="7" spans="1:8" ht="15" customHeight="1">
      <c r="A7" s="271"/>
      <c r="B7" s="195"/>
      <c r="C7" s="195"/>
      <c r="D7" s="276" t="s">
        <v>1444</v>
      </c>
      <c r="E7" s="276" t="s">
        <v>73</v>
      </c>
      <c r="F7" s="276" t="s">
        <v>1445</v>
      </c>
      <c r="G7" s="276"/>
      <c r="H7" s="271"/>
    </row>
    <row r="8" spans="1:8" ht="15" customHeight="1">
      <c r="A8" s="271"/>
      <c r="B8" s="272"/>
      <c r="C8" s="272"/>
      <c r="D8" s="277" t="s">
        <v>1446</v>
      </c>
      <c r="E8" s="277" t="s">
        <v>1447</v>
      </c>
      <c r="F8" s="277" t="s">
        <v>1446</v>
      </c>
      <c r="G8" s="277" t="s">
        <v>1147</v>
      </c>
      <c r="H8" s="271"/>
    </row>
    <row r="9" spans="1:8" ht="15" customHeight="1">
      <c r="A9" s="271"/>
      <c r="B9" s="278" t="s">
        <v>1317</v>
      </c>
      <c r="C9" s="279" t="s">
        <v>21</v>
      </c>
      <c r="D9" s="280" t="s">
        <v>1448</v>
      </c>
      <c r="E9" s="280" t="s">
        <v>1448</v>
      </c>
      <c r="F9" s="280" t="s">
        <v>1448</v>
      </c>
      <c r="G9" s="280" t="s">
        <v>77</v>
      </c>
      <c r="H9" s="271"/>
    </row>
    <row r="10" spans="1:8" ht="15" customHeight="1">
      <c r="A10" s="271"/>
      <c r="B10" s="281" t="s">
        <v>1077</v>
      </c>
      <c r="C10" s="282" t="s">
        <v>1078</v>
      </c>
      <c r="D10" s="28">
        <v>0.59403916141077828</v>
      </c>
      <c r="E10" s="28">
        <v>0.40596083858922177</v>
      </c>
      <c r="F10" s="28">
        <v>0</v>
      </c>
      <c r="G10" s="283">
        <f>SUM(D10:F10)</f>
        <v>1</v>
      </c>
      <c r="H10" s="271"/>
    </row>
    <row r="11" spans="1:8" ht="15" customHeight="1">
      <c r="A11" s="271"/>
      <c r="B11" s="281" t="s">
        <v>1080</v>
      </c>
      <c r="C11" s="282" t="s">
        <v>261</v>
      </c>
      <c r="D11" s="28">
        <v>0.52137279543100989</v>
      </c>
      <c r="E11" s="28">
        <v>0.47862720456899011</v>
      </c>
      <c r="F11" s="28">
        <v>0</v>
      </c>
      <c r="G11" s="283">
        <f t="shared" ref="G11:G24" si="0">SUM(D11:F11)</f>
        <v>1</v>
      </c>
      <c r="H11" s="271"/>
    </row>
    <row r="12" spans="1:8" ht="15" customHeight="1">
      <c r="A12" s="271"/>
      <c r="B12" s="281" t="s">
        <v>1081</v>
      </c>
      <c r="C12" s="282" t="s">
        <v>766</v>
      </c>
      <c r="D12" s="28">
        <v>0.53225463295628461</v>
      </c>
      <c r="E12" s="28">
        <v>0.46214913601931373</v>
      </c>
      <c r="F12" s="28">
        <v>5.596231024401723E-3</v>
      </c>
      <c r="G12" s="283">
        <f t="shared" si="0"/>
        <v>1</v>
      </c>
      <c r="H12" s="271"/>
    </row>
    <row r="13" spans="1:8" ht="15" customHeight="1">
      <c r="A13" s="271"/>
      <c r="B13" s="281" t="s">
        <v>1082</v>
      </c>
      <c r="C13" s="282" t="s">
        <v>265</v>
      </c>
      <c r="D13" s="28">
        <v>0.52691442250374687</v>
      </c>
      <c r="E13" s="28">
        <v>0.47308557749625318</v>
      </c>
      <c r="F13" s="28">
        <v>0</v>
      </c>
      <c r="G13" s="283">
        <f t="shared" si="0"/>
        <v>1</v>
      </c>
      <c r="H13" s="271"/>
    </row>
    <row r="14" spans="1:8" ht="15" customHeight="1">
      <c r="A14" s="271"/>
      <c r="B14" s="281" t="s">
        <v>450</v>
      </c>
      <c r="C14" s="282" t="s">
        <v>451</v>
      </c>
      <c r="D14" s="28">
        <v>0.41040568298267327</v>
      </c>
      <c r="E14" s="28">
        <v>0.54618636911831187</v>
      </c>
      <c r="F14" s="28">
        <v>4.3407947899014906E-2</v>
      </c>
      <c r="G14" s="283">
        <f t="shared" si="0"/>
        <v>1</v>
      </c>
      <c r="H14" s="271"/>
    </row>
    <row r="15" spans="1:8" ht="15" customHeight="1">
      <c r="A15" s="271"/>
      <c r="B15" s="281" t="s">
        <v>1083</v>
      </c>
      <c r="C15" s="282" t="s">
        <v>279</v>
      </c>
      <c r="D15" s="28">
        <v>0.4774954625306701</v>
      </c>
      <c r="E15" s="28">
        <v>0.52152109692633219</v>
      </c>
      <c r="F15" s="28">
        <v>9.8344054299768428E-4</v>
      </c>
      <c r="G15" s="283">
        <f t="shared" si="0"/>
        <v>1</v>
      </c>
      <c r="H15" s="271"/>
    </row>
    <row r="16" spans="1:8" ht="15" customHeight="1">
      <c r="A16" s="271"/>
      <c r="B16" s="281" t="s">
        <v>411</v>
      </c>
      <c r="C16" s="282" t="s">
        <v>412</v>
      </c>
      <c r="D16" s="28">
        <v>0.54852302304494149</v>
      </c>
      <c r="E16" s="28">
        <v>0.44471480158119597</v>
      </c>
      <c r="F16" s="28">
        <v>6.7621753738625048E-3</v>
      </c>
      <c r="G16" s="283">
        <f t="shared" si="0"/>
        <v>1</v>
      </c>
      <c r="H16" s="271"/>
    </row>
    <row r="17" spans="1:8" ht="15" customHeight="1">
      <c r="A17" s="271"/>
      <c r="B17" s="281" t="s">
        <v>1084</v>
      </c>
      <c r="C17" s="282" t="s">
        <v>690</v>
      </c>
      <c r="D17" s="28">
        <v>0.6114886047516398</v>
      </c>
      <c r="E17" s="28">
        <v>0.3885113952483602</v>
      </c>
      <c r="F17" s="28">
        <v>0</v>
      </c>
      <c r="G17" s="283">
        <f t="shared" si="0"/>
        <v>1</v>
      </c>
      <c r="H17" s="271"/>
    </row>
    <row r="18" spans="1:8" ht="15" customHeight="1">
      <c r="A18" s="271"/>
      <c r="B18" s="284" t="s">
        <v>1085</v>
      </c>
      <c r="C18" s="285" t="s">
        <v>1086</v>
      </c>
      <c r="D18" s="28">
        <v>0.52953939140478534</v>
      </c>
      <c r="E18" s="28">
        <v>0.47046060859521466</v>
      </c>
      <c r="F18" s="28">
        <v>0</v>
      </c>
      <c r="G18" s="283">
        <f t="shared" si="0"/>
        <v>1</v>
      </c>
      <c r="H18" s="271"/>
    </row>
    <row r="19" spans="1:8" ht="15" customHeight="1">
      <c r="A19" s="271"/>
      <c r="B19" s="281" t="s">
        <v>1087</v>
      </c>
      <c r="C19" s="282" t="s">
        <v>297</v>
      </c>
      <c r="D19" s="28">
        <v>0.60712009472440565</v>
      </c>
      <c r="E19" s="28">
        <v>0.39287990527559435</v>
      </c>
      <c r="F19" s="28">
        <v>0</v>
      </c>
      <c r="G19" s="283">
        <f t="shared" si="0"/>
        <v>1</v>
      </c>
      <c r="H19" s="271"/>
    </row>
    <row r="20" spans="1:8" ht="15" customHeight="1">
      <c r="A20" s="271"/>
      <c r="B20" s="281" t="s">
        <v>1088</v>
      </c>
      <c r="C20" s="282" t="s">
        <v>1089</v>
      </c>
      <c r="D20" s="28">
        <v>0.49687063023489614</v>
      </c>
      <c r="E20" s="28">
        <v>0.50312936976510392</v>
      </c>
      <c r="F20" s="28">
        <v>0</v>
      </c>
      <c r="G20" s="283">
        <f t="shared" si="0"/>
        <v>1</v>
      </c>
      <c r="H20" s="271"/>
    </row>
    <row r="21" spans="1:8" ht="15" customHeight="1">
      <c r="A21" s="271"/>
      <c r="B21" s="281" t="s">
        <v>1401</v>
      </c>
      <c r="C21" s="282" t="s">
        <v>1304</v>
      </c>
      <c r="D21" s="28">
        <v>0.5399658239720444</v>
      </c>
      <c r="E21" s="28">
        <v>0.4600341760279556</v>
      </c>
      <c r="F21" s="28">
        <v>0</v>
      </c>
      <c r="G21" s="283">
        <f t="shared" si="0"/>
        <v>1</v>
      </c>
      <c r="H21" s="271"/>
    </row>
    <row r="22" spans="1:8" ht="15" customHeight="1">
      <c r="A22" s="271"/>
      <c r="B22" s="281" t="s">
        <v>1265</v>
      </c>
      <c r="C22" s="282" t="s">
        <v>440</v>
      </c>
      <c r="D22" s="28">
        <v>0.50875093813766248</v>
      </c>
      <c r="E22" s="28">
        <v>0.49124906186233758</v>
      </c>
      <c r="F22" s="28">
        <v>0</v>
      </c>
      <c r="G22" s="283">
        <f t="shared" si="0"/>
        <v>1</v>
      </c>
      <c r="H22" s="271"/>
    </row>
    <row r="23" spans="1:8" ht="15" customHeight="1">
      <c r="A23" s="271"/>
      <c r="B23" s="281" t="s">
        <v>1090</v>
      </c>
      <c r="C23" s="282" t="s">
        <v>1091</v>
      </c>
      <c r="D23" s="28">
        <v>0.45730735586502325</v>
      </c>
      <c r="E23" s="28">
        <v>0.54269264413497664</v>
      </c>
      <c r="F23" s="28">
        <v>0</v>
      </c>
      <c r="G23" s="283">
        <f t="shared" si="0"/>
        <v>0.99999999999999989</v>
      </c>
      <c r="H23" s="271"/>
    </row>
    <row r="24" spans="1:8" ht="15" customHeight="1">
      <c r="A24" s="271"/>
      <c r="B24" s="286" t="s">
        <v>1092</v>
      </c>
      <c r="C24" s="287" t="s">
        <v>576</v>
      </c>
      <c r="D24" s="28">
        <v>0.54406208352648122</v>
      </c>
      <c r="E24" s="28">
        <v>0.45593791647351883</v>
      </c>
      <c r="F24" s="28">
        <v>0</v>
      </c>
      <c r="G24" s="283">
        <f t="shared" si="0"/>
        <v>1</v>
      </c>
    </row>
    <row r="25" spans="1:8" ht="15" customHeight="1">
      <c r="A25" s="271"/>
      <c r="B25" s="281"/>
      <c r="C25" s="282"/>
      <c r="D25" s="288"/>
      <c r="E25" s="288"/>
      <c r="F25" s="288"/>
      <c r="G25" s="289"/>
      <c r="H25" s="271"/>
    </row>
    <row r="26" spans="1:8" ht="15" customHeight="1">
      <c r="A26" s="271"/>
      <c r="B26" s="290" t="s">
        <v>5</v>
      </c>
      <c r="C26" s="282"/>
      <c r="D26" s="291">
        <f>AVERAGE(D10:D24)</f>
        <v>0.52707400689846939</v>
      </c>
      <c r="E26" s="291">
        <f>AVERAGE(E10:E24)</f>
        <v>0.46914267344551214</v>
      </c>
      <c r="F26" s="291">
        <f>AVERAGE(F10:F24)</f>
        <v>3.7833196560184547E-3</v>
      </c>
      <c r="G26" s="289"/>
      <c r="H26" s="271"/>
    </row>
    <row r="27" spans="1:8" ht="15" customHeight="1">
      <c r="A27" s="271"/>
      <c r="B27" s="290" t="s">
        <v>39</v>
      </c>
      <c r="C27" s="282"/>
      <c r="D27" s="291">
        <f>MEDIAN(D10:D24)</f>
        <v>0.52953939140478534</v>
      </c>
      <c r="E27" s="291">
        <f>MEDIAN(E10:E24)</f>
        <v>0.47046060859521466</v>
      </c>
      <c r="F27" s="291">
        <f>MEDIAN(F10:F24)</f>
        <v>0</v>
      </c>
      <c r="G27" s="289"/>
      <c r="H27" s="271"/>
    </row>
    <row r="28" spans="1:8" ht="15" customHeight="1">
      <c r="A28" s="271"/>
      <c r="B28" s="290" t="s">
        <v>6</v>
      </c>
      <c r="C28" s="282"/>
      <c r="D28" s="291">
        <f>MAX(D10:D24)</f>
        <v>0.6114886047516398</v>
      </c>
      <c r="E28" s="291">
        <f>MAX(E10:E24)</f>
        <v>0.54618636911831187</v>
      </c>
      <c r="F28" s="291">
        <f>MAX(F10:F24)</f>
        <v>4.3407947899014906E-2</v>
      </c>
      <c r="G28" s="289"/>
      <c r="H28" s="271"/>
    </row>
    <row r="29" spans="1:8" ht="15" customHeight="1">
      <c r="A29" s="271"/>
      <c r="B29" s="290" t="s">
        <v>4</v>
      </c>
      <c r="C29" s="282"/>
      <c r="D29" s="291">
        <f>MIN(D10:D24)</f>
        <v>0.41040568298267327</v>
      </c>
      <c r="E29" s="291">
        <f t="shared" ref="E29:F29" si="1">MIN(E10:E24)</f>
        <v>0.3885113952483602</v>
      </c>
      <c r="F29" s="291">
        <f t="shared" si="1"/>
        <v>0</v>
      </c>
      <c r="G29" s="289"/>
      <c r="H29" s="271"/>
    </row>
    <row r="30" spans="1:8" ht="15" customHeight="1">
      <c r="A30" s="271"/>
      <c r="B30" s="209"/>
      <c r="C30" s="282"/>
      <c r="D30" s="289"/>
      <c r="E30" s="289"/>
      <c r="F30" s="289"/>
      <c r="G30" s="289"/>
      <c r="H30" s="289"/>
    </row>
    <row r="31" spans="1:8" ht="15" customHeight="1">
      <c r="A31" s="271"/>
      <c r="B31" s="292" t="s">
        <v>32</v>
      </c>
      <c r="C31" s="282"/>
      <c r="D31" s="289"/>
      <c r="E31" s="289"/>
      <c r="F31" s="289"/>
      <c r="G31" s="289"/>
      <c r="H31" s="289"/>
    </row>
    <row r="32" spans="1:8" ht="15" customHeight="1">
      <c r="A32" s="271"/>
      <c r="B32" s="293" t="s">
        <v>1538</v>
      </c>
      <c r="C32" s="282"/>
      <c r="D32" s="289"/>
      <c r="E32" s="289"/>
      <c r="F32" s="289"/>
      <c r="G32" s="289"/>
      <c r="H32" s="289"/>
    </row>
    <row r="33" spans="1:8" ht="15" customHeight="1">
      <c r="A33" s="271"/>
      <c r="B33" s="294" t="s">
        <v>1449</v>
      </c>
      <c r="C33" s="282"/>
      <c r="D33" s="289"/>
      <c r="E33" s="289"/>
      <c r="F33" s="289"/>
      <c r="G33" s="289"/>
      <c r="H33" s="289"/>
    </row>
    <row r="34" spans="1:8" ht="15" customHeight="1">
      <c r="A34" s="271"/>
      <c r="B34" s="281"/>
      <c r="C34" s="282"/>
      <c r="D34" s="289"/>
      <c r="E34" s="289"/>
      <c r="F34" s="289"/>
      <c r="G34" s="289"/>
      <c r="H34" s="289"/>
    </row>
  </sheetData>
  <mergeCells count="1">
    <mergeCell ref="B4:G4"/>
  </mergeCells>
  <printOptions horizontalCentered="1"/>
  <pageMargins left="0.7" right="0.7" top="0.75" bottom="0.75" header="0.3" footer="0.3"/>
  <pageSetup scale="93" orientation="landscape" useFirstPageNumber="1" horizontalDpi="1200" verticalDpi="1200" r:id="rId1"/>
  <headerFooter scaleWithDoc="0">
    <oddHeader>&amp;RDocket No. 56165
Exhibit AEB-13
Page &amp;P of 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erating_x0020_Company xmlns="a1040523-5304-4b09-b6d4-64a124c994e2">AEP Ohio</Operating_x0020_Company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mM1ZjhlYjEyLTViMjctNDM5ZC1hYWE2LTM0MDJhZjYyNmZhMy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QwMDAyOTg8L1VzZXJOYW1lPjxEYXRlVGltZT4yLzE1LzIwMjQgNTo0MTo0MSBQTTwvRGF0ZVRpbWU+PExhYmVsU3RyaW5nPkFFUCBQdWJsaWM8L0xhYmVsU3RyaW5nPjwvaXRlbT48L2xhYmVsSGlzdG9yeT4=</Value>
</WrappedLabelHistory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c5f8eb12-5b27-439d-aaa6-3402af626fa3" value=""/>
  <element uid="d14f5c36-f44a-4315-b438-005cfe8f069f" value=""/>
</sisl>
</file>

<file path=customXml/itemProps1.xml><?xml version="1.0" encoding="utf-8"?>
<ds:datastoreItem xmlns:ds="http://schemas.openxmlformats.org/officeDocument/2006/customXml" ds:itemID="{5AEE4553-F803-4DF5-8F42-1CC3D9F581CC}"/>
</file>

<file path=customXml/itemProps2.xml><?xml version="1.0" encoding="utf-8"?>
<ds:datastoreItem xmlns:ds="http://schemas.openxmlformats.org/officeDocument/2006/customXml" ds:itemID="{20E1DE94-D862-4E28-BC10-5FE3E620F84F}">
  <ds:schemaRefs>
    <ds:schemaRef ds:uri="http://schemas.microsoft.com/office/2006/metadata/properties"/>
    <ds:schemaRef ds:uri="http://schemas.microsoft.com/office/infopath/2007/PartnerControls"/>
    <ds:schemaRef ds:uri="a1040523-5304-4b09-b6d4-64a124c994e2"/>
    <ds:schemaRef ds:uri="http://schemas.microsoft.com/sharepoint/v3"/>
    <ds:schemaRef ds:uri="5b640fb8-5a34-41c1-9307-1b790ff29a8b"/>
    <ds:schemaRef ds:uri="51831b8d-857f-44dd-949b-652450d1a5df"/>
  </ds:schemaRefs>
</ds:datastoreItem>
</file>

<file path=customXml/itemProps3.xml><?xml version="1.0" encoding="utf-8"?>
<ds:datastoreItem xmlns:ds="http://schemas.openxmlformats.org/officeDocument/2006/customXml" ds:itemID="{64EC5159-6B9C-41D3-9D55-D8C60C732421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F663BD38-C62B-4748-9B3C-07F208CFE51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74F0B6A1-2583-400D-B14A-6B8995928D0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AEB-2 Summary</vt:lpstr>
      <vt:lpstr>AEB-3 Proxy Selection</vt:lpstr>
      <vt:lpstr>AEB-4 CGDCF</vt:lpstr>
      <vt:lpstr>AEB-5 CAPM</vt:lpstr>
      <vt:lpstr>AEB-6 LT Beta</vt:lpstr>
      <vt:lpstr>AEB-7 Market Return</vt:lpstr>
      <vt:lpstr>AEB-8 Risk Premium</vt:lpstr>
      <vt:lpstr>AEB-9 Flotation Cost</vt:lpstr>
      <vt:lpstr>AEB-10 Reg Risk</vt:lpstr>
      <vt:lpstr>AEB-11 RegEnv</vt:lpstr>
      <vt:lpstr>AEB-12 S&amp;P Cred Sup</vt:lpstr>
      <vt:lpstr>AEB-13 Capital Structure</vt:lpstr>
      <vt:lpstr>'AEB-7 Market Return'!Print_Titles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2023-11-14T19:36:05Z</dcterms:created>
  <dcterms:modified xsi:type="dcterms:W3CDTF">2024-02-19T15:16:55Z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{54052B63-0EDA-4F12-8F3D-5A16507BEBF5}</vt:lpwstr>
  </property>
  <property fmtid="{D5CDD505-2E9C-101B-9397-08002B2CF9AE}" pid="3" name="docIndexRef">
    <vt:lpwstr>117f2d19-0fff-4d36-81ba-4b2b520b4be8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5" name="bjDocumentLabelXML-0">
    <vt:lpwstr>ames.com/2008/01/sie/internal/label"&gt;&lt;element uid="c5f8eb12-5b27-439d-aaa6-3402af626fa3" value="" /&gt;&lt;element uid="d14f5c36-f44a-4315-b438-005cfe8f069f" value="" /&gt;&lt;/sisl&gt;</vt:lpwstr>
  </property>
  <property fmtid="{D5CDD505-2E9C-101B-9397-08002B2CF9AE}" pid="6" name="bjDocumentSecurityLabel">
    <vt:lpwstr>AEP Public</vt:lpwstr>
  </property>
  <property fmtid="{D5CDD505-2E9C-101B-9397-08002B2CF9AE}" pid="7" name="MSIP_Label_5c34e43d-0b77-4b2c-b224-1b46981ccfdb_SiteId">
    <vt:lpwstr>15f3c881-6b03-4ff6-8559-77bf5177818f</vt:lpwstr>
  </property>
  <property fmtid="{D5CDD505-2E9C-101B-9397-08002B2CF9AE}" pid="8" name="MSIP_Label_5c34e43d-0b77-4b2c-b224-1b46981ccfdb_Name">
    <vt:lpwstr>AEP Public</vt:lpwstr>
  </property>
  <property fmtid="{D5CDD505-2E9C-101B-9397-08002B2CF9AE}" pid="9" name="MSIP_Label_5c34e43d-0b77-4b2c-b224-1b46981ccfdb_Enabled">
    <vt:lpwstr>true</vt:lpwstr>
  </property>
  <property fmtid="{D5CDD505-2E9C-101B-9397-08002B2CF9AE}" pid="10" name="bjClsUserRVM">
    <vt:lpwstr>[]</vt:lpwstr>
  </property>
  <property fmtid="{D5CDD505-2E9C-101B-9397-08002B2CF9AE}" pid="11" name="bjSaver">
    <vt:lpwstr>qRVImZNAmhaVghHbPAub7kJ2Xz4QwyEi</vt:lpwstr>
  </property>
  <property fmtid="{D5CDD505-2E9C-101B-9397-08002B2CF9AE}" pid="12" name="bjLabelHistoryID">
    <vt:lpwstr>{64EC5159-6B9C-41D3-9D55-D8C60C732421}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