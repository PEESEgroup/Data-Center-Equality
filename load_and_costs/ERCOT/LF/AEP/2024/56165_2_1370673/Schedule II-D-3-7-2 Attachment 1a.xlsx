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Schedule Drafts/Electronic/"/>
    </mc:Choice>
  </mc:AlternateContent>
  <xr:revisionPtr revIDLastSave="1" documentId="13_ncr:1_{7B868DB3-139C-4C8F-9369-8682E8FB173F}" xr6:coauthVersionLast="47" xr6:coauthVersionMax="47" xr10:uidLastSave="{D4FB47EE-CF91-4264-AC1E-2BB880F8B82B}"/>
  <bookViews>
    <workbookView xWindow="825" yWindow="405" windowWidth="17160" windowHeight="14220" xr2:uid="{597BA71E-6FED-4098-A871-C48434F52145}"/>
  </bookViews>
  <sheets>
    <sheet name="TestYr Healthcare Claims" sheetId="2" r:id="rId1"/>
  </sheets>
  <definedNames>
    <definedName name="_xlnm.Print_Area" localSheetId="0">'TestYr Healthcare Claims'!$A$8:$D$24</definedName>
  </definedName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2" l="1"/>
  <c r="B23" i="2"/>
  <c r="D22" i="2"/>
  <c r="D21" i="2"/>
  <c r="D20" i="2"/>
  <c r="D19" i="2"/>
  <c r="D18" i="2"/>
  <c r="D17" i="2"/>
  <c r="D16" i="2"/>
  <c r="D15" i="2"/>
  <c r="D14" i="2"/>
  <c r="D13" i="2"/>
  <c r="D12" i="2"/>
  <c r="D11" i="2"/>
  <c r="D23" i="2" l="1"/>
</calcChain>
</file>

<file path=xl/sharedStrings.xml><?xml version="1.0" encoding="utf-8"?>
<sst xmlns="http://schemas.openxmlformats.org/spreadsheetml/2006/main" count="4" uniqueCount="4">
  <si>
    <t>Total</t>
  </si>
  <si>
    <t>Active</t>
  </si>
  <si>
    <t>Retiree</t>
  </si>
  <si>
    <t>AEP 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</si>
</sst>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mmm\-yy;@"/>
    <numFmt numFmtId="165" formatCode="&quot;$&quot;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b/>
      <sz val="11"/>
      <color theme="1"/>
      <name val="Tw Cen MT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1"/>
    <xf numFmtId="0" fontId="2" fillId="0" borderId="1" xfId="1" applyBorder="1"/>
    <xf numFmtId="0" fontId="3" fillId="0" borderId="4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2" fillId="0" borderId="1" xfId="1" applyBorder="1" applyAlignment="1">
      <alignment horizontal="center"/>
    </xf>
    <xf numFmtId="0" fontId="2" fillId="0" borderId="5" xfId="1" applyBorder="1" applyAlignment="1">
      <alignment horizontal="center"/>
    </xf>
    <xf numFmtId="0" fontId="2" fillId="0" borderId="5" xfId="1" applyBorder="1"/>
    <xf numFmtId="164" fontId="2" fillId="0" borderId="1" xfId="1" applyNumberFormat="1" applyBorder="1" applyAlignment="1">
      <alignment horizontal="center"/>
    </xf>
    <xf numFmtId="164" fontId="2" fillId="0" borderId="1" xfId="1" applyNumberFormat="1" applyBorder="1"/>
    <xf numFmtId="0" fontId="2" fillId="0" borderId="2" xfId="1" applyBorder="1"/>
    <xf numFmtId="0" fontId="2" fillId="0" borderId="8" xfId="1" applyBorder="1"/>
    <xf numFmtId="0" fontId="2" fillId="0" borderId="3" xfId="1" applyBorder="1"/>
    <xf numFmtId="0" fontId="2" fillId="0" borderId="9" xfId="1" applyBorder="1"/>
    <xf numFmtId="0" fontId="3" fillId="0" borderId="9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165" fontId="2" fillId="0" borderId="1" xfId="1" applyNumberFormat="1" applyBorder="1" applyAlignment="1">
      <alignment horizontal="center"/>
    </xf>
    <xf numFmtId="165" fontId="2" fillId="0" borderId="5" xfId="1" applyNumberFormat="1" applyBorder="1" applyAlignment="1">
      <alignment horizontal="center"/>
    </xf>
    <xf numFmtId="165" fontId="2" fillId="0" borderId="6" xfId="1" applyNumberFormat="1" applyBorder="1" applyAlignment="1">
      <alignment horizontal="center"/>
    </xf>
    <xf numFmtId="165" fontId="2" fillId="0" borderId="7" xfId="1" applyNumberFormat="1" applyBorder="1" applyAlignment="1">
      <alignment horizontal="center"/>
    </xf>
  </cellXfs>
  <cellStyles count="3">
    <cellStyle name="Currency 2" xfId="2" xr:uid="{154A14FA-DA55-45DA-9C20-29C375967A39}"/>
    <cellStyle name="Normal" xfId="0" builtinId="0"/>
    <cellStyle name="Normal 2" xfId="1" xr:uid="{CCABA271-40F9-4A8F-8825-C6C3C686ED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ECA9-C095-4C9C-BE21-403B193AE603}">
  <dimension ref="A1:F24"/>
  <sheetViews>
    <sheetView tabSelected="1" view="pageLayout" topLeftCell="A3" zoomScaleNormal="100" workbookViewId="0">
      <selection activeCell="A4" sqref="A4"/>
    </sheetView>
  </sheetViews>
  <sheetFormatPr defaultRowHeight="15" x14ac:dyDescent="0.25"/>
  <cols>
    <col min="2" max="4" width="13.28515625" bestFit="1" customWidth="1"/>
  </cols>
  <sheetData>
    <row r="1" spans="1:6" x14ac:dyDescent="0.25">
      <c r="A1" s="1"/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ht="14.85" customHeight="1" x14ac:dyDescent="0.25">
      <c r="A8" s="14"/>
      <c r="B8" s="15" t="s">
        <v>3</v>
      </c>
      <c r="C8" s="16"/>
      <c r="D8" s="17"/>
      <c r="E8" s="1"/>
      <c r="F8" s="1"/>
    </row>
    <row r="9" spans="1:6" x14ac:dyDescent="0.25">
      <c r="A9" s="2"/>
      <c r="B9" s="4" t="s">
        <v>1</v>
      </c>
      <c r="C9" s="5" t="s">
        <v>2</v>
      </c>
      <c r="D9" s="3" t="s">
        <v>0</v>
      </c>
      <c r="E9" s="1"/>
      <c r="F9" s="1"/>
    </row>
    <row r="10" spans="1:6" x14ac:dyDescent="0.25">
      <c r="A10" s="2"/>
      <c r="B10" s="6"/>
      <c r="C10" s="7"/>
      <c r="D10" s="8"/>
      <c r="E10" s="1"/>
      <c r="F10" s="1"/>
    </row>
    <row r="11" spans="1:6" x14ac:dyDescent="0.25">
      <c r="A11" s="9">
        <v>44865</v>
      </c>
      <c r="B11" s="18">
        <v>1494425.6200000003</v>
      </c>
      <c r="C11" s="19">
        <v>895983.05</v>
      </c>
      <c r="D11" s="19">
        <f t="shared" ref="D11:D22" si="0">SUM(B11:C11)</f>
        <v>2390408.6700000004</v>
      </c>
      <c r="E11" s="1"/>
      <c r="F11" s="1"/>
    </row>
    <row r="12" spans="1:6" x14ac:dyDescent="0.25">
      <c r="A12" s="9">
        <v>44895</v>
      </c>
      <c r="B12" s="18">
        <v>1477278.0400000003</v>
      </c>
      <c r="C12" s="19">
        <v>887387.51</v>
      </c>
      <c r="D12" s="19">
        <f t="shared" si="0"/>
        <v>2364665.5500000003</v>
      </c>
      <c r="E12" s="1"/>
      <c r="F12" s="1"/>
    </row>
    <row r="13" spans="1:6" x14ac:dyDescent="0.25">
      <c r="A13" s="9">
        <v>44926</v>
      </c>
      <c r="B13" s="18">
        <v>1603203.8</v>
      </c>
      <c r="C13" s="19">
        <v>925321.17</v>
      </c>
      <c r="D13" s="19">
        <f t="shared" si="0"/>
        <v>2528524.9700000002</v>
      </c>
      <c r="E13" s="1"/>
      <c r="F13" s="1"/>
    </row>
    <row r="14" spans="1:6" x14ac:dyDescent="0.25">
      <c r="A14" s="9">
        <v>44957</v>
      </c>
      <c r="B14" s="18">
        <v>1720841.56</v>
      </c>
      <c r="C14" s="19">
        <v>1140179.29</v>
      </c>
      <c r="D14" s="19">
        <f t="shared" si="0"/>
        <v>2861020.85</v>
      </c>
      <c r="E14" s="1"/>
      <c r="F14" s="1"/>
    </row>
    <row r="15" spans="1:6" x14ac:dyDescent="0.25">
      <c r="A15" s="9">
        <v>44985</v>
      </c>
      <c r="B15" s="18">
        <v>1671615.3699999999</v>
      </c>
      <c r="C15" s="19">
        <v>693867.98000000021</v>
      </c>
      <c r="D15" s="19">
        <f t="shared" si="0"/>
        <v>2365483.35</v>
      </c>
      <c r="E15" s="1"/>
      <c r="F15" s="1"/>
    </row>
    <row r="16" spans="1:6" x14ac:dyDescent="0.25">
      <c r="A16" s="9">
        <v>45016</v>
      </c>
      <c r="B16" s="18">
        <v>1106424.02</v>
      </c>
      <c r="C16" s="19">
        <v>698097.0500000004</v>
      </c>
      <c r="D16" s="19">
        <f t="shared" si="0"/>
        <v>1804521.0700000003</v>
      </c>
      <c r="E16" s="1"/>
      <c r="F16" s="1"/>
    </row>
    <row r="17" spans="1:6" x14ac:dyDescent="0.25">
      <c r="A17" s="9">
        <v>45046</v>
      </c>
      <c r="B17" s="18">
        <v>1021517.2799999999</v>
      </c>
      <c r="C17" s="19">
        <v>861886.85</v>
      </c>
      <c r="D17" s="19">
        <f t="shared" si="0"/>
        <v>1883404.13</v>
      </c>
      <c r="E17" s="1"/>
      <c r="F17" s="1"/>
    </row>
    <row r="18" spans="1:6" x14ac:dyDescent="0.25">
      <c r="A18" s="9">
        <v>45077</v>
      </c>
      <c r="B18" s="18">
        <v>1571523.0799999998</v>
      </c>
      <c r="C18" s="19">
        <v>895316.88</v>
      </c>
      <c r="D18" s="19">
        <f t="shared" si="0"/>
        <v>2466839.96</v>
      </c>
      <c r="E18" s="1"/>
      <c r="F18" s="1"/>
    </row>
    <row r="19" spans="1:6" x14ac:dyDescent="0.25">
      <c r="A19" s="9">
        <v>45107</v>
      </c>
      <c r="B19" s="18">
        <v>1555347.8599999996</v>
      </c>
      <c r="C19" s="19">
        <v>813898.23000000021</v>
      </c>
      <c r="D19" s="19">
        <f t="shared" si="0"/>
        <v>2369246.09</v>
      </c>
      <c r="E19" s="1"/>
      <c r="F19" s="1"/>
    </row>
    <row r="20" spans="1:6" x14ac:dyDescent="0.25">
      <c r="A20" s="9">
        <v>45138</v>
      </c>
      <c r="B20" s="18">
        <v>2006471.4200000002</v>
      </c>
      <c r="C20" s="19">
        <v>939026.53999999992</v>
      </c>
      <c r="D20" s="19">
        <f t="shared" si="0"/>
        <v>2945497.96</v>
      </c>
      <c r="E20" s="1"/>
      <c r="F20" s="1"/>
    </row>
    <row r="21" spans="1:6" x14ac:dyDescent="0.25">
      <c r="A21" s="9">
        <v>45169</v>
      </c>
      <c r="B21" s="18">
        <v>1982288.0099999998</v>
      </c>
      <c r="C21" s="19">
        <v>1015235.79</v>
      </c>
      <c r="D21" s="19">
        <f t="shared" si="0"/>
        <v>2997523.8</v>
      </c>
      <c r="E21" s="1"/>
      <c r="F21" s="1"/>
    </row>
    <row r="22" spans="1:6" x14ac:dyDescent="0.25">
      <c r="A22" s="9">
        <v>45199</v>
      </c>
      <c r="B22" s="18">
        <v>1734287</v>
      </c>
      <c r="C22" s="19">
        <v>886559.00000000023</v>
      </c>
      <c r="D22" s="19">
        <f t="shared" si="0"/>
        <v>2620846</v>
      </c>
      <c r="E22" s="1"/>
      <c r="F22" s="1"/>
    </row>
    <row r="23" spans="1:6" ht="15.75" thickBot="1" x14ac:dyDescent="0.3">
      <c r="A23" s="10"/>
      <c r="B23" s="20">
        <f>SUM(B11:B22)</f>
        <v>18945223.060000002</v>
      </c>
      <c r="C23" s="21">
        <f>SUM(C11:C22)</f>
        <v>10652759.34</v>
      </c>
      <c r="D23" s="21">
        <f>SUM(D11:D22)</f>
        <v>29597982.400000002</v>
      </c>
      <c r="E23" s="1"/>
      <c r="F23" s="1"/>
    </row>
    <row r="24" spans="1:6" ht="15.75" thickTop="1" x14ac:dyDescent="0.25">
      <c r="A24" s="11"/>
      <c r="B24" s="12"/>
      <c r="C24" s="12"/>
      <c r="D24" s="13"/>
      <c r="E24" s="1"/>
      <c r="F24" s="1"/>
    </row>
  </sheetData>
  <mergeCells count="1">
    <mergeCell ref="B8:D8"/>
  </mergeCells>
  <printOptions horizontalCentered="1" verticalCentered="1"/>
  <pageMargins left="0.7" right="0.7" top="1.2395833333333333" bottom="0.75" header="0.3" footer="0.3"/>
  <pageSetup orientation="portrait" r:id="rId1"/>
  <headerFooter>
    <oddHeader>&amp;CPUBLIC UTILITY COMMISSION OF TEXAS
AEP TEXAS INC
HEALTHCARE CLAIMS PAID
TEST YEAR ENDING 09/30/2023&amp;RDocket No: 56165
Schedule II-D-3-7-2
Attachment 1a</oddHeader>
    <oddFooter>&amp;LSponsored by: Andrew R. Carlin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  <Operating_x0020_Company xmlns="a1040523-5304-4b09-b6d4-64a124c994e2">AEP Ohio</Operating_x0020_Company>
  </documentManagement>
</p:properties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jkzNmUyMmQ1LTQ1YTctNGNiNy05NWFiLTFhYThjN2M4ODc4OSIgdmFsdWU9IiIgeG1sbnM9Imh0dHA6Ly93d3cuYm9sZG9uamFtZXMuY29tLzIwMDgvMDEvc2llL2ludGVybmFsL2xhYmVsIiAvPjxlbGVtZW50IHVpZD0iZDE0ZjVjMzYtZjQ0YS00MzE1LWI0MzgtMDA1Y2ZlOGYwNjlmIiB2YWx1ZT0iIiB4bWxucz0iaHR0cDovL3d3dy5ib2xkb25qYW1lcy5jb20vMjAwOC8wMS9zaWUvaW50ZXJuYWwvbGFiZWwiIC8+PC9zaXNsPjxVc2VyTmFtZT5DT1JQXGkzODUzMTY8L1VzZXJOYW1lPjxEYXRlVGltZT4yLzEyLzIwMjQgNjo1MjozMiBQTTwvRGF0ZVRpbWU+PExhYmVsU3RyaW5nPlVuY2F0ZWdvcml6ZWQ8L0xhYmVsU3RyaW5nPjwvaXRlbT48L2xhYmVsSGlzdG9yeT4=</Value>
</WrappedLabelHistory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936e22d5-45a7-4cb7-95ab-1aa8c7c88789" value=""/>
  <element uid="d14f5c36-f44a-4315-b438-005cfe8f069f" value=""/>
</sisl>
</file>

<file path=customXml/itemProps1.xml><?xml version="1.0" encoding="utf-8"?>
<ds:datastoreItem xmlns:ds="http://schemas.openxmlformats.org/officeDocument/2006/customXml" ds:itemID="{EC0E0BD4-7A08-4600-B2B9-272F5FC3FF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4F058B-C071-495A-A570-8274F38115F7}">
  <ds:schemaRefs>
    <ds:schemaRef ds:uri="http://purl.org/dc/terms/"/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51831b8d-857f-44dd-949b-652450d1a5df"/>
    <ds:schemaRef ds:uri="http://schemas.openxmlformats.org/package/2006/metadata/core-properties"/>
    <ds:schemaRef ds:uri="http://schemas.microsoft.com/office/2006/documentManagement/types"/>
    <ds:schemaRef ds:uri="5b640fb8-5a34-41c1-9307-1b790ff29a8b"/>
    <ds:schemaRef ds:uri="a1040523-5304-4b09-b6d4-64a124c994e2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4F9A39A-4093-4E17-A765-D4075E6AF15F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D2DE7ED2-B0FD-4AD6-868A-862B98C175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41784358-F44C-4CBB-986B-828FEB65572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TestYr Healthcare Claims</vt:lpstr>
      <vt:lpstr>'TestYr Healthcare Claims'!Print_Area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 Healy</dc:creator>
  <cp:lastModifiedBy>s254353</cp:lastModifiedBy>
  <cp:lastPrinted>2024-02-14T21:04:24Z</cp:lastPrinted>
  <dcterms:created xsi:type="dcterms:W3CDTF">2024-02-12T18:14:00Z</dcterms:created>
  <dcterms:modified xsi:type="dcterms:W3CDTF">2024-02-25T16:47:16Z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87d0b1c3-e1f2-48ce-997f-174b04ba27a2</vt:lpwstr>
  </property>
  <property fmtid="{D5CDD505-2E9C-101B-9397-08002B2CF9AE}" pid="3" name="bjClsUserRVM">
    <vt:lpwstr>[]</vt:lpwstr>
  </property>
  <property fmtid="{D5CDD505-2E9C-101B-9397-08002B2CF9AE}" pid="4" name="bjSaver">
    <vt:lpwstr>0ep7yfEIAr96jbcK/KKH/gHpp1t+/g8R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6" name="bjDocumentLabelXML-0">
    <vt:lpwstr>ames.com/2008/01/sie/internal/label"&gt;&lt;element uid="936e22d5-45a7-4cb7-95ab-1aa8c7c88789" value="" /&gt;&lt;element uid="d14f5c36-f44a-4315-b438-005cfe8f069f" value="" /&gt;&lt;/sisl&gt;</vt:lpwstr>
  </property>
  <property fmtid="{D5CDD505-2E9C-101B-9397-08002B2CF9AE}" pid="7" name="bjDocumentSecurityLabel">
    <vt:lpwstr>Uncategorized</vt:lpwstr>
  </property>
  <property fmtid="{D5CDD505-2E9C-101B-9397-08002B2CF9AE}" pid="8" name="MSIP_Label_574d496c-7ac4-4b13-81fd-698eca66b217_SiteId">
    <vt:lpwstr>15f3c881-6b03-4ff6-8559-77bf5177818f</vt:lpwstr>
  </property>
  <property fmtid="{D5CDD505-2E9C-101B-9397-08002B2CF9AE}" pid="9" name="MSIP_Label_574d496c-7ac4-4b13-81fd-698eca66b217_Name">
    <vt:lpwstr>Uncategorized</vt:lpwstr>
  </property>
  <property fmtid="{D5CDD505-2E9C-101B-9397-08002B2CF9AE}" pid="10" name="MSIP_Label_574d496c-7ac4-4b13-81fd-698eca66b217_Enabled">
    <vt:lpwstr>true</vt:lpwstr>
  </property>
  <property fmtid="{D5CDD505-2E9C-101B-9397-08002B2CF9AE}" pid="11" name="bjLabelHistoryID">
    <vt:lpwstr>{04F9A39A-4093-4E17-A765-D4075E6AF15F}</vt:lpwstr>
  </property>
  <property fmtid="{D5CDD505-2E9C-101B-9397-08002B2CF9AE}" pid="12" name="ContentTypeId">
    <vt:lpwstr>0x01010001136CE24ED5F449BD16740FFC7FAF6F</vt:lpwstr>
  </property>
  <property fmtid="{D5CDD505-2E9C-101B-9397-08002B2CF9AE}" pid="13" name="MediaServiceImageTags">
    <vt:lpwstr/>
  </property>
</Properties>
</file>