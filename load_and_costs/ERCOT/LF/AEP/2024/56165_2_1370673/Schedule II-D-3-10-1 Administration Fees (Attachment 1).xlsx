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2" documentId="14_{D9E6E5E5-4411-4DC6-984B-CC64B8029DE7}" xr6:coauthVersionLast="47" xr6:coauthVersionMax="47" xr10:uidLastSave="{40B44C6C-3111-443B-8EB4-D465F184E06C}"/>
  <bookViews>
    <workbookView xWindow="780" yWindow="780" windowWidth="17160" windowHeight="14220" xr2:uid="{64764BE9-B1CA-4C6A-9126-E99EDC8B0348}"/>
  </bookViews>
  <sheets>
    <sheet name="Test Yr Admin Fees" sheetId="1" r:id="rId1"/>
  </sheets>
  <definedNames>
    <definedName name="_xlnm.Print_Area" localSheetId="0">'Test Yr Admin Fees'!$A$1:$G$22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/>
  <c r="G16" i="1"/>
  <c r="G15" i="1"/>
  <c r="G14" i="1"/>
  <c r="G13" i="1"/>
  <c r="G12" i="1"/>
  <c r="G11" i="1"/>
  <c r="G10" i="1"/>
  <c r="G9" i="1"/>
  <c r="F21" i="1"/>
  <c r="E21" i="1"/>
  <c r="D21" i="1"/>
  <c r="C21" i="1"/>
  <c r="G8" i="1"/>
  <c r="G21" i="1" l="1"/>
  <c r="B21" i="1"/>
</calcChain>
</file>

<file path=xl/sharedStrings.xml><?xml version="1.0" encoding="utf-8"?>
<sst xmlns="http://schemas.openxmlformats.org/spreadsheetml/2006/main" count="13" uniqueCount="10">
  <si>
    <t>PUBLIC UTILITY COMMISSION OF TEXAS</t>
  </si>
  <si>
    <t>AEP TEXAS</t>
  </si>
  <si>
    <t>ADMINISTRATION FEES PAID BY TRUST FOR TEST PERIOD</t>
  </si>
  <si>
    <t>Medical</t>
  </si>
  <si>
    <t>Dental</t>
  </si>
  <si>
    <t>LTD</t>
  </si>
  <si>
    <t>Total</t>
  </si>
  <si>
    <t>Active</t>
  </si>
  <si>
    <t>Retiree</t>
  </si>
  <si>
    <t>TEST YEAR ENDING 09/30/2023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</si>
</sst>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mbria"/>
      <family val="2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/>
    <xf numFmtId="17" fontId="1" fillId="0" borderId="0" xfId="0" applyNumberFormat="1" applyFont="1"/>
    <xf numFmtId="17" fontId="0" fillId="0" borderId="0" xfId="0" applyNumberFormat="1"/>
    <xf numFmtId="164" fontId="4" fillId="0" borderId="5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0" fillId="0" borderId="1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0" xfId="0" applyNumberFormat="1"/>
    <xf numFmtId="165" fontId="0" fillId="0" borderId="11" xfId="0" applyNumberFormat="1" applyBorder="1"/>
  </cellXfs>
  <cellStyles count="2">
    <cellStyle name="Normal" xfId="0" builtinId="0"/>
    <cellStyle name="Normal 2" xfId="1" xr:uid="{A50FD9BF-0F9E-4D49-B050-32DCD8433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90DF-F051-41CA-90E7-8F85481DCC0D}">
  <sheetPr>
    <pageSetUpPr autoPageBreaks="0" fitToPage="1"/>
  </sheetPr>
  <dimension ref="A1:O22"/>
  <sheetViews>
    <sheetView tabSelected="1" view="pageLayout" zoomScaleNormal="100" workbookViewId="0">
      <selection activeCell="F20" sqref="F20"/>
    </sheetView>
  </sheetViews>
  <sheetFormatPr defaultRowHeight="15" x14ac:dyDescent="0.25"/>
  <cols>
    <col min="1" max="1" width="9.42578125" customWidth="1"/>
    <col min="2" max="7" width="15.5703125" customWidth="1"/>
    <col min="257" max="257" width="9.42578125" customWidth="1"/>
    <col min="258" max="263" width="15.5703125" customWidth="1"/>
    <col min="513" max="513" width="9.42578125" customWidth="1"/>
    <col min="514" max="519" width="15.5703125" customWidth="1"/>
    <col min="769" max="769" width="9.42578125" customWidth="1"/>
    <col min="770" max="775" width="15.5703125" customWidth="1"/>
    <col min="1025" max="1025" width="9.42578125" customWidth="1"/>
    <col min="1026" max="1031" width="15.5703125" customWidth="1"/>
    <col min="1281" max="1281" width="9.42578125" customWidth="1"/>
    <col min="1282" max="1287" width="15.5703125" customWidth="1"/>
    <col min="1537" max="1537" width="9.42578125" customWidth="1"/>
    <col min="1538" max="1543" width="15.5703125" customWidth="1"/>
    <col min="1793" max="1793" width="9.42578125" customWidth="1"/>
    <col min="1794" max="1799" width="15.5703125" customWidth="1"/>
    <col min="2049" max="2049" width="9.42578125" customWidth="1"/>
    <col min="2050" max="2055" width="15.5703125" customWidth="1"/>
    <col min="2305" max="2305" width="9.42578125" customWidth="1"/>
    <col min="2306" max="2311" width="15.5703125" customWidth="1"/>
    <col min="2561" max="2561" width="9.42578125" customWidth="1"/>
    <col min="2562" max="2567" width="15.5703125" customWidth="1"/>
    <col min="2817" max="2817" width="9.42578125" customWidth="1"/>
    <col min="2818" max="2823" width="15.5703125" customWidth="1"/>
    <col min="3073" max="3073" width="9.42578125" customWidth="1"/>
    <col min="3074" max="3079" width="15.5703125" customWidth="1"/>
    <col min="3329" max="3329" width="9.42578125" customWidth="1"/>
    <col min="3330" max="3335" width="15.5703125" customWidth="1"/>
    <col min="3585" max="3585" width="9.42578125" customWidth="1"/>
    <col min="3586" max="3591" width="15.5703125" customWidth="1"/>
    <col min="3841" max="3841" width="9.42578125" customWidth="1"/>
    <col min="3842" max="3847" width="15.5703125" customWidth="1"/>
    <col min="4097" max="4097" width="9.42578125" customWidth="1"/>
    <col min="4098" max="4103" width="15.5703125" customWidth="1"/>
    <col min="4353" max="4353" width="9.42578125" customWidth="1"/>
    <col min="4354" max="4359" width="15.5703125" customWidth="1"/>
    <col min="4609" max="4609" width="9.42578125" customWidth="1"/>
    <col min="4610" max="4615" width="15.5703125" customWidth="1"/>
    <col min="4865" max="4865" width="9.42578125" customWidth="1"/>
    <col min="4866" max="4871" width="15.5703125" customWidth="1"/>
    <col min="5121" max="5121" width="9.42578125" customWidth="1"/>
    <col min="5122" max="5127" width="15.5703125" customWidth="1"/>
    <col min="5377" max="5377" width="9.42578125" customWidth="1"/>
    <col min="5378" max="5383" width="15.5703125" customWidth="1"/>
    <col min="5633" max="5633" width="9.42578125" customWidth="1"/>
    <col min="5634" max="5639" width="15.5703125" customWidth="1"/>
    <col min="5889" max="5889" width="9.42578125" customWidth="1"/>
    <col min="5890" max="5895" width="15.5703125" customWidth="1"/>
    <col min="6145" max="6145" width="9.42578125" customWidth="1"/>
    <col min="6146" max="6151" width="15.5703125" customWidth="1"/>
    <col min="6401" max="6401" width="9.42578125" customWidth="1"/>
    <col min="6402" max="6407" width="15.5703125" customWidth="1"/>
    <col min="6657" max="6657" width="9.42578125" customWidth="1"/>
    <col min="6658" max="6663" width="15.5703125" customWidth="1"/>
    <col min="6913" max="6913" width="9.42578125" customWidth="1"/>
    <col min="6914" max="6919" width="15.5703125" customWidth="1"/>
    <col min="7169" max="7169" width="9.42578125" customWidth="1"/>
    <col min="7170" max="7175" width="15.5703125" customWidth="1"/>
    <col min="7425" max="7425" width="9.42578125" customWidth="1"/>
    <col min="7426" max="7431" width="15.5703125" customWidth="1"/>
    <col min="7681" max="7681" width="9.42578125" customWidth="1"/>
    <col min="7682" max="7687" width="15.5703125" customWidth="1"/>
    <col min="7937" max="7937" width="9.42578125" customWidth="1"/>
    <col min="7938" max="7943" width="15.5703125" customWidth="1"/>
    <col min="8193" max="8193" width="9.42578125" customWidth="1"/>
    <col min="8194" max="8199" width="15.5703125" customWidth="1"/>
    <col min="8449" max="8449" width="9.42578125" customWidth="1"/>
    <col min="8450" max="8455" width="15.5703125" customWidth="1"/>
    <col min="8705" max="8705" width="9.42578125" customWidth="1"/>
    <col min="8706" max="8711" width="15.5703125" customWidth="1"/>
    <col min="8961" max="8961" width="9.42578125" customWidth="1"/>
    <col min="8962" max="8967" width="15.5703125" customWidth="1"/>
    <col min="9217" max="9217" width="9.42578125" customWidth="1"/>
    <col min="9218" max="9223" width="15.5703125" customWidth="1"/>
    <col min="9473" max="9473" width="9.42578125" customWidth="1"/>
    <col min="9474" max="9479" width="15.5703125" customWidth="1"/>
    <col min="9729" max="9729" width="9.42578125" customWidth="1"/>
    <col min="9730" max="9735" width="15.5703125" customWidth="1"/>
    <col min="9985" max="9985" width="9.42578125" customWidth="1"/>
    <col min="9986" max="9991" width="15.5703125" customWidth="1"/>
    <col min="10241" max="10241" width="9.42578125" customWidth="1"/>
    <col min="10242" max="10247" width="15.5703125" customWidth="1"/>
    <col min="10497" max="10497" width="9.42578125" customWidth="1"/>
    <col min="10498" max="10503" width="15.5703125" customWidth="1"/>
    <col min="10753" max="10753" width="9.42578125" customWidth="1"/>
    <col min="10754" max="10759" width="15.5703125" customWidth="1"/>
    <col min="11009" max="11009" width="9.42578125" customWidth="1"/>
    <col min="11010" max="11015" width="15.5703125" customWidth="1"/>
    <col min="11265" max="11265" width="9.42578125" customWidth="1"/>
    <col min="11266" max="11271" width="15.5703125" customWidth="1"/>
    <col min="11521" max="11521" width="9.42578125" customWidth="1"/>
    <col min="11522" max="11527" width="15.5703125" customWidth="1"/>
    <col min="11777" max="11777" width="9.42578125" customWidth="1"/>
    <col min="11778" max="11783" width="15.5703125" customWidth="1"/>
    <col min="12033" max="12033" width="9.42578125" customWidth="1"/>
    <col min="12034" max="12039" width="15.5703125" customWidth="1"/>
    <col min="12289" max="12289" width="9.42578125" customWidth="1"/>
    <col min="12290" max="12295" width="15.5703125" customWidth="1"/>
    <col min="12545" max="12545" width="9.42578125" customWidth="1"/>
    <col min="12546" max="12551" width="15.5703125" customWidth="1"/>
    <col min="12801" max="12801" width="9.42578125" customWidth="1"/>
    <col min="12802" max="12807" width="15.5703125" customWidth="1"/>
    <col min="13057" max="13057" width="9.42578125" customWidth="1"/>
    <col min="13058" max="13063" width="15.5703125" customWidth="1"/>
    <col min="13313" max="13313" width="9.42578125" customWidth="1"/>
    <col min="13314" max="13319" width="15.5703125" customWidth="1"/>
    <col min="13569" max="13569" width="9.42578125" customWidth="1"/>
    <col min="13570" max="13575" width="15.5703125" customWidth="1"/>
    <col min="13825" max="13825" width="9.42578125" customWidth="1"/>
    <col min="13826" max="13831" width="15.5703125" customWidth="1"/>
    <col min="14081" max="14081" width="9.42578125" customWidth="1"/>
    <col min="14082" max="14087" width="15.5703125" customWidth="1"/>
    <col min="14337" max="14337" width="9.42578125" customWidth="1"/>
    <col min="14338" max="14343" width="15.5703125" customWidth="1"/>
    <col min="14593" max="14593" width="9.42578125" customWidth="1"/>
    <col min="14594" max="14599" width="15.5703125" customWidth="1"/>
    <col min="14849" max="14849" width="9.42578125" customWidth="1"/>
    <col min="14850" max="14855" width="15.5703125" customWidth="1"/>
    <col min="15105" max="15105" width="9.42578125" customWidth="1"/>
    <col min="15106" max="15111" width="15.5703125" customWidth="1"/>
    <col min="15361" max="15361" width="9.42578125" customWidth="1"/>
    <col min="15362" max="15367" width="15.5703125" customWidth="1"/>
    <col min="15617" max="15617" width="9.42578125" customWidth="1"/>
    <col min="15618" max="15623" width="15.5703125" customWidth="1"/>
    <col min="15873" max="15873" width="9.42578125" customWidth="1"/>
    <col min="15874" max="15879" width="15.5703125" customWidth="1"/>
    <col min="16129" max="16129" width="9.42578125" customWidth="1"/>
    <col min="16130" max="16135" width="15.5703125" customWidth="1"/>
  </cols>
  <sheetData>
    <row r="1" spans="1:15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15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15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15" x14ac:dyDescent="0.25">
      <c r="A4" s="7" t="s">
        <v>9</v>
      </c>
      <c r="B4" s="7"/>
      <c r="C4" s="7"/>
      <c r="D4" s="7"/>
      <c r="E4" s="7"/>
      <c r="F4" s="7"/>
      <c r="G4" s="7"/>
      <c r="H4" s="7"/>
    </row>
    <row r="6" spans="1:15" x14ac:dyDescent="0.25">
      <c r="B6" s="8" t="s">
        <v>3</v>
      </c>
      <c r="C6" s="9"/>
      <c r="D6" s="8" t="s">
        <v>4</v>
      </c>
      <c r="E6" s="9"/>
      <c r="F6" s="1" t="s">
        <v>5</v>
      </c>
      <c r="G6" s="1" t="s">
        <v>6</v>
      </c>
    </row>
    <row r="7" spans="1:15" x14ac:dyDescent="0.25">
      <c r="B7" s="2" t="s">
        <v>7</v>
      </c>
      <c r="C7" s="2" t="s">
        <v>8</v>
      </c>
      <c r="D7" s="2" t="s">
        <v>7</v>
      </c>
      <c r="E7" s="2" t="s">
        <v>8</v>
      </c>
      <c r="F7" s="2" t="s">
        <v>7</v>
      </c>
      <c r="G7" s="3"/>
    </row>
    <row r="8" spans="1:15" x14ac:dyDescent="0.25">
      <c r="A8" s="6">
        <v>44865</v>
      </c>
      <c r="B8" s="10">
        <v>65676.944160996311</v>
      </c>
      <c r="C8" s="11">
        <v>16428.912843137256</v>
      </c>
      <c r="D8" s="10">
        <v>1817.3409166773656</v>
      </c>
      <c r="E8" s="11">
        <v>1154.5467502850627</v>
      </c>
      <c r="F8" s="12">
        <v>5057.7360251704249</v>
      </c>
      <c r="G8" s="12">
        <f>SUM(B8:F8)</f>
        <v>90135.480696266415</v>
      </c>
      <c r="H8" s="5"/>
      <c r="I8" s="5"/>
      <c r="J8" s="5"/>
      <c r="K8" s="5"/>
      <c r="L8" s="5"/>
      <c r="M8" s="5"/>
      <c r="N8" s="5"/>
      <c r="O8" s="5"/>
    </row>
    <row r="9" spans="1:15" x14ac:dyDescent="0.25">
      <c r="A9" s="6">
        <v>44895</v>
      </c>
      <c r="B9" s="13">
        <v>65223.251843625651</v>
      </c>
      <c r="C9" s="14">
        <v>18012.83990196079</v>
      </c>
      <c r="D9" s="13">
        <v>1820.8738990884581</v>
      </c>
      <c r="E9" s="14">
        <v>1153.8055872291905</v>
      </c>
      <c r="F9" s="15">
        <v>5068.4001048767695</v>
      </c>
      <c r="G9" s="15">
        <f t="shared" ref="G9:G19" si="0">SUM(B9:F9)</f>
        <v>91279.171336780855</v>
      </c>
    </row>
    <row r="10" spans="1:15" x14ac:dyDescent="0.25">
      <c r="A10" s="6">
        <v>44926</v>
      </c>
      <c r="B10" s="13">
        <v>65047.222267300065</v>
      </c>
      <c r="C10" s="14">
        <v>15613.43</v>
      </c>
      <c r="D10" s="13">
        <v>1820.8738990884581</v>
      </c>
      <c r="E10" s="14">
        <v>1153.8055872291905</v>
      </c>
      <c r="F10" s="15">
        <v>5096.5414263240691</v>
      </c>
      <c r="G10" s="15">
        <f t="shared" si="0"/>
        <v>88731.873179941773</v>
      </c>
    </row>
    <row r="11" spans="1:15" x14ac:dyDescent="0.25">
      <c r="A11" s="6">
        <v>44957</v>
      </c>
      <c r="B11" s="13">
        <v>75528.156245987964</v>
      </c>
      <c r="C11" s="14">
        <v>6054.6156862745102</v>
      </c>
      <c r="D11" s="13">
        <v>1828.6969315701631</v>
      </c>
      <c r="E11" s="14">
        <v>1151.3041619156215</v>
      </c>
      <c r="F11" s="15">
        <v>5944.0677503932875</v>
      </c>
      <c r="G11" s="15">
        <f t="shared" si="0"/>
        <v>90506.840776141544</v>
      </c>
    </row>
    <row r="12" spans="1:15" x14ac:dyDescent="0.25">
      <c r="A12" s="6">
        <v>44985</v>
      </c>
      <c r="B12" s="13">
        <v>73575.234098087079</v>
      </c>
      <c r="C12" s="14">
        <v>7185.1101960784326</v>
      </c>
      <c r="D12" s="13">
        <v>1860.8723070997562</v>
      </c>
      <c r="E12" s="14">
        <v>1140.7425883694414</v>
      </c>
      <c r="F12" s="15">
        <v>5925.4817829050862</v>
      </c>
      <c r="G12" s="15">
        <f t="shared" si="0"/>
        <v>89687.440972539785</v>
      </c>
    </row>
    <row r="13" spans="1:15" x14ac:dyDescent="0.25">
      <c r="A13" s="6">
        <v>45016</v>
      </c>
      <c r="B13" s="13">
        <v>63054.61278854798</v>
      </c>
      <c r="C13" s="14">
        <v>4596.5774509803923</v>
      </c>
      <c r="D13" s="13">
        <v>1840.3053023494672</v>
      </c>
      <c r="E13" s="14">
        <v>1139.7234891676169</v>
      </c>
      <c r="F13" s="15">
        <v>5951.6398112218149</v>
      </c>
      <c r="G13" s="15">
        <f t="shared" si="0"/>
        <v>76582.858842267276</v>
      </c>
    </row>
    <row r="14" spans="1:15" x14ac:dyDescent="0.25">
      <c r="A14" s="6">
        <v>45046</v>
      </c>
      <c r="B14" s="13">
        <v>70933.279941584318</v>
      </c>
      <c r="C14" s="14">
        <v>4841.4120588235292</v>
      </c>
      <c r="D14" s="13">
        <v>1861.5031968160226</v>
      </c>
      <c r="E14" s="14">
        <v>1139.2602622576967</v>
      </c>
      <c r="F14" s="15">
        <v>6005.3326061877297</v>
      </c>
      <c r="G14" s="15">
        <f t="shared" si="0"/>
        <v>84780.788065669287</v>
      </c>
    </row>
    <row r="15" spans="1:15" x14ac:dyDescent="0.25">
      <c r="A15" s="6">
        <v>45077</v>
      </c>
      <c r="B15" s="13">
        <v>71344.785898061411</v>
      </c>
      <c r="C15" s="14">
        <v>6838.7797058823544</v>
      </c>
      <c r="D15" s="13">
        <v>1863.6482218513288</v>
      </c>
      <c r="E15" s="14">
        <v>1135.4618015963511</v>
      </c>
      <c r="F15" s="15">
        <v>6021.1650970110122</v>
      </c>
      <c r="G15" s="15">
        <f t="shared" si="0"/>
        <v>87203.840724402442</v>
      </c>
    </row>
    <row r="16" spans="1:15" x14ac:dyDescent="0.25">
      <c r="A16" s="6">
        <v>45107</v>
      </c>
      <c r="B16" s="13">
        <v>97674.983424701553</v>
      </c>
      <c r="C16" s="14">
        <v>7007.658823529413</v>
      </c>
      <c r="D16" s="13">
        <v>1864.5314674541019</v>
      </c>
      <c r="E16" s="14">
        <v>1137.1294184720639</v>
      </c>
      <c r="F16" s="15">
        <v>6036.65340325118</v>
      </c>
      <c r="G16" s="15">
        <f t="shared" si="0"/>
        <v>113720.95653740832</v>
      </c>
    </row>
    <row r="17" spans="1:7" x14ac:dyDescent="0.25">
      <c r="A17" s="6">
        <v>45138</v>
      </c>
      <c r="B17" s="13">
        <v>195518.39632366167</v>
      </c>
      <c r="C17" s="14">
        <v>14669.987843137258</v>
      </c>
      <c r="D17" s="13">
        <v>1867.3073822056747</v>
      </c>
      <c r="E17" s="14">
        <v>1137.4073546180159</v>
      </c>
      <c r="F17" s="15">
        <v>6068.3183848977451</v>
      </c>
      <c r="G17" s="15">
        <f t="shared" si="0"/>
        <v>219261.41728852037</v>
      </c>
    </row>
    <row r="18" spans="1:7" x14ac:dyDescent="0.25">
      <c r="A18" s="6">
        <v>45169</v>
      </c>
      <c r="B18" s="13">
        <v>129773.32957439986</v>
      </c>
      <c r="C18" s="14">
        <v>8897.6794117647078</v>
      </c>
      <c r="D18" s="13">
        <v>1870.3356528437541</v>
      </c>
      <c r="E18" s="14">
        <v>1137.3147092360318</v>
      </c>
      <c r="F18" s="15">
        <v>6079.3322915574199</v>
      </c>
      <c r="G18" s="15">
        <f t="shared" si="0"/>
        <v>147757.9916398018</v>
      </c>
    </row>
    <row r="19" spans="1:7" x14ac:dyDescent="0.25">
      <c r="A19" s="6">
        <v>45199</v>
      </c>
      <c r="B19" s="16">
        <v>132156.11163307235</v>
      </c>
      <c r="C19" s="17">
        <v>48414.126078431378</v>
      </c>
      <c r="D19" s="16">
        <v>1864.5314674541019</v>
      </c>
      <c r="E19" s="17">
        <v>1142.9660775370583</v>
      </c>
      <c r="F19" s="18">
        <v>6072.1044153120083</v>
      </c>
      <c r="G19" s="18">
        <f t="shared" si="0"/>
        <v>189649.8396718069</v>
      </c>
    </row>
    <row r="20" spans="1:7" x14ac:dyDescent="0.25">
      <c r="A20" s="4"/>
      <c r="B20" s="19"/>
      <c r="C20" s="19"/>
      <c r="D20" s="19"/>
      <c r="E20" s="19"/>
      <c r="F20" s="19"/>
      <c r="G20" s="19"/>
    </row>
    <row r="21" spans="1:7" ht="15.75" thickBot="1" x14ac:dyDescent="0.3">
      <c r="B21" s="20">
        <f t="shared" ref="B21:G21" si="1">SUM(B8:B19)</f>
        <v>1105506.3082000262</v>
      </c>
      <c r="C21" s="20">
        <f t="shared" si="1"/>
        <v>158561.13</v>
      </c>
      <c r="D21" s="20">
        <f t="shared" si="1"/>
        <v>22180.82064449865</v>
      </c>
      <c r="E21" s="20">
        <f t="shared" si="1"/>
        <v>13723.467787913341</v>
      </c>
      <c r="F21" s="20">
        <f t="shared" si="1"/>
        <v>69326.773099108541</v>
      </c>
      <c r="G21" s="20">
        <f t="shared" si="1"/>
        <v>1369298.4997315467</v>
      </c>
    </row>
    <row r="22" spans="1:7" ht="15.75" thickTop="1" x14ac:dyDescent="0.25"/>
  </sheetData>
  <mergeCells count="6">
    <mergeCell ref="A1:H1"/>
    <mergeCell ref="A2:H2"/>
    <mergeCell ref="A3:H3"/>
    <mergeCell ref="A4:H4"/>
    <mergeCell ref="B6:C6"/>
    <mergeCell ref="D6:E6"/>
  </mergeCells>
  <pageMargins left="0.45" right="0.25" top="1.18" bottom="0.75" header="0.3" footer="0.05"/>
  <pageSetup scale="96" fitToHeight="0" orientation="portrait" r:id="rId1"/>
  <headerFooter>
    <oddHeader xml:space="preserve">&amp;RDocket No: 56165
Schedule II-D-3-10-1
Attachment 1
</oddHeader>
    <oddFooter>&amp;LSponsored by: Andrew R. Carlin</oddFooter>
    <evenFooter>&amp;C&amp;"Calibri,Regular"&amp;11&amp;B&amp;K000000AEP CONFIDENTIAL</evenFooter>
    <firstFooter>&amp;C&amp;"Calibri,Regular"&amp;11&amp;B&amp;K000000AEP 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kzNmUyMmQ1LTQ1YTctNGNiNy05NWFiLTFhYThjN2M4ODc4OS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GkzODUzMTY8L1VzZXJOYW1lPjxEYXRlVGltZT4yLzEyLzIwMjQgNzozNTowMSBQTTwvRGF0ZVRpbWU+PExhYmVsU3RyaW5nPlVuY2F0ZWdvcml6ZWQ8L0xhYmVsU3RyaW5nPjwvaXRlbT48L2xhYmVsSGlzdG9yeT4=</Value>
</WrappedLabelHistory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936e22d5-45a7-4cb7-95ab-1aa8c7c88789" value=""/>
  <element uid="d14f5c36-f44a-4315-b438-005cfe8f069f" value=""/>
</sisl>
</file>

<file path=customXml/itemProps1.xml><?xml version="1.0" encoding="utf-8"?>
<ds:datastoreItem xmlns:ds="http://schemas.openxmlformats.org/officeDocument/2006/customXml" ds:itemID="{D96D7DE3-10C6-4648-824A-4F2BCF678E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240037-F412-41CD-B928-519BDB655E5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640fb8-5a34-41c1-9307-1b790ff29a8b"/>
    <ds:schemaRef ds:uri="51831b8d-857f-44dd-949b-652450d1a5df"/>
    <ds:schemaRef ds:uri="a1040523-5304-4b09-b6d4-64a124c994e2"/>
  </ds:schemaRefs>
</ds:datastoreItem>
</file>

<file path=customXml/itemProps3.xml><?xml version="1.0" encoding="utf-8"?>
<ds:datastoreItem xmlns:ds="http://schemas.openxmlformats.org/officeDocument/2006/customXml" ds:itemID="{7F84F989-4979-4134-A6F2-DE001D754B78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50F3527D-4F0B-4D4D-8F08-E4AC9212D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C9EE78AE-B0C6-4033-A1EE-ED5944EBE39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Yr Admin Fees</vt:lpstr>
      <vt:lpstr>'Test Yr Admin Fees'!Print_Area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 Healy</dc:creator>
  <cp:lastModifiedBy>s254353</cp:lastModifiedBy>
  <cp:lastPrinted>2024-02-15T16:05:34Z</cp:lastPrinted>
  <dcterms:created xsi:type="dcterms:W3CDTF">2024-02-12T19:32:21Z</dcterms:created>
  <dcterms:modified xsi:type="dcterms:W3CDTF">2024-02-25T17:14:36Z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bbe7592b-b440-4d20-8d9d-10cb9ee80848</vt:lpwstr>
  </property>
  <property fmtid="{D5CDD505-2E9C-101B-9397-08002B2CF9AE}" pid="3" name="bjClsUserRVM">
    <vt:lpwstr>[]</vt:lpwstr>
  </property>
  <property fmtid="{D5CDD505-2E9C-101B-9397-08002B2CF9AE}" pid="4" name="bjSaver">
    <vt:lpwstr>0ep7yfEIAr96jbcK/KKH/gHpp1t+/g8R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uid="936e22d5-45a7-4cb7-95ab-1aa8c7c88789" value="" /&gt;&lt;element uid="d14f5c36-f44a-4315-b438-005cfe8f069f" value="" /&gt;&lt;/sisl&gt;</vt:lpwstr>
  </property>
  <property fmtid="{D5CDD505-2E9C-101B-9397-08002B2CF9AE}" pid="7" name="bjDocumentSecurityLabel">
    <vt:lpwstr>Uncategorized</vt:lpwstr>
  </property>
  <property fmtid="{D5CDD505-2E9C-101B-9397-08002B2CF9AE}" pid="8" name="MSIP_Label_574d496c-7ac4-4b13-81fd-698eca66b217_SiteId">
    <vt:lpwstr>15f3c881-6b03-4ff6-8559-77bf5177818f</vt:lpwstr>
  </property>
  <property fmtid="{D5CDD505-2E9C-101B-9397-08002B2CF9AE}" pid="9" name="MSIP_Label_574d496c-7ac4-4b13-81fd-698eca66b217_Name">
    <vt:lpwstr>Uncategorized</vt:lpwstr>
  </property>
  <property fmtid="{D5CDD505-2E9C-101B-9397-08002B2CF9AE}" pid="10" name="MSIP_Label_574d496c-7ac4-4b13-81fd-698eca66b217_Enabled">
    <vt:lpwstr>true</vt:lpwstr>
  </property>
  <property fmtid="{D5CDD505-2E9C-101B-9397-08002B2CF9AE}" pid="11" name="bjLabelHistoryID">
    <vt:lpwstr>{7F84F989-4979-4134-A6F2-DE001D754B78}</vt:lpwstr>
  </property>
  <property fmtid="{D5CDD505-2E9C-101B-9397-08002B2CF9AE}" pid="12" name="ContentTypeId">
    <vt:lpwstr>0x01010001136CE24ED5F449BD16740FFC7FAF6F</vt:lpwstr>
  </property>
  <property fmtid="{D5CDD505-2E9C-101B-9397-08002B2CF9AE}" pid="13" name="MediaServiceImageTags">
    <vt:lpwstr/>
  </property>
</Properties>
</file>