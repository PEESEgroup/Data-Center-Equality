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aepenergy.sharepoint.com/sites/regsvcs/Regulatory Base Cases/AEP Texas/2024 Base Rate Case/Testimony Drafts/15. Brian Frantz/"/>
    </mc:Choice>
  </mc:AlternateContent>
  <xr:revisionPtr revIDLastSave="4" documentId="13_ncr:1_{09F266A5-5A7E-4004-A8BD-A0C27D52D1AD}" xr6:coauthVersionLast="47" xr6:coauthVersionMax="47" xr10:uidLastSave="{E6172DDF-6DC4-474C-A592-251DC4E45E39}"/>
  <bookViews>
    <workbookView xWindow="-108" yWindow="-108" windowWidth="41496" windowHeight="16776" xr2:uid="{00000000-000D-0000-FFFF-FFFF00000000}"/>
  </bookViews>
  <sheets>
    <sheet name="Index" sheetId="7" r:id="rId1"/>
    <sheet name="Tab 1" sheetId="236" r:id="rId2"/>
    <sheet name="Tab 2" sheetId="234" r:id="rId3"/>
    <sheet name="Tab 3" sheetId="244" r:id="rId4"/>
    <sheet name="Tab 4" sheetId="235" r:id="rId5"/>
    <sheet name="Tab 5" sheetId="241" r:id="rId6"/>
    <sheet name="Tab 6" sheetId="245" r:id="rId7"/>
    <sheet name="457-PQ" sheetId="243" r:id="rId8"/>
  </sheets>
  <definedNames>
    <definedName name="_xlnm._FilterDatabase" localSheetId="1" hidden="1">'Tab 1'!#REF!</definedName>
    <definedName name="_xlnm._FilterDatabase" localSheetId="3" hidden="1">'Tab 3'!$B$7:$Y$110</definedName>
    <definedName name="_xlnm._FilterDatabase" localSheetId="5" hidden="1">'Tab 5'!$B$3:$H$122</definedName>
    <definedName name="_xlnm._FilterDatabase" localSheetId="6" hidden="1">'Tab 6'!$B$3:$H$137</definedName>
    <definedName name="ExternalData_1" localSheetId="7" hidden="1">'457-PQ'!$A$4:$F$10</definedName>
    <definedName name="_xlnm.Print_Area" localSheetId="1">'Tab 1'!#REF!</definedName>
    <definedName name="_xlnm.Print_Area" localSheetId="2">'Tab 2'!$A$1:$V$94</definedName>
    <definedName name="_xlnm.Print_Area" localSheetId="3">'Tab 3'!$A$1:$V$110</definedName>
    <definedName name="_xlnm.Print_Area" localSheetId="5">'Tab 5'!$A$1:$H$122</definedName>
    <definedName name="_xlnm.Print_Area" localSheetId="6">'Tab 6'!$A$1:$H$121</definedName>
    <definedName name="Print_Area_0" localSheetId="0">#REF!</definedName>
    <definedName name="Print_Area_0" localSheetId="3">#REF!</definedName>
    <definedName name="Print_Area_0" localSheetId="4">#REF!</definedName>
    <definedName name="Print_Area_0" localSheetId="6">#REF!</definedName>
    <definedName name="Print_Area_0">#REF!</definedName>
    <definedName name="Print_Area_1" localSheetId="0">#REF!</definedName>
    <definedName name="Print_Area_1" localSheetId="3">#REF!</definedName>
    <definedName name="Print_Area_1" localSheetId="4">#REF!</definedName>
    <definedName name="Print_Area_1" localSheetId="6">#REF!</definedName>
    <definedName name="Print_Area_1">#REF!</definedName>
    <definedName name="Print_Area_2" localSheetId="0">#REF!</definedName>
    <definedName name="Print_Area_2" localSheetId="3">#REF!</definedName>
    <definedName name="Print_Area_2" localSheetId="4">#REF!</definedName>
    <definedName name="Print_Area_2" localSheetId="6">#REF!</definedName>
    <definedName name="Print_Area_2">#REF!</definedName>
    <definedName name="Print_Area_3" localSheetId="0">#REF!</definedName>
    <definedName name="Print_Area_3" localSheetId="3">#REF!</definedName>
    <definedName name="Print_Area_3" localSheetId="4">#REF!</definedName>
    <definedName name="Print_Area_3" localSheetId="6">#REF!</definedName>
    <definedName name="Print_Area_3">#REF!</definedName>
    <definedName name="Print_Area_4" localSheetId="0">#REF!</definedName>
    <definedName name="Print_Area_4" localSheetId="3">#REF!</definedName>
    <definedName name="Print_Area_4" localSheetId="4">#REF!</definedName>
    <definedName name="Print_Area_4" localSheetId="6">#REF!</definedName>
    <definedName name="Print_Area_4">#REF!</definedName>
    <definedName name="_xlnm.Print_Titles" localSheetId="1">'Tab 1'!#REF!</definedName>
    <definedName name="_xlnm.Print_Titles" localSheetId="3">'Tab 3'!$B:$C,'Tab 3'!$2:$5</definedName>
    <definedName name="_xlnm.Print_Titles" localSheetId="5">'Tab 5'!$1:$3</definedName>
    <definedName name="_xlnm.Print_Titles" localSheetId="6">'Tab 6'!$1:$3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0" i="245" l="1"/>
  <c r="H120" i="245" s="1"/>
  <c r="G119" i="245"/>
  <c r="H119" i="245" s="1"/>
  <c r="G118" i="245"/>
  <c r="H118" i="245" s="1"/>
  <c r="G117" i="245"/>
  <c r="H117" i="245" s="1"/>
  <c r="G116" i="245"/>
  <c r="H116" i="245" s="1"/>
  <c r="G115" i="245"/>
  <c r="H115" i="245" s="1"/>
  <c r="G114" i="245"/>
  <c r="H114" i="245" s="1"/>
  <c r="G113" i="245"/>
  <c r="H113" i="245" s="1"/>
  <c r="G112" i="245"/>
  <c r="H112" i="245" s="1"/>
  <c r="G111" i="245"/>
  <c r="H111" i="245" s="1"/>
  <c r="G110" i="245"/>
  <c r="H110" i="245" s="1"/>
  <c r="G109" i="245"/>
  <c r="H109" i="245" s="1"/>
  <c r="G108" i="245"/>
  <c r="H108" i="245" s="1"/>
  <c r="G107" i="245"/>
  <c r="H107" i="245" s="1"/>
  <c r="H106" i="245"/>
  <c r="G106" i="245"/>
  <c r="G105" i="245"/>
  <c r="H105" i="245" s="1"/>
  <c r="G104" i="245"/>
  <c r="H104" i="245" s="1"/>
  <c r="G103" i="245"/>
  <c r="H103" i="245" s="1"/>
  <c r="G102" i="245"/>
  <c r="H102" i="245" s="1"/>
  <c r="G101" i="245"/>
  <c r="H101" i="245" s="1"/>
  <c r="G100" i="245"/>
  <c r="H100" i="245" s="1"/>
  <c r="G99" i="245"/>
  <c r="H99" i="245" s="1"/>
  <c r="G98" i="245"/>
  <c r="H98" i="245" s="1"/>
  <c r="G97" i="245"/>
  <c r="H97" i="245" s="1"/>
  <c r="G96" i="245"/>
  <c r="H96" i="245" s="1"/>
  <c r="G95" i="245"/>
  <c r="H95" i="245" s="1"/>
  <c r="G94" i="245"/>
  <c r="H94" i="245" s="1"/>
  <c r="G93" i="245"/>
  <c r="H93" i="245" s="1"/>
  <c r="G92" i="245"/>
  <c r="H92" i="245" s="1"/>
  <c r="G91" i="245"/>
  <c r="H91" i="245" s="1"/>
  <c r="G90" i="245"/>
  <c r="H90" i="245" s="1"/>
  <c r="G89" i="245"/>
  <c r="H89" i="245" s="1"/>
  <c r="G88" i="245"/>
  <c r="H88" i="245" s="1"/>
  <c r="G87" i="245"/>
  <c r="H87" i="245" s="1"/>
  <c r="H86" i="245"/>
  <c r="G86" i="245"/>
  <c r="H85" i="245"/>
  <c r="G85" i="245"/>
  <c r="H84" i="245"/>
  <c r="G84" i="245"/>
  <c r="G83" i="245"/>
  <c r="H83" i="245" s="1"/>
  <c r="H82" i="245"/>
  <c r="G82" i="245"/>
  <c r="G81" i="245"/>
  <c r="H81" i="245" s="1"/>
  <c r="H80" i="245"/>
  <c r="G80" i="245"/>
  <c r="G79" i="245"/>
  <c r="H79" i="245" s="1"/>
  <c r="G78" i="245"/>
  <c r="H78" i="245" s="1"/>
  <c r="G77" i="245"/>
  <c r="H77" i="245" s="1"/>
  <c r="G76" i="245"/>
  <c r="H76" i="245" s="1"/>
  <c r="G75" i="245"/>
  <c r="H75" i="245" s="1"/>
  <c r="G74" i="245"/>
  <c r="H74" i="245" s="1"/>
  <c r="G73" i="245"/>
  <c r="H73" i="245" s="1"/>
  <c r="G72" i="245"/>
  <c r="H72" i="245" s="1"/>
  <c r="G71" i="245"/>
  <c r="H71" i="245" s="1"/>
  <c r="G70" i="245"/>
  <c r="H70" i="245" s="1"/>
  <c r="G69" i="245"/>
  <c r="H69" i="245" s="1"/>
  <c r="G68" i="245"/>
  <c r="H68" i="245" s="1"/>
  <c r="G67" i="245"/>
  <c r="H67" i="245" s="1"/>
  <c r="G66" i="245"/>
  <c r="H66" i="245" s="1"/>
  <c r="G65" i="245"/>
  <c r="H65" i="245" s="1"/>
  <c r="H64" i="245"/>
  <c r="G64" i="245"/>
  <c r="H63" i="245"/>
  <c r="G63" i="245"/>
  <c r="H62" i="245"/>
  <c r="G62" i="245"/>
  <c r="H61" i="245"/>
  <c r="G61" i="245"/>
  <c r="G60" i="245"/>
  <c r="H60" i="245" s="1"/>
  <c r="G59" i="245"/>
  <c r="H59" i="245" s="1"/>
  <c r="G58" i="245"/>
  <c r="H58" i="245" s="1"/>
  <c r="G57" i="245"/>
  <c r="H57" i="245" s="1"/>
  <c r="G56" i="245"/>
  <c r="H56" i="245" s="1"/>
  <c r="G55" i="245"/>
  <c r="H55" i="245" s="1"/>
  <c r="G54" i="245"/>
  <c r="H54" i="245" s="1"/>
  <c r="G53" i="245"/>
  <c r="H53" i="245" s="1"/>
  <c r="G52" i="245"/>
  <c r="H52" i="245" s="1"/>
  <c r="G51" i="245"/>
  <c r="H51" i="245" s="1"/>
  <c r="G50" i="245"/>
  <c r="H50" i="245" s="1"/>
  <c r="G49" i="245"/>
  <c r="H49" i="245" s="1"/>
  <c r="G48" i="245"/>
  <c r="H48" i="245" s="1"/>
  <c r="G47" i="245"/>
  <c r="H47" i="245" s="1"/>
  <c r="G46" i="245"/>
  <c r="H46" i="245" s="1"/>
  <c r="G45" i="245"/>
  <c r="H45" i="245" s="1"/>
  <c r="G44" i="245"/>
  <c r="H44" i="245" s="1"/>
  <c r="G43" i="245"/>
  <c r="H43" i="245" s="1"/>
  <c r="G42" i="245"/>
  <c r="H42" i="245" s="1"/>
  <c r="G41" i="245"/>
  <c r="H41" i="245" s="1"/>
  <c r="G40" i="245"/>
  <c r="H40" i="245" s="1"/>
  <c r="G39" i="245"/>
  <c r="H39" i="245" s="1"/>
  <c r="G38" i="245"/>
  <c r="H38" i="245" s="1"/>
  <c r="G37" i="245"/>
  <c r="H37" i="245" s="1"/>
  <c r="G36" i="245"/>
  <c r="H36" i="245" s="1"/>
  <c r="G35" i="245"/>
  <c r="H35" i="245" s="1"/>
  <c r="G34" i="245"/>
  <c r="H34" i="245" s="1"/>
  <c r="G33" i="245"/>
  <c r="H33" i="245" s="1"/>
  <c r="G32" i="245"/>
  <c r="H32" i="245" s="1"/>
  <c r="G31" i="245"/>
  <c r="H31" i="245" s="1"/>
  <c r="G30" i="245"/>
  <c r="H30" i="245" s="1"/>
  <c r="G29" i="245"/>
  <c r="H29" i="245" s="1"/>
  <c r="G28" i="245"/>
  <c r="H28" i="245" s="1"/>
  <c r="G27" i="245"/>
  <c r="H27" i="245" s="1"/>
  <c r="G26" i="245"/>
  <c r="H26" i="245" s="1"/>
  <c r="G25" i="245"/>
  <c r="H25" i="245" s="1"/>
  <c r="G24" i="245"/>
  <c r="H24" i="245" s="1"/>
  <c r="G23" i="245"/>
  <c r="H23" i="245" s="1"/>
  <c r="G22" i="245"/>
  <c r="H22" i="245" s="1"/>
  <c r="G21" i="245"/>
  <c r="H21" i="245" s="1"/>
  <c r="G20" i="245"/>
  <c r="H20" i="245" s="1"/>
  <c r="G19" i="245"/>
  <c r="H19" i="245" s="1"/>
  <c r="G18" i="245"/>
  <c r="H18" i="245" s="1"/>
  <c r="G17" i="245"/>
  <c r="H17" i="245" s="1"/>
  <c r="G16" i="245"/>
  <c r="H16" i="245" s="1"/>
  <c r="G15" i="245"/>
  <c r="H15" i="245" s="1"/>
  <c r="G14" i="245"/>
  <c r="H14" i="245" s="1"/>
  <c r="G13" i="245"/>
  <c r="H13" i="245" s="1"/>
  <c r="G12" i="245"/>
  <c r="H12" i="245" s="1"/>
  <c r="G11" i="245"/>
  <c r="H11" i="245" s="1"/>
  <c r="G10" i="245"/>
  <c r="H10" i="245" s="1"/>
  <c r="G9" i="245"/>
  <c r="H9" i="245" s="1"/>
  <c r="G8" i="245"/>
  <c r="H8" i="245" s="1"/>
  <c r="G7" i="245"/>
  <c r="H7" i="245" s="1"/>
  <c r="G6" i="245"/>
  <c r="H6" i="245" s="1"/>
  <c r="G5" i="245"/>
  <c r="H5" i="245" s="1"/>
  <c r="K110" i="244"/>
  <c r="K109" i="244"/>
  <c r="K108" i="244"/>
  <c r="K107" i="244"/>
  <c r="K106" i="244"/>
  <c r="K105" i="244"/>
  <c r="K104" i="244"/>
  <c r="K103" i="244"/>
  <c r="K102" i="244"/>
  <c r="K101" i="244"/>
  <c r="K100" i="244"/>
  <c r="K99" i="244"/>
  <c r="K98" i="244"/>
  <c r="K97" i="244"/>
  <c r="K96" i="244"/>
  <c r="K95" i="244"/>
  <c r="K94" i="244"/>
  <c r="K93" i="244"/>
  <c r="K92" i="244"/>
  <c r="K91" i="244"/>
  <c r="K90" i="244"/>
  <c r="K89" i="244"/>
  <c r="K88" i="244"/>
  <c r="K87" i="244"/>
  <c r="K86" i="244"/>
  <c r="K85" i="244"/>
  <c r="K84" i="244"/>
  <c r="K83" i="244"/>
  <c r="K82" i="244"/>
  <c r="K81" i="244"/>
  <c r="K80" i="244"/>
  <c r="K79" i="244"/>
  <c r="K78" i="244"/>
  <c r="K77" i="244"/>
  <c r="K76" i="244"/>
  <c r="K75" i="244"/>
  <c r="K74" i="244"/>
  <c r="K73" i="244"/>
  <c r="K72" i="244"/>
  <c r="K71" i="244"/>
  <c r="K70" i="244"/>
  <c r="K69" i="244"/>
  <c r="K68" i="244"/>
  <c r="K67" i="244"/>
  <c r="K66" i="244"/>
  <c r="K65" i="244"/>
  <c r="K64" i="244"/>
  <c r="K63" i="244"/>
  <c r="K62" i="244"/>
  <c r="K61" i="244"/>
  <c r="K60" i="244"/>
  <c r="K59" i="244"/>
  <c r="K58" i="244"/>
  <c r="K57" i="244"/>
  <c r="K56" i="244"/>
  <c r="K55" i="244"/>
  <c r="K54" i="244"/>
  <c r="K53" i="244"/>
  <c r="K52" i="244"/>
  <c r="K51" i="244"/>
  <c r="K50" i="244"/>
  <c r="K49" i="244"/>
  <c r="K48" i="244"/>
  <c r="K47" i="244"/>
  <c r="K46" i="244"/>
  <c r="K45" i="244"/>
  <c r="K44" i="244"/>
  <c r="K43" i="244"/>
  <c r="K42" i="244"/>
  <c r="K41" i="244"/>
  <c r="K40" i="244"/>
  <c r="K39" i="244"/>
  <c r="K38" i="244"/>
  <c r="K37" i="244"/>
  <c r="K36" i="244"/>
  <c r="K35" i="244"/>
  <c r="K34" i="244"/>
  <c r="K33" i="244"/>
  <c r="K32" i="244"/>
  <c r="K31" i="244"/>
  <c r="K30" i="244"/>
  <c r="K29" i="244"/>
  <c r="K28" i="244"/>
  <c r="K27" i="244"/>
  <c r="K26" i="244"/>
  <c r="K25" i="244"/>
  <c r="K24" i="244"/>
  <c r="K23" i="244"/>
  <c r="K22" i="244"/>
  <c r="K21" i="244"/>
  <c r="K20" i="244"/>
  <c r="K19" i="244"/>
  <c r="K18" i="244"/>
  <c r="K17" i="244"/>
  <c r="K16" i="244"/>
  <c r="K15" i="244"/>
  <c r="K14" i="244"/>
  <c r="K13" i="244"/>
  <c r="K12" i="244"/>
  <c r="K11" i="244"/>
  <c r="K10" i="244"/>
  <c r="K9" i="244"/>
  <c r="B14" i="236"/>
  <c r="C14" i="236"/>
  <c r="D14" i="236"/>
  <c r="E14" i="236"/>
  <c r="F14" i="236"/>
  <c r="G14" i="236"/>
  <c r="H14" i="236"/>
  <c r="J14" i="236"/>
  <c r="K14" i="236"/>
  <c r="L14" i="236"/>
  <c r="N14" i="236"/>
  <c r="O14" i="236"/>
  <c r="P14" i="236"/>
  <c r="Q14" i="236"/>
  <c r="R14" i="236"/>
  <c r="S14" i="236"/>
  <c r="G4" i="245"/>
  <c r="H4" i="245" s="1"/>
  <c r="G122" i="241"/>
  <c r="H122" i="241" s="1"/>
  <c r="G121" i="241"/>
  <c r="H121" i="241" s="1"/>
  <c r="G120" i="241"/>
  <c r="H120" i="241" s="1"/>
  <c r="G119" i="241"/>
  <c r="H119" i="241" s="1"/>
  <c r="G118" i="241"/>
  <c r="H118" i="241" s="1"/>
  <c r="G117" i="241"/>
  <c r="H117" i="241" s="1"/>
  <c r="G116" i="241"/>
  <c r="H116" i="241" s="1"/>
  <c r="G115" i="241"/>
  <c r="H115" i="241" s="1"/>
  <c r="G114" i="241"/>
  <c r="H114" i="241" s="1"/>
  <c r="G113" i="241"/>
  <c r="H113" i="241" s="1"/>
  <c r="G112" i="241"/>
  <c r="H112" i="241" s="1"/>
  <c r="G111" i="241"/>
  <c r="H111" i="241" s="1"/>
  <c r="G110" i="241"/>
  <c r="H110" i="241" s="1"/>
  <c r="G109" i="241"/>
  <c r="H109" i="241" s="1"/>
  <c r="G108" i="241"/>
  <c r="H108" i="241" s="1"/>
  <c r="G107" i="241"/>
  <c r="H107" i="241" s="1"/>
  <c r="G106" i="241"/>
  <c r="H106" i="241" s="1"/>
  <c r="G105" i="241"/>
  <c r="H105" i="241" s="1"/>
  <c r="G104" i="241"/>
  <c r="H104" i="241" s="1"/>
  <c r="G103" i="241"/>
  <c r="H103" i="241" s="1"/>
  <c r="G102" i="241"/>
  <c r="H102" i="241" s="1"/>
  <c r="G101" i="241"/>
  <c r="H101" i="241" s="1"/>
  <c r="G100" i="241"/>
  <c r="H100" i="241" s="1"/>
  <c r="G99" i="241"/>
  <c r="H99" i="241" s="1"/>
  <c r="G98" i="241"/>
  <c r="H98" i="241" s="1"/>
  <c r="G97" i="241"/>
  <c r="H97" i="241" s="1"/>
  <c r="G96" i="241"/>
  <c r="H96" i="241" s="1"/>
  <c r="G95" i="241"/>
  <c r="H95" i="241" s="1"/>
  <c r="G94" i="241"/>
  <c r="H94" i="241" s="1"/>
  <c r="G93" i="241"/>
  <c r="H93" i="241" s="1"/>
  <c r="G92" i="241"/>
  <c r="H92" i="241" s="1"/>
  <c r="G91" i="241"/>
  <c r="H91" i="241" s="1"/>
  <c r="G90" i="241"/>
  <c r="H90" i="241" s="1"/>
  <c r="G89" i="241"/>
  <c r="H89" i="241" s="1"/>
  <c r="G88" i="241"/>
  <c r="H88" i="241" s="1"/>
  <c r="G87" i="241"/>
  <c r="H87" i="241" s="1"/>
  <c r="G86" i="241"/>
  <c r="H86" i="241" s="1"/>
  <c r="G85" i="241"/>
  <c r="H85" i="241" s="1"/>
  <c r="G84" i="241"/>
  <c r="H84" i="241" s="1"/>
  <c r="G83" i="241"/>
  <c r="H83" i="241" s="1"/>
  <c r="G82" i="241"/>
  <c r="H82" i="241" s="1"/>
  <c r="G81" i="241"/>
  <c r="H81" i="241" s="1"/>
  <c r="G80" i="241"/>
  <c r="H80" i="241" s="1"/>
  <c r="G79" i="241"/>
  <c r="H79" i="241" s="1"/>
  <c r="G78" i="241"/>
  <c r="H78" i="241" s="1"/>
  <c r="G77" i="241"/>
  <c r="H77" i="241" s="1"/>
  <c r="G76" i="241"/>
  <c r="H76" i="241" s="1"/>
  <c r="G75" i="241"/>
  <c r="H75" i="241" s="1"/>
  <c r="G74" i="241"/>
  <c r="H74" i="241" s="1"/>
  <c r="G73" i="241"/>
  <c r="H73" i="241" s="1"/>
  <c r="G72" i="241"/>
  <c r="H72" i="241" s="1"/>
  <c r="G71" i="241"/>
  <c r="H71" i="241" s="1"/>
  <c r="G70" i="241"/>
  <c r="H70" i="241" s="1"/>
  <c r="G69" i="241"/>
  <c r="H69" i="241" s="1"/>
  <c r="G68" i="241"/>
  <c r="H68" i="241" s="1"/>
  <c r="G67" i="241"/>
  <c r="H67" i="241" s="1"/>
  <c r="G66" i="241"/>
  <c r="H66" i="241" s="1"/>
  <c r="G65" i="241"/>
  <c r="H65" i="241" s="1"/>
  <c r="G64" i="241"/>
  <c r="H64" i="241" s="1"/>
  <c r="G63" i="241"/>
  <c r="H63" i="241" s="1"/>
  <c r="G62" i="241"/>
  <c r="H62" i="241" s="1"/>
  <c r="G61" i="241"/>
  <c r="H61" i="241" s="1"/>
  <c r="G60" i="241"/>
  <c r="H60" i="241" s="1"/>
  <c r="G59" i="241"/>
  <c r="H59" i="241" s="1"/>
  <c r="G58" i="241"/>
  <c r="H58" i="241" s="1"/>
  <c r="G57" i="241"/>
  <c r="H57" i="241" s="1"/>
  <c r="G56" i="241"/>
  <c r="H56" i="241" s="1"/>
  <c r="G55" i="241"/>
  <c r="H55" i="241" s="1"/>
  <c r="G54" i="241"/>
  <c r="H54" i="241" s="1"/>
  <c r="G53" i="241"/>
  <c r="H53" i="241" s="1"/>
  <c r="G52" i="241"/>
  <c r="H52" i="241" s="1"/>
  <c r="G51" i="241"/>
  <c r="H51" i="241" s="1"/>
  <c r="G50" i="241"/>
  <c r="H50" i="241" s="1"/>
  <c r="G49" i="241"/>
  <c r="H49" i="241" s="1"/>
  <c r="G48" i="241"/>
  <c r="H48" i="241" s="1"/>
  <c r="G47" i="241"/>
  <c r="H47" i="241" s="1"/>
  <c r="G46" i="241"/>
  <c r="H46" i="241" s="1"/>
  <c r="G45" i="241"/>
  <c r="H45" i="241" s="1"/>
  <c r="G44" i="241"/>
  <c r="H44" i="241" s="1"/>
  <c r="G43" i="241"/>
  <c r="H43" i="241" s="1"/>
  <c r="G42" i="241"/>
  <c r="H42" i="241" s="1"/>
  <c r="G41" i="241"/>
  <c r="H41" i="241" s="1"/>
  <c r="G40" i="241"/>
  <c r="H40" i="241" s="1"/>
  <c r="G39" i="241"/>
  <c r="H39" i="241" s="1"/>
  <c r="G38" i="241"/>
  <c r="H38" i="241" s="1"/>
  <c r="G37" i="241"/>
  <c r="H37" i="241" s="1"/>
  <c r="G36" i="241"/>
  <c r="H36" i="241" s="1"/>
  <c r="G35" i="241"/>
  <c r="H35" i="241" s="1"/>
  <c r="G34" i="241"/>
  <c r="H34" i="241" s="1"/>
  <c r="G33" i="241"/>
  <c r="H33" i="241" s="1"/>
  <c r="G32" i="241"/>
  <c r="H32" i="241" s="1"/>
  <c r="G31" i="241"/>
  <c r="H31" i="241" s="1"/>
  <c r="G30" i="241"/>
  <c r="H30" i="241" s="1"/>
  <c r="G29" i="241"/>
  <c r="H29" i="241" s="1"/>
  <c r="G28" i="241"/>
  <c r="H28" i="241" s="1"/>
  <c r="G27" i="241"/>
  <c r="H27" i="241" s="1"/>
  <c r="G26" i="241"/>
  <c r="H26" i="241" s="1"/>
  <c r="G25" i="241"/>
  <c r="H25" i="241" s="1"/>
  <c r="G24" i="241"/>
  <c r="H24" i="241" s="1"/>
  <c r="G23" i="241"/>
  <c r="H23" i="241" s="1"/>
  <c r="G22" i="241"/>
  <c r="H22" i="241" s="1"/>
  <c r="G21" i="241"/>
  <c r="H21" i="241" s="1"/>
  <c r="G20" i="241"/>
  <c r="H20" i="241" s="1"/>
  <c r="G19" i="241"/>
  <c r="H19" i="241" s="1"/>
  <c r="G18" i="241"/>
  <c r="H18" i="241" s="1"/>
  <c r="G17" i="241"/>
  <c r="H17" i="241" s="1"/>
  <c r="G16" i="241"/>
  <c r="H16" i="241" s="1"/>
  <c r="G15" i="241"/>
  <c r="H15" i="241" s="1"/>
  <c r="G14" i="241"/>
  <c r="H14" i="241" s="1"/>
  <c r="G13" i="241"/>
  <c r="H13" i="241" s="1"/>
  <c r="G12" i="241"/>
  <c r="H12" i="241" s="1"/>
  <c r="G11" i="241"/>
  <c r="H11" i="241" s="1"/>
  <c r="G10" i="241"/>
  <c r="H10" i="241" s="1"/>
  <c r="G9" i="241"/>
  <c r="H9" i="241" s="1"/>
  <c r="G8" i="241"/>
  <c r="H8" i="241" s="1"/>
  <c r="G7" i="241"/>
  <c r="H7" i="241" s="1"/>
  <c r="G6" i="241"/>
  <c r="H6" i="241" s="1"/>
  <c r="G5" i="241"/>
  <c r="H5" i="241" s="1"/>
  <c r="G4" i="241"/>
  <c r="H4" i="241" s="1"/>
  <c r="P110" i="244"/>
  <c r="P109" i="244"/>
  <c r="P108" i="244"/>
  <c r="P107" i="244"/>
  <c r="P106" i="244"/>
  <c r="P105" i="244"/>
  <c r="P104" i="244"/>
  <c r="P103" i="244"/>
  <c r="H18" i="235"/>
  <c r="D18" i="235"/>
  <c r="H17" i="235"/>
  <c r="D17" i="235"/>
  <c r="H16" i="235"/>
  <c r="D16" i="235"/>
  <c r="H15" i="235"/>
  <c r="D15" i="235"/>
  <c r="H14" i="235"/>
  <c r="D14" i="235"/>
  <c r="H13" i="235"/>
  <c r="D13" i="235"/>
  <c r="H12" i="235"/>
  <c r="D12" i="235"/>
  <c r="H11" i="235"/>
  <c r="D11" i="235"/>
  <c r="H10" i="235"/>
  <c r="D10" i="235"/>
  <c r="H9" i="235"/>
  <c r="D9" i="235"/>
  <c r="H8" i="235"/>
  <c r="D8" i="235"/>
  <c r="H7" i="235"/>
  <c r="D7" i="235"/>
  <c r="M14" i="236" l="1"/>
  <c r="I14" i="236"/>
  <c r="Y110" i="244"/>
  <c r="P102" i="244"/>
  <c r="P101" i="244"/>
  <c r="P100" i="244"/>
  <c r="P99" i="244"/>
  <c r="P98" i="244"/>
  <c r="P97" i="244"/>
  <c r="P96" i="244"/>
  <c r="P95" i="244"/>
  <c r="P94" i="244"/>
  <c r="P93" i="244"/>
  <c r="P92" i="244"/>
  <c r="P91" i="244"/>
  <c r="P90" i="244"/>
  <c r="P89" i="244"/>
  <c r="P88" i="244"/>
  <c r="P87" i="244"/>
  <c r="P86" i="244"/>
  <c r="P85" i="244"/>
  <c r="P84" i="244"/>
  <c r="P83" i="244"/>
  <c r="P82" i="244"/>
  <c r="P81" i="244"/>
  <c r="P80" i="244"/>
  <c r="P79" i="244"/>
  <c r="P78" i="244"/>
  <c r="P77" i="244"/>
  <c r="P76" i="244"/>
  <c r="P75" i="244"/>
  <c r="P74" i="244"/>
  <c r="P73" i="244"/>
  <c r="P72" i="244"/>
  <c r="P71" i="244"/>
  <c r="P70" i="244"/>
  <c r="P69" i="244"/>
  <c r="P68" i="244"/>
  <c r="P67" i="244"/>
  <c r="P66" i="244"/>
  <c r="P65" i="244"/>
  <c r="P64" i="244"/>
  <c r="P63" i="244"/>
  <c r="P62" i="244"/>
  <c r="P61" i="244"/>
  <c r="P60" i="244"/>
  <c r="P59" i="244"/>
  <c r="P58" i="244"/>
  <c r="P57" i="244"/>
  <c r="P56" i="244"/>
  <c r="P55" i="244"/>
  <c r="P54" i="244"/>
  <c r="P53" i="244"/>
  <c r="P52" i="244"/>
  <c r="P51" i="244"/>
  <c r="P50" i="244"/>
  <c r="P49" i="244"/>
  <c r="P48" i="244"/>
  <c r="P47" i="244"/>
  <c r="P46" i="244"/>
  <c r="P45" i="244"/>
  <c r="P44" i="244"/>
  <c r="P43" i="244"/>
  <c r="P42" i="244"/>
  <c r="P41" i="244"/>
  <c r="P40" i="244"/>
  <c r="P39" i="244"/>
  <c r="P38" i="244"/>
  <c r="P37" i="244"/>
  <c r="P36" i="244"/>
  <c r="P35" i="244"/>
  <c r="P34" i="244"/>
  <c r="P33" i="244"/>
  <c r="P32" i="244"/>
  <c r="P31" i="244"/>
  <c r="P30" i="244"/>
  <c r="P29" i="244"/>
  <c r="P28" i="244"/>
  <c r="P27" i="244"/>
  <c r="P26" i="244"/>
  <c r="P25" i="244"/>
  <c r="P24" i="244"/>
  <c r="P23" i="244"/>
  <c r="P22" i="244"/>
  <c r="P21" i="244"/>
  <c r="P20" i="244"/>
  <c r="P19" i="244"/>
  <c r="P18" i="244"/>
  <c r="P17" i="244"/>
  <c r="P16" i="244"/>
  <c r="P15" i="244"/>
  <c r="P14" i="244"/>
  <c r="P13" i="244"/>
  <c r="P12" i="244"/>
  <c r="P11" i="244"/>
  <c r="P10" i="244"/>
  <c r="P9" i="244"/>
  <c r="Y11" i="244" l="1"/>
  <c r="Y19" i="244"/>
  <c r="Y23" i="244"/>
  <c r="Y31" i="244"/>
  <c r="Y39" i="244"/>
  <c r="Y43" i="244"/>
  <c r="Y51" i="244"/>
  <c r="Y55" i="244"/>
  <c r="Y63" i="244"/>
  <c r="Y71" i="244"/>
  <c r="Y75" i="244"/>
  <c r="Y83" i="244"/>
  <c r="Y87" i="244"/>
  <c r="Y91" i="244"/>
  <c r="Y99" i="244"/>
  <c r="Y15" i="244"/>
  <c r="Y27" i="244"/>
  <c r="Y35" i="244"/>
  <c r="Y47" i="244"/>
  <c r="Y59" i="244"/>
  <c r="Y67" i="244"/>
  <c r="Y79" i="244"/>
  <c r="Y95" i="244"/>
  <c r="Y103" i="244"/>
  <c r="Y107" i="244"/>
  <c r="Y10" i="244"/>
  <c r="Y14" i="244"/>
  <c r="Y18" i="244"/>
  <c r="Y22" i="244"/>
  <c r="Y26" i="244"/>
  <c r="Y30" i="244"/>
  <c r="Y34" i="244"/>
  <c r="Y38" i="244"/>
  <c r="Y42" i="244"/>
  <c r="Y46" i="244"/>
  <c r="Y50" i="244"/>
  <c r="Y54" i="244"/>
  <c r="Y58" i="244"/>
  <c r="Y62" i="244"/>
  <c r="Y66" i="244"/>
  <c r="Y70" i="244"/>
  <c r="Y74" i="244"/>
  <c r="Y78" i="244"/>
  <c r="Y82" i="244"/>
  <c r="Y86" i="244"/>
  <c r="Y90" i="244"/>
  <c r="Y94" i="244"/>
  <c r="Y98" i="244"/>
  <c r="Y102" i="244"/>
  <c r="Y106" i="244"/>
  <c r="Y9" i="244"/>
  <c r="Y13" i="244"/>
  <c r="Y17" i="244"/>
  <c r="Y21" i="244"/>
  <c r="Y25" i="244"/>
  <c r="Y29" i="244"/>
  <c r="Y33" i="244"/>
  <c r="Y37" i="244"/>
  <c r="Y41" i="244"/>
  <c r="Y45" i="244"/>
  <c r="Y49" i="244"/>
  <c r="Y53" i="244"/>
  <c r="Y57" i="244"/>
  <c r="Y61" i="244"/>
  <c r="Y65" i="244"/>
  <c r="Y69" i="244"/>
  <c r="Y73" i="244"/>
  <c r="Y77" i="244"/>
  <c r="Y81" i="244"/>
  <c r="Y85" i="244"/>
  <c r="Y89" i="244"/>
  <c r="Y93" i="244"/>
  <c r="Y97" i="244"/>
  <c r="Y101" i="244"/>
  <c r="Y105" i="244"/>
  <c r="Y109" i="244"/>
  <c r="Y12" i="244"/>
  <c r="Y16" i="244"/>
  <c r="Y20" i="244"/>
  <c r="Y24" i="244"/>
  <c r="Y28" i="244"/>
  <c r="Y32" i="244"/>
  <c r="Y36" i="244"/>
  <c r="Y40" i="244"/>
  <c r="Y44" i="244"/>
  <c r="Y48" i="244"/>
  <c r="Y52" i="244"/>
  <c r="Y56" i="244"/>
  <c r="Y60" i="244"/>
  <c r="Y64" i="244"/>
  <c r="Y68" i="244"/>
  <c r="Y72" i="244"/>
  <c r="Y76" i="244"/>
  <c r="Y80" i="244"/>
  <c r="Y84" i="244"/>
  <c r="Y88" i="244"/>
  <c r="Y92" i="244"/>
  <c r="Y96" i="244"/>
  <c r="Y100" i="244"/>
  <c r="Y104" i="244"/>
  <c r="Y108" i="244"/>
  <c r="Q60" i="234" l="1"/>
  <c r="T60" i="234"/>
  <c r="S60" i="234"/>
  <c r="P60" i="234"/>
  <c r="O60" i="234"/>
  <c r="R36" i="234"/>
  <c r="T84" i="234"/>
  <c r="S84" i="234"/>
  <c r="R84" i="234"/>
  <c r="Q84" i="234"/>
  <c r="P84" i="234"/>
  <c r="O84" i="234"/>
  <c r="M84" i="234"/>
  <c r="L84" i="234"/>
  <c r="K84" i="234"/>
  <c r="I84" i="234"/>
  <c r="H84" i="234"/>
  <c r="G84" i="234"/>
  <c r="F84" i="234"/>
  <c r="E84" i="234"/>
  <c r="D84" i="234"/>
  <c r="C84" i="234"/>
  <c r="T76" i="234"/>
  <c r="S76" i="234"/>
  <c r="R76" i="234"/>
  <c r="Q76" i="234"/>
  <c r="P76" i="234"/>
  <c r="O76" i="234"/>
  <c r="M76" i="234"/>
  <c r="L76" i="234"/>
  <c r="K76" i="234"/>
  <c r="I76" i="234"/>
  <c r="H76" i="234"/>
  <c r="G76" i="234"/>
  <c r="F76" i="234"/>
  <c r="E76" i="234"/>
  <c r="D76" i="234"/>
  <c r="C76" i="234"/>
  <c r="T68" i="234"/>
  <c r="S68" i="234"/>
  <c r="R68" i="234"/>
  <c r="Q68" i="234"/>
  <c r="P68" i="234"/>
  <c r="O68" i="234"/>
  <c r="M68" i="234"/>
  <c r="L68" i="234"/>
  <c r="K68" i="234"/>
  <c r="I68" i="234"/>
  <c r="H68" i="234"/>
  <c r="G68" i="234"/>
  <c r="F68" i="234"/>
  <c r="E68" i="234"/>
  <c r="D68" i="234"/>
  <c r="C68" i="234"/>
  <c r="R60" i="234"/>
  <c r="M60" i="234"/>
  <c r="L60" i="234"/>
  <c r="K60" i="234"/>
  <c r="I60" i="234"/>
  <c r="H60" i="234"/>
  <c r="G60" i="234"/>
  <c r="F60" i="234"/>
  <c r="E60" i="234"/>
  <c r="D60" i="234"/>
  <c r="C60" i="234"/>
  <c r="T52" i="234"/>
  <c r="S52" i="234"/>
  <c r="R52" i="234"/>
  <c r="Q52" i="234"/>
  <c r="P52" i="234"/>
  <c r="O52" i="234"/>
  <c r="M52" i="234"/>
  <c r="L52" i="234"/>
  <c r="K52" i="234"/>
  <c r="I52" i="234"/>
  <c r="H52" i="234"/>
  <c r="G52" i="234"/>
  <c r="F52" i="234"/>
  <c r="E52" i="234"/>
  <c r="D52" i="234"/>
  <c r="C52" i="234"/>
  <c r="T44" i="234"/>
  <c r="S44" i="234"/>
  <c r="R44" i="234"/>
  <c r="Q44" i="234"/>
  <c r="P44" i="234"/>
  <c r="O44" i="234"/>
  <c r="M44" i="234"/>
  <c r="L44" i="234"/>
  <c r="K44" i="234"/>
  <c r="I44" i="234"/>
  <c r="H44" i="234"/>
  <c r="G44" i="234"/>
  <c r="F44" i="234"/>
  <c r="E44" i="234"/>
  <c r="D44" i="234"/>
  <c r="C44" i="234"/>
  <c r="T36" i="234"/>
  <c r="S36" i="234"/>
  <c r="Q36" i="234"/>
  <c r="P36" i="234"/>
  <c r="O36" i="234"/>
  <c r="M36" i="234"/>
  <c r="L36" i="234"/>
  <c r="K36" i="234"/>
  <c r="I36" i="234"/>
  <c r="H36" i="234"/>
  <c r="G36" i="234"/>
  <c r="F36" i="234"/>
  <c r="E36" i="234"/>
  <c r="D36" i="234"/>
  <c r="C36" i="234"/>
  <c r="T28" i="234"/>
  <c r="S28" i="234"/>
  <c r="R28" i="234"/>
  <c r="Q28" i="234"/>
  <c r="P28" i="234"/>
  <c r="O28" i="234"/>
  <c r="M28" i="234"/>
  <c r="L28" i="234"/>
  <c r="K28" i="234"/>
  <c r="I28" i="234"/>
  <c r="H28" i="234"/>
  <c r="G28" i="234"/>
  <c r="F28" i="234"/>
  <c r="E28" i="234"/>
  <c r="D28" i="234"/>
  <c r="C28" i="234"/>
  <c r="T20" i="234"/>
  <c r="S20" i="234"/>
  <c r="R20" i="234"/>
  <c r="Q20" i="234"/>
  <c r="P20" i="234"/>
  <c r="O20" i="234"/>
  <c r="M20" i="234"/>
  <c r="L20" i="234"/>
  <c r="K20" i="234"/>
  <c r="I20" i="234"/>
  <c r="H20" i="234"/>
  <c r="G20" i="234"/>
  <c r="F20" i="234"/>
  <c r="E20" i="234"/>
  <c r="D20" i="234"/>
  <c r="C20" i="234"/>
  <c r="T12" i="234"/>
  <c r="S12" i="234"/>
  <c r="R12" i="234"/>
  <c r="Q12" i="234"/>
  <c r="P12" i="234"/>
  <c r="O12" i="234"/>
  <c r="M12" i="234"/>
  <c r="L12" i="234"/>
  <c r="K12" i="234"/>
  <c r="I12" i="234"/>
  <c r="H12" i="234"/>
  <c r="G12" i="234"/>
  <c r="F12" i="234"/>
  <c r="E12" i="234"/>
  <c r="D12" i="234"/>
  <c r="C12" i="234"/>
  <c r="S74" i="236"/>
  <c r="R74" i="236"/>
  <c r="Q74" i="236"/>
  <c r="P74" i="236"/>
  <c r="O74" i="236"/>
  <c r="N74" i="236"/>
  <c r="L74" i="236"/>
  <c r="K74" i="236"/>
  <c r="J74" i="236"/>
  <c r="H74" i="236"/>
  <c r="G74" i="236"/>
  <c r="F74" i="236"/>
  <c r="E74" i="236"/>
  <c r="D74" i="236"/>
  <c r="C74" i="236"/>
  <c r="B74" i="236"/>
  <c r="S66" i="236"/>
  <c r="R66" i="236"/>
  <c r="Q66" i="236"/>
  <c r="P66" i="236"/>
  <c r="O66" i="236"/>
  <c r="N66" i="236"/>
  <c r="L66" i="236"/>
  <c r="K66" i="236"/>
  <c r="J66" i="236"/>
  <c r="H66" i="236"/>
  <c r="G66" i="236"/>
  <c r="F66" i="236"/>
  <c r="E66" i="236"/>
  <c r="D66" i="236"/>
  <c r="C66" i="236"/>
  <c r="B66" i="236"/>
  <c r="S48" i="236"/>
  <c r="R48" i="236"/>
  <c r="Q48" i="236"/>
  <c r="P48" i="236"/>
  <c r="O48" i="236"/>
  <c r="N48" i="236"/>
  <c r="L48" i="236"/>
  <c r="K48" i="236"/>
  <c r="J48" i="236"/>
  <c r="H48" i="236"/>
  <c r="G48" i="236"/>
  <c r="F48" i="236"/>
  <c r="E48" i="236"/>
  <c r="D48" i="236"/>
  <c r="C48" i="236"/>
  <c r="B48" i="236"/>
  <c r="S40" i="236"/>
  <c r="R40" i="236"/>
  <c r="Q40" i="236"/>
  <c r="P40" i="236"/>
  <c r="O40" i="236"/>
  <c r="N40" i="236"/>
  <c r="L40" i="236"/>
  <c r="K40" i="236"/>
  <c r="J40" i="236"/>
  <c r="H40" i="236"/>
  <c r="G40" i="236"/>
  <c r="F40" i="236"/>
  <c r="E40" i="236"/>
  <c r="D40" i="236"/>
  <c r="C40" i="236"/>
  <c r="B40" i="236"/>
  <c r="S22" i="236"/>
  <c r="R22" i="236"/>
  <c r="Q22" i="236"/>
  <c r="P22" i="236"/>
  <c r="O22" i="236"/>
  <c r="N22" i="236"/>
  <c r="L22" i="236"/>
  <c r="K22" i="236"/>
  <c r="J22" i="236"/>
  <c r="H22" i="236"/>
  <c r="G22" i="236"/>
  <c r="F22" i="236"/>
  <c r="E22" i="236"/>
  <c r="D22" i="236"/>
  <c r="C22" i="236"/>
  <c r="B22" i="236"/>
  <c r="C29" i="236" l="1"/>
  <c r="H21" i="235" l="1"/>
  <c r="H20" i="235"/>
  <c r="B1" i="245" l="1"/>
  <c r="P8" i="244" l="1"/>
  <c r="K8" i="244"/>
  <c r="Y8" i="244" l="1"/>
  <c r="E80" i="236"/>
  <c r="N12" i="234" l="1"/>
  <c r="B28" i="236" l="1"/>
  <c r="W89" i="236" l="1"/>
  <c r="W90" i="236"/>
  <c r="B81" i="236" l="1"/>
  <c r="B80" i="236" l="1"/>
  <c r="J84" i="234" l="1"/>
  <c r="N84" i="234"/>
  <c r="S55" i="236"/>
  <c r="R54" i="236"/>
  <c r="S54" i="236"/>
  <c r="V72" i="236" l="1"/>
  <c r="E29" i="236" l="1"/>
  <c r="N68" i="234" l="1"/>
  <c r="N52" i="234"/>
  <c r="J52" i="234"/>
  <c r="J20" i="234"/>
  <c r="A12" i="236"/>
  <c r="W89" i="234"/>
  <c r="B1" i="241"/>
  <c r="J54" i="236"/>
  <c r="K54" i="236"/>
  <c r="L54" i="236"/>
  <c r="J55" i="236"/>
  <c r="K55" i="236"/>
  <c r="L55" i="236"/>
  <c r="N30" i="236"/>
  <c r="K56" i="236"/>
  <c r="S81" i="236"/>
  <c r="R81" i="236"/>
  <c r="Q81" i="236"/>
  <c r="P81" i="236"/>
  <c r="O81" i="236"/>
  <c r="N81" i="236"/>
  <c r="L81" i="236"/>
  <c r="K81" i="236"/>
  <c r="J81" i="236"/>
  <c r="H81" i="236"/>
  <c r="G81" i="236"/>
  <c r="F81" i="236"/>
  <c r="E81" i="236"/>
  <c r="D81" i="236"/>
  <c r="C81" i="236"/>
  <c r="S80" i="236"/>
  <c r="R80" i="236"/>
  <c r="Q80" i="236"/>
  <c r="P80" i="236"/>
  <c r="O80" i="236"/>
  <c r="N80" i="236"/>
  <c r="L80" i="236"/>
  <c r="K80" i="236"/>
  <c r="J80" i="236"/>
  <c r="H80" i="236"/>
  <c r="G80" i="236"/>
  <c r="F80" i="236"/>
  <c r="D80" i="236"/>
  <c r="C80" i="236"/>
  <c r="R55" i="236"/>
  <c r="Q55" i="236"/>
  <c r="P55" i="236"/>
  <c r="O55" i="236"/>
  <c r="N55" i="236"/>
  <c r="H55" i="236"/>
  <c r="G55" i="236"/>
  <c r="F55" i="236"/>
  <c r="E55" i="236"/>
  <c r="D55" i="236"/>
  <c r="C55" i="236"/>
  <c r="B55" i="236"/>
  <c r="Q54" i="236"/>
  <c r="P54" i="236"/>
  <c r="O54" i="236"/>
  <c r="N54" i="236"/>
  <c r="H54" i="236"/>
  <c r="G54" i="236"/>
  <c r="F54" i="236"/>
  <c r="E54" i="236"/>
  <c r="D54" i="236"/>
  <c r="C54" i="236"/>
  <c r="B54" i="236"/>
  <c r="S29" i="236"/>
  <c r="R29" i="236"/>
  <c r="Q29" i="236"/>
  <c r="P29" i="236"/>
  <c r="O29" i="236"/>
  <c r="N29" i="236"/>
  <c r="L29" i="236"/>
  <c r="K29" i="236"/>
  <c r="J29" i="236"/>
  <c r="H29" i="236"/>
  <c r="G29" i="236"/>
  <c r="F29" i="236"/>
  <c r="D29" i="236"/>
  <c r="B29" i="236"/>
  <c r="S28" i="236"/>
  <c r="R28" i="236"/>
  <c r="Q28" i="236"/>
  <c r="P28" i="236"/>
  <c r="O28" i="236"/>
  <c r="N28" i="236"/>
  <c r="L28" i="236"/>
  <c r="K28" i="236"/>
  <c r="J28" i="236"/>
  <c r="H28" i="236"/>
  <c r="G28" i="236"/>
  <c r="F28" i="236"/>
  <c r="E28" i="236"/>
  <c r="D28" i="236"/>
  <c r="C28" i="236"/>
  <c r="A3" i="235"/>
  <c r="B5" i="235" s="1"/>
  <c r="N20" i="234" l="1"/>
  <c r="J36" i="234"/>
  <c r="J68" i="234"/>
  <c r="W69" i="236" s="1"/>
  <c r="N36" i="234"/>
  <c r="X65" i="236" s="1"/>
  <c r="J12" i="234"/>
  <c r="W62" i="236" s="1"/>
  <c r="J28" i="234"/>
  <c r="W64" i="236" s="1"/>
  <c r="J44" i="234"/>
  <c r="W66" i="236" s="1"/>
  <c r="J60" i="234"/>
  <c r="W68" i="236" s="1"/>
  <c r="J76" i="234"/>
  <c r="W70" i="236" s="1"/>
  <c r="N28" i="234"/>
  <c r="N44" i="234"/>
  <c r="X66" i="236" s="1"/>
  <c r="N60" i="234"/>
  <c r="X68" i="236" s="1"/>
  <c r="N76" i="234"/>
  <c r="X70" i="236" s="1"/>
  <c r="U28" i="234"/>
  <c r="A89" i="236"/>
  <c r="E3" i="245"/>
  <c r="S56" i="236"/>
  <c r="F30" i="236"/>
  <c r="E30" i="236"/>
  <c r="H30" i="236"/>
  <c r="O30" i="236"/>
  <c r="P30" i="236"/>
  <c r="S30" i="236"/>
  <c r="F5" i="235"/>
  <c r="C5" i="235"/>
  <c r="G5" i="235" s="1"/>
  <c r="B82" i="236"/>
  <c r="D113" i="244" s="1"/>
  <c r="D114" i="244" s="1"/>
  <c r="Q30" i="236"/>
  <c r="G30" i="236"/>
  <c r="C30" i="236"/>
  <c r="X64" i="236"/>
  <c r="N90" i="236"/>
  <c r="P90" i="236"/>
  <c r="R90" i="236"/>
  <c r="X62" i="236"/>
  <c r="H82" i="236"/>
  <c r="J113" i="244" s="1"/>
  <c r="J114" i="244" s="1"/>
  <c r="C82" i="236"/>
  <c r="E113" i="244" s="1"/>
  <c r="E114" i="244" s="1"/>
  <c r="I48" i="236"/>
  <c r="R82" i="236"/>
  <c r="V113" i="244" s="1"/>
  <c r="V114" i="244" s="1"/>
  <c r="X63" i="236"/>
  <c r="X69" i="236"/>
  <c r="X67" i="236"/>
  <c r="E90" i="236"/>
  <c r="M54" i="236"/>
  <c r="M22" i="236"/>
  <c r="L89" i="236"/>
  <c r="G90" i="236"/>
  <c r="Q82" i="236"/>
  <c r="U113" i="244" s="1"/>
  <c r="U114" i="244" s="1"/>
  <c r="N82" i="236"/>
  <c r="R113" i="244" s="1"/>
  <c r="R114" i="244" s="1"/>
  <c r="J82" i="236"/>
  <c r="M113" i="244" s="1"/>
  <c r="M114" i="244" s="1"/>
  <c r="L82" i="236"/>
  <c r="O113" i="244" s="1"/>
  <c r="O114" i="244" s="1"/>
  <c r="G82" i="236"/>
  <c r="I113" i="244" s="1"/>
  <c r="I114" i="244" s="1"/>
  <c r="B56" i="236"/>
  <c r="D56" i="236"/>
  <c r="F56" i="236"/>
  <c r="H56" i="236"/>
  <c r="M55" i="236"/>
  <c r="B90" i="236"/>
  <c r="D90" i="236"/>
  <c r="F90" i="236"/>
  <c r="H90" i="236"/>
  <c r="I22" i="236"/>
  <c r="X71" i="236"/>
  <c r="W67" i="236"/>
  <c r="K82" i="236"/>
  <c r="N113" i="244" s="1"/>
  <c r="N114" i="244" s="1"/>
  <c r="M80" i="236"/>
  <c r="P56" i="236"/>
  <c r="K89" i="236"/>
  <c r="K90" i="236"/>
  <c r="A54" i="236"/>
  <c r="A64" i="236"/>
  <c r="A80" i="236"/>
  <c r="I80" i="236"/>
  <c r="I81" i="236"/>
  <c r="I74" i="236"/>
  <c r="M66" i="236"/>
  <c r="M81" i="236"/>
  <c r="F82" i="236"/>
  <c r="H113" i="244" s="1"/>
  <c r="H114" i="244" s="1"/>
  <c r="N89" i="236"/>
  <c r="P89" i="236"/>
  <c r="R89" i="236"/>
  <c r="N56" i="236"/>
  <c r="R56" i="236"/>
  <c r="L56" i="236"/>
  <c r="O89" i="236"/>
  <c r="Q89" i="236"/>
  <c r="S89" i="236"/>
  <c r="D89" i="236"/>
  <c r="F89" i="236"/>
  <c r="H89" i="236"/>
  <c r="C56" i="236"/>
  <c r="E56" i="236"/>
  <c r="G56" i="236"/>
  <c r="D30" i="236"/>
  <c r="E3" i="241"/>
  <c r="B10" i="234"/>
  <c r="B58" i="234" s="1"/>
  <c r="I28" i="236"/>
  <c r="B89" i="236"/>
  <c r="Q56" i="236"/>
  <c r="A28" i="236"/>
  <c r="A38" i="236"/>
  <c r="A20" i="236"/>
  <c r="A46" i="236"/>
  <c r="A13" i="236"/>
  <c r="F3" i="245" s="1"/>
  <c r="I40" i="236"/>
  <c r="B30" i="236"/>
  <c r="M28" i="236"/>
  <c r="C89" i="236"/>
  <c r="E89" i="236"/>
  <c r="G89" i="236"/>
  <c r="J89" i="236"/>
  <c r="I29" i="236"/>
  <c r="C90" i="236"/>
  <c r="M29" i="236"/>
  <c r="J90" i="236"/>
  <c r="L90" i="236"/>
  <c r="O90" i="236"/>
  <c r="Q90" i="236"/>
  <c r="S90" i="236"/>
  <c r="I54" i="236"/>
  <c r="I55" i="236"/>
  <c r="S82" i="236"/>
  <c r="W113" i="244" s="1"/>
  <c r="W114" i="244" s="1"/>
  <c r="O82" i="236"/>
  <c r="S113" i="244" s="1"/>
  <c r="S114" i="244" s="1"/>
  <c r="D82" i="236"/>
  <c r="F113" i="244" s="1"/>
  <c r="F114" i="244" s="1"/>
  <c r="E82" i="236"/>
  <c r="G113" i="244" s="1"/>
  <c r="G114" i="244" s="1"/>
  <c r="M74" i="236"/>
  <c r="P82" i="236"/>
  <c r="T113" i="244" s="1"/>
  <c r="T114" i="244" s="1"/>
  <c r="J30" i="236"/>
  <c r="L30" i="236"/>
  <c r="R30" i="236"/>
  <c r="A72" i="236"/>
  <c r="W63" i="236"/>
  <c r="U84" i="234"/>
  <c r="W71" i="236"/>
  <c r="I66" i="236"/>
  <c r="J56" i="236"/>
  <c r="M40" i="236"/>
  <c r="O56" i="236"/>
  <c r="M48" i="236"/>
  <c r="K30" i="236"/>
  <c r="W65" i="236"/>
  <c r="J91" i="236" l="1"/>
  <c r="O91" i="236"/>
  <c r="U76" i="234"/>
  <c r="Y70" i="236" s="1"/>
  <c r="U44" i="234"/>
  <c r="Y66" i="236" s="1"/>
  <c r="K91" i="236"/>
  <c r="U36" i="234"/>
  <c r="Y65" i="236" s="1"/>
  <c r="U12" i="234"/>
  <c r="Y62" i="236" s="1"/>
  <c r="Q91" i="236"/>
  <c r="P91" i="236"/>
  <c r="C91" i="236"/>
  <c r="B91" i="236"/>
  <c r="R91" i="236"/>
  <c r="U68" i="234"/>
  <c r="Y69" i="236" s="1"/>
  <c r="H91" i="236"/>
  <c r="U20" i="234"/>
  <c r="Y63" i="236" s="1"/>
  <c r="Y71" i="236"/>
  <c r="L91" i="236"/>
  <c r="F91" i="236"/>
  <c r="U60" i="234"/>
  <c r="Y68" i="236" s="1"/>
  <c r="U52" i="234"/>
  <c r="Y67" i="236" s="1"/>
  <c r="S91" i="236"/>
  <c r="D91" i="236"/>
  <c r="G91" i="236"/>
  <c r="E91" i="236"/>
  <c r="N91" i="236"/>
  <c r="T40" i="236"/>
  <c r="X72" i="236"/>
  <c r="X73" i="236" s="1"/>
  <c r="Y64" i="236"/>
  <c r="T80" i="236"/>
  <c r="T81" i="236"/>
  <c r="T55" i="236"/>
  <c r="T54" i="236"/>
  <c r="T22" i="236"/>
  <c r="W72" i="236"/>
  <c r="W73" i="236" s="1"/>
  <c r="M56" i="236"/>
  <c r="T48" i="236"/>
  <c r="I90" i="236"/>
  <c r="I30" i="236"/>
  <c r="T74" i="236"/>
  <c r="T66" i="236"/>
  <c r="W92" i="234" s="1"/>
  <c r="M82" i="236"/>
  <c r="P113" i="244" s="1"/>
  <c r="P114" i="244" s="1"/>
  <c r="M30" i="236"/>
  <c r="T14" i="236"/>
  <c r="B26" i="234"/>
  <c r="B50" i="234"/>
  <c r="B74" i="234"/>
  <c r="B42" i="234"/>
  <c r="B82" i="234"/>
  <c r="B90" i="234" s="1"/>
  <c r="B11" i="234"/>
  <c r="B67" i="234" s="1"/>
  <c r="I56" i="236"/>
  <c r="B66" i="234"/>
  <c r="B18" i="234"/>
  <c r="B34" i="234"/>
  <c r="T29" i="236"/>
  <c r="T28" i="236"/>
  <c r="M90" i="236"/>
  <c r="M89" i="236"/>
  <c r="A90" i="236"/>
  <c r="A21" i="236"/>
  <c r="A39" i="236"/>
  <c r="F3" i="241"/>
  <c r="A73" i="236"/>
  <c r="A81" i="236"/>
  <c r="A29" i="236"/>
  <c r="A55" i="236"/>
  <c r="A47" i="236"/>
  <c r="A65" i="236"/>
  <c r="I89" i="236"/>
  <c r="I82" i="236"/>
  <c r="K113" i="244" s="1"/>
  <c r="K114" i="244" s="1"/>
  <c r="T82" i="236" l="1"/>
  <c r="T56" i="236"/>
  <c r="Y72" i="236"/>
  <c r="Y73" i="236" s="1"/>
  <c r="M91" i="236"/>
  <c r="T30" i="236"/>
  <c r="T90" i="236"/>
  <c r="X90" i="236" s="1"/>
  <c r="B51" i="234"/>
  <c r="B27" i="234"/>
  <c r="B43" i="234"/>
  <c r="B59" i="234"/>
  <c r="B19" i="234"/>
  <c r="B35" i="234"/>
  <c r="B83" i="234"/>
  <c r="B91" i="234" s="1"/>
  <c r="B75" i="234"/>
  <c r="T89" i="236"/>
  <c r="X89" i="236" s="1"/>
  <c r="I91" i="236"/>
  <c r="T91" i="236" l="1"/>
  <c r="G1" i="245"/>
  <c r="H1" i="245" s="1"/>
  <c r="Y113" i="244"/>
  <c r="Y114" i="244" s="1"/>
  <c r="G1" i="241"/>
  <c r="H1" i="241" s="1"/>
  <c r="U91" i="234"/>
  <c r="T90" i="234"/>
  <c r="D90" i="234"/>
  <c r="J91" i="234"/>
  <c r="E90" i="234"/>
  <c r="L90" i="234"/>
  <c r="K91" i="234"/>
  <c r="L91" i="234"/>
  <c r="G90" i="234"/>
  <c r="C90" i="234"/>
  <c r="U90" i="234"/>
  <c r="I91" i="234"/>
  <c r="M91" i="234"/>
  <c r="E91" i="234"/>
  <c r="R91" i="234"/>
  <c r="S91" i="234"/>
  <c r="J90" i="234"/>
  <c r="I90" i="234"/>
  <c r="S90" i="234"/>
  <c r="N90" i="234"/>
  <c r="M90" i="234"/>
  <c r="P90" i="234"/>
  <c r="K90" i="234"/>
  <c r="G91" i="234"/>
  <c r="Q91" i="234"/>
  <c r="T91" i="234"/>
  <c r="C91" i="234"/>
  <c r="H91" i="234"/>
  <c r="D91" i="234"/>
  <c r="N91" i="234"/>
  <c r="F91" i="234"/>
  <c r="P91" i="234"/>
  <c r="O91" i="234"/>
  <c r="Q90" i="234"/>
  <c r="R90" i="234"/>
  <c r="H90" i="234"/>
  <c r="F90" i="234"/>
  <c r="O90" i="234"/>
  <c r="C92" i="234" l="1"/>
  <c r="T92" i="234"/>
  <c r="D92" i="234"/>
  <c r="G92" i="234"/>
  <c r="E92" i="234"/>
  <c r="P92" i="234"/>
  <c r="S92" i="234"/>
  <c r="L92" i="234"/>
  <c r="I92" i="234"/>
  <c r="J92" i="234"/>
  <c r="O92" i="234"/>
  <c r="F92" i="234"/>
  <c r="R92" i="234"/>
  <c r="K92" i="234"/>
  <c r="N92" i="234"/>
  <c r="H92" i="234"/>
  <c r="Q92" i="234"/>
  <c r="M92" i="234"/>
  <c r="U92" i="234"/>
  <c r="X92" i="2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</connections>
</file>

<file path=xl/sharedStrings.xml><?xml version="1.0" encoding="utf-8"?>
<sst xmlns="http://schemas.openxmlformats.org/spreadsheetml/2006/main" count="1234" uniqueCount="389">
  <si>
    <t>American Electric Power Service Corporation</t>
  </si>
  <si>
    <t>AEPSC Income Statement</t>
  </si>
  <si>
    <t>EAST</t>
  </si>
  <si>
    <t>WEST</t>
  </si>
  <si>
    <t>NON-REG</t>
  </si>
  <si>
    <t>TRANSCO</t>
  </si>
  <si>
    <t>JV</t>
  </si>
  <si>
    <t>AEPGR</t>
  </si>
  <si>
    <t>AEPSC</t>
  </si>
  <si>
    <t>AEG</t>
  </si>
  <si>
    <t>APCO</t>
  </si>
  <si>
    <t>I&amp;M</t>
  </si>
  <si>
    <t>KENT</t>
  </si>
  <si>
    <t>KINGS</t>
  </si>
  <si>
    <t>OPCO</t>
  </si>
  <si>
    <t>WHEEL</t>
  </si>
  <si>
    <t>TOTAL</t>
  </si>
  <si>
    <t>PSO</t>
  </si>
  <si>
    <t>SWEPCO</t>
  </si>
  <si>
    <t>Variance</t>
  </si>
  <si>
    <t>Total AEPSC Income Statement</t>
  </si>
  <si>
    <t>FERC Account Grouping</t>
  </si>
  <si>
    <t>FERC Account</t>
  </si>
  <si>
    <t>Other Income &amp; Deductions</t>
  </si>
  <si>
    <t>4171 Exps of Non-Utility Oper</t>
  </si>
  <si>
    <t>4210 Misc Non-Operating Income</t>
  </si>
  <si>
    <t>4261 Donations</t>
  </si>
  <si>
    <t>4264 Civic &amp; Political Activities</t>
  </si>
  <si>
    <t>4265 Other Deductions</t>
  </si>
  <si>
    <t>Steam Power Generation Expenses</t>
  </si>
  <si>
    <t>5000 Oper Supv and Eng</t>
  </si>
  <si>
    <t>5010 Fuel</t>
  </si>
  <si>
    <t>5020 Steam Exps</t>
  </si>
  <si>
    <t>5060 Misc Steam Pwr Exps</t>
  </si>
  <si>
    <t>5100 Maint Supv &amp; Eng</t>
  </si>
  <si>
    <t>5110 Maint of Structures</t>
  </si>
  <si>
    <t>5120 Maint of Boiler Plant</t>
  </si>
  <si>
    <t>5130 Maint of Electric Plant</t>
  </si>
  <si>
    <t>5140 Maint of Misc Steam Plt</t>
  </si>
  <si>
    <t>Nuclear Power Generation</t>
  </si>
  <si>
    <t>5170 Oper Supv &amp; Eng</t>
  </si>
  <si>
    <t>5240 Misc Nuclear Power Exps</t>
  </si>
  <si>
    <t>5280 Maint Supv &amp; Eng</t>
  </si>
  <si>
    <t>Hydraulic Power Generation</t>
  </si>
  <si>
    <t>5350 Oper Supv &amp; Eng</t>
  </si>
  <si>
    <t>5370 Hydraulic Expenses</t>
  </si>
  <si>
    <t>5390 Misc Hydr Pwr Gen Exp</t>
  </si>
  <si>
    <t>5410 Maint Supv &amp; Eng</t>
  </si>
  <si>
    <t>5420 Maint of Structures</t>
  </si>
  <si>
    <t>5430 Maint Rsrvoirs,Dams,&amp;Wtrways</t>
  </si>
  <si>
    <t>5440 Maint of Electric Plant</t>
  </si>
  <si>
    <t>5450 Maint of Misc Hydraulic Plant</t>
  </si>
  <si>
    <t>Other Power Generation</t>
  </si>
  <si>
    <t>5470 Fuel Gas Turbine</t>
  </si>
  <si>
    <t>5490 Misc Other Powr Gen Exp</t>
  </si>
  <si>
    <t>5530 Maint of Generating Plant</t>
  </si>
  <si>
    <t>Other Power Supply Exps</t>
  </si>
  <si>
    <t>5560 Sys Control &amp; Load Dispatching</t>
  </si>
  <si>
    <t>5570 Other Expenses</t>
  </si>
  <si>
    <t>Transmission Exps</t>
  </si>
  <si>
    <t>5600 Oper Supv &amp; Eng</t>
  </si>
  <si>
    <t>5612 Load Dispatch-Mntr&amp;Op TransSys</t>
  </si>
  <si>
    <t>5613 Load Dispatch-Trans Srvc&amp;Sched</t>
  </si>
  <si>
    <t>5615 Reliability,Plng&amp;Stds Develop</t>
  </si>
  <si>
    <t>5620 Station Expenses</t>
  </si>
  <si>
    <t>5630 Overhead Line Exps</t>
  </si>
  <si>
    <t>5660 Misc Trans Exps</t>
  </si>
  <si>
    <t>5680 Maint Supv &amp; Eng</t>
  </si>
  <si>
    <t>5690 Maint of Structures</t>
  </si>
  <si>
    <t>5691 Maint of Computer Hardware</t>
  </si>
  <si>
    <t>5692 Maint of Computer Software</t>
  </si>
  <si>
    <t>5700 Maint of Station Equip</t>
  </si>
  <si>
    <t>5710 Maint of Overhead Lines</t>
  </si>
  <si>
    <t>5720 Maint of Underground Lines</t>
  </si>
  <si>
    <t>5730 Maint of Misc Trans Plt</t>
  </si>
  <si>
    <t>Distribution Exps</t>
  </si>
  <si>
    <t>5800 Oper Supv &amp; Eng</t>
  </si>
  <si>
    <t>5820 Station Expenses</t>
  </si>
  <si>
    <t>5830 Overhead Lines Expenses</t>
  </si>
  <si>
    <t>5840 Underground Line Expenses</t>
  </si>
  <si>
    <t>5860 Meter Expenses</t>
  </si>
  <si>
    <t>5880 Misc Distribution Exp</t>
  </si>
  <si>
    <t>5900 Maint Supv &amp; Eng</t>
  </si>
  <si>
    <t>5910 Maint of Structures</t>
  </si>
  <si>
    <t>5920 Maint of Station Equipment</t>
  </si>
  <si>
    <t>5930 Maint of Overhead Lines</t>
  </si>
  <si>
    <t>5940 Maint of Underground Lines</t>
  </si>
  <si>
    <t>5970 Maint of Meters</t>
  </si>
  <si>
    <t>5980 Maint of Misc Distr Plt</t>
  </si>
  <si>
    <t>Customer Accounts Exps</t>
  </si>
  <si>
    <t>9010 Supv - Customer Accts</t>
  </si>
  <si>
    <t>9020 Meter Reading Exps</t>
  </si>
  <si>
    <t>9030 Cust Records &amp; Collection Exp</t>
  </si>
  <si>
    <t>9050 Misc Cust Accts Exp</t>
  </si>
  <si>
    <t>Customer Service &amp; Informational Exps</t>
  </si>
  <si>
    <t>9070 Supv - Customer Service</t>
  </si>
  <si>
    <t>9080 Cust Assistance Exp</t>
  </si>
  <si>
    <t>9100 Misc Cust Svc&amp;Infor Exp</t>
  </si>
  <si>
    <t>Sales Expenses</t>
  </si>
  <si>
    <t>Administrative &amp; General Exps</t>
  </si>
  <si>
    <t>9200 Admin &amp; Gen Salaries</t>
  </si>
  <si>
    <t>9210 Office Supplies &amp; Exps</t>
  </si>
  <si>
    <t>9230 Outside Services Employed</t>
  </si>
  <si>
    <t>9250 Injuries &amp; Damages</t>
  </si>
  <si>
    <t>9260 Employee Pensions &amp; Benefitis</t>
  </si>
  <si>
    <t>9280 Regulatory Commission Exp</t>
  </si>
  <si>
    <t>9301 Gen Advertising Exps</t>
  </si>
  <si>
    <t>9302 Misc General Exps</t>
  </si>
  <si>
    <t>9310 Rents</t>
  </si>
  <si>
    <t>Admin &amp; Gen Maintenance</t>
  </si>
  <si>
    <t>9350 Maint of General Plant</t>
  </si>
  <si>
    <t>American Electric Power Service Corporation
Total Bill Variances - Associated Companies</t>
  </si>
  <si>
    <t>Region</t>
  </si>
  <si>
    <t>Affiliate</t>
  </si>
  <si>
    <t>Affiliate Number and Name</t>
  </si>
  <si>
    <t>Variance %age</t>
  </si>
  <si>
    <t>AEPSC Bill Variance Summary</t>
  </si>
  <si>
    <t>Income Statement</t>
  </si>
  <si>
    <t>Labor Variance (11X, 125, 129, 13X, 190, 1AA, 1AB, U3E)</t>
  </si>
  <si>
    <t>Relocation/Severance Variance (124, 142-144)</t>
  </si>
  <si>
    <t>Outside Services Variance (2xx, 9AA, 9AB)</t>
  </si>
  <si>
    <t>Material &amp; Supplies Variance (3xx)</t>
  </si>
  <si>
    <t>Travel &amp; Emp Exp Variance (4xx, 5xx)</t>
  </si>
  <si>
    <t>Overhead &amp; Shared Services Variance (6xx, 7xx)</t>
  </si>
  <si>
    <t>Other Variance (0xx, 9xx, REV)</t>
  </si>
  <si>
    <t>Monthly Variance Reporting Package</t>
  </si>
  <si>
    <t>Tab 2</t>
  </si>
  <si>
    <t>AEPSC Bill Cost Category Summary - Income Statement</t>
  </si>
  <si>
    <t>Tab 3</t>
  </si>
  <si>
    <t>AEPSC Variance Analysis</t>
  </si>
  <si>
    <t>Word Document</t>
  </si>
  <si>
    <t>Discussion of Major Variances</t>
  </si>
  <si>
    <t>Tab 4</t>
  </si>
  <si>
    <t>Employee Fringe Benefit Loading Rates</t>
  </si>
  <si>
    <t>Tab 5</t>
  </si>
  <si>
    <t>Total Bill Variance</t>
  </si>
  <si>
    <t>Tab 6</t>
  </si>
  <si>
    <t>Income Statement Variance</t>
  </si>
  <si>
    <t>Tab 1</t>
  </si>
  <si>
    <t>Long Term Incentive Variance (145, 153, 154, 157)</t>
  </si>
  <si>
    <t>5670 Rents</t>
  </si>
  <si>
    <t>AEP TEXAS</t>
  </si>
  <si>
    <t>TRANSOURCE</t>
  </si>
  <si>
    <t>ETT</t>
  </si>
  <si>
    <t>Labor Fringe Variance (120, 121, 123, 126, 128, 170)</t>
  </si>
  <si>
    <t>5380 Electric Expenses</t>
  </si>
  <si>
    <t>Annual Incentive Variance (122, 140, 141, 146-152, 155, 158, 161)</t>
  </si>
  <si>
    <t>5614 PJM Adm - SSC &amp; PS-OSS</t>
  </si>
  <si>
    <t>AEPSC Capital</t>
  </si>
  <si>
    <t>AEPSC Bill Entries</t>
  </si>
  <si>
    <t>Manual Entries - Other</t>
  </si>
  <si>
    <t xml:space="preserve">Total AEPSC Capital </t>
  </si>
  <si>
    <t>AEPSC Other Balance Sheet</t>
  </si>
  <si>
    <t>Total AEPSC Other Balance Sheet</t>
  </si>
  <si>
    <t>Month</t>
  </si>
  <si>
    <t>INC (DEC)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</si>
  <si>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</si>
  <si>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</si>
  <si>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</si>
  <si>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</si>
  <si>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</si>
  <si>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</si>
  <si>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</si>
  <si>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</si>
  <si>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</si>
  <si>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</si>
  <si>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</si>
  <si>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</si>
  <si>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Carrying Balance (103-1860071)</t>
  </si>
  <si>
    <t>Employee Fringe Benefit Loading Rate &amp; Carrying Balance</t>
  </si>
  <si>
    <t>Amount</t>
  </si>
  <si>
    <t>Diff vs Tab2</t>
  </si>
  <si>
    <t>No Manual adjustments reflected in these amounts; only items system Billed</t>
  </si>
  <si>
    <t>s/b zero</t>
  </si>
  <si>
    <t>Total Variance Sum:</t>
  </si>
  <si>
    <t>Tab 1:</t>
  </si>
  <si>
    <t>Tab 1: Billed + PreRun Manuals</t>
  </si>
  <si>
    <t>Biiled + Manuals</t>
  </si>
  <si>
    <t>December residual Fringe balance cleared to affiliates (post billing Manual):</t>
  </si>
  <si>
    <t>Labor</t>
  </si>
  <si>
    <t>Annual Incentives</t>
  </si>
  <si>
    <t>Long Term Incentives</t>
  </si>
  <si>
    <t>Fringes</t>
  </si>
  <si>
    <t>Reloc / Severance</t>
  </si>
  <si>
    <t>Outside Services</t>
  </si>
  <si>
    <t>Materials/Supplies</t>
  </si>
  <si>
    <t>Travel Employee Exp</t>
  </si>
  <si>
    <t>Other</t>
  </si>
  <si>
    <t>Overhead &amp; Shared Services</t>
  </si>
  <si>
    <t>Cost Category Summary</t>
  </si>
  <si>
    <t>Tab 2:</t>
  </si>
  <si>
    <t>Total AEPSC Billings</t>
  </si>
  <si>
    <t>5300 Maint of Reactor Plant Equip</t>
  </si>
  <si>
    <t>457xxx</t>
  </si>
  <si>
    <t>Per GL</t>
  </si>
  <si>
    <t>Difference</t>
  </si>
  <si>
    <t>Agrees to 457xxxx</t>
  </si>
  <si>
    <t>American Electric Power Service Corporation
Income Statement Variance Analysis Favorable/(Unfavorable)</t>
  </si>
  <si>
    <t>Billed + Manuals</t>
  </si>
  <si>
    <t>5460 Oper Supv &amp; Eng</t>
  </si>
  <si>
    <t>BUSINESS_UNIT</t>
  </si>
  <si>
    <t>DESCR</t>
  </si>
  <si>
    <t>FISCAL_YEAR</t>
  </si>
  <si>
    <t>ACCOUNT</t>
  </si>
  <si>
    <t>DESCR2</t>
  </si>
  <si>
    <t>SUM(A.POSTED_TOTAL_AMT)</t>
  </si>
  <si>
    <t>103</t>
  </si>
  <si>
    <t>AEP Service Corporation</t>
  </si>
  <si>
    <t>4571001</t>
  </si>
  <si>
    <t>Service Rev - Direct  Affil</t>
  </si>
  <si>
    <t>4572001</t>
  </si>
  <si>
    <t>Service Rev-Indirect Cost-Affi</t>
  </si>
  <si>
    <t>4573001</t>
  </si>
  <si>
    <t>Compensation for Capital-Affil</t>
  </si>
  <si>
    <t>9120 Demonstrating &amp; Selling Exp</t>
  </si>
  <si>
    <t>5500 Rents</t>
  </si>
  <si>
    <t>5480 Generation Exps</t>
  </si>
  <si>
    <t>Other Income &amp; Deductions Total</t>
  </si>
  <si>
    <t>Steam Power Generation Expenses Total</t>
  </si>
  <si>
    <t>Nuclear Power Generation Total</t>
  </si>
  <si>
    <t>Hydraulic Power Generation Total</t>
  </si>
  <si>
    <t>Other Power Generation Total</t>
  </si>
  <si>
    <t>Other Power Supply Exps Total</t>
  </si>
  <si>
    <t>Transmission Exps Total</t>
  </si>
  <si>
    <t>Distribution Exps Total</t>
  </si>
  <si>
    <t>Customer Accounts Exps Total</t>
  </si>
  <si>
    <t>Customer Service &amp; Informational Exps Total</t>
  </si>
  <si>
    <t>Sales Expenses Total</t>
  </si>
  <si>
    <t>Administrative &amp; General Exps Total</t>
  </si>
  <si>
    <t>Admin &amp; Gen Maintenance Total</t>
  </si>
  <si>
    <t>a-East</t>
  </si>
  <si>
    <t>a-AEG</t>
  </si>
  <si>
    <t>153 AEG - Rockport</t>
  </si>
  <si>
    <t>270 AEG Cook Coal Terminal</t>
  </si>
  <si>
    <t>a-AEG Total</t>
  </si>
  <si>
    <t>b-APCO</t>
  </si>
  <si>
    <t>140 Appalachian Power Co - Dist</t>
  </si>
  <si>
    <t>150 Appalachian Power Co - Trans</t>
  </si>
  <si>
    <t>215 Appalachian Power Co - Gen</t>
  </si>
  <si>
    <t>b-APCO Total</t>
  </si>
  <si>
    <t>c-I&amp;M</t>
  </si>
  <si>
    <t>120 Indiana Michigan Pwr Co - Tran</t>
  </si>
  <si>
    <t>132 Indiana Michigan Pwr Co - Gen</t>
  </si>
  <si>
    <t>170 Indiana Michigan Pwr Co - Dist</t>
  </si>
  <si>
    <t>190 Indiana Michigan Pwr Co - Nuc</t>
  </si>
  <si>
    <t>280 Ind Mich River Transp Lakin</t>
  </si>
  <si>
    <t>c-I&amp;M Total</t>
  </si>
  <si>
    <t>d-KENT</t>
  </si>
  <si>
    <t>110 Kentucky Power Co - Dist</t>
  </si>
  <si>
    <t>117 Kentucky Power Co - Gene</t>
  </si>
  <si>
    <t>180 Kentucky Power Co - Trans</t>
  </si>
  <si>
    <t>d-KENT Total</t>
  </si>
  <si>
    <t>e-KINGS</t>
  </si>
  <si>
    <t>230 Kingsport Power Co - Dist</t>
  </si>
  <si>
    <t>260 Kingsport Power Co - Trans</t>
  </si>
  <si>
    <t>e-KINGS Total</t>
  </si>
  <si>
    <t>f-OPCO</t>
  </si>
  <si>
    <t>160 Ohio Power Co - Transmission</t>
  </si>
  <si>
    <t>250 Ohio Power Co - Distribution</t>
  </si>
  <si>
    <t>f-OPCO Total</t>
  </si>
  <si>
    <t>g-WHEEL</t>
  </si>
  <si>
    <t>200 Wheeling Power Co - Trans</t>
  </si>
  <si>
    <t>210 Wheeling Power Co - Dist</t>
  </si>
  <si>
    <t>413 Wheeling Power Co - Generation</t>
  </si>
  <si>
    <t>g-WHEEL Total</t>
  </si>
  <si>
    <t>a-East Total</t>
  </si>
  <si>
    <t>b-West</t>
  </si>
  <si>
    <t>h-PSO</t>
  </si>
  <si>
    <t>114 Public Service Co of OK - Tran</t>
  </si>
  <si>
    <t>167 Public Service Co of Ok - Dist</t>
  </si>
  <si>
    <t>198 Public Service Co of OK - Gen</t>
  </si>
  <si>
    <t>474 Public Service Co of OK- Wind</t>
  </si>
  <si>
    <t>h-PSO Total</t>
  </si>
  <si>
    <t>i-SWEPC</t>
  </si>
  <si>
    <t>159 SWEPCO-Distribution</t>
  </si>
  <si>
    <t>161 SWEPCO-TX-Distribution</t>
  </si>
  <si>
    <t>168 SWEPCO-Generation</t>
  </si>
  <si>
    <t>194 SWEPCO-Transmission</t>
  </si>
  <si>
    <t>i-SWEPC Total</t>
  </si>
  <si>
    <t>j-AEP TEXAS</t>
  </si>
  <si>
    <t>101 AEP Texas Inc.</t>
  </si>
  <si>
    <t>119 AEP Texas North Division -Dist</t>
  </si>
  <si>
    <t>169 AEP Texas Central Division-Tra</t>
  </si>
  <si>
    <t>192 AEP Texas North Division -Tran</t>
  </si>
  <si>
    <t>211 AEP Texas Central Division-Dis</t>
  </si>
  <si>
    <t>j-AEP TEXAS Total</t>
  </si>
  <si>
    <t>b-West Total</t>
  </si>
  <si>
    <t>c-NR</t>
  </si>
  <si>
    <t>k-NR</t>
  </si>
  <si>
    <t>100 American Electric Power Co.</t>
  </si>
  <si>
    <t>102 AEP Energy Supply LLC</t>
  </si>
  <si>
    <t>143 AEP Pro Serv, Inc.</t>
  </si>
  <si>
    <t>154 AEP Credit, Inc</t>
  </si>
  <si>
    <t>171 CSW Energy, Inc.</t>
  </si>
  <si>
    <t>175 AEP Energy Partners, Inc.</t>
  </si>
  <si>
    <t>185 AEP Energy Services, Inc.</t>
  </si>
  <si>
    <t>196 AEP Investments, Inc.</t>
  </si>
  <si>
    <t>204 AEP T&amp;D Services, LLC</t>
  </si>
  <si>
    <t>245 Dolet Hills Lignite Co, LLC</t>
  </si>
  <si>
    <t>303 Snowcap Coal Company, Inc.</t>
  </si>
  <si>
    <t>319 United Sciences Testing, Inc</t>
  </si>
  <si>
    <t>353 AEP Utility Funding LLC</t>
  </si>
  <si>
    <t>364 AEP Nonutility Funding LLC</t>
  </si>
  <si>
    <t>389 Oxbow Lignite Company, LLC</t>
  </si>
  <si>
    <t>397 AEP Retail Energy Partners LLC</t>
  </si>
  <si>
    <t>400 AEP Energy, Inc</t>
  </si>
  <si>
    <t>412 Ohio Franklin Realty, LLC</t>
  </si>
  <si>
    <t>417 Bold Transmission, LLC</t>
  </si>
  <si>
    <t>419 AEP OnSite Partners, LLC</t>
  </si>
  <si>
    <t>422 AEP RENEWABLES, LLC</t>
  </si>
  <si>
    <t>425 Solar LLCs</t>
  </si>
  <si>
    <t>431 Trent Wind Farm LLC</t>
  </si>
  <si>
    <t>432 Desert Sky Wind Farm LLC</t>
  </si>
  <si>
    <t>439 AEP Clean Energy Resources LLC</t>
  </si>
  <si>
    <t>440 AEP Wind Holdings, LLC</t>
  </si>
  <si>
    <t>454 Flat Ridge 3 Wind Energy, LLC</t>
  </si>
  <si>
    <t>471 AEP Ventures, LLC</t>
  </si>
  <si>
    <t>472 Great Bend Solar, LLC</t>
  </si>
  <si>
    <t>k-NR Total</t>
  </si>
  <si>
    <t>c-NR Total</t>
  </si>
  <si>
    <t>d-TRANSCO</t>
  </si>
  <si>
    <t>l-TRANSCO</t>
  </si>
  <si>
    <t>369 AEP Transmission Hldg Co, LLC</t>
  </si>
  <si>
    <t>370 AEP Transmission Company, LLC</t>
  </si>
  <si>
    <t>380 AEP Ohio Trans Co</t>
  </si>
  <si>
    <t>382 AEP Appalachian Trans Co</t>
  </si>
  <si>
    <t>383 AEP West Virginia Trans Co</t>
  </si>
  <si>
    <t>384 AEP Kentucky Trans Co</t>
  </si>
  <si>
    <t>385 AEP Indiana Michigan Trans Co</t>
  </si>
  <si>
    <t>386 AEP Oklahoma Trans Co</t>
  </si>
  <si>
    <t>388 AEP Southwestern Trans Co</t>
  </si>
  <si>
    <t>l-TRANSCO Total</t>
  </si>
  <si>
    <t>d-TRANSCO Total</t>
  </si>
  <si>
    <t>e-JV</t>
  </si>
  <si>
    <t>m-JV</t>
  </si>
  <si>
    <t>376 PATH WV Transmission Co., LLC</t>
  </si>
  <si>
    <t>396 RITELine Indiana, LLC</t>
  </si>
  <si>
    <t>418 Grid Assurance LLC</t>
  </si>
  <si>
    <t>m-JV Total</t>
  </si>
  <si>
    <t>e-JV Total</t>
  </si>
  <si>
    <t>f-AGR</t>
  </si>
  <si>
    <t>n-AGR</t>
  </si>
  <si>
    <t>181 AEP Generation Resources</t>
  </si>
  <si>
    <t>420 Ohio PPA Plants</t>
  </si>
  <si>
    <t>n-AGR Total</t>
  </si>
  <si>
    <t>f-AGR Total</t>
  </si>
  <si>
    <t>h-TRANSOURCE</t>
  </si>
  <si>
    <t>o-TRANSOURCE</t>
  </si>
  <si>
    <t>403 Transource Energy, LLC</t>
  </si>
  <si>
    <t>407 Transource Missouri, LLC</t>
  </si>
  <si>
    <t>415 Transource West Virginia, LLC</t>
  </si>
  <si>
    <t>423 Transource Pennsylvania</t>
  </si>
  <si>
    <t>424 Transource Maryland</t>
  </si>
  <si>
    <t>480 Transource Oklahoma, LLC</t>
  </si>
  <si>
    <t>o-TRANSOURCE Total</t>
  </si>
  <si>
    <t>h-TRANSOURCE Total</t>
  </si>
  <si>
    <t>i-ETT</t>
  </si>
  <si>
    <t>p-ETT</t>
  </si>
  <si>
    <t>374 Electric Transmission TX, LLC</t>
  </si>
  <si>
    <t>p-ETT Total</t>
  </si>
  <si>
    <t>i-ETT Total</t>
  </si>
  <si>
    <t>Grand Total</t>
  </si>
  <si>
    <t>American Electric Power Service Corporation
AEPSC Income Statement</t>
  </si>
  <si>
    <t>482 Harry Allen Solar Energy LLC</t>
  </si>
  <si>
    <t>(Favorable) /</t>
  </si>
  <si>
    <t>Unfavorable</t>
  </si>
  <si>
    <t>Total Bill Variances   ( Favorable ) / UnFavorable</t>
  </si>
  <si>
    <t>( Favorable ) / Unfavorable</t>
  </si>
  <si>
    <t>AEPSC Bill Variance Summary  ( Favorable ) / Unfavorable</t>
  </si>
  <si>
    <t>(a)</t>
  </si>
  <si>
    <t>(a) - overall overbilling of Fringes at June 2022 was ($10M).  In June 2022, ($7M) credit was manually billed to all affiliates 9230003 account to reflect appropriate fringe billings at quarter end.  The remaining ($3M) represents the estimated Capital portion not yet billed back to affiliates</t>
  </si>
  <si>
    <t>490 APCO Renewables</t>
  </si>
  <si>
    <t>5870 Customer Installations Expenses</t>
  </si>
  <si>
    <t>4263 Penalties</t>
  </si>
  <si>
    <t>371 AEP TX North Generation Co,LLC</t>
  </si>
  <si>
    <t>447 Black Oak Wind, LLC</t>
  </si>
  <si>
    <t>5810 Load Dispatching</t>
  </si>
  <si>
    <t>TBD</t>
  </si>
  <si>
    <t>446 Apple Blossom Wind, LLC</t>
  </si>
  <si>
    <t>485 AEP Renewables Development LLC</t>
  </si>
  <si>
    <t>166 AEP Texas North Division - Gen</t>
  </si>
  <si>
    <t>290 Conesville Coal Prep. Co.</t>
  </si>
  <si>
    <t>105 Public Liability</t>
  </si>
  <si>
    <t>5400  Rents</t>
  </si>
  <si>
    <t>466 Apple Blossom Hold Co</t>
  </si>
  <si>
    <t>September 2023</t>
  </si>
  <si>
    <t>305 AEP Kentucky Coal, LLC</t>
  </si>
  <si>
    <t>5960 Maint of Street Lighting</t>
  </si>
  <si>
    <t>9220 Admins Exp Trnsf - 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</si>
</sst>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_(* #,##0_);_(* \(#,##0\);_(* &quot;-&quot;??_);_(@_)"/>
    <numFmt numFmtId="166" formatCode="_(&quot;$&quot;* #,##0_);_(&quot;$&quot;* \(#,##0\);_(&quot;$&quot;* &quot;-&quot;??_);_(@_)"/>
    <numFmt numFmtId="167" formatCode="mmm\-yyyy"/>
    <numFmt numFmtId="168" formatCode="#,##0.00;\(#,##0.00\)"/>
    <numFmt numFmtId="169" formatCode="0.0%"/>
  </numFmts>
  <fonts count="4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8"/>
      <name val="Arial Narrow"/>
      <family val="2"/>
    </font>
    <font>
      <b/>
      <sz val="18"/>
      <color indexed="8"/>
      <name val="Arial Narrow"/>
      <family val="2"/>
    </font>
    <font>
      <b/>
      <sz val="14"/>
      <name val="Arial"/>
      <family val="2"/>
    </font>
    <font>
      <b/>
      <sz val="14"/>
      <color indexed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14"/>
      <name val="Arial"/>
      <family val="2"/>
    </font>
    <font>
      <b/>
      <i/>
      <sz val="14"/>
      <color indexed="8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MS Sans Serif"/>
    </font>
    <font>
      <b/>
      <sz val="10"/>
      <name val="MS Sans Serif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0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4"/>
      <color theme="0"/>
      <name val="Arial"/>
      <family val="2"/>
    </font>
    <font>
      <b/>
      <sz val="10"/>
      <color rgb="FFFFFFFF"/>
      <name val="Arial"/>
      <family val="2"/>
    </font>
    <font>
      <b/>
      <sz val="10"/>
      <color theme="1"/>
      <name val="Arial"/>
      <family val="2"/>
    </font>
    <font>
      <b/>
      <sz val="10"/>
      <color indexed="8"/>
      <name val="Arial"/>
      <family val="2"/>
    </font>
    <font>
      <sz val="11"/>
      <name val="Calibri"/>
      <family val="2"/>
      <scheme val="minor"/>
    </font>
    <font>
      <b/>
      <sz val="10"/>
      <color theme="1"/>
      <name val="MS Sans Serif"/>
    </font>
  </fonts>
  <fills count="20">
    <fill>
      <patternFill patternType="none"/>
    </fill>
    <fill>
      <patternFill patternType="gray125"/>
    </fill>
    <fill>
      <patternFill patternType="mediumGray">
        <fgColor indexed="22"/>
      </patternFill>
    </fill>
    <fill>
      <patternFill patternType="solid">
        <fgColor indexed="65"/>
        <bgColor indexed="9"/>
      </patternFill>
    </fill>
    <fill>
      <patternFill patternType="solid">
        <fgColor indexed="65"/>
        <bgColor indexed="8"/>
      </patternFill>
    </fill>
    <fill>
      <patternFill patternType="solid">
        <fgColor indexed="65"/>
        <bgColor indexed="10"/>
      </patternFill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10"/>
      </patternFill>
    </fill>
    <fill>
      <patternFill patternType="solid">
        <fgColor theme="0" tint="-4.9989318521683403E-2"/>
        <bgColor indexed="8"/>
      </patternFill>
    </fill>
    <fill>
      <patternFill patternType="solid">
        <fgColor theme="0" tint="-4.9989318521683403E-2"/>
        <bgColor indexed="9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8"/>
      </patternFill>
    </fill>
    <fill>
      <patternFill patternType="solid">
        <fgColor theme="1"/>
        <bgColor indexed="8"/>
      </patternFill>
    </fill>
    <fill>
      <patternFill patternType="solid">
        <fgColor rgb="FFFFFFFF"/>
        <bgColor rgb="FFC0C0C0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rgb="FF00008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43F52B"/>
        <bgColor indexed="64"/>
      </patternFill>
    </fill>
    <fill>
      <patternFill patternType="solid">
        <fgColor theme="5" tint="0.79998168889431442"/>
        <bgColor indexed="64"/>
      </patternFill>
    </fill>
  </fills>
  <borders count="5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11"/>
      </top>
      <bottom style="thin">
        <color indexed="1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11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11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11"/>
      </top>
      <bottom/>
      <diagonal/>
    </border>
    <border>
      <left/>
      <right style="medium">
        <color indexed="64"/>
      </right>
      <top style="thin">
        <color indexed="1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11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/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ck">
        <color indexed="64"/>
      </top>
      <bottom style="double">
        <color indexed="64"/>
      </bottom>
      <diagonal/>
    </border>
    <border>
      <left/>
      <right/>
      <top style="medium">
        <color auto="1"/>
      </top>
      <bottom style="double">
        <color auto="1"/>
      </bottom>
      <diagonal/>
    </border>
    <border>
      <left style="thin">
        <color indexed="11"/>
      </left>
      <right style="thin">
        <color indexed="11"/>
      </right>
      <top style="thin">
        <color rgb="FF000000"/>
      </top>
      <bottom/>
      <diagonal/>
    </border>
    <border>
      <left style="thin">
        <color indexed="11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medium">
        <color indexed="64"/>
      </left>
      <right style="medium">
        <color indexed="64"/>
      </right>
      <top/>
      <bottom style="double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/>
      <top style="thin">
        <color indexed="11"/>
      </top>
      <bottom/>
      <diagonal/>
    </border>
  </borders>
  <cellStyleXfs count="18">
    <xf numFmtId="0" fontId="0" fillId="0" borderId="0"/>
    <xf numFmtId="43" fontId="11" fillId="0" borderId="0" applyFont="0" applyFill="0" applyBorder="0" applyAlignment="0" applyProtection="0"/>
    <xf numFmtId="43" fontId="29" fillId="0" borderId="0" applyFont="0" applyFill="0" applyBorder="0" applyAlignment="0" applyProtection="0"/>
    <xf numFmtId="43" fontId="10" fillId="0" borderId="0" applyFont="0" applyFill="0" applyBorder="0" applyAlignment="0" applyProtection="0"/>
    <xf numFmtId="44" fontId="11" fillId="0" borderId="0" applyFont="0" applyFill="0" applyBorder="0" applyAlignment="0" applyProtection="0"/>
    <xf numFmtId="0" fontId="10" fillId="0" borderId="0"/>
    <xf numFmtId="0" fontId="29" fillId="0" borderId="0"/>
    <xf numFmtId="0" fontId="10" fillId="0" borderId="0"/>
    <xf numFmtId="0" fontId="27" fillId="0" borderId="0"/>
    <xf numFmtId="9" fontId="11" fillId="0" borderId="0" applyFont="0" applyFill="0" applyBorder="0" applyAlignment="0" applyProtection="0"/>
    <xf numFmtId="0" fontId="27" fillId="0" borderId="0" applyNumberFormat="0" applyFont="0" applyFill="0" applyBorder="0" applyAlignment="0" applyProtection="0">
      <alignment horizontal="left"/>
    </xf>
    <xf numFmtId="15" fontId="27" fillId="0" borderId="0" applyFont="0" applyFill="0" applyBorder="0" applyAlignment="0" applyProtection="0"/>
    <xf numFmtId="4" fontId="27" fillId="0" borderId="0" applyFont="0" applyFill="0" applyBorder="0" applyAlignment="0" applyProtection="0"/>
    <xf numFmtId="0" fontId="28" fillId="0" borderId="1">
      <alignment horizontal="center"/>
    </xf>
    <xf numFmtId="3" fontId="27" fillId="0" borderId="0" applyFont="0" applyFill="0" applyBorder="0" applyAlignment="0" applyProtection="0"/>
    <xf numFmtId="0" fontId="27" fillId="2" borderId="0" applyNumberFormat="0" applyFont="0" applyBorder="0" applyAlignment="0" applyProtection="0"/>
    <xf numFmtId="44" fontId="10" fillId="0" borderId="0" applyFont="0" applyFill="0" applyBorder="0" applyAlignment="0" applyProtection="0"/>
    <xf numFmtId="0" fontId="10" fillId="0" borderId="0"/>
  </cellStyleXfs>
  <cellXfs count="284">
    <xf numFmtId="0" fontId="10" fillId="0" borderId="0" xfId="0" applyFont="1"/>
    <xf numFmtId="0" fontId="10" fillId="0" borderId="0" xfId="5" applyFont="1"/>
    <xf numFmtId="0" fontId="29" fillId="0" borderId="0" xfId="6"/>
    <xf numFmtId="0" fontId="12" fillId="0" borderId="0" xfId="6" quotePrefix="1" applyFont="1" applyAlignment="1">
      <alignment horizontal="center"/>
    </xf>
    <xf numFmtId="0" fontId="12" fillId="0" borderId="0" xfId="6" applyFont="1"/>
    <xf numFmtId="0" fontId="13" fillId="0" borderId="0" xfId="6" applyFont="1"/>
    <xf numFmtId="0" fontId="13" fillId="0" borderId="0" xfId="5" applyFont="1"/>
    <xf numFmtId="0" fontId="0" fillId="0" borderId="0" xfId="0" applyNumberFormat="1" applyFont="1" applyFill="1" applyBorder="1" applyAlignment="1"/>
    <xf numFmtId="0" fontId="18" fillId="3" borderId="0" xfId="0" applyNumberFormat="1" applyFont="1" applyFill="1" applyBorder="1" applyAlignment="1">
      <alignment horizontal="center" vertical="center"/>
    </xf>
    <xf numFmtId="0" fontId="18" fillId="4" borderId="0" xfId="0" applyNumberFormat="1" applyFont="1" applyFill="1" applyBorder="1" applyAlignment="1">
      <alignment horizontal="center" vertical="center"/>
    </xf>
    <xf numFmtId="164" fontId="19" fillId="4" borderId="0" xfId="0" applyNumberFormat="1" applyFont="1" applyFill="1" applyBorder="1" applyAlignment="1">
      <alignment horizontal="right" vertical="center"/>
    </xf>
    <xf numFmtId="164" fontId="18" fillId="5" borderId="2" xfId="0" applyNumberFormat="1" applyFont="1" applyFill="1" applyBorder="1" applyAlignment="1">
      <alignment horizontal="right" vertical="center"/>
    </xf>
    <xf numFmtId="0" fontId="18" fillId="4" borderId="2" xfId="0" applyNumberFormat="1" applyFont="1" applyFill="1" applyBorder="1" applyAlignment="1">
      <alignment horizontal="center" vertical="center"/>
    </xf>
    <xf numFmtId="0" fontId="17" fillId="4" borderId="0" xfId="0" applyNumberFormat="1" applyFont="1" applyFill="1" applyBorder="1" applyAlignment="1">
      <alignment vertical="center"/>
    </xf>
    <xf numFmtId="0" fontId="10" fillId="0" borderId="0" xfId="7" applyFont="1"/>
    <xf numFmtId="0" fontId="29" fillId="0" borderId="3" xfId="6" applyBorder="1"/>
    <xf numFmtId="0" fontId="29" fillId="0" borderId="3" xfId="6" applyBorder="1" applyAlignment="1">
      <alignment horizontal="center" vertical="center"/>
    </xf>
    <xf numFmtId="0" fontId="29" fillId="0" borderId="3" xfId="6" applyBorder="1" applyAlignment="1">
      <alignment horizontal="center"/>
    </xf>
    <xf numFmtId="10" fontId="29" fillId="0" borderId="0" xfId="6" applyNumberFormat="1"/>
    <xf numFmtId="0" fontId="16" fillId="4" borderId="0" xfId="0" applyNumberFormat="1" applyFont="1" applyFill="1" applyBorder="1" applyAlignment="1">
      <alignment vertical="center"/>
    </xf>
    <xf numFmtId="164" fontId="19" fillId="4" borderId="0" xfId="0" applyNumberFormat="1" applyFont="1" applyFill="1" applyBorder="1" applyAlignment="1">
      <alignment vertical="center"/>
    </xf>
    <xf numFmtId="164" fontId="18" fillId="5" borderId="0" xfId="0" applyNumberFormat="1" applyFont="1" applyFill="1" applyBorder="1" applyAlignment="1">
      <alignment vertical="center"/>
    </xf>
    <xf numFmtId="0" fontId="15" fillId="6" borderId="0" xfId="5" applyNumberFormat="1" applyFont="1" applyFill="1" applyBorder="1" applyAlignment="1">
      <alignment vertical="center"/>
    </xf>
    <xf numFmtId="0" fontId="10" fillId="0" borderId="0" xfId="5" applyNumberFormat="1" applyFont="1" applyFill="1" applyBorder="1" applyAlignment="1"/>
    <xf numFmtId="0" fontId="10" fillId="0" borderId="0" xfId="5" applyFont="1" applyAlignment="1"/>
    <xf numFmtId="0" fontId="10" fillId="0" borderId="5" xfId="5" applyNumberFormat="1" applyFont="1" applyFill="1" applyBorder="1" applyAlignment="1"/>
    <xf numFmtId="0" fontId="18" fillId="0" borderId="0" xfId="5" applyNumberFormat="1" applyFont="1" applyFill="1" applyBorder="1" applyAlignment="1">
      <alignment horizontal="center" vertical="center"/>
    </xf>
    <xf numFmtId="0" fontId="22" fillId="3" borderId="0" xfId="5" applyNumberFormat="1" applyFont="1" applyFill="1" applyBorder="1" applyAlignment="1">
      <alignment horizontal="center" vertical="center"/>
    </xf>
    <xf numFmtId="0" fontId="18" fillId="3" borderId="0" xfId="5" applyNumberFormat="1" applyFont="1" applyFill="1" applyBorder="1" applyAlignment="1">
      <alignment horizontal="center" vertical="center"/>
    </xf>
    <xf numFmtId="0" fontId="22" fillId="5" borderId="6" xfId="5" applyNumberFormat="1" applyFont="1" applyFill="1" applyBorder="1" applyAlignment="1">
      <alignment horizontal="center" vertical="center"/>
    </xf>
    <xf numFmtId="0" fontId="18" fillId="5" borderId="0" xfId="5" applyNumberFormat="1" applyFont="1" applyFill="1" applyBorder="1" applyAlignment="1">
      <alignment horizontal="center" vertical="center"/>
    </xf>
    <xf numFmtId="0" fontId="18" fillId="4" borderId="6" xfId="5" applyNumberFormat="1" applyFont="1" applyFill="1" applyBorder="1" applyAlignment="1">
      <alignment horizontal="center" vertical="center"/>
    </xf>
    <xf numFmtId="0" fontId="18" fillId="5" borderId="6" xfId="5" applyNumberFormat="1" applyFont="1" applyFill="1" applyBorder="1" applyAlignment="1">
      <alignment horizontal="center" vertical="center"/>
    </xf>
    <xf numFmtId="164" fontId="18" fillId="7" borderId="6" xfId="5" applyNumberFormat="1" applyFont="1" applyFill="1" applyBorder="1" applyAlignment="1">
      <alignment horizontal="right" vertical="center"/>
    </xf>
    <xf numFmtId="0" fontId="18" fillId="5" borderId="2" xfId="5" applyNumberFormat="1" applyFont="1" applyFill="1" applyBorder="1" applyAlignment="1">
      <alignment horizontal="center" vertical="center"/>
    </xf>
    <xf numFmtId="164" fontId="18" fillId="5" borderId="2" xfId="5" applyNumberFormat="1" applyFont="1" applyFill="1" applyBorder="1" applyAlignment="1">
      <alignment horizontal="right" vertical="center"/>
    </xf>
    <xf numFmtId="164" fontId="18" fillId="7" borderId="7" xfId="5" applyNumberFormat="1" applyFont="1" applyFill="1" applyBorder="1" applyAlignment="1">
      <alignment horizontal="right" vertical="center"/>
    </xf>
    <xf numFmtId="164" fontId="18" fillId="8" borderId="7" xfId="5" applyNumberFormat="1" applyFont="1" applyFill="1" applyBorder="1" applyAlignment="1">
      <alignment horizontal="right" vertical="center"/>
    </xf>
    <xf numFmtId="0" fontId="10" fillId="0" borderId="6" xfId="5" applyFont="1" applyBorder="1" applyAlignment="1"/>
    <xf numFmtId="0" fontId="10" fillId="0" borderId="6" xfId="5" applyNumberFormat="1" applyFont="1" applyFill="1" applyBorder="1" applyAlignment="1"/>
    <xf numFmtId="0" fontId="20" fillId="6" borderId="0" xfId="5" applyNumberFormat="1" applyFont="1" applyFill="1" applyBorder="1" applyAlignment="1">
      <alignment horizontal="left" vertical="center"/>
    </xf>
    <xf numFmtId="0" fontId="21" fillId="6" borderId="0" xfId="5" applyNumberFormat="1" applyFont="1" applyFill="1" applyBorder="1" applyAlignment="1">
      <alignment vertical="center"/>
    </xf>
    <xf numFmtId="0" fontId="10" fillId="0" borderId="8" xfId="5" applyFont="1" applyBorder="1"/>
    <xf numFmtId="0" fontId="18" fillId="4" borderId="6" xfId="0" applyNumberFormat="1" applyFont="1" applyFill="1" applyBorder="1" applyAlignment="1">
      <alignment horizontal="center" vertical="center"/>
    </xf>
    <xf numFmtId="164" fontId="18" fillId="5" borderId="6" xfId="0" applyNumberFormat="1" applyFont="1" applyFill="1" applyBorder="1" applyAlignment="1">
      <alignment horizontal="right" vertical="center"/>
    </xf>
    <xf numFmtId="164" fontId="18" fillId="5" borderId="7" xfId="0" applyNumberFormat="1" applyFont="1" applyFill="1" applyBorder="1" applyAlignment="1">
      <alignment horizontal="right" vertical="center"/>
    </xf>
    <xf numFmtId="0" fontId="10" fillId="0" borderId="6" xfId="0" applyFont="1" applyBorder="1"/>
    <xf numFmtId="0" fontId="0" fillId="0" borderId="6" xfId="0" applyNumberFormat="1" applyFont="1" applyFill="1" applyBorder="1" applyAlignment="1"/>
    <xf numFmtId="0" fontId="10" fillId="0" borderId="8" xfId="0" applyFont="1" applyBorder="1"/>
    <xf numFmtId="164" fontId="18" fillId="5" borderId="6" xfId="0" applyNumberFormat="1" applyFont="1" applyFill="1" applyBorder="1" applyAlignment="1">
      <alignment vertical="center"/>
    </xf>
    <xf numFmtId="164" fontId="18" fillId="5" borderId="7" xfId="0" applyNumberFormat="1" applyFont="1" applyFill="1" applyBorder="1" applyAlignment="1">
      <alignment vertical="center"/>
    </xf>
    <xf numFmtId="0" fontId="22" fillId="4" borderId="6" xfId="0" applyNumberFormat="1" applyFont="1" applyFill="1" applyBorder="1" applyAlignment="1">
      <alignment horizontal="center" vertical="center"/>
    </xf>
    <xf numFmtId="0" fontId="22" fillId="3" borderId="0" xfId="0" applyNumberFormat="1" applyFont="1" applyFill="1" applyBorder="1" applyAlignment="1">
      <alignment horizontal="center" vertical="center"/>
    </xf>
    <xf numFmtId="9" fontId="10" fillId="0" borderId="0" xfId="9" applyFont="1"/>
    <xf numFmtId="9" fontId="10" fillId="0" borderId="0" xfId="0" applyNumberFormat="1" applyFont="1"/>
    <xf numFmtId="164" fontId="10" fillId="0" borderId="0" xfId="5" applyNumberFormat="1" applyFont="1" applyFill="1" applyBorder="1" applyAlignment="1"/>
    <xf numFmtId="0" fontId="22" fillId="4" borderId="5" xfId="0" applyNumberFormat="1" applyFont="1" applyFill="1" applyBorder="1" applyAlignment="1">
      <alignment horizontal="center" vertical="center"/>
    </xf>
    <xf numFmtId="164" fontId="10" fillId="0" borderId="0" xfId="5" applyNumberFormat="1" applyFont="1"/>
    <xf numFmtId="0" fontId="18" fillId="0" borderId="0" xfId="5" applyFont="1" applyAlignment="1">
      <alignment horizontal="center"/>
    </xf>
    <xf numFmtId="164" fontId="10" fillId="4" borderId="0" xfId="0" applyNumberFormat="1" applyFont="1" applyFill="1" applyBorder="1" applyAlignment="1">
      <alignment horizontal="right" vertical="center"/>
    </xf>
    <xf numFmtId="164" fontId="10" fillId="4" borderId="0" xfId="0" applyNumberFormat="1" applyFont="1" applyFill="1" applyBorder="1" applyAlignment="1">
      <alignment vertical="center"/>
    </xf>
    <xf numFmtId="0" fontId="18" fillId="3" borderId="0" xfId="0" quotePrefix="1" applyNumberFormat="1" applyFont="1" applyFill="1" applyBorder="1" applyAlignment="1">
      <alignment horizontal="center" vertical="center"/>
    </xf>
    <xf numFmtId="43" fontId="10" fillId="0" borderId="0" xfId="1" applyFont="1"/>
    <xf numFmtId="0" fontId="31" fillId="4" borderId="0" xfId="0" quotePrefix="1" applyNumberFormat="1" applyFont="1" applyFill="1" applyBorder="1" applyAlignment="1">
      <alignment horizontal="left" vertical="center"/>
    </xf>
    <xf numFmtId="164" fontId="18" fillId="5" borderId="0" xfId="0" applyNumberFormat="1" applyFont="1" applyFill="1" applyBorder="1" applyAlignment="1">
      <alignment horizontal="right" vertical="center"/>
    </xf>
    <xf numFmtId="0" fontId="31" fillId="4" borderId="0" xfId="0" applyNumberFormat="1" applyFont="1" applyFill="1" applyBorder="1" applyAlignment="1">
      <alignment horizontal="left" vertical="center"/>
    </xf>
    <xf numFmtId="167" fontId="18" fillId="3" borderId="0" xfId="5" applyNumberFormat="1" applyFont="1" applyFill="1" applyBorder="1" applyAlignment="1">
      <alignment horizontal="center" vertical="center"/>
    </xf>
    <xf numFmtId="164" fontId="23" fillId="4" borderId="0" xfId="0" applyNumberFormat="1" applyFont="1" applyFill="1" applyBorder="1" applyAlignment="1">
      <alignment vertical="center"/>
    </xf>
    <xf numFmtId="164" fontId="24" fillId="5" borderId="0" xfId="0" applyNumberFormat="1" applyFont="1" applyFill="1" applyBorder="1" applyAlignment="1">
      <alignment vertical="center"/>
    </xf>
    <xf numFmtId="165" fontId="0" fillId="0" borderId="0" xfId="1" applyNumberFormat="1" applyFont="1" applyFill="1" applyBorder="1" applyAlignment="1"/>
    <xf numFmtId="165" fontId="10" fillId="0" borderId="0" xfId="1" applyNumberFormat="1" applyFont="1"/>
    <xf numFmtId="165" fontId="18" fillId="4" borderId="5" xfId="1" applyNumberFormat="1" applyFont="1" applyFill="1" applyBorder="1" applyAlignment="1">
      <alignment horizontal="center" vertical="center"/>
    </xf>
    <xf numFmtId="165" fontId="18" fillId="4" borderId="6" xfId="1" applyNumberFormat="1" applyFont="1" applyFill="1" applyBorder="1" applyAlignment="1">
      <alignment horizontal="center" vertical="center"/>
    </xf>
    <xf numFmtId="165" fontId="18" fillId="5" borderId="6" xfId="1" applyNumberFormat="1" applyFont="1" applyFill="1" applyBorder="1" applyAlignment="1">
      <alignment vertical="center"/>
    </xf>
    <xf numFmtId="165" fontId="18" fillId="4" borderId="7" xfId="1" applyNumberFormat="1" applyFont="1" applyFill="1" applyBorder="1" applyAlignment="1">
      <alignment vertical="center"/>
    </xf>
    <xf numFmtId="165" fontId="10" fillId="0" borderId="6" xfId="1" applyNumberFormat="1" applyFont="1" applyBorder="1"/>
    <xf numFmtId="165" fontId="0" fillId="0" borderId="6" xfId="1" applyNumberFormat="1" applyFont="1" applyFill="1" applyBorder="1" applyAlignment="1"/>
    <xf numFmtId="165" fontId="10" fillId="0" borderId="8" xfId="1" applyNumberFormat="1" applyFont="1" applyBorder="1"/>
    <xf numFmtId="164" fontId="23" fillId="4" borderId="0" xfId="0" applyNumberFormat="1" applyFont="1" applyFill="1" applyBorder="1" applyAlignment="1">
      <alignment horizontal="right" vertical="center"/>
    </xf>
    <xf numFmtId="164" fontId="10" fillId="4" borderId="0" xfId="5" applyNumberFormat="1" applyFont="1" applyFill="1" applyBorder="1" applyAlignment="1">
      <alignment vertical="center"/>
    </xf>
    <xf numFmtId="164" fontId="18" fillId="7" borderId="6" xfId="5" applyNumberFormat="1" applyFont="1" applyFill="1" applyBorder="1" applyAlignment="1">
      <alignment vertical="center"/>
    </xf>
    <xf numFmtId="164" fontId="18" fillId="5" borderId="0" xfId="5" applyNumberFormat="1" applyFont="1" applyFill="1" applyBorder="1" applyAlignment="1">
      <alignment vertical="center"/>
    </xf>
    <xf numFmtId="164" fontId="18" fillId="5" borderId="2" xfId="5" applyNumberFormat="1" applyFont="1" applyFill="1" applyBorder="1" applyAlignment="1">
      <alignment vertical="center"/>
    </xf>
    <xf numFmtId="164" fontId="18" fillId="7" borderId="7" xfId="5" applyNumberFormat="1" applyFont="1" applyFill="1" applyBorder="1" applyAlignment="1">
      <alignment vertical="center"/>
    </xf>
    <xf numFmtId="164" fontId="18" fillId="8" borderId="7" xfId="5" applyNumberFormat="1" applyFont="1" applyFill="1" applyBorder="1" applyAlignment="1">
      <alignment vertical="center"/>
    </xf>
    <xf numFmtId="164" fontId="24" fillId="5" borderId="0" xfId="0" applyNumberFormat="1" applyFont="1" applyFill="1" applyBorder="1" applyAlignment="1">
      <alignment horizontal="right" vertical="center"/>
    </xf>
    <xf numFmtId="164" fontId="18" fillId="4" borderId="0" xfId="5" applyNumberFormat="1" applyFont="1" applyFill="1" applyBorder="1" applyAlignment="1">
      <alignment vertical="center"/>
    </xf>
    <xf numFmtId="164" fontId="25" fillId="4" borderId="0" xfId="0" applyNumberFormat="1" applyFont="1" applyFill="1" applyBorder="1" applyAlignment="1">
      <alignment vertical="center"/>
    </xf>
    <xf numFmtId="164" fontId="26" fillId="5" borderId="0" xfId="0" applyNumberFormat="1" applyFont="1" applyFill="1" applyBorder="1" applyAlignment="1">
      <alignment vertical="center"/>
    </xf>
    <xf numFmtId="0" fontId="10" fillId="0" borderId="0" xfId="7" applyFont="1" applyAlignment="1">
      <alignment vertical="top"/>
    </xf>
    <xf numFmtId="166" fontId="10" fillId="0" borderId="0" xfId="4" applyNumberFormat="1" applyFont="1"/>
    <xf numFmtId="0" fontId="18" fillId="9" borderId="0" xfId="0" quotePrefix="1" applyNumberFormat="1" applyFont="1" applyFill="1" applyBorder="1" applyAlignment="1">
      <alignment horizontal="center" vertical="center"/>
    </xf>
    <xf numFmtId="164" fontId="19" fillId="8" borderId="0" xfId="0" applyNumberFormat="1" applyFont="1" applyFill="1" applyBorder="1" applyAlignment="1">
      <alignment horizontal="right" vertical="center"/>
    </xf>
    <xf numFmtId="164" fontId="19" fillId="8" borderId="0" xfId="0" applyNumberFormat="1" applyFont="1" applyFill="1" applyBorder="1" applyAlignment="1">
      <alignment vertical="center"/>
    </xf>
    <xf numFmtId="164" fontId="18" fillId="7" borderId="6" xfId="0" applyNumberFormat="1" applyFont="1" applyFill="1" applyBorder="1" applyAlignment="1">
      <alignment horizontal="right" vertical="center"/>
    </xf>
    <xf numFmtId="164" fontId="18" fillId="7" borderId="6" xfId="0" applyNumberFormat="1" applyFont="1" applyFill="1" applyBorder="1" applyAlignment="1">
      <alignment vertical="center"/>
    </xf>
    <xf numFmtId="164" fontId="18" fillId="7" borderId="0" xfId="0" applyNumberFormat="1" applyFont="1" applyFill="1" applyBorder="1" applyAlignment="1">
      <alignment vertical="center"/>
    </xf>
    <xf numFmtId="165" fontId="18" fillId="7" borderId="6" xfId="1" applyNumberFormat="1" applyFont="1" applyFill="1" applyBorder="1" applyAlignment="1">
      <alignment vertical="center"/>
    </xf>
    <xf numFmtId="165" fontId="18" fillId="0" borderId="0" xfId="0" applyNumberFormat="1" applyFont="1"/>
    <xf numFmtId="0" fontId="22" fillId="0" borderId="0" xfId="0" applyFont="1" applyAlignment="1">
      <alignment horizontal="center"/>
    </xf>
    <xf numFmtId="0" fontId="32" fillId="0" borderId="0" xfId="0" applyNumberFormat="1" applyFont="1" applyFill="1" applyBorder="1" applyAlignment="1"/>
    <xf numFmtId="0" fontId="33" fillId="0" borderId="0" xfId="5" applyNumberFormat="1" applyFont="1" applyFill="1" applyBorder="1" applyAlignment="1"/>
    <xf numFmtId="0" fontId="18" fillId="0" borderId="0" xfId="5" applyFont="1" applyAlignment="1">
      <alignment horizontal="right"/>
    </xf>
    <xf numFmtId="165" fontId="18" fillId="0" borderId="0" xfId="1" applyNumberFormat="1" applyFont="1" applyFill="1" applyBorder="1" applyAlignment="1">
      <alignment horizontal="center" vertical="center"/>
    </xf>
    <xf numFmtId="165" fontId="10" fillId="10" borderId="0" xfId="5" applyNumberFormat="1" applyFont="1" applyFill="1" applyBorder="1" applyAlignment="1">
      <alignment horizontal="center" vertical="center"/>
    </xf>
    <xf numFmtId="0" fontId="18" fillId="4" borderId="9" xfId="0" applyNumberFormat="1" applyFont="1" applyFill="1" applyBorder="1" applyAlignment="1">
      <alignment horizontal="center" vertical="center" wrapText="1"/>
    </xf>
    <xf numFmtId="0" fontId="18" fillId="0" borderId="0" xfId="0" applyFont="1"/>
    <xf numFmtId="164" fontId="18" fillId="4" borderId="0" xfId="0" applyNumberFormat="1" applyFont="1" applyFill="1" applyBorder="1" applyAlignment="1">
      <alignment vertical="center"/>
    </xf>
    <xf numFmtId="0" fontId="10" fillId="11" borderId="0" xfId="5" applyFont="1" applyFill="1" applyAlignment="1"/>
    <xf numFmtId="164" fontId="18" fillId="8" borderId="0" xfId="5" applyNumberFormat="1" applyFont="1" applyFill="1" applyBorder="1" applyAlignment="1">
      <alignment vertical="center"/>
    </xf>
    <xf numFmtId="0" fontId="10" fillId="11" borderId="0" xfId="5" applyNumberFormat="1" applyFont="1" applyFill="1" applyBorder="1" applyAlignment="1"/>
    <xf numFmtId="0" fontId="18" fillId="4" borderId="5" xfId="5" applyNumberFormat="1" applyFont="1" applyFill="1" applyBorder="1" applyAlignment="1">
      <alignment horizontal="center" vertical="center"/>
    </xf>
    <xf numFmtId="0" fontId="18" fillId="4" borderId="8" xfId="5" applyNumberFormat="1" applyFont="1" applyFill="1" applyBorder="1" applyAlignment="1">
      <alignment horizontal="center" vertical="center"/>
    </xf>
    <xf numFmtId="0" fontId="10" fillId="11" borderId="10" xfId="5" applyFont="1" applyFill="1" applyBorder="1" applyAlignment="1"/>
    <xf numFmtId="164" fontId="18" fillId="8" borderId="10" xfId="5" applyNumberFormat="1" applyFont="1" applyFill="1" applyBorder="1" applyAlignment="1">
      <alignment vertical="center"/>
    </xf>
    <xf numFmtId="0" fontId="18" fillId="0" borderId="0" xfId="5" applyFont="1" applyAlignment="1">
      <alignment horizontal="center" wrapText="1"/>
    </xf>
    <xf numFmtId="0" fontId="18" fillId="0" borderId="11" xfId="5" applyFont="1" applyBorder="1" applyAlignment="1"/>
    <xf numFmtId="0" fontId="18" fillId="11" borderId="0" xfId="5" applyFont="1" applyFill="1" applyAlignment="1"/>
    <xf numFmtId="164" fontId="18" fillId="12" borderId="12" xfId="5" applyNumberFormat="1" applyFont="1" applyFill="1" applyBorder="1" applyAlignment="1">
      <alignment vertical="center"/>
    </xf>
    <xf numFmtId="0" fontId="18" fillId="0" borderId="13" xfId="5" applyFont="1" applyBorder="1" applyAlignment="1"/>
    <xf numFmtId="43" fontId="10" fillId="0" borderId="0" xfId="1" applyFont="1" applyFill="1" applyBorder="1" applyAlignment="1"/>
    <xf numFmtId="0" fontId="31" fillId="4" borderId="17" xfId="0" applyNumberFormat="1" applyFont="1" applyFill="1" applyBorder="1" applyAlignment="1">
      <alignment vertical="top"/>
    </xf>
    <xf numFmtId="0" fontId="31" fillId="4" borderId="18" xfId="0" applyNumberFormat="1" applyFont="1" applyFill="1" applyBorder="1" applyAlignment="1">
      <alignment vertical="top"/>
    </xf>
    <xf numFmtId="0" fontId="30" fillId="0" borderId="0" xfId="6" applyFont="1"/>
    <xf numFmtId="49" fontId="30" fillId="0" borderId="0" xfId="6" applyNumberFormat="1" applyFont="1"/>
    <xf numFmtId="165" fontId="31" fillId="0" borderId="0" xfId="1" applyNumberFormat="1" applyFont="1"/>
    <xf numFmtId="165" fontId="32" fillId="0" borderId="0" xfId="1" applyNumberFormat="1" applyFont="1"/>
    <xf numFmtId="165" fontId="32" fillId="0" borderId="6" xfId="1" applyNumberFormat="1" applyFont="1" applyBorder="1"/>
    <xf numFmtId="0" fontId="22" fillId="5" borderId="5" xfId="5" applyNumberFormat="1" applyFont="1" applyFill="1" applyBorder="1" applyAlignment="1">
      <alignment horizontal="center" vertical="center"/>
    </xf>
    <xf numFmtId="164" fontId="18" fillId="7" borderId="23" xfId="5" applyNumberFormat="1" applyFont="1" applyFill="1" applyBorder="1" applyAlignment="1">
      <alignment vertical="center"/>
    </xf>
    <xf numFmtId="0" fontId="32" fillId="0" borderId="0" xfId="5" applyFont="1" applyAlignment="1"/>
    <xf numFmtId="0" fontId="10" fillId="0" borderId="0" xfId="0" applyFont="1" applyFill="1" applyBorder="1"/>
    <xf numFmtId="164" fontId="10" fillId="0" borderId="0" xfId="5" applyNumberFormat="1" applyFont="1" applyAlignment="1"/>
    <xf numFmtId="164" fontId="18" fillId="5" borderId="0" xfId="5" applyNumberFormat="1" applyFont="1" applyFill="1" applyBorder="1" applyAlignment="1">
      <alignment horizontal="center" vertical="center"/>
    </xf>
    <xf numFmtId="0" fontId="32" fillId="0" borderId="0" xfId="5" applyNumberFormat="1" applyFont="1" applyFill="1" applyBorder="1" applyAlignment="1"/>
    <xf numFmtId="43" fontId="10" fillId="0" borderId="0" xfId="2" applyFont="1" applyFill="1" applyBorder="1" applyAlignment="1"/>
    <xf numFmtId="0" fontId="18" fillId="0" borderId="0" xfId="7" applyFont="1" applyAlignment="1">
      <alignment vertical="top"/>
    </xf>
    <xf numFmtId="38" fontId="0" fillId="0" borderId="25" xfId="0" applyNumberFormat="1" applyBorder="1"/>
    <xf numFmtId="38" fontId="0" fillId="0" borderId="0" xfId="0" applyNumberFormat="1" applyBorder="1"/>
    <xf numFmtId="38" fontId="0" fillId="0" borderId="13" xfId="0" applyNumberFormat="1" applyBorder="1"/>
    <xf numFmtId="43" fontId="10" fillId="0" borderId="0" xfId="3" applyFont="1"/>
    <xf numFmtId="164" fontId="23" fillId="0" borderId="0" xfId="0" applyNumberFormat="1" applyFont="1" applyFill="1" applyBorder="1" applyAlignment="1">
      <alignment vertical="center"/>
    </xf>
    <xf numFmtId="164" fontId="10" fillId="0" borderId="0" xfId="0" applyNumberFormat="1" applyFont="1" applyFill="1" applyBorder="1" applyAlignment="1">
      <alignment vertical="center"/>
    </xf>
    <xf numFmtId="164" fontId="25" fillId="0" borderId="0" xfId="0" applyNumberFormat="1" applyFont="1" applyFill="1" applyBorder="1" applyAlignment="1">
      <alignment vertical="center"/>
    </xf>
    <xf numFmtId="164" fontId="18" fillId="0" borderId="0" xfId="0" applyNumberFormat="1" applyFont="1" applyFill="1" applyBorder="1" applyAlignment="1">
      <alignment vertical="center"/>
    </xf>
    <xf numFmtId="0" fontId="10" fillId="0" borderId="0" xfId="5" applyFont="1" applyAlignment="1">
      <alignment horizontal="center"/>
    </xf>
    <xf numFmtId="0" fontId="22" fillId="0" borderId="0" xfId="5" applyFont="1" applyAlignment="1">
      <alignment horizontal="center"/>
    </xf>
    <xf numFmtId="168" fontId="10" fillId="0" borderId="0" xfId="5" applyNumberFormat="1" applyFont="1"/>
    <xf numFmtId="0" fontId="32" fillId="0" borderId="0" xfId="0" applyFont="1"/>
    <xf numFmtId="0" fontId="31" fillId="4" borderId="0" xfId="0" applyNumberFormat="1" applyFont="1" applyFill="1" applyBorder="1" applyAlignment="1">
      <alignment vertical="top"/>
    </xf>
    <xf numFmtId="0" fontId="32" fillId="0" borderId="6" xfId="5" applyFont="1" applyBorder="1" applyAlignment="1"/>
    <xf numFmtId="0" fontId="10" fillId="0" borderId="0" xfId="0" applyFont="1" applyAlignment="1">
      <alignment horizontal="right"/>
    </xf>
    <xf numFmtId="165" fontId="18" fillId="0" borderId="3" xfId="3" applyNumberFormat="1" applyFont="1" applyBorder="1"/>
    <xf numFmtId="165" fontId="10" fillId="15" borderId="0" xfId="1" applyNumberFormat="1" applyFont="1" applyFill="1"/>
    <xf numFmtId="164" fontId="18" fillId="0" borderId="7" xfId="5" applyNumberFormat="1" applyFont="1" applyFill="1" applyBorder="1" applyAlignment="1">
      <alignment horizontal="right" vertical="center"/>
    </xf>
    <xf numFmtId="164" fontId="10" fillId="0" borderId="0" xfId="0" applyNumberFormat="1" applyFont="1"/>
    <xf numFmtId="165" fontId="31" fillId="4" borderId="17" xfId="1" applyNumberFormat="1" applyFont="1" applyFill="1" applyBorder="1" applyAlignment="1">
      <alignment vertical="top"/>
    </xf>
    <xf numFmtId="165" fontId="31" fillId="4" borderId="18" xfId="1" applyNumberFormat="1" applyFont="1" applyFill="1" applyBorder="1" applyAlignment="1">
      <alignment vertical="top"/>
    </xf>
    <xf numFmtId="0" fontId="31" fillId="0" borderId="0" xfId="0" applyFont="1"/>
    <xf numFmtId="165" fontId="31" fillId="0" borderId="6" xfId="1" applyNumberFormat="1" applyFont="1" applyBorder="1"/>
    <xf numFmtId="0" fontId="35" fillId="16" borderId="0" xfId="0" applyNumberFormat="1" applyFont="1" applyFill="1" applyBorder="1" applyAlignment="1">
      <alignment horizontal="left" vertical="center"/>
    </xf>
    <xf numFmtId="0" fontId="35" fillId="0" borderId="0" xfId="0" applyNumberFormat="1" applyFont="1" applyFill="1" applyBorder="1" applyAlignment="1">
      <alignment vertical="center"/>
    </xf>
    <xf numFmtId="0" fontId="18" fillId="3" borderId="28" xfId="0" applyNumberFormat="1" applyFont="1" applyFill="1" applyBorder="1" applyAlignment="1">
      <alignment horizontal="center" vertical="center"/>
    </xf>
    <xf numFmtId="0" fontId="18" fillId="0" borderId="0" xfId="0" applyNumberFormat="1" applyFont="1" applyFill="1" applyBorder="1" applyAlignment="1">
      <alignment horizontal="center" vertical="center"/>
    </xf>
    <xf numFmtId="0" fontId="10" fillId="0" borderId="0" xfId="0" applyNumberFormat="1" applyFont="1"/>
    <xf numFmtId="0" fontId="18" fillId="4" borderId="9" xfId="0" applyNumberFormat="1" applyFont="1" applyFill="1" applyBorder="1" applyAlignment="1">
      <alignment horizontal="center" vertical="center"/>
    </xf>
    <xf numFmtId="0" fontId="10" fillId="0" borderId="0" xfId="0" applyNumberFormat="1" applyFont="1" applyFill="1" applyBorder="1" applyAlignment="1"/>
    <xf numFmtId="0" fontId="18" fillId="16" borderId="24" xfId="0" applyNumberFormat="1" applyFont="1" applyFill="1" applyBorder="1" applyAlignment="1">
      <alignment horizontal="center" vertical="center"/>
    </xf>
    <xf numFmtId="0" fontId="18" fillId="16" borderId="27" xfId="0" applyNumberFormat="1" applyFont="1" applyFill="1" applyBorder="1" applyAlignment="1">
      <alignment horizontal="center" vertical="center"/>
    </xf>
    <xf numFmtId="0" fontId="18" fillId="14" borderId="24" xfId="0" applyNumberFormat="1" applyFont="1" applyFill="1" applyBorder="1" applyAlignment="1">
      <alignment horizontal="center" vertical="center"/>
    </xf>
    <xf numFmtId="0" fontId="18" fillId="0" borderId="0" xfId="0" applyNumberFormat="1" applyFont="1" applyFill="1" applyBorder="1" applyAlignment="1">
      <alignment vertical="center"/>
    </xf>
    <xf numFmtId="43" fontId="18" fillId="0" borderId="0" xfId="3" applyFont="1"/>
    <xf numFmtId="0" fontId="18" fillId="14" borderId="33" xfId="0" applyNumberFormat="1" applyFont="1" applyFill="1" applyBorder="1" applyAlignment="1">
      <alignment horizontal="center" vertical="center"/>
    </xf>
    <xf numFmtId="0" fontId="18" fillId="14" borderId="34" xfId="0" applyNumberFormat="1" applyFont="1" applyFill="1" applyBorder="1" applyAlignment="1">
      <alignment horizontal="center" vertical="center"/>
    </xf>
    <xf numFmtId="0" fontId="36" fillId="17" borderId="38" xfId="0" applyFont="1" applyFill="1" applyBorder="1"/>
    <xf numFmtId="0" fontId="18" fillId="3" borderId="39" xfId="0" applyNumberFormat="1" applyFont="1" applyFill="1" applyBorder="1" applyAlignment="1">
      <alignment horizontal="center" vertical="center"/>
    </xf>
    <xf numFmtId="0" fontId="18" fillId="0" borderId="39" xfId="0" applyNumberFormat="1" applyFont="1" applyFill="1" applyBorder="1" applyAlignment="1">
      <alignment horizontal="center" vertical="center"/>
    </xf>
    <xf numFmtId="0" fontId="18" fillId="0" borderId="40" xfId="0" applyNumberFormat="1" applyFont="1" applyFill="1" applyBorder="1" applyAlignment="1">
      <alignment horizontal="center" vertical="center"/>
    </xf>
    <xf numFmtId="10" fontId="29" fillId="0" borderId="41" xfId="6" applyNumberFormat="1" applyBorder="1"/>
    <xf numFmtId="0" fontId="10" fillId="19" borderId="0" xfId="17" applyFill="1" applyAlignment="1">
      <alignment vertical="top"/>
    </xf>
    <xf numFmtId="0" fontId="32" fillId="0" borderId="0" xfId="5" applyFont="1"/>
    <xf numFmtId="0" fontId="33" fillId="0" borderId="0" xfId="0" applyNumberFormat="1" applyFont="1" applyFill="1" applyBorder="1" applyAlignment="1"/>
    <xf numFmtId="164" fontId="10" fillId="5" borderId="0" xfId="0" applyNumberFormat="1" applyFont="1" applyFill="1" applyBorder="1" applyAlignment="1">
      <alignment vertical="center"/>
    </xf>
    <xf numFmtId="164" fontId="10" fillId="5" borderId="0" xfId="5" applyNumberFormat="1" applyFont="1" applyFill="1" applyAlignment="1">
      <alignment vertical="center"/>
    </xf>
    <xf numFmtId="164" fontId="10" fillId="4" borderId="0" xfId="5" applyNumberFormat="1" applyFill="1" applyAlignment="1">
      <alignment vertical="center"/>
    </xf>
    <xf numFmtId="169" fontId="18" fillId="3" borderId="0" xfId="9" applyNumberFormat="1" applyFont="1" applyFill="1" applyBorder="1" applyAlignment="1">
      <alignment horizontal="center" vertical="center"/>
    </xf>
    <xf numFmtId="164" fontId="10" fillId="4" borderId="0" xfId="5" applyNumberFormat="1" applyFill="1" applyAlignment="1">
      <alignment horizontal="right" vertical="center"/>
    </xf>
    <xf numFmtId="0" fontId="29" fillId="0" borderId="41" xfId="6" applyBorder="1"/>
    <xf numFmtId="166" fontId="9" fillId="0" borderId="41" xfId="16" applyNumberFormat="1" applyFont="1" applyBorder="1"/>
    <xf numFmtId="166" fontId="9" fillId="19" borderId="41" xfId="16" applyNumberFormat="1" applyFont="1" applyFill="1" applyBorder="1"/>
    <xf numFmtId="166" fontId="9" fillId="0" borderId="41" xfId="16" applyNumberFormat="1" applyFont="1" applyFill="1" applyBorder="1"/>
    <xf numFmtId="166" fontId="8" fillId="0" borderId="41" xfId="16" applyNumberFormat="1" applyFont="1" applyBorder="1"/>
    <xf numFmtId="166" fontId="7" fillId="0" borderId="41" xfId="16" applyNumberFormat="1" applyFont="1" applyBorder="1"/>
    <xf numFmtId="166" fontId="6" fillId="0" borderId="41" xfId="16" applyNumberFormat="1" applyFont="1" applyBorder="1"/>
    <xf numFmtId="38" fontId="10" fillId="0" borderId="41" xfId="0" applyNumberFormat="1" applyFont="1" applyBorder="1"/>
    <xf numFmtId="0" fontId="36" fillId="0" borderId="41" xfId="0" applyFont="1" applyBorder="1"/>
    <xf numFmtId="0" fontId="36" fillId="15" borderId="31" xfId="0" applyFont="1" applyFill="1" applyBorder="1"/>
    <xf numFmtId="0" fontId="36" fillId="15" borderId="32" xfId="0" applyFont="1" applyFill="1" applyBorder="1"/>
    <xf numFmtId="38" fontId="18" fillId="15" borderId="31" xfId="0" applyNumberFormat="1" applyFont="1" applyFill="1" applyBorder="1"/>
    <xf numFmtId="0" fontId="36" fillId="15" borderId="29" xfId="0" applyFont="1" applyFill="1" applyBorder="1"/>
    <xf numFmtId="0" fontId="36" fillId="0" borderId="42" xfId="0" applyFont="1" applyBorder="1"/>
    <xf numFmtId="0" fontId="10" fillId="0" borderId="43" xfId="0" applyFont="1" applyBorder="1"/>
    <xf numFmtId="38" fontId="10" fillId="0" borderId="42" xfId="0" applyNumberFormat="1" applyFont="1" applyBorder="1"/>
    <xf numFmtId="38" fontId="18" fillId="17" borderId="44" xfId="0" applyNumberFormat="1" applyFont="1" applyFill="1" applyBorder="1"/>
    <xf numFmtId="38" fontId="10" fillId="0" borderId="19" xfId="0" applyNumberFormat="1" applyFont="1" applyBorder="1"/>
    <xf numFmtId="38" fontId="10" fillId="0" borderId="43" xfId="0" applyNumberFormat="1" applyFont="1" applyBorder="1"/>
    <xf numFmtId="38" fontId="10" fillId="0" borderId="35" xfId="0" applyNumberFormat="1" applyFont="1" applyBorder="1"/>
    <xf numFmtId="38" fontId="18" fillId="15" borderId="30" xfId="0" applyNumberFormat="1" applyFont="1" applyFill="1" applyBorder="1"/>
    <xf numFmtId="38" fontId="10" fillId="0" borderId="36" xfId="0" applyNumberFormat="1" applyFont="1" applyBorder="1"/>
    <xf numFmtId="38" fontId="18" fillId="17" borderId="45" xfId="0" applyNumberFormat="1" applyFont="1" applyFill="1" applyBorder="1"/>
    <xf numFmtId="166" fontId="5" fillId="0" borderId="41" xfId="16" applyNumberFormat="1" applyFont="1" applyBorder="1"/>
    <xf numFmtId="38" fontId="18" fillId="18" borderId="29" xfId="0" applyNumberFormat="1" applyFont="1" applyFill="1" applyBorder="1"/>
    <xf numFmtId="169" fontId="18" fillId="18" borderId="29" xfId="9" applyNumberFormat="1" applyFont="1" applyFill="1" applyBorder="1"/>
    <xf numFmtId="38" fontId="10" fillId="0" borderId="0" xfId="0" applyNumberFormat="1" applyFont="1"/>
    <xf numFmtId="169" fontId="10" fillId="0" borderId="0" xfId="9" applyNumberFormat="1" applyFont="1"/>
    <xf numFmtId="38" fontId="18" fillId="0" borderId="37" xfId="0" applyNumberFormat="1" applyFont="1" applyBorder="1"/>
    <xf numFmtId="169" fontId="18" fillId="0" borderId="37" xfId="9" applyNumberFormat="1" applyFont="1" applyBorder="1"/>
    <xf numFmtId="9" fontId="10" fillId="0" borderId="0" xfId="9" applyFont="1" applyAlignment="1">
      <alignment horizontal="center"/>
    </xf>
    <xf numFmtId="166" fontId="4" fillId="0" borderId="41" xfId="16" applyNumberFormat="1" applyFont="1" applyBorder="1"/>
    <xf numFmtId="38" fontId="18" fillId="15" borderId="32" xfId="0" applyNumberFormat="1" applyFont="1" applyFill="1" applyBorder="1"/>
    <xf numFmtId="166" fontId="3" fillId="0" borderId="41" xfId="16" applyNumberFormat="1" applyFont="1" applyBorder="1"/>
    <xf numFmtId="38" fontId="18" fillId="10" borderId="46" xfId="0" applyNumberFormat="1" applyFont="1" applyFill="1" applyBorder="1"/>
    <xf numFmtId="169" fontId="18" fillId="10" borderId="46" xfId="9" applyNumberFormat="1" applyFont="1" applyFill="1" applyBorder="1"/>
    <xf numFmtId="0" fontId="0" fillId="0" borderId="0" xfId="0"/>
    <xf numFmtId="166" fontId="2" fillId="0" borderId="41" xfId="16" applyNumberFormat="1" applyFont="1" applyBorder="1"/>
    <xf numFmtId="0" fontId="39" fillId="0" borderId="0" xfId="0" applyFont="1"/>
    <xf numFmtId="38" fontId="0" fillId="0" borderId="0" xfId="0" applyNumberFormat="1"/>
    <xf numFmtId="38" fontId="28" fillId="10" borderId="47" xfId="0" applyNumberFormat="1" applyFont="1" applyFill="1" applyBorder="1"/>
    <xf numFmtId="0" fontId="39" fillId="0" borderId="48" xfId="0" applyFont="1" applyBorder="1"/>
    <xf numFmtId="0" fontId="39" fillId="18" borderId="29" xfId="0" applyFont="1" applyFill="1" applyBorder="1"/>
    <xf numFmtId="38" fontId="28" fillId="18" borderId="29" xfId="0" applyNumberFormat="1" applyFont="1" applyFill="1" applyBorder="1"/>
    <xf numFmtId="0" fontId="39" fillId="17" borderId="37" xfId="0" applyFont="1" applyFill="1" applyBorder="1"/>
    <xf numFmtId="38" fontId="39" fillId="17" borderId="37" xfId="0" applyNumberFormat="1" applyFont="1" applyFill="1" applyBorder="1"/>
    <xf numFmtId="169" fontId="0" fillId="0" borderId="0" xfId="9" applyNumberFormat="1" applyFont="1"/>
    <xf numFmtId="169" fontId="28" fillId="10" borderId="47" xfId="9" applyNumberFormat="1" applyFont="1" applyFill="1" applyBorder="1"/>
    <xf numFmtId="169" fontId="28" fillId="18" borderId="29" xfId="9" applyNumberFormat="1" applyFont="1" applyFill="1" applyBorder="1"/>
    <xf numFmtId="169" fontId="39" fillId="17" borderId="37" xfId="9" applyNumberFormat="1" applyFont="1" applyFill="1" applyBorder="1"/>
    <xf numFmtId="166" fontId="1" fillId="0" borderId="41" xfId="16" applyNumberFormat="1" applyFont="1" applyBorder="1"/>
    <xf numFmtId="0" fontId="39" fillId="10" borderId="49" xfId="0" applyFont="1" applyFill="1" applyBorder="1"/>
    <xf numFmtId="38" fontId="28" fillId="10" borderId="49" xfId="0" applyNumberFormat="1" applyFont="1" applyFill="1" applyBorder="1"/>
    <xf numFmtId="0" fontId="18" fillId="0" borderId="52" xfId="0" applyNumberFormat="1" applyFont="1" applyFill="1" applyBorder="1" applyAlignment="1">
      <alignment horizontal="center" vertical="center"/>
    </xf>
    <xf numFmtId="0" fontId="10" fillId="0" borderId="19" xfId="0" applyFont="1" applyBorder="1"/>
    <xf numFmtId="0" fontId="10" fillId="0" borderId="49" xfId="0" applyFont="1" applyBorder="1"/>
    <xf numFmtId="0" fontId="36" fillId="0" borderId="50" xfId="0" applyFont="1" applyBorder="1"/>
    <xf numFmtId="0" fontId="10" fillId="0" borderId="51" xfId="0" applyFont="1" applyBorder="1"/>
    <xf numFmtId="0" fontId="18" fillId="0" borderId="53" xfId="0" applyNumberFormat="1" applyFont="1" applyFill="1" applyBorder="1" applyAlignment="1">
      <alignment horizontal="center" vertical="center"/>
    </xf>
    <xf numFmtId="0" fontId="18" fillId="0" borderId="54" xfId="0" applyNumberFormat="1" applyFont="1" applyFill="1" applyBorder="1" applyAlignment="1">
      <alignment horizontal="center" vertical="center"/>
    </xf>
    <xf numFmtId="0" fontId="18" fillId="0" borderId="53" xfId="0" applyNumberFormat="1" applyFont="1" applyFill="1" applyBorder="1" applyAlignment="1">
      <alignment vertical="center"/>
    </xf>
    <xf numFmtId="38" fontId="18" fillId="0" borderId="41" xfId="0" applyNumberFormat="1" applyFont="1" applyBorder="1"/>
    <xf numFmtId="38" fontId="18" fillId="0" borderId="42" xfId="0" applyNumberFormat="1" applyFont="1" applyBorder="1"/>
    <xf numFmtId="38" fontId="18" fillId="0" borderId="43" xfId="0" applyNumberFormat="1" applyFont="1" applyBorder="1"/>
    <xf numFmtId="38" fontId="18" fillId="0" borderId="19" xfId="0" applyNumberFormat="1" applyFont="1" applyBorder="1"/>
    <xf numFmtId="0" fontId="12" fillId="0" borderId="0" xfId="6" applyFont="1" applyAlignment="1">
      <alignment horizontal="center"/>
    </xf>
    <xf numFmtId="49" fontId="12" fillId="0" borderId="0" xfId="6" applyNumberFormat="1" applyFont="1" applyAlignment="1">
      <alignment horizontal="center"/>
    </xf>
    <xf numFmtId="0" fontId="14" fillId="6" borderId="0" xfId="5" applyNumberFormat="1" applyFont="1" applyFill="1" applyBorder="1" applyAlignment="1">
      <alignment horizontal="left" vertical="center"/>
    </xf>
    <xf numFmtId="0" fontId="12" fillId="6" borderId="26" xfId="5" applyNumberFormat="1" applyFont="1" applyFill="1" applyBorder="1" applyAlignment="1">
      <alignment horizontal="left" vertical="center"/>
    </xf>
    <xf numFmtId="0" fontId="12" fillId="6" borderId="2" xfId="5" applyNumberFormat="1" applyFont="1" applyFill="1" applyBorder="1" applyAlignment="1">
      <alignment horizontal="left" vertical="center"/>
    </xf>
    <xf numFmtId="0" fontId="12" fillId="6" borderId="4" xfId="5" applyNumberFormat="1" applyFont="1" applyFill="1" applyBorder="1" applyAlignment="1">
      <alignment horizontal="left" vertical="center"/>
    </xf>
    <xf numFmtId="0" fontId="20" fillId="6" borderId="0" xfId="5" applyNumberFormat="1" applyFont="1" applyFill="1" applyBorder="1" applyAlignment="1">
      <alignment horizontal="left" vertical="center"/>
    </xf>
    <xf numFmtId="0" fontId="12" fillId="0" borderId="26" xfId="5" applyNumberFormat="1" applyFont="1" applyFill="1" applyBorder="1" applyAlignment="1">
      <alignment horizontal="left" vertical="center"/>
    </xf>
    <xf numFmtId="0" fontId="12" fillId="0" borderId="2" xfId="5" applyNumberFormat="1" applyFont="1" applyFill="1" applyBorder="1" applyAlignment="1">
      <alignment horizontal="left" vertical="center"/>
    </xf>
    <xf numFmtId="0" fontId="12" fillId="0" borderId="4" xfId="5" applyNumberFormat="1" applyFont="1" applyFill="1" applyBorder="1" applyAlignment="1">
      <alignment horizontal="left" vertical="center"/>
    </xf>
    <xf numFmtId="0" fontId="34" fillId="13" borderId="14" xfId="5" applyNumberFormat="1" applyFont="1" applyFill="1" applyBorder="1" applyAlignment="1">
      <alignment horizontal="center" vertical="center"/>
    </xf>
    <xf numFmtId="0" fontId="34" fillId="13" borderId="15" xfId="5" applyNumberFormat="1" applyFont="1" applyFill="1" applyBorder="1" applyAlignment="1">
      <alignment horizontal="center" vertical="center"/>
    </xf>
    <xf numFmtId="0" fontId="34" fillId="13" borderId="16" xfId="5" applyNumberFormat="1" applyFont="1" applyFill="1" applyBorder="1" applyAlignment="1">
      <alignment horizontal="center" vertical="center"/>
    </xf>
    <xf numFmtId="0" fontId="14" fillId="6" borderId="0" xfId="0" applyNumberFormat="1" applyFont="1" applyFill="1" applyBorder="1" applyAlignment="1">
      <alignment horizontal="left" vertical="center"/>
    </xf>
    <xf numFmtId="0" fontId="34" fillId="13" borderId="0" xfId="0" applyNumberFormat="1" applyFont="1" applyFill="1" applyBorder="1" applyAlignment="1">
      <alignment horizontal="center" vertical="center"/>
    </xf>
    <xf numFmtId="0" fontId="18" fillId="0" borderId="19" xfId="0" applyFont="1" applyBorder="1" applyAlignment="1">
      <alignment horizontal="center"/>
    </xf>
    <xf numFmtId="0" fontId="18" fillId="0" borderId="20" xfId="0" applyFont="1" applyBorder="1" applyAlignment="1">
      <alignment horizontal="center"/>
    </xf>
    <xf numFmtId="0" fontId="31" fillId="4" borderId="17" xfId="0" applyNumberFormat="1" applyFont="1" applyFill="1" applyBorder="1" applyAlignment="1">
      <alignment horizontal="left" vertical="top" wrapText="1"/>
    </xf>
    <xf numFmtId="0" fontId="31" fillId="4" borderId="18" xfId="0" applyNumberFormat="1" applyFont="1" applyFill="1" applyBorder="1" applyAlignment="1">
      <alignment horizontal="left" vertical="top" wrapText="1"/>
    </xf>
    <xf numFmtId="0" fontId="16" fillId="6" borderId="0" xfId="0" applyNumberFormat="1" applyFont="1" applyFill="1" applyBorder="1" applyAlignment="1">
      <alignment horizontal="left" vertical="center"/>
    </xf>
    <xf numFmtId="0" fontId="16" fillId="4" borderId="0" xfId="0" applyNumberFormat="1" applyFont="1" applyFill="1" applyBorder="1" applyAlignment="1">
      <alignment horizontal="left" vertical="center"/>
    </xf>
    <xf numFmtId="0" fontId="18" fillId="6" borderId="0" xfId="0" applyNumberFormat="1" applyFont="1" applyFill="1" applyBorder="1" applyAlignment="1">
      <alignment horizontal="left" vertical="center" wrapText="1"/>
    </xf>
    <xf numFmtId="0" fontId="10" fillId="0" borderId="0" xfId="17" applyAlignment="1">
      <alignment horizontal="left" vertical="top" wrapText="1"/>
    </xf>
    <xf numFmtId="166" fontId="29" fillId="0" borderId="21" xfId="4" applyNumberFormat="1" applyFont="1" applyBorder="1" applyAlignment="1">
      <alignment horizontal="center"/>
    </xf>
    <xf numFmtId="166" fontId="29" fillId="0" borderId="22" xfId="4" applyNumberFormat="1" applyFont="1" applyBorder="1" applyAlignment="1">
      <alignment horizontal="center"/>
    </xf>
    <xf numFmtId="49" fontId="29" fillId="0" borderId="0" xfId="6" applyNumberFormat="1" applyAlignment="1">
      <alignment horizontal="center"/>
    </xf>
    <xf numFmtId="49" fontId="30" fillId="0" borderId="10" xfId="6" applyNumberFormat="1" applyFont="1" applyBorder="1" applyAlignment="1">
      <alignment horizontal="center"/>
    </xf>
    <xf numFmtId="0" fontId="30" fillId="0" borderId="0" xfId="6" applyFont="1" applyAlignment="1">
      <alignment horizontal="left" vertical="top" wrapText="1"/>
    </xf>
    <xf numFmtId="166" fontId="38" fillId="0" borderId="21" xfId="16" applyNumberFormat="1" applyFont="1" applyFill="1" applyBorder="1" applyAlignment="1">
      <alignment horizontal="center"/>
    </xf>
    <xf numFmtId="166" fontId="38" fillId="0" borderId="42" xfId="16" applyNumberFormat="1" applyFont="1" applyFill="1" applyBorder="1" applyAlignment="1">
      <alignment horizontal="center"/>
    </xf>
    <xf numFmtId="0" fontId="18" fillId="6" borderId="0" xfId="5" applyNumberFormat="1" applyFont="1" applyFill="1" applyBorder="1" applyAlignment="1">
      <alignment horizontal="left" vertical="center" wrapText="1"/>
    </xf>
    <xf numFmtId="0" fontId="37" fillId="6" borderId="0" xfId="5" applyNumberFormat="1" applyFont="1" applyFill="1" applyBorder="1" applyAlignment="1">
      <alignment vertical="center"/>
    </xf>
  </cellXfs>
  <cellStyles count="18">
    <cellStyle name="Comma" xfId="1" builtinId="3"/>
    <cellStyle name="Comma 2" xfId="2" xr:uid="{00000000-0005-0000-0000-000001000000}"/>
    <cellStyle name="Comma 3" xfId="3" xr:uid="{00000000-0005-0000-0000-000002000000}"/>
    <cellStyle name="Currency" xfId="4" builtinId="4"/>
    <cellStyle name="Currency 2" xfId="16" xr:uid="{00000000-0005-0000-0000-000004000000}"/>
    <cellStyle name="Normal" xfId="0" builtinId="0"/>
    <cellStyle name="Normal 2" xfId="5" xr:uid="{00000000-0005-0000-0000-000006000000}"/>
    <cellStyle name="Normal 2 2" xfId="6" xr:uid="{00000000-0005-0000-0000-000007000000}"/>
    <cellStyle name="Normal 3" xfId="7" xr:uid="{00000000-0005-0000-0000-000008000000}"/>
    <cellStyle name="Normal 3 2" xfId="17" xr:uid="{06FF1174-ACC3-487A-8421-756183B98A8B}"/>
    <cellStyle name="Normal 4" xfId="8" xr:uid="{00000000-0005-0000-0000-000009000000}"/>
    <cellStyle name="Percent" xfId="9" builtinId="5"/>
    <cellStyle name="PSChar" xfId="10" xr:uid="{00000000-0005-0000-0000-00000B000000}"/>
    <cellStyle name="PSDate" xfId="11" xr:uid="{00000000-0005-0000-0000-00000C000000}"/>
    <cellStyle name="PSDec" xfId="12" xr:uid="{00000000-0005-0000-0000-00000D000000}"/>
    <cellStyle name="PSHeading" xfId="13" xr:uid="{00000000-0005-0000-0000-00000E000000}"/>
    <cellStyle name="PSInt" xfId="14" xr:uid="{00000000-0005-0000-0000-00000F000000}"/>
    <cellStyle name="PSSpacer" xfId="15" xr:uid="{00000000-0005-0000-0000-000010000000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FF"/>
      <rgbColor rgb="00000080"/>
      <rgbColor rgb="00C0C0C0"/>
      <rgbColor rgb="00000000"/>
      <rgbColor rgb="00FFFF00"/>
      <rgbColor rgb="00FFFF80"/>
      <rgbColor rgb="0080FF80"/>
      <rgbColor rgb="008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6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700-000000000000}" autoFormatId="0" applyNumberFormats="0" applyBorderFormats="0" applyFontFormats="1" applyPatternFormats="1" applyAlignmentFormats="0" applyWidthHeightFormats="0">
  <queryTableRefresh preserveSortFilterLayout="0" nextId="7">
    <queryTableFields count="6">
      <queryTableField id="1" name="BUSINESS_UNIT" tableColumnId="1"/>
      <queryTableField id="2" name="DESCR" tableColumnId="2"/>
      <queryTableField id="3" name="FISCAL_YEAR" tableColumnId="3"/>
      <queryTableField id="4" name="ACCOUNT" tableColumnId="4"/>
      <queryTableField id="5" name="DESCR2" tableColumnId="5"/>
      <queryTableField id="6" name="SUM(A.POSTED_TOTAL_AMT)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ery1" displayName="Query1" ref="A4:F10" tableType="queryTable" totalsRowShown="0">
  <autoFilter ref="A4:F10" xr:uid="{00000000-000C-0000-FFFF-FFFF00000000}"/>
  <tableColumns count="6">
    <tableColumn id="1" xr3:uid="{F3804A6C-8388-4310-8718-F9704DAF0713}" uniqueName="1" name="BUSINESS_UNIT" queryTableFieldId="1" dataDxfId="5"/>
    <tableColumn id="2" xr3:uid="{36128606-B20F-4DD1-8135-F8640C254D53}" uniqueName="2" name="DESCR" queryTableFieldId="2" dataDxfId="4"/>
    <tableColumn id="3" xr3:uid="{B3EEABBB-53DF-469E-A7C9-45FDD7A3223F}" uniqueName="3" name="FISCAL_YEAR" queryTableFieldId="3" dataDxfId="3"/>
    <tableColumn id="4" xr3:uid="{F5B3D24F-78E5-495E-9F97-1D6D8A410244}" uniqueName="4" name="ACCOUNT" queryTableFieldId="4" dataDxfId="2"/>
    <tableColumn id="5" xr3:uid="{899FB8AF-0D8D-4DBC-8FEA-37C79F182117}" uniqueName="5" name="DESCR2" queryTableFieldId="5" dataDxfId="1"/>
    <tableColumn id="6" xr3:uid="{CD9316C2-10B0-4CD4-8495-AE590CEEAAE1}" uniqueName="6" name="SUM(A.POSTED_TOTAL_AMT)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I26"/>
  <sheetViews>
    <sheetView tabSelected="1" zoomScale="85" zoomScaleNormal="85" workbookViewId="0">
      <selection sqref="A1:XFD1"/>
    </sheetView>
  </sheetViews>
  <sheetFormatPr defaultColWidth="8.88671875" defaultRowHeight="13.2" x14ac:dyDescent="0.25"/>
  <cols>
    <col min="1" max="1" width="10.44140625" style="1" customWidth="1"/>
    <col min="2" max="2" width="10.109375" style="1" customWidth="1"/>
    <col min="3" max="16384" width="8.88671875" style="1"/>
  </cols>
  <sheetData>
    <row r="1" spans="1:9" ht="15.6" x14ac:dyDescent="0.3">
      <c r="A1" s="252" t="s">
        <v>0</v>
      </c>
      <c r="B1" s="252"/>
      <c r="C1" s="252"/>
      <c r="D1" s="252"/>
      <c r="E1" s="252"/>
      <c r="F1" s="252"/>
      <c r="G1" s="252"/>
      <c r="H1" s="252"/>
      <c r="I1" s="252"/>
    </row>
    <row r="2" spans="1:9" ht="15.6" x14ac:dyDescent="0.3">
      <c r="A2" s="252" t="s">
        <v>125</v>
      </c>
      <c r="B2" s="252"/>
      <c r="C2" s="252"/>
      <c r="D2" s="252"/>
      <c r="E2" s="252"/>
      <c r="F2" s="252"/>
      <c r="G2" s="252"/>
      <c r="H2" s="252"/>
      <c r="I2" s="252"/>
    </row>
    <row r="3" spans="1:9" ht="15.6" x14ac:dyDescent="0.3">
      <c r="A3" s="253" t="s">
        <v>385</v>
      </c>
      <c r="B3" s="253"/>
      <c r="C3" s="253"/>
      <c r="D3" s="253"/>
      <c r="E3" s="253"/>
      <c r="F3" s="253"/>
      <c r="G3" s="253"/>
      <c r="H3" s="253"/>
      <c r="I3" s="253"/>
    </row>
    <row r="4" spans="1:9" ht="15.6" x14ac:dyDescent="0.3">
      <c r="A4" s="253"/>
      <c r="B4" s="253"/>
      <c r="C4" s="253"/>
      <c r="D4" s="2"/>
      <c r="E4" s="2"/>
      <c r="F4" s="2"/>
      <c r="G4" s="2"/>
      <c r="H4" s="2"/>
      <c r="I4" s="2"/>
    </row>
    <row r="5" spans="1:9" ht="15.6" x14ac:dyDescent="0.3">
      <c r="A5" s="3"/>
      <c r="B5" s="3"/>
      <c r="C5" s="3"/>
      <c r="D5" s="2"/>
      <c r="E5" s="2"/>
      <c r="F5" s="2"/>
      <c r="G5" s="2"/>
      <c r="H5" s="2"/>
      <c r="I5" s="2"/>
    </row>
    <row r="6" spans="1:9" ht="15.6" x14ac:dyDescent="0.3">
      <c r="A6" s="3"/>
      <c r="B6" s="3"/>
      <c r="C6" s="3"/>
      <c r="D6" s="2"/>
      <c r="E6" s="2"/>
      <c r="F6" s="2"/>
      <c r="G6" s="2"/>
      <c r="H6" s="2"/>
      <c r="I6" s="2"/>
    </row>
    <row r="7" spans="1:9" ht="15.6" x14ac:dyDescent="0.3">
      <c r="A7" s="4"/>
      <c r="B7" s="5"/>
      <c r="C7" s="5"/>
      <c r="D7" s="2"/>
      <c r="E7" s="2"/>
      <c r="F7" s="2"/>
      <c r="G7" s="2"/>
      <c r="H7" s="2"/>
      <c r="I7" s="2"/>
    </row>
    <row r="8" spans="1:9" ht="15.6" x14ac:dyDescent="0.3">
      <c r="A8" s="5"/>
      <c r="B8" s="5"/>
      <c r="C8" s="5"/>
      <c r="D8" s="2"/>
      <c r="E8" s="2"/>
      <c r="F8" s="2"/>
      <c r="G8" s="2"/>
      <c r="H8" s="2"/>
      <c r="I8" s="2"/>
    </row>
    <row r="9" spans="1:9" ht="15.6" x14ac:dyDescent="0.3">
      <c r="A9" s="4" t="s">
        <v>138</v>
      </c>
      <c r="B9" s="5"/>
      <c r="C9" s="4" t="s">
        <v>116</v>
      </c>
      <c r="D9" s="2"/>
      <c r="E9" s="2"/>
      <c r="F9" s="2"/>
      <c r="G9" s="2"/>
      <c r="H9" s="2"/>
      <c r="I9" s="2"/>
    </row>
    <row r="10" spans="1:9" ht="15.6" x14ac:dyDescent="0.3">
      <c r="A10" s="4"/>
      <c r="B10" s="5"/>
      <c r="C10" s="5"/>
      <c r="D10" s="2"/>
      <c r="E10" s="2"/>
      <c r="F10" s="2"/>
      <c r="G10" s="2"/>
      <c r="H10" s="2"/>
      <c r="I10" s="2"/>
    </row>
    <row r="11" spans="1:9" ht="15.6" x14ac:dyDescent="0.3">
      <c r="A11" s="4" t="s">
        <v>126</v>
      </c>
      <c r="B11" s="5"/>
      <c r="C11" s="4" t="s">
        <v>127</v>
      </c>
      <c r="D11" s="2"/>
      <c r="E11" s="2"/>
      <c r="F11" s="2"/>
      <c r="G11" s="2"/>
      <c r="H11" s="2"/>
      <c r="I11" s="2"/>
    </row>
    <row r="12" spans="1:9" ht="15.6" x14ac:dyDescent="0.3">
      <c r="A12" s="4"/>
      <c r="B12" s="5"/>
      <c r="C12" s="5"/>
      <c r="D12" s="2"/>
      <c r="E12" s="2"/>
      <c r="F12" s="2"/>
      <c r="G12" s="2"/>
      <c r="H12" s="2"/>
      <c r="I12" s="2"/>
    </row>
    <row r="13" spans="1:9" ht="15.6" x14ac:dyDescent="0.3">
      <c r="A13" s="4" t="s">
        <v>128</v>
      </c>
      <c r="B13" s="5"/>
      <c r="C13" s="4" t="s">
        <v>129</v>
      </c>
      <c r="D13" s="2"/>
      <c r="E13" s="2"/>
      <c r="F13" s="2"/>
      <c r="G13" s="2"/>
      <c r="H13" s="2"/>
      <c r="I13" s="2"/>
    </row>
    <row r="14" spans="1:9" ht="15.6" x14ac:dyDescent="0.3">
      <c r="A14" s="4"/>
      <c r="B14" s="5"/>
      <c r="C14" s="5"/>
      <c r="D14" s="2"/>
      <c r="E14" s="2"/>
      <c r="F14" s="2"/>
      <c r="G14" s="2"/>
      <c r="H14" s="2"/>
      <c r="I14" s="2"/>
    </row>
    <row r="15" spans="1:9" ht="15.6" x14ac:dyDescent="0.3">
      <c r="A15" s="4" t="s">
        <v>130</v>
      </c>
      <c r="B15" s="5"/>
      <c r="C15" s="4" t="s">
        <v>131</v>
      </c>
      <c r="D15" s="2"/>
      <c r="E15" s="2"/>
      <c r="F15" s="2"/>
      <c r="G15" s="2"/>
      <c r="H15" s="2"/>
      <c r="I15" s="2"/>
    </row>
    <row r="16" spans="1:9" ht="15.6" x14ac:dyDescent="0.3">
      <c r="A16" s="4"/>
      <c r="B16" s="5"/>
      <c r="C16" s="5"/>
      <c r="D16" s="2"/>
      <c r="E16" s="2"/>
      <c r="F16" s="2"/>
      <c r="G16" s="2"/>
      <c r="H16" s="2"/>
      <c r="I16" s="2"/>
    </row>
    <row r="17" spans="1:9" ht="15.6" x14ac:dyDescent="0.3">
      <c r="A17" s="4" t="s">
        <v>132</v>
      </c>
      <c r="B17" s="5"/>
      <c r="C17" s="4" t="s">
        <v>133</v>
      </c>
      <c r="D17" s="2"/>
      <c r="E17" s="2"/>
      <c r="F17" s="2"/>
      <c r="G17" s="2"/>
      <c r="H17" s="2"/>
      <c r="I17" s="2"/>
    </row>
    <row r="18" spans="1:9" ht="15.6" x14ac:dyDescent="0.3">
      <c r="A18" s="4"/>
      <c r="B18" s="5"/>
      <c r="C18" s="5"/>
      <c r="D18" s="2"/>
      <c r="E18" s="2"/>
      <c r="F18" s="2"/>
      <c r="G18" s="2"/>
      <c r="H18" s="2"/>
      <c r="I18" s="2"/>
    </row>
    <row r="19" spans="1:9" ht="15.6" x14ac:dyDescent="0.3">
      <c r="A19" s="4" t="s">
        <v>134</v>
      </c>
      <c r="B19" s="5"/>
      <c r="C19" s="4" t="s">
        <v>135</v>
      </c>
      <c r="D19" s="2"/>
      <c r="E19" s="2"/>
      <c r="F19" s="2"/>
      <c r="G19" s="2"/>
      <c r="H19" s="2"/>
      <c r="I19" s="2"/>
    </row>
    <row r="20" spans="1:9" ht="15.6" x14ac:dyDescent="0.3">
      <c r="A20" s="4"/>
      <c r="B20" s="5"/>
      <c r="C20" s="5"/>
      <c r="D20" s="2"/>
      <c r="E20" s="2"/>
      <c r="F20" s="2"/>
      <c r="G20" s="2"/>
      <c r="H20" s="2"/>
      <c r="I20" s="2"/>
    </row>
    <row r="21" spans="1:9" ht="15.6" x14ac:dyDescent="0.3">
      <c r="A21" s="4" t="s">
        <v>136</v>
      </c>
      <c r="B21" s="5"/>
      <c r="C21" s="4" t="s">
        <v>137</v>
      </c>
      <c r="D21" s="2"/>
      <c r="E21" s="2"/>
      <c r="F21" s="2"/>
      <c r="G21" s="2"/>
      <c r="H21" s="2"/>
      <c r="I21" s="2"/>
    </row>
    <row r="24" spans="1:9" ht="15" x14ac:dyDescent="0.25">
      <c r="A24" s="6"/>
    </row>
    <row r="25" spans="1:9" ht="15" x14ac:dyDescent="0.25">
      <c r="A25" s="6"/>
    </row>
    <row r="26" spans="1:9" ht="15" x14ac:dyDescent="0.25">
      <c r="A26" s="6"/>
    </row>
  </sheetData>
  <mergeCells count="4">
    <mergeCell ref="A1:I1"/>
    <mergeCell ref="A2:I2"/>
    <mergeCell ref="A3:I3"/>
    <mergeCell ref="A4:C4"/>
  </mergeCells>
  <printOptions horizontalCentered="1"/>
  <pageMargins left="0.5" right="0.5" top="0.5" bottom="0.5" header="0.5" footer="0.5"/>
  <pageSetup orientation="landscape" r:id="rId1"/>
  <headerFooter>
    <oddHeader>&amp;RDocket No. 56165
Exhibit BJF-5
Page &amp;P of &amp;N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EB91"/>
  <sheetViews>
    <sheetView showGridLines="0" tabSelected="1" topLeftCell="H1" zoomScale="85" zoomScaleNormal="85" workbookViewId="0">
      <pane ySplit="11" topLeftCell="A12" activePane="bottomLeft" state="frozen"/>
      <selection sqref="A1:XFD1"/>
      <selection pane="bottomLeft" sqref="A1:XFD1"/>
    </sheetView>
  </sheetViews>
  <sheetFormatPr defaultColWidth="9.109375" defaultRowHeight="13.2" x14ac:dyDescent="0.25"/>
  <cols>
    <col min="1" max="1" width="16.5546875" style="1" customWidth="1"/>
    <col min="2" max="20" width="14.6640625" style="1" customWidth="1"/>
    <col min="21" max="21" width="2" style="1" customWidth="1"/>
    <col min="22" max="22" width="28.88671875" style="1" bestFit="1" customWidth="1"/>
    <col min="23" max="25" width="15" style="1" bestFit="1" customWidth="1"/>
    <col min="26" max="16384" width="9.109375" style="1"/>
  </cols>
  <sheetData>
    <row r="1" spans="1:65" ht="4.5" customHeight="1" x14ac:dyDescent="0.25"/>
    <row r="2" spans="1:65" s="24" customFormat="1" ht="23.4" x14ac:dyDescent="0.25">
      <c r="A2" s="254" t="s">
        <v>0</v>
      </c>
      <c r="B2" s="254"/>
      <c r="C2" s="254"/>
      <c r="D2" s="254"/>
      <c r="E2" s="254"/>
      <c r="F2" s="22"/>
      <c r="G2" s="22"/>
      <c r="H2" s="22"/>
      <c r="I2" s="22"/>
      <c r="J2" s="22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</row>
    <row r="3" spans="1:65" s="24" customFormat="1" ht="23.4" x14ac:dyDescent="0.25">
      <c r="A3" s="254" t="s">
        <v>366</v>
      </c>
      <c r="B3" s="254"/>
      <c r="C3" s="254"/>
      <c r="D3" s="254"/>
      <c r="E3" s="254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</row>
    <row r="4" spans="1:65" s="24" customFormat="1" ht="13.8" thickBot="1" x14ac:dyDescent="0.3">
      <c r="A4" s="101" t="s">
        <v>177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</row>
    <row r="5" spans="1:65" s="24" customFormat="1" ht="18" thickBot="1" x14ac:dyDescent="0.3">
      <c r="A5" s="262" t="s">
        <v>148</v>
      </c>
      <c r="B5" s="263"/>
      <c r="C5" s="263"/>
      <c r="D5" s="263"/>
      <c r="E5" s="263"/>
      <c r="F5" s="263"/>
      <c r="G5" s="263"/>
      <c r="H5" s="263"/>
      <c r="I5" s="263"/>
      <c r="J5" s="263"/>
      <c r="K5" s="263"/>
      <c r="L5" s="263"/>
      <c r="M5" s="263"/>
      <c r="N5" s="263"/>
      <c r="O5" s="263"/>
      <c r="P5" s="263"/>
      <c r="Q5" s="263"/>
      <c r="R5" s="263"/>
      <c r="S5" s="263"/>
      <c r="T5" s="264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</row>
    <row r="6" spans="1:65" s="24" customFormat="1" x14ac:dyDescent="0.25">
      <c r="C6" s="134"/>
      <c r="F6" s="134"/>
      <c r="M6" s="134"/>
    </row>
    <row r="7" spans="1:65" s="24" customFormat="1" x14ac:dyDescent="0.25">
      <c r="A7" s="23"/>
      <c r="B7" s="23"/>
      <c r="C7" s="134"/>
      <c r="D7" s="23"/>
      <c r="E7" s="23"/>
      <c r="F7" s="134"/>
      <c r="G7" s="23"/>
      <c r="H7" s="23"/>
      <c r="I7" s="23"/>
      <c r="J7" s="23"/>
      <c r="K7" s="23"/>
      <c r="L7" s="23"/>
      <c r="M7" s="134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</row>
    <row r="8" spans="1:65" s="24" customFormat="1" ht="16.2" thickBot="1" x14ac:dyDescent="0.3">
      <c r="A8" s="255" t="s">
        <v>149</v>
      </c>
      <c r="B8" s="256"/>
      <c r="C8" s="256"/>
      <c r="D8" s="256"/>
      <c r="E8" s="257"/>
      <c r="F8" s="23"/>
      <c r="G8" s="23"/>
      <c r="H8" s="23"/>
      <c r="I8" s="23"/>
      <c r="J8" s="23"/>
      <c r="K8" s="23"/>
      <c r="L8" s="23"/>
      <c r="M8" s="180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</row>
    <row r="9" spans="1:65" s="24" customFormat="1" ht="13.8" thickBot="1" x14ac:dyDescent="0.3">
      <c r="A9" s="23"/>
      <c r="B9" s="23"/>
      <c r="C9" s="23"/>
      <c r="D9" s="23"/>
      <c r="E9" s="23"/>
      <c r="F9" s="23"/>
      <c r="G9" s="23"/>
      <c r="H9" s="23"/>
      <c r="I9" s="25"/>
      <c r="J9" s="23"/>
      <c r="K9" s="23"/>
      <c r="L9" s="23"/>
      <c r="M9" s="180"/>
      <c r="N9" s="23"/>
      <c r="O9" s="23"/>
      <c r="P9" s="23"/>
      <c r="Q9" s="23"/>
      <c r="R9" s="23"/>
      <c r="S9" s="23"/>
      <c r="T9" s="25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</row>
    <row r="10" spans="1:65" s="24" customFormat="1" x14ac:dyDescent="0.25">
      <c r="A10" s="26"/>
      <c r="B10" s="27" t="s">
        <v>2</v>
      </c>
      <c r="C10" s="28"/>
      <c r="D10" s="28"/>
      <c r="E10" s="28"/>
      <c r="F10" s="28"/>
      <c r="G10" s="28"/>
      <c r="H10" s="28"/>
      <c r="I10" s="29" t="s">
        <v>2</v>
      </c>
      <c r="J10" s="27" t="s">
        <v>3</v>
      </c>
      <c r="K10" s="28"/>
      <c r="L10" s="28"/>
      <c r="M10" s="128" t="s">
        <v>3</v>
      </c>
      <c r="N10" s="30" t="s">
        <v>4</v>
      </c>
      <c r="O10" s="30" t="s">
        <v>5</v>
      </c>
      <c r="P10" s="30" t="s">
        <v>6</v>
      </c>
      <c r="Q10" s="30" t="s">
        <v>7</v>
      </c>
      <c r="R10" s="30" t="s">
        <v>142</v>
      </c>
      <c r="S10" s="30" t="s">
        <v>143</v>
      </c>
      <c r="T10" s="31" t="s">
        <v>8</v>
      </c>
    </row>
    <row r="11" spans="1:65" s="24" customFormat="1" ht="9.75" customHeight="1" x14ac:dyDescent="0.25">
      <c r="A11" s="26"/>
      <c r="B11" s="28" t="s">
        <v>9</v>
      </c>
      <c r="C11" s="28" t="s">
        <v>10</v>
      </c>
      <c r="D11" s="28" t="s">
        <v>11</v>
      </c>
      <c r="E11" s="28" t="s">
        <v>12</v>
      </c>
      <c r="F11" s="28" t="s">
        <v>13</v>
      </c>
      <c r="G11" s="28" t="s">
        <v>14</v>
      </c>
      <c r="H11" s="28" t="s">
        <v>15</v>
      </c>
      <c r="I11" s="32" t="s">
        <v>16</v>
      </c>
      <c r="J11" s="28" t="s">
        <v>17</v>
      </c>
      <c r="K11" s="28" t="s">
        <v>18</v>
      </c>
      <c r="L11" s="28" t="s">
        <v>141</v>
      </c>
      <c r="M11" s="32" t="s">
        <v>16</v>
      </c>
      <c r="N11" s="30" t="s">
        <v>16</v>
      </c>
      <c r="O11" s="30" t="s">
        <v>16</v>
      </c>
      <c r="P11" s="30" t="s">
        <v>16</v>
      </c>
      <c r="Q11" s="30" t="s">
        <v>16</v>
      </c>
      <c r="R11" s="30" t="s">
        <v>16</v>
      </c>
      <c r="S11" s="30" t="s">
        <v>16</v>
      </c>
      <c r="T11" s="31" t="s">
        <v>16</v>
      </c>
    </row>
    <row r="12" spans="1:65" s="24" customFormat="1" x14ac:dyDescent="0.25">
      <c r="A12" s="66">
        <f>EOMONTH(TEXT(Index!A3,"mmm-yyyy"),-12)</f>
        <v>44834</v>
      </c>
      <c r="B12" s="79">
        <v>0</v>
      </c>
      <c r="C12" s="79">
        <v>20257692.840000011</v>
      </c>
      <c r="D12" s="79">
        <v>13635993.54999999</v>
      </c>
      <c r="E12" s="79">
        <v>3395405.7899999991</v>
      </c>
      <c r="F12" s="79">
        <v>779546.29</v>
      </c>
      <c r="G12" s="79">
        <v>16753924.029999986</v>
      </c>
      <c r="H12" s="79">
        <v>2073638.2999999998</v>
      </c>
      <c r="I12" s="80">
        <v>56896200.799999982</v>
      </c>
      <c r="J12" s="79">
        <v>8060334.0200000089</v>
      </c>
      <c r="K12" s="79">
        <v>10210365.960000005</v>
      </c>
      <c r="L12" s="79">
        <v>16621276.700000009</v>
      </c>
      <c r="M12" s="80">
        <v>34891976.680000022</v>
      </c>
      <c r="N12" s="68">
        <v>1291197.6400000008</v>
      </c>
      <c r="O12" s="21">
        <v>17722949.28999998</v>
      </c>
      <c r="P12" s="81">
        <v>0</v>
      </c>
      <c r="Q12" s="68">
        <v>220.33</v>
      </c>
      <c r="R12" s="68">
        <v>154285.27999999994</v>
      </c>
      <c r="S12" s="68">
        <v>1734412.3400000008</v>
      </c>
      <c r="T12" s="80">
        <v>112691242.35999998</v>
      </c>
    </row>
    <row r="13" spans="1:65" s="24" customFormat="1" x14ac:dyDescent="0.25">
      <c r="A13" s="66">
        <f>EOMONTH(A12,12)</f>
        <v>45199</v>
      </c>
      <c r="B13" s="79">
        <v>0</v>
      </c>
      <c r="C13" s="79">
        <v>11749045.849999994</v>
      </c>
      <c r="D13" s="79">
        <v>6132540.3600000022</v>
      </c>
      <c r="E13" s="79">
        <v>1689956.9299999997</v>
      </c>
      <c r="F13" s="79">
        <v>527843.42000000039</v>
      </c>
      <c r="G13" s="67">
        <v>11710480.830000008</v>
      </c>
      <c r="H13" s="79">
        <v>1860869.5700000005</v>
      </c>
      <c r="I13" s="80">
        <v>33670736.960000008</v>
      </c>
      <c r="J13" s="137">
        <v>4794349.7399999993</v>
      </c>
      <c r="K13" s="138">
        <v>6625010.1199999973</v>
      </c>
      <c r="L13" s="139">
        <v>11411481.420000004</v>
      </c>
      <c r="M13" s="80">
        <v>22830841.280000001</v>
      </c>
      <c r="N13" s="68">
        <v>164126.64000000001</v>
      </c>
      <c r="O13" s="21">
        <v>13595629.930000005</v>
      </c>
      <c r="P13" s="81">
        <v>0</v>
      </c>
      <c r="Q13" s="68">
        <v>-165.13</v>
      </c>
      <c r="R13" s="68">
        <v>97204.829999999973</v>
      </c>
      <c r="S13" s="68">
        <v>1709600.69</v>
      </c>
      <c r="T13" s="80">
        <v>72067975.200000018</v>
      </c>
    </row>
    <row r="14" spans="1:65" s="24" customFormat="1" x14ac:dyDescent="0.25">
      <c r="A14" s="34" t="s">
        <v>19</v>
      </c>
      <c r="B14" s="82">
        <f t="shared" ref="B14:H14" si="0">+B13-B12</f>
        <v>0</v>
      </c>
      <c r="C14" s="82">
        <f t="shared" si="0"/>
        <v>-8508646.990000017</v>
      </c>
      <c r="D14" s="82">
        <f t="shared" si="0"/>
        <v>-7503453.1899999874</v>
      </c>
      <c r="E14" s="82">
        <f t="shared" si="0"/>
        <v>-1705448.8599999994</v>
      </c>
      <c r="F14" s="82">
        <f t="shared" si="0"/>
        <v>-251702.86999999965</v>
      </c>
      <c r="G14" s="82">
        <f t="shared" si="0"/>
        <v>-5043443.1999999788</v>
      </c>
      <c r="H14" s="82">
        <f t="shared" si="0"/>
        <v>-212768.72999999928</v>
      </c>
      <c r="I14" s="83">
        <f>SUM(B14:H14)</f>
        <v>-23225463.839999985</v>
      </c>
      <c r="J14" s="82">
        <f>+J13-J12</f>
        <v>-3265984.2800000096</v>
      </c>
      <c r="K14" s="82">
        <f>+K13-K12</f>
        <v>-3585355.8400000073</v>
      </c>
      <c r="L14" s="82">
        <f>+L13-L12</f>
        <v>-5209795.2800000049</v>
      </c>
      <c r="M14" s="83">
        <f>SUM(J14:L14)</f>
        <v>-12061135.400000021</v>
      </c>
      <c r="N14" s="82">
        <f t="shared" ref="N14:S14" si="1">+N13-N12</f>
        <v>-1127071.0000000009</v>
      </c>
      <c r="O14" s="82">
        <f t="shared" si="1"/>
        <v>-4127319.3599999752</v>
      </c>
      <c r="P14" s="82">
        <f t="shared" si="1"/>
        <v>0</v>
      </c>
      <c r="Q14" s="82">
        <f t="shared" si="1"/>
        <v>-385.46000000000004</v>
      </c>
      <c r="R14" s="82">
        <f t="shared" si="1"/>
        <v>-57080.449999999968</v>
      </c>
      <c r="S14" s="82">
        <f t="shared" si="1"/>
        <v>-24811.650000000838</v>
      </c>
      <c r="T14" s="84">
        <f>SUM(I14,M14,N14:S14)</f>
        <v>-40623267.159999989</v>
      </c>
    </row>
    <row r="15" spans="1:65" s="24" customFormat="1" x14ac:dyDescent="0.25">
      <c r="A15" s="130"/>
      <c r="I15" s="38"/>
      <c r="M15" s="38"/>
      <c r="T15" s="38"/>
    </row>
    <row r="16" spans="1:65" s="24" customFormat="1" ht="15.6" x14ac:dyDescent="0.25">
      <c r="A16" s="255" t="s">
        <v>150</v>
      </c>
      <c r="B16" s="256"/>
      <c r="C16" s="256"/>
      <c r="D16" s="256"/>
      <c r="E16" s="257"/>
      <c r="F16" s="23"/>
      <c r="G16" s="23"/>
      <c r="H16" s="23"/>
      <c r="I16" s="39"/>
      <c r="J16" s="23"/>
      <c r="K16" s="23"/>
      <c r="L16" s="23"/>
      <c r="M16" s="39"/>
      <c r="N16" s="23"/>
      <c r="O16" s="23"/>
      <c r="P16" s="23"/>
      <c r="Q16" s="23"/>
      <c r="R16" s="23"/>
      <c r="S16" s="23"/>
      <c r="T16" s="39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</row>
    <row r="17" spans="1:72" s="24" customFormat="1" x14ac:dyDescent="0.25">
      <c r="A17" s="23"/>
      <c r="B17" s="23"/>
      <c r="C17" s="23"/>
      <c r="D17" s="23"/>
      <c r="E17" s="23"/>
      <c r="F17" s="23"/>
      <c r="G17" s="23"/>
      <c r="H17" s="23"/>
      <c r="I17" s="39"/>
      <c r="J17" s="23"/>
      <c r="K17" s="23"/>
      <c r="L17" s="23"/>
      <c r="M17" s="39"/>
      <c r="N17" s="23"/>
      <c r="O17" s="23"/>
      <c r="P17" s="23"/>
      <c r="Q17" s="23"/>
      <c r="R17" s="23"/>
      <c r="S17" s="23"/>
      <c r="T17" s="39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</row>
    <row r="18" spans="1:72" s="24" customFormat="1" x14ac:dyDescent="0.25">
      <c r="A18" s="26"/>
      <c r="B18" s="27" t="s">
        <v>2</v>
      </c>
      <c r="C18" s="28"/>
      <c r="D18" s="28"/>
      <c r="E18" s="28"/>
      <c r="F18" s="28"/>
      <c r="G18" s="28"/>
      <c r="H18" s="28"/>
      <c r="I18" s="29" t="s">
        <v>2</v>
      </c>
      <c r="J18" s="27" t="s">
        <v>3</v>
      </c>
      <c r="K18" s="28"/>
      <c r="L18" s="28"/>
      <c r="M18" s="29" t="s">
        <v>3</v>
      </c>
      <c r="N18" s="30" t="s">
        <v>4</v>
      </c>
      <c r="O18" s="30" t="s">
        <v>5</v>
      </c>
      <c r="P18" s="30" t="s">
        <v>6</v>
      </c>
      <c r="Q18" s="30" t="s">
        <v>7</v>
      </c>
      <c r="R18" s="30" t="s">
        <v>142</v>
      </c>
      <c r="S18" s="30" t="s">
        <v>143</v>
      </c>
      <c r="T18" s="31" t="s">
        <v>8</v>
      </c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3"/>
      <c r="BS18" s="23"/>
      <c r="BT18" s="23"/>
    </row>
    <row r="19" spans="1:72" s="24" customFormat="1" x14ac:dyDescent="0.25">
      <c r="A19" s="26"/>
      <c r="B19" s="28" t="s">
        <v>9</v>
      </c>
      <c r="C19" s="28" t="s">
        <v>10</v>
      </c>
      <c r="D19" s="28" t="s">
        <v>11</v>
      </c>
      <c r="E19" s="28" t="s">
        <v>12</v>
      </c>
      <c r="F19" s="28" t="s">
        <v>13</v>
      </c>
      <c r="G19" s="28" t="s">
        <v>14</v>
      </c>
      <c r="H19" s="28" t="s">
        <v>15</v>
      </c>
      <c r="I19" s="32" t="s">
        <v>16</v>
      </c>
      <c r="J19" s="28" t="s">
        <v>17</v>
      </c>
      <c r="K19" s="28" t="s">
        <v>18</v>
      </c>
      <c r="L19" s="28" t="s">
        <v>141</v>
      </c>
      <c r="M19" s="32" t="s">
        <v>16</v>
      </c>
      <c r="N19" s="30" t="s">
        <v>16</v>
      </c>
      <c r="O19" s="30" t="s">
        <v>16</v>
      </c>
      <c r="P19" s="30" t="s">
        <v>16</v>
      </c>
      <c r="Q19" s="30" t="s">
        <v>16</v>
      </c>
      <c r="R19" s="30" t="s">
        <v>16</v>
      </c>
      <c r="S19" s="30" t="s">
        <v>16</v>
      </c>
      <c r="T19" s="31" t="s">
        <v>16</v>
      </c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3"/>
      <c r="BS19" s="23"/>
      <c r="BT19" s="23"/>
    </row>
    <row r="20" spans="1:72" s="24" customFormat="1" x14ac:dyDescent="0.25">
      <c r="A20" s="66">
        <f>+$A$12</f>
        <v>44834</v>
      </c>
      <c r="B20" s="79">
        <v>0</v>
      </c>
      <c r="C20" s="79">
        <v>-3910585.52</v>
      </c>
      <c r="D20" s="79">
        <v>-4293128.42</v>
      </c>
      <c r="E20" s="79">
        <v>-814957.35000000009</v>
      </c>
      <c r="F20" s="67">
        <v>-132344.21000000002</v>
      </c>
      <c r="G20" s="67">
        <v>-3609985.5300000003</v>
      </c>
      <c r="H20" s="67">
        <v>-214496.7</v>
      </c>
      <c r="I20" s="80">
        <v>-12975497.73</v>
      </c>
      <c r="J20" s="67">
        <v>-2216245.81</v>
      </c>
      <c r="K20" s="67">
        <v>-2738807.19</v>
      </c>
      <c r="L20" s="67">
        <v>-3758790.1900000004</v>
      </c>
      <c r="M20" s="80">
        <v>-8713843.1900000013</v>
      </c>
      <c r="N20" s="81">
        <v>-512620.66</v>
      </c>
      <c r="O20" s="68">
        <v>-1714437.2399999998</v>
      </c>
      <c r="P20" s="81">
        <v>0</v>
      </c>
      <c r="Q20" s="81">
        <v>0</v>
      </c>
      <c r="R20" s="81">
        <v>-32306.809999999998</v>
      </c>
      <c r="S20" s="68">
        <v>-204608.02</v>
      </c>
      <c r="T20" s="80">
        <v>-24153313.649999999</v>
      </c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3"/>
      <c r="BS20" s="23"/>
      <c r="BT20" s="23"/>
    </row>
    <row r="21" spans="1:72" s="24" customFormat="1" x14ac:dyDescent="0.25">
      <c r="A21" s="66">
        <f>+$A$13</f>
        <v>45199</v>
      </c>
      <c r="B21" s="79">
        <v>0</v>
      </c>
      <c r="C21" s="79">
        <v>0</v>
      </c>
      <c r="D21" s="79">
        <v>0</v>
      </c>
      <c r="E21" s="79">
        <v>0</v>
      </c>
      <c r="F21" s="67">
        <v>0</v>
      </c>
      <c r="G21" s="67">
        <v>0</v>
      </c>
      <c r="H21" s="67">
        <v>0</v>
      </c>
      <c r="I21" s="80">
        <v>0</v>
      </c>
      <c r="J21" s="67">
        <v>-0.01</v>
      </c>
      <c r="K21" s="67">
        <v>0</v>
      </c>
      <c r="L21" s="67">
        <v>0</v>
      </c>
      <c r="M21" s="80">
        <v>-0.01</v>
      </c>
      <c r="N21" s="81">
        <v>0</v>
      </c>
      <c r="O21" s="68">
        <v>0</v>
      </c>
      <c r="P21" s="81">
        <v>0</v>
      </c>
      <c r="Q21" s="81">
        <v>0</v>
      </c>
      <c r="R21" s="81">
        <v>0</v>
      </c>
      <c r="S21" s="68">
        <v>0</v>
      </c>
      <c r="T21" s="80">
        <v>-0.01</v>
      </c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3"/>
      <c r="BS21" s="23"/>
      <c r="BT21" s="23"/>
    </row>
    <row r="22" spans="1:72" s="24" customFormat="1" x14ac:dyDescent="0.25">
      <c r="A22" s="34" t="s">
        <v>19</v>
      </c>
      <c r="B22" s="82">
        <f t="shared" ref="B22:H22" si="2">+B21-B20</f>
        <v>0</v>
      </c>
      <c r="C22" s="82">
        <f t="shared" si="2"/>
        <v>3910585.52</v>
      </c>
      <c r="D22" s="82">
        <f t="shared" si="2"/>
        <v>4293128.42</v>
      </c>
      <c r="E22" s="82">
        <f t="shared" si="2"/>
        <v>814957.35000000009</v>
      </c>
      <c r="F22" s="82">
        <f t="shared" si="2"/>
        <v>132344.21000000002</v>
      </c>
      <c r="G22" s="82">
        <f t="shared" si="2"/>
        <v>3609985.5300000003</v>
      </c>
      <c r="H22" s="82">
        <f t="shared" si="2"/>
        <v>214496.7</v>
      </c>
      <c r="I22" s="83">
        <f>SUM(B22:H22)</f>
        <v>12975497.73</v>
      </c>
      <c r="J22" s="82">
        <f>+J21-J20</f>
        <v>2216245.8000000003</v>
      </c>
      <c r="K22" s="82">
        <f>+K21-K20</f>
        <v>2738807.19</v>
      </c>
      <c r="L22" s="82">
        <f>+L21-L20</f>
        <v>3758790.1900000004</v>
      </c>
      <c r="M22" s="83">
        <f>SUM(J22:L22)</f>
        <v>8713843.1799999997</v>
      </c>
      <c r="N22" s="82">
        <f t="shared" ref="N22:S22" si="3">+N21-N20</f>
        <v>512620.66</v>
      </c>
      <c r="O22" s="82">
        <f t="shared" si="3"/>
        <v>1714437.2399999998</v>
      </c>
      <c r="P22" s="82">
        <f t="shared" si="3"/>
        <v>0</v>
      </c>
      <c r="Q22" s="82">
        <f t="shared" si="3"/>
        <v>0</v>
      </c>
      <c r="R22" s="82">
        <f t="shared" si="3"/>
        <v>32306.809999999998</v>
      </c>
      <c r="S22" s="82">
        <f t="shared" si="3"/>
        <v>204608.02</v>
      </c>
      <c r="T22" s="84">
        <f>SUM(I22,M22,N22:S22)</f>
        <v>24153313.639999997</v>
      </c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3"/>
      <c r="BS22" s="23"/>
      <c r="BT22" s="23"/>
    </row>
    <row r="23" spans="1:72" s="24" customFormat="1" x14ac:dyDescent="0.25">
      <c r="I23" s="38"/>
      <c r="M23" s="38"/>
      <c r="T23" s="38"/>
    </row>
    <row r="24" spans="1:72" s="24" customFormat="1" ht="17.399999999999999" x14ac:dyDescent="0.25">
      <c r="A24" s="258" t="s">
        <v>151</v>
      </c>
      <c r="B24" s="258"/>
      <c r="C24" s="258"/>
      <c r="D24" s="258"/>
      <c r="E24" s="258"/>
      <c r="F24" s="41"/>
      <c r="G24" s="41"/>
      <c r="H24" s="23"/>
      <c r="I24" s="39"/>
      <c r="J24" s="23"/>
      <c r="K24" s="23"/>
      <c r="L24" s="23"/>
      <c r="M24" s="39"/>
      <c r="N24" s="23"/>
      <c r="O24" s="23"/>
      <c r="P24" s="23"/>
      <c r="Q24" s="23"/>
      <c r="R24" s="23"/>
      <c r="S24" s="23"/>
      <c r="T24" s="39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</row>
    <row r="25" spans="1:72" s="24" customFormat="1" x14ac:dyDescent="0.25">
      <c r="A25" s="23"/>
      <c r="B25" s="23"/>
      <c r="C25" s="23"/>
      <c r="D25" s="23"/>
      <c r="E25" s="23"/>
      <c r="F25" s="23"/>
      <c r="G25" s="23"/>
      <c r="H25" s="23"/>
      <c r="I25" s="39"/>
      <c r="J25" s="23"/>
      <c r="K25" s="23"/>
      <c r="L25" s="23"/>
      <c r="M25" s="39"/>
      <c r="N25" s="23"/>
      <c r="O25" s="23"/>
      <c r="P25" s="23"/>
      <c r="Q25" s="23"/>
      <c r="R25" s="23"/>
      <c r="S25" s="23"/>
      <c r="T25" s="39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</row>
    <row r="26" spans="1:72" s="24" customFormat="1" x14ac:dyDescent="0.25">
      <c r="A26" s="26"/>
      <c r="B26" s="27" t="s">
        <v>2</v>
      </c>
      <c r="C26" s="28"/>
      <c r="D26" s="28"/>
      <c r="E26" s="28"/>
      <c r="F26" s="28"/>
      <c r="G26" s="28"/>
      <c r="H26" s="28"/>
      <c r="I26" s="29" t="s">
        <v>2</v>
      </c>
      <c r="J26" s="27" t="s">
        <v>3</v>
      </c>
      <c r="K26" s="28"/>
      <c r="L26" s="28"/>
      <c r="M26" s="29" t="s">
        <v>3</v>
      </c>
      <c r="N26" s="30" t="s">
        <v>4</v>
      </c>
      <c r="O26" s="30" t="s">
        <v>5</v>
      </c>
      <c r="P26" s="30" t="s">
        <v>6</v>
      </c>
      <c r="Q26" s="30" t="s">
        <v>7</v>
      </c>
      <c r="R26" s="30" t="s">
        <v>142</v>
      </c>
      <c r="S26" s="30" t="s">
        <v>143</v>
      </c>
      <c r="T26" s="31" t="s">
        <v>8</v>
      </c>
      <c r="U26" s="23"/>
      <c r="V26" s="23"/>
      <c r="W26" s="23"/>
    </row>
    <row r="27" spans="1:72" s="24" customFormat="1" x14ac:dyDescent="0.25">
      <c r="A27" s="26"/>
      <c r="B27" s="28" t="s">
        <v>9</v>
      </c>
      <c r="C27" s="28" t="s">
        <v>10</v>
      </c>
      <c r="D27" s="28" t="s">
        <v>11</v>
      </c>
      <c r="E27" s="28" t="s">
        <v>12</v>
      </c>
      <c r="F27" s="28" t="s">
        <v>13</v>
      </c>
      <c r="G27" s="28" t="s">
        <v>14</v>
      </c>
      <c r="H27" s="28" t="s">
        <v>15</v>
      </c>
      <c r="I27" s="32" t="s">
        <v>16</v>
      </c>
      <c r="J27" s="28" t="s">
        <v>17</v>
      </c>
      <c r="K27" s="28" t="s">
        <v>18</v>
      </c>
      <c r="L27" s="28" t="s">
        <v>141</v>
      </c>
      <c r="M27" s="32" t="s">
        <v>16</v>
      </c>
      <c r="N27" s="30" t="s">
        <v>16</v>
      </c>
      <c r="O27" s="30" t="s">
        <v>16</v>
      </c>
      <c r="P27" s="30" t="s">
        <v>16</v>
      </c>
      <c r="Q27" s="30" t="s">
        <v>16</v>
      </c>
      <c r="R27" s="30" t="s">
        <v>16</v>
      </c>
      <c r="S27" s="30" t="s">
        <v>16</v>
      </c>
      <c r="T27" s="31" t="s">
        <v>16</v>
      </c>
      <c r="U27" s="23"/>
      <c r="V27" s="23"/>
      <c r="W27" s="23"/>
    </row>
    <row r="28" spans="1:72" s="24" customFormat="1" x14ac:dyDescent="0.25">
      <c r="A28" s="66">
        <f>+$A$12</f>
        <v>44834</v>
      </c>
      <c r="B28" s="79">
        <f>+B12+B20</f>
        <v>0</v>
      </c>
      <c r="C28" s="79">
        <f t="shared" ref="B28:H30" si="4">+C12+C20</f>
        <v>16347107.320000011</v>
      </c>
      <c r="D28" s="79">
        <f t="shared" si="4"/>
        <v>9342865.1299999896</v>
      </c>
      <c r="E28" s="79">
        <f t="shared" si="4"/>
        <v>2580448.439999999</v>
      </c>
      <c r="F28" s="79">
        <f t="shared" si="4"/>
        <v>647202.08000000007</v>
      </c>
      <c r="G28" s="79">
        <f t="shared" si="4"/>
        <v>13143938.499999985</v>
      </c>
      <c r="H28" s="79">
        <f t="shared" si="4"/>
        <v>1859141.5999999999</v>
      </c>
      <c r="I28" s="80">
        <f>SUM(B28:H28)</f>
        <v>43920703.069999985</v>
      </c>
      <c r="J28" s="79">
        <f t="shared" ref="J28:L30" si="5">+J12+J20</f>
        <v>5844088.2100000083</v>
      </c>
      <c r="K28" s="79">
        <f t="shared" si="5"/>
        <v>7471558.7700000051</v>
      </c>
      <c r="L28" s="79">
        <f t="shared" si="5"/>
        <v>12862486.510000009</v>
      </c>
      <c r="M28" s="80">
        <f>SUM(J28:L28)</f>
        <v>26178133.490000024</v>
      </c>
      <c r="N28" s="81">
        <f t="shared" ref="N28:S30" si="6">+N12+N20</f>
        <v>778576.98000000091</v>
      </c>
      <c r="O28" s="81">
        <f t="shared" si="6"/>
        <v>16008512.04999998</v>
      </c>
      <c r="P28" s="81">
        <f t="shared" si="6"/>
        <v>0</v>
      </c>
      <c r="Q28" s="81">
        <f t="shared" si="6"/>
        <v>220.33</v>
      </c>
      <c r="R28" s="81">
        <f t="shared" si="6"/>
        <v>121978.46999999994</v>
      </c>
      <c r="S28" s="81">
        <f t="shared" si="6"/>
        <v>1529804.3200000008</v>
      </c>
      <c r="T28" s="80">
        <f>SUM(I28,M28,N28:S28)</f>
        <v>88537928.709999993</v>
      </c>
      <c r="U28" s="23"/>
      <c r="V28" s="23"/>
      <c r="W28" s="23"/>
    </row>
    <row r="29" spans="1:72" s="24" customFormat="1" x14ac:dyDescent="0.25">
      <c r="A29" s="66">
        <f>+$A$13</f>
        <v>45199</v>
      </c>
      <c r="B29" s="79">
        <f t="shared" si="4"/>
        <v>0</v>
      </c>
      <c r="C29" s="79">
        <f>+C13+C21</f>
        <v>11749045.849999994</v>
      </c>
      <c r="D29" s="79">
        <f t="shared" si="4"/>
        <v>6132540.3600000022</v>
      </c>
      <c r="E29" s="79">
        <f>+E13+E21</f>
        <v>1689956.9299999997</v>
      </c>
      <c r="F29" s="79">
        <f t="shared" si="4"/>
        <v>527843.42000000039</v>
      </c>
      <c r="G29" s="79">
        <f t="shared" si="4"/>
        <v>11710480.830000008</v>
      </c>
      <c r="H29" s="79">
        <f t="shared" si="4"/>
        <v>1860869.5700000005</v>
      </c>
      <c r="I29" s="80">
        <f>SUM(B29:H29)</f>
        <v>33670736.960000008</v>
      </c>
      <c r="J29" s="79">
        <f t="shared" si="5"/>
        <v>4794349.7299999995</v>
      </c>
      <c r="K29" s="79">
        <f t="shared" si="5"/>
        <v>6625010.1199999973</v>
      </c>
      <c r="L29" s="79">
        <f t="shared" si="5"/>
        <v>11411481.420000004</v>
      </c>
      <c r="M29" s="80">
        <f>SUM(J29:L29)</f>
        <v>22830841.270000003</v>
      </c>
      <c r="N29" s="81">
        <f t="shared" si="6"/>
        <v>164126.64000000001</v>
      </c>
      <c r="O29" s="81">
        <f t="shared" si="6"/>
        <v>13595629.930000005</v>
      </c>
      <c r="P29" s="81">
        <f t="shared" si="6"/>
        <v>0</v>
      </c>
      <c r="Q29" s="81">
        <f t="shared" si="6"/>
        <v>-165.13</v>
      </c>
      <c r="R29" s="81">
        <f t="shared" si="6"/>
        <v>97204.829999999973</v>
      </c>
      <c r="S29" s="81">
        <f t="shared" si="6"/>
        <v>1709600.69</v>
      </c>
      <c r="T29" s="80">
        <f>SUM(I29,M29,N29:S29)</f>
        <v>72067975.190000013</v>
      </c>
      <c r="U29" s="23"/>
      <c r="V29" s="23"/>
      <c r="W29" s="23"/>
    </row>
    <row r="30" spans="1:72" s="24" customFormat="1" x14ac:dyDescent="0.25">
      <c r="A30" s="34" t="s">
        <v>19</v>
      </c>
      <c r="B30" s="82">
        <f t="shared" si="4"/>
        <v>0</v>
      </c>
      <c r="C30" s="82">
        <f t="shared" si="4"/>
        <v>-4598061.4700000174</v>
      </c>
      <c r="D30" s="82">
        <f t="shared" si="4"/>
        <v>-3210324.7699999874</v>
      </c>
      <c r="E30" s="82">
        <f t="shared" si="4"/>
        <v>-890491.50999999931</v>
      </c>
      <c r="F30" s="82">
        <f t="shared" si="4"/>
        <v>-119358.65999999963</v>
      </c>
      <c r="G30" s="82">
        <f t="shared" si="4"/>
        <v>-1433457.6699999785</v>
      </c>
      <c r="H30" s="82">
        <f t="shared" si="4"/>
        <v>1727.9700000007288</v>
      </c>
      <c r="I30" s="83">
        <f>SUM(B30:H30)</f>
        <v>-10249966.109999983</v>
      </c>
      <c r="J30" s="82">
        <f t="shared" si="5"/>
        <v>-1049738.4800000093</v>
      </c>
      <c r="K30" s="82">
        <f t="shared" si="5"/>
        <v>-846548.65000000736</v>
      </c>
      <c r="L30" s="82">
        <f t="shared" si="5"/>
        <v>-1451005.0900000045</v>
      </c>
      <c r="M30" s="83">
        <f>SUM(J30:L30)</f>
        <v>-3347292.2200000212</v>
      </c>
      <c r="N30" s="82">
        <f t="shared" si="6"/>
        <v>-614450.34000000102</v>
      </c>
      <c r="O30" s="82">
        <f t="shared" si="6"/>
        <v>-2412882.1199999754</v>
      </c>
      <c r="P30" s="82">
        <f t="shared" si="6"/>
        <v>0</v>
      </c>
      <c r="Q30" s="82">
        <f t="shared" si="6"/>
        <v>-385.46000000000004</v>
      </c>
      <c r="R30" s="82">
        <f t="shared" si="6"/>
        <v>-24773.63999999997</v>
      </c>
      <c r="S30" s="82">
        <f t="shared" si="6"/>
        <v>179796.36999999915</v>
      </c>
      <c r="T30" s="84">
        <f>SUM(I30,M30,N30:S30)</f>
        <v>-16469953.519999983</v>
      </c>
      <c r="U30" s="23"/>
      <c r="V30" s="23"/>
      <c r="W30" s="23"/>
    </row>
    <row r="31" spans="1:72" s="24" customFormat="1" ht="13.8" thickBot="1" x14ac:dyDescent="0.3">
      <c r="A31" s="23"/>
      <c r="B31" s="23"/>
      <c r="C31" s="23"/>
      <c r="D31" s="23"/>
      <c r="E31" s="23"/>
      <c r="F31" s="23"/>
      <c r="G31" s="23"/>
      <c r="H31" s="23"/>
      <c r="I31" s="39"/>
      <c r="J31" s="23"/>
      <c r="K31" s="23"/>
      <c r="L31" s="23"/>
      <c r="M31" s="39"/>
      <c r="N31" s="23"/>
      <c r="O31" s="23"/>
      <c r="P31" s="23"/>
      <c r="Q31" s="23"/>
      <c r="R31" s="23"/>
      <c r="S31" s="23"/>
      <c r="T31" s="39"/>
      <c r="U31" s="23"/>
      <c r="V31" s="23"/>
      <c r="W31" s="23"/>
      <c r="X31" s="23"/>
      <c r="Y31" s="23"/>
      <c r="Z31" s="23"/>
      <c r="AA31" s="23"/>
      <c r="AB31" s="23"/>
    </row>
    <row r="32" spans="1:72" s="24" customFormat="1" ht="18" thickBot="1" x14ac:dyDescent="0.3">
      <c r="A32" s="262" t="s">
        <v>152</v>
      </c>
      <c r="B32" s="263"/>
      <c r="C32" s="263"/>
      <c r="D32" s="263"/>
      <c r="E32" s="263"/>
      <c r="F32" s="263"/>
      <c r="G32" s="263"/>
      <c r="H32" s="263"/>
      <c r="I32" s="263"/>
      <c r="J32" s="263"/>
      <c r="K32" s="263"/>
      <c r="L32" s="263"/>
      <c r="M32" s="263"/>
      <c r="N32" s="263"/>
      <c r="O32" s="263"/>
      <c r="P32" s="263"/>
      <c r="Q32" s="263"/>
      <c r="R32" s="263"/>
      <c r="S32" s="263"/>
      <c r="T32" s="264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</row>
    <row r="33" spans="1:132" s="24" customFormat="1" x14ac:dyDescent="0.25">
      <c r="I33" s="38"/>
      <c r="M33" s="38"/>
      <c r="T33" s="38"/>
    </row>
    <row r="34" spans="1:132" s="24" customFormat="1" ht="15.6" x14ac:dyDescent="0.25">
      <c r="A34" s="255" t="s">
        <v>149</v>
      </c>
      <c r="B34" s="256"/>
      <c r="C34" s="256"/>
      <c r="D34" s="256"/>
      <c r="E34" s="257"/>
      <c r="F34" s="23"/>
      <c r="G34" s="23"/>
      <c r="H34" s="23"/>
      <c r="I34" s="39"/>
      <c r="J34" s="23"/>
      <c r="K34" s="23"/>
      <c r="L34" s="23"/>
      <c r="M34" s="39"/>
      <c r="N34" s="23"/>
      <c r="O34" s="23"/>
      <c r="P34" s="23"/>
      <c r="Q34" s="23"/>
      <c r="R34" s="23"/>
      <c r="S34" s="23"/>
      <c r="T34" s="39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</row>
    <row r="35" spans="1:132" s="24" customFormat="1" x14ac:dyDescent="0.25">
      <c r="A35" s="23"/>
      <c r="B35" s="23"/>
      <c r="C35" s="23"/>
      <c r="D35" s="23"/>
      <c r="E35" s="23"/>
      <c r="F35" s="23"/>
      <c r="G35" s="23"/>
      <c r="H35" s="23"/>
      <c r="I35" s="39"/>
      <c r="J35" s="23"/>
      <c r="K35" s="23"/>
      <c r="L35" s="23"/>
      <c r="M35" s="39"/>
      <c r="N35" s="23"/>
      <c r="O35" s="23"/>
      <c r="P35" s="23"/>
      <c r="Q35" s="23"/>
      <c r="R35" s="23"/>
      <c r="S35" s="23"/>
      <c r="T35" s="39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</row>
    <row r="36" spans="1:132" s="24" customFormat="1" x14ac:dyDescent="0.25">
      <c r="A36" s="26"/>
      <c r="B36" s="27" t="s">
        <v>2</v>
      </c>
      <c r="C36" s="28"/>
      <c r="D36" s="28"/>
      <c r="E36" s="28"/>
      <c r="F36" s="28"/>
      <c r="G36" s="28"/>
      <c r="H36" s="28"/>
      <c r="I36" s="29" t="s">
        <v>2</v>
      </c>
      <c r="J36" s="27" t="s">
        <v>3</v>
      </c>
      <c r="K36" s="28"/>
      <c r="L36" s="28"/>
      <c r="M36" s="29" t="s">
        <v>3</v>
      </c>
      <c r="N36" s="30" t="s">
        <v>4</v>
      </c>
      <c r="O36" s="30" t="s">
        <v>5</v>
      </c>
      <c r="P36" s="30" t="s">
        <v>6</v>
      </c>
      <c r="Q36" s="30" t="s">
        <v>7</v>
      </c>
      <c r="R36" s="30" t="s">
        <v>142</v>
      </c>
      <c r="S36" s="30" t="s">
        <v>143</v>
      </c>
      <c r="T36" s="31" t="s">
        <v>8</v>
      </c>
    </row>
    <row r="37" spans="1:132" s="24" customFormat="1" x14ac:dyDescent="0.25">
      <c r="A37" s="26"/>
      <c r="B37" s="28" t="s">
        <v>9</v>
      </c>
      <c r="C37" s="28" t="s">
        <v>10</v>
      </c>
      <c r="D37" s="28" t="s">
        <v>11</v>
      </c>
      <c r="E37" s="28" t="s">
        <v>12</v>
      </c>
      <c r="F37" s="28" t="s">
        <v>13</v>
      </c>
      <c r="G37" s="28" t="s">
        <v>14</v>
      </c>
      <c r="H37" s="28" t="s">
        <v>15</v>
      </c>
      <c r="I37" s="32" t="s">
        <v>16</v>
      </c>
      <c r="J37" s="28" t="s">
        <v>17</v>
      </c>
      <c r="K37" s="28" t="s">
        <v>18</v>
      </c>
      <c r="L37" s="28" t="s">
        <v>141</v>
      </c>
      <c r="M37" s="32" t="s">
        <v>16</v>
      </c>
      <c r="N37" s="30" t="s">
        <v>16</v>
      </c>
      <c r="O37" s="30" t="s">
        <v>16</v>
      </c>
      <c r="P37" s="30" t="s">
        <v>16</v>
      </c>
      <c r="Q37" s="30" t="s">
        <v>16</v>
      </c>
      <c r="R37" s="30" t="s">
        <v>16</v>
      </c>
      <c r="S37" s="30" t="s">
        <v>16</v>
      </c>
      <c r="T37" s="31" t="s">
        <v>16</v>
      </c>
    </row>
    <row r="38" spans="1:132" s="24" customFormat="1" x14ac:dyDescent="0.25">
      <c r="A38" s="66">
        <f>+$A$12</f>
        <v>44834</v>
      </c>
      <c r="B38" s="78">
        <v>65446.849999999969</v>
      </c>
      <c r="C38" s="78">
        <v>1197796.3399999999</v>
      </c>
      <c r="D38" s="78">
        <v>1097314.3299999998</v>
      </c>
      <c r="E38" s="78">
        <v>178363.92999999988</v>
      </c>
      <c r="F38" s="87">
        <v>13436.160000000005</v>
      </c>
      <c r="G38" s="78">
        <v>905935.24000000069</v>
      </c>
      <c r="H38" s="78">
        <v>177370.88999999993</v>
      </c>
      <c r="I38" s="33">
        <v>3635663.74</v>
      </c>
      <c r="J38" s="186">
        <v>986072.64000000118</v>
      </c>
      <c r="K38" s="186">
        <v>1271261.9200000004</v>
      </c>
      <c r="L38" s="186">
        <v>798916.83000000054</v>
      </c>
      <c r="M38" s="33">
        <v>3056251.390000002</v>
      </c>
      <c r="N38" s="85">
        <v>61104.040000000023</v>
      </c>
      <c r="O38" s="85">
        <v>651829.46000000101</v>
      </c>
      <c r="P38" s="85">
        <v>14869.09</v>
      </c>
      <c r="Q38" s="85">
        <v>-728750.91999999993</v>
      </c>
      <c r="R38" s="85">
        <v>3299.1300000000028</v>
      </c>
      <c r="S38" s="107">
        <v>115784.68000000002</v>
      </c>
      <c r="T38" s="33">
        <v>6810050.6100000031</v>
      </c>
    </row>
    <row r="39" spans="1:132" s="24" customFormat="1" x14ac:dyDescent="0.25">
      <c r="A39" s="66">
        <f>+$A$13</f>
        <v>45199</v>
      </c>
      <c r="B39" s="78">
        <v>11678.819999999989</v>
      </c>
      <c r="C39" s="78">
        <v>1353182.3499999985</v>
      </c>
      <c r="D39" s="78">
        <v>838377.31999999913</v>
      </c>
      <c r="E39" s="78">
        <v>175800.12</v>
      </c>
      <c r="F39" s="87">
        <v>17422.48000000001</v>
      </c>
      <c r="G39" s="78">
        <v>696867.79000000097</v>
      </c>
      <c r="H39" s="78">
        <v>212711.56999999998</v>
      </c>
      <c r="I39" s="33">
        <v>3306040.4499999983</v>
      </c>
      <c r="J39" s="186">
        <v>517780.06000000046</v>
      </c>
      <c r="K39" s="186">
        <v>830396.8600000008</v>
      </c>
      <c r="L39" s="186">
        <v>617897.14000000071</v>
      </c>
      <c r="M39" s="33">
        <v>1966074.0600000019</v>
      </c>
      <c r="N39" s="85">
        <v>42009.009999999987</v>
      </c>
      <c r="O39" s="85">
        <v>384080.67999999964</v>
      </c>
      <c r="P39" s="85">
        <v>25780.83</v>
      </c>
      <c r="Q39" s="85">
        <v>-3331124.61</v>
      </c>
      <c r="R39" s="85">
        <v>1506.23</v>
      </c>
      <c r="S39" s="107">
        <v>71835.640000000029</v>
      </c>
      <c r="T39" s="33">
        <v>2466202.2899999996</v>
      </c>
    </row>
    <row r="40" spans="1:132" s="24" customFormat="1" x14ac:dyDescent="0.25">
      <c r="A40" s="34" t="s">
        <v>19</v>
      </c>
      <c r="B40" s="35">
        <f t="shared" ref="B40:H40" si="7">+B39-B38</f>
        <v>-53768.029999999984</v>
      </c>
      <c r="C40" s="35">
        <f t="shared" si="7"/>
        <v>155386.00999999861</v>
      </c>
      <c r="D40" s="35">
        <f t="shared" si="7"/>
        <v>-258937.01000000071</v>
      </c>
      <c r="E40" s="35">
        <f t="shared" si="7"/>
        <v>-2563.8099999998813</v>
      </c>
      <c r="F40" s="35">
        <f t="shared" si="7"/>
        <v>3986.3200000000052</v>
      </c>
      <c r="G40" s="35">
        <f t="shared" si="7"/>
        <v>-209067.44999999972</v>
      </c>
      <c r="H40" s="35">
        <f t="shared" si="7"/>
        <v>35340.680000000051</v>
      </c>
      <c r="I40" s="36">
        <f>SUM(B40:H40)</f>
        <v>-329623.29000000161</v>
      </c>
      <c r="J40" s="35">
        <f>+J39-J38</f>
        <v>-468292.58000000071</v>
      </c>
      <c r="K40" s="35">
        <f>+K39-K38</f>
        <v>-440865.05999999959</v>
      </c>
      <c r="L40" s="35">
        <f>+L39-L38</f>
        <v>-181019.68999999983</v>
      </c>
      <c r="M40" s="36">
        <f>SUM(J40:L40)</f>
        <v>-1090177.33</v>
      </c>
      <c r="N40" s="35">
        <f t="shared" ref="N40:S40" si="8">+N39-N38</f>
        <v>-19095.030000000035</v>
      </c>
      <c r="O40" s="35">
        <f t="shared" si="8"/>
        <v>-267748.78000000137</v>
      </c>
      <c r="P40" s="35">
        <f t="shared" si="8"/>
        <v>10911.740000000002</v>
      </c>
      <c r="Q40" s="35">
        <f t="shared" si="8"/>
        <v>-2602373.69</v>
      </c>
      <c r="R40" s="35">
        <f t="shared" si="8"/>
        <v>-1792.9000000000028</v>
      </c>
      <c r="S40" s="35">
        <f t="shared" si="8"/>
        <v>-43949.039999999994</v>
      </c>
      <c r="T40" s="37">
        <f>SUM(I40,M40,N40:S40)</f>
        <v>-4343848.3200000031</v>
      </c>
    </row>
    <row r="41" spans="1:132" s="24" customFormat="1" x14ac:dyDescent="0.25">
      <c r="I41" s="38"/>
      <c r="M41" s="38"/>
      <c r="S41" s="132"/>
      <c r="T41" s="38"/>
    </row>
    <row r="42" spans="1:132" s="24" customFormat="1" ht="15.6" x14ac:dyDescent="0.25">
      <c r="A42" s="255" t="s">
        <v>150</v>
      </c>
      <c r="B42" s="256"/>
      <c r="C42" s="256"/>
      <c r="D42" s="256"/>
      <c r="E42" s="257"/>
      <c r="F42" s="23"/>
      <c r="G42" s="23"/>
      <c r="H42" s="23"/>
      <c r="I42" s="39"/>
      <c r="J42" s="23"/>
      <c r="K42" s="23"/>
      <c r="L42" s="23"/>
      <c r="M42" s="39"/>
      <c r="N42" s="23"/>
      <c r="O42" s="23"/>
      <c r="P42" s="23"/>
      <c r="Q42" s="23"/>
      <c r="R42" s="23"/>
      <c r="S42" s="55"/>
      <c r="T42" s="39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</row>
    <row r="43" spans="1:132" s="24" customFormat="1" x14ac:dyDescent="0.25">
      <c r="A43" s="23"/>
      <c r="B43" s="23"/>
      <c r="C43" s="23"/>
      <c r="D43" s="23"/>
      <c r="E43" s="23"/>
      <c r="F43" s="23"/>
      <c r="G43" s="23"/>
      <c r="H43" s="23"/>
      <c r="I43" s="39"/>
      <c r="J43" s="23"/>
      <c r="K43" s="23"/>
      <c r="L43" s="23"/>
      <c r="M43" s="39"/>
      <c r="N43" s="23"/>
      <c r="O43" s="23"/>
      <c r="P43" s="23"/>
      <c r="Q43" s="23"/>
      <c r="R43" s="23"/>
      <c r="S43" s="55"/>
      <c r="T43" s="39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</row>
    <row r="44" spans="1:132" s="24" customFormat="1" x14ac:dyDescent="0.25">
      <c r="A44" s="26"/>
      <c r="B44" s="27" t="s">
        <v>2</v>
      </c>
      <c r="C44" s="28"/>
      <c r="D44" s="28"/>
      <c r="E44" s="28"/>
      <c r="F44" s="28"/>
      <c r="G44" s="28"/>
      <c r="H44" s="28"/>
      <c r="I44" s="29" t="s">
        <v>2</v>
      </c>
      <c r="J44" s="27" t="s">
        <v>3</v>
      </c>
      <c r="K44" s="28"/>
      <c r="L44" s="28"/>
      <c r="M44" s="29" t="s">
        <v>3</v>
      </c>
      <c r="N44" s="30" t="s">
        <v>4</v>
      </c>
      <c r="O44" s="30" t="s">
        <v>5</v>
      </c>
      <c r="P44" s="30" t="s">
        <v>6</v>
      </c>
      <c r="Q44" s="30" t="s">
        <v>7</v>
      </c>
      <c r="R44" s="30" t="s">
        <v>142</v>
      </c>
      <c r="S44" s="133" t="s">
        <v>143</v>
      </c>
      <c r="T44" s="31" t="s">
        <v>8</v>
      </c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3"/>
      <c r="BS44" s="23"/>
      <c r="BT44" s="23"/>
      <c r="BU44" s="23"/>
      <c r="BV44" s="23"/>
      <c r="BW44" s="23"/>
      <c r="BX44" s="23"/>
      <c r="BY44" s="23"/>
      <c r="BZ44" s="23"/>
      <c r="CA44" s="23"/>
      <c r="CB44" s="23"/>
      <c r="CC44" s="23"/>
      <c r="CD44" s="23"/>
      <c r="CE44" s="23"/>
      <c r="CF44" s="23"/>
      <c r="CG44" s="23"/>
      <c r="CH44" s="23"/>
      <c r="CI44" s="23"/>
      <c r="CJ44" s="23"/>
      <c r="CK44" s="23"/>
      <c r="CL44" s="23"/>
      <c r="CM44" s="23"/>
      <c r="CN44" s="23"/>
      <c r="CO44" s="23"/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3"/>
      <c r="DV44" s="23"/>
      <c r="DW44" s="23"/>
      <c r="DX44" s="23"/>
      <c r="DY44" s="23"/>
      <c r="DZ44" s="23"/>
      <c r="EA44" s="23"/>
      <c r="EB44" s="23"/>
    </row>
    <row r="45" spans="1:132" s="24" customFormat="1" x14ac:dyDescent="0.25">
      <c r="A45" s="26"/>
      <c r="B45" s="28" t="s">
        <v>9</v>
      </c>
      <c r="C45" s="28" t="s">
        <v>10</v>
      </c>
      <c r="D45" s="28" t="s">
        <v>11</v>
      </c>
      <c r="E45" s="28" t="s">
        <v>12</v>
      </c>
      <c r="F45" s="28" t="s">
        <v>13</v>
      </c>
      <c r="G45" s="28" t="s">
        <v>14</v>
      </c>
      <c r="H45" s="28" t="s">
        <v>15</v>
      </c>
      <c r="I45" s="32" t="s">
        <v>16</v>
      </c>
      <c r="J45" s="28" t="s">
        <v>17</v>
      </c>
      <c r="K45" s="28" t="s">
        <v>18</v>
      </c>
      <c r="L45" s="28" t="s">
        <v>141</v>
      </c>
      <c r="M45" s="32" t="s">
        <v>16</v>
      </c>
      <c r="N45" s="30" t="s">
        <v>16</v>
      </c>
      <c r="O45" s="30" t="s">
        <v>16</v>
      </c>
      <c r="P45" s="30" t="s">
        <v>16</v>
      </c>
      <c r="Q45" s="30" t="s">
        <v>16</v>
      </c>
      <c r="R45" s="30" t="s">
        <v>16</v>
      </c>
      <c r="S45" s="133" t="s">
        <v>16</v>
      </c>
      <c r="T45" s="31" t="s">
        <v>16</v>
      </c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3"/>
      <c r="BS45" s="23"/>
      <c r="BT45" s="23"/>
      <c r="BU45" s="23"/>
      <c r="BV45" s="23"/>
      <c r="BW45" s="23"/>
      <c r="BX45" s="23"/>
      <c r="BY45" s="23"/>
      <c r="BZ45" s="23"/>
      <c r="CA45" s="23"/>
      <c r="CB45" s="23"/>
      <c r="CC45" s="23"/>
      <c r="CD45" s="23"/>
      <c r="CE45" s="23"/>
      <c r="CF45" s="23"/>
      <c r="CG45" s="23"/>
      <c r="CH45" s="23"/>
      <c r="CI45" s="23"/>
      <c r="CJ45" s="23"/>
      <c r="CK45" s="23"/>
      <c r="CL45" s="23"/>
      <c r="CM45" s="23"/>
      <c r="CN45" s="23"/>
      <c r="CO45" s="23"/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3"/>
      <c r="DV45" s="23"/>
      <c r="DW45" s="23"/>
      <c r="DX45" s="23"/>
      <c r="DY45" s="23"/>
      <c r="DZ45" s="23"/>
      <c r="EA45" s="23"/>
      <c r="EB45" s="23"/>
    </row>
    <row r="46" spans="1:132" s="24" customFormat="1" x14ac:dyDescent="0.25">
      <c r="A46" s="66">
        <f>+$A$12</f>
        <v>44834</v>
      </c>
      <c r="B46" s="79">
        <v>-22496.2</v>
      </c>
      <c r="C46" s="79">
        <v>0</v>
      </c>
      <c r="D46" s="79">
        <v>-27958.3</v>
      </c>
      <c r="E46" s="79">
        <v>0</v>
      </c>
      <c r="F46" s="79">
        <v>0</v>
      </c>
      <c r="G46" s="79">
        <v>0</v>
      </c>
      <c r="H46" s="79">
        <v>0</v>
      </c>
      <c r="I46" s="80">
        <v>-50454.5</v>
      </c>
      <c r="J46" s="79">
        <v>0</v>
      </c>
      <c r="K46" s="79">
        <v>0</v>
      </c>
      <c r="L46" s="79">
        <v>0</v>
      </c>
      <c r="M46" s="80">
        <v>0</v>
      </c>
      <c r="N46" s="86">
        <v>0</v>
      </c>
      <c r="O46" s="86">
        <v>0</v>
      </c>
      <c r="P46" s="86">
        <v>0</v>
      </c>
      <c r="Q46" s="86">
        <v>0</v>
      </c>
      <c r="R46" s="86">
        <v>0</v>
      </c>
      <c r="S46" s="67">
        <v>-9.91</v>
      </c>
      <c r="T46" s="80">
        <v>-50464.41</v>
      </c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3"/>
      <c r="BS46" s="23"/>
      <c r="BT46" s="23"/>
      <c r="BU46" s="23"/>
      <c r="BV46" s="23"/>
      <c r="BW46" s="23"/>
      <c r="BX46" s="23"/>
      <c r="BY46" s="23"/>
      <c r="BZ46" s="23"/>
      <c r="CA46" s="23"/>
      <c r="CB46" s="23"/>
      <c r="CC46" s="23"/>
      <c r="CD46" s="23"/>
      <c r="CE46" s="23"/>
      <c r="CF46" s="23"/>
      <c r="CG46" s="23"/>
      <c r="CH46" s="23"/>
      <c r="CI46" s="23"/>
      <c r="CJ46" s="23"/>
      <c r="CK46" s="23"/>
      <c r="CL46" s="23"/>
      <c r="CM46" s="23"/>
      <c r="CN46" s="23"/>
      <c r="CO46" s="23"/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3"/>
      <c r="DV46" s="23"/>
      <c r="DW46" s="23"/>
      <c r="DX46" s="23"/>
      <c r="DY46" s="23"/>
      <c r="DZ46" s="23"/>
      <c r="EA46" s="23"/>
      <c r="EB46" s="23"/>
    </row>
    <row r="47" spans="1:132" s="24" customFormat="1" x14ac:dyDescent="0.25">
      <c r="A47" s="66">
        <f>+$A$13</f>
        <v>45199</v>
      </c>
      <c r="B47" s="79">
        <v>0</v>
      </c>
      <c r="C47" s="79">
        <v>0</v>
      </c>
      <c r="D47" s="79">
        <v>0</v>
      </c>
      <c r="E47" s="79">
        <v>0</v>
      </c>
      <c r="F47" s="79">
        <v>0</v>
      </c>
      <c r="G47" s="79">
        <v>0</v>
      </c>
      <c r="H47" s="79">
        <v>0</v>
      </c>
      <c r="I47" s="80">
        <v>0</v>
      </c>
      <c r="J47" s="79">
        <v>0</v>
      </c>
      <c r="K47" s="79">
        <v>0</v>
      </c>
      <c r="L47" s="79">
        <v>0</v>
      </c>
      <c r="M47" s="80">
        <v>0</v>
      </c>
      <c r="N47" s="86">
        <v>0</v>
      </c>
      <c r="O47" s="86">
        <v>0</v>
      </c>
      <c r="P47" s="86">
        <v>0</v>
      </c>
      <c r="Q47" s="86">
        <v>0</v>
      </c>
      <c r="R47" s="86">
        <v>0</v>
      </c>
      <c r="S47" s="67">
        <v>0</v>
      </c>
      <c r="T47" s="80">
        <v>0</v>
      </c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3"/>
      <c r="BS47" s="23"/>
      <c r="BT47" s="23"/>
      <c r="BU47" s="23"/>
      <c r="BV47" s="23"/>
      <c r="BW47" s="23"/>
      <c r="BX47" s="23"/>
      <c r="BY47" s="23"/>
      <c r="BZ47" s="23"/>
      <c r="CA47" s="23"/>
      <c r="CB47" s="23"/>
      <c r="CC47" s="23"/>
      <c r="CD47" s="23"/>
      <c r="CE47" s="23"/>
      <c r="CF47" s="23"/>
      <c r="CG47" s="23"/>
      <c r="CH47" s="23"/>
      <c r="CI47" s="23"/>
      <c r="CJ47" s="23"/>
      <c r="CK47" s="23"/>
      <c r="CL47" s="23"/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3"/>
      <c r="DV47" s="23"/>
      <c r="DW47" s="23"/>
      <c r="DX47" s="23"/>
      <c r="DY47" s="23"/>
      <c r="DZ47" s="23"/>
      <c r="EA47" s="23"/>
      <c r="EB47" s="23"/>
    </row>
    <row r="48" spans="1:132" s="24" customFormat="1" x14ac:dyDescent="0.25">
      <c r="A48" s="34" t="s">
        <v>19</v>
      </c>
      <c r="B48" s="82">
        <f t="shared" ref="B48:H48" si="9">+B47-B46</f>
        <v>22496.2</v>
      </c>
      <c r="C48" s="82">
        <f t="shared" si="9"/>
        <v>0</v>
      </c>
      <c r="D48" s="82">
        <f t="shared" si="9"/>
        <v>27958.3</v>
      </c>
      <c r="E48" s="82">
        <f t="shared" si="9"/>
        <v>0</v>
      </c>
      <c r="F48" s="82">
        <f t="shared" si="9"/>
        <v>0</v>
      </c>
      <c r="G48" s="82">
        <f t="shared" si="9"/>
        <v>0</v>
      </c>
      <c r="H48" s="82">
        <f t="shared" si="9"/>
        <v>0</v>
      </c>
      <c r="I48" s="83">
        <f>SUM(B48:H48)</f>
        <v>50454.5</v>
      </c>
      <c r="J48" s="82">
        <f>+J47-J46</f>
        <v>0</v>
      </c>
      <c r="K48" s="82">
        <f>+K47-K46</f>
        <v>0</v>
      </c>
      <c r="L48" s="82">
        <f>+L47-L46</f>
        <v>0</v>
      </c>
      <c r="M48" s="83">
        <f>SUM(J48:L48)</f>
        <v>0</v>
      </c>
      <c r="N48" s="82">
        <f t="shared" ref="N48:S48" si="10">+N47-N46</f>
        <v>0</v>
      </c>
      <c r="O48" s="82">
        <f t="shared" si="10"/>
        <v>0</v>
      </c>
      <c r="P48" s="82">
        <f t="shared" si="10"/>
        <v>0</v>
      </c>
      <c r="Q48" s="82">
        <f t="shared" si="10"/>
        <v>0</v>
      </c>
      <c r="R48" s="82">
        <f t="shared" si="10"/>
        <v>0</v>
      </c>
      <c r="S48" s="82">
        <f t="shared" si="10"/>
        <v>9.91</v>
      </c>
      <c r="T48" s="84">
        <f>SUM(I48,M48,N48:S48)</f>
        <v>50464.41</v>
      </c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3"/>
      <c r="BS48" s="23"/>
      <c r="BT48" s="23"/>
      <c r="BU48" s="23"/>
      <c r="BV48" s="23"/>
      <c r="BW48" s="23"/>
      <c r="BX48" s="23"/>
      <c r="BY48" s="23"/>
      <c r="BZ48" s="23"/>
      <c r="CA48" s="23"/>
      <c r="CB48" s="23"/>
      <c r="CC48" s="23"/>
      <c r="CD48" s="23"/>
      <c r="CE48" s="23"/>
      <c r="CF48" s="23"/>
      <c r="CG48" s="23"/>
      <c r="CH48" s="23"/>
      <c r="CI48" s="23"/>
      <c r="CJ48" s="23"/>
      <c r="CK48" s="23"/>
      <c r="CL48" s="23"/>
      <c r="CM48" s="23"/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3"/>
      <c r="DV48" s="23"/>
      <c r="DW48" s="23"/>
      <c r="DX48" s="23"/>
      <c r="DY48" s="23"/>
      <c r="DZ48" s="23"/>
      <c r="EA48" s="23"/>
      <c r="EB48" s="23"/>
    </row>
    <row r="49" spans="1:41" s="24" customFormat="1" x14ac:dyDescent="0.25">
      <c r="I49" s="38"/>
      <c r="M49" s="38"/>
      <c r="S49" s="132"/>
      <c r="T49" s="38"/>
    </row>
    <row r="50" spans="1:41" s="24" customFormat="1" ht="17.399999999999999" x14ac:dyDescent="0.25">
      <c r="A50" s="258" t="s">
        <v>153</v>
      </c>
      <c r="B50" s="258"/>
      <c r="C50" s="258"/>
      <c r="D50" s="258"/>
      <c r="E50" s="258"/>
      <c r="F50" s="41"/>
      <c r="G50" s="23"/>
      <c r="H50" s="23"/>
      <c r="I50" s="39"/>
      <c r="J50" s="23"/>
      <c r="K50" s="23"/>
      <c r="L50" s="23"/>
      <c r="M50" s="39"/>
      <c r="N50" s="23"/>
      <c r="O50" s="23"/>
      <c r="P50" s="23"/>
      <c r="Q50" s="23"/>
      <c r="R50" s="23"/>
      <c r="S50" s="55"/>
      <c r="T50" s="39"/>
      <c r="U50" s="23"/>
      <c r="V50" s="23"/>
      <c r="W50" s="23"/>
      <c r="X50" s="23"/>
      <c r="Y50" s="23"/>
      <c r="Z50" s="23"/>
      <c r="AA50" s="23"/>
      <c r="AB50" s="23"/>
    </row>
    <row r="51" spans="1:41" s="24" customFormat="1" ht="17.399999999999999" x14ac:dyDescent="0.25">
      <c r="A51" s="40"/>
      <c r="B51" s="41"/>
      <c r="C51" s="41"/>
      <c r="D51" s="41"/>
      <c r="E51" s="41"/>
      <c r="F51" s="41"/>
      <c r="G51" s="23"/>
      <c r="H51" s="23"/>
      <c r="I51" s="39"/>
      <c r="J51" s="23"/>
      <c r="K51" s="23"/>
      <c r="L51" s="23"/>
      <c r="M51" s="39"/>
      <c r="N51" s="23"/>
      <c r="O51" s="23"/>
      <c r="P51" s="23"/>
      <c r="Q51" s="23"/>
      <c r="R51" s="23"/>
      <c r="S51" s="55"/>
      <c r="T51" s="39"/>
      <c r="U51" s="23"/>
      <c r="V51" s="23"/>
      <c r="W51" s="23"/>
      <c r="X51" s="23"/>
      <c r="Y51" s="23"/>
      <c r="Z51" s="23"/>
      <c r="AA51" s="23"/>
      <c r="AB51" s="23"/>
    </row>
    <row r="52" spans="1:41" s="24" customFormat="1" x14ac:dyDescent="0.25">
      <c r="A52" s="26"/>
      <c r="B52" s="27" t="s">
        <v>2</v>
      </c>
      <c r="C52" s="28"/>
      <c r="D52" s="28"/>
      <c r="E52" s="28"/>
      <c r="F52" s="28"/>
      <c r="G52" s="28"/>
      <c r="H52" s="28"/>
      <c r="I52" s="29" t="s">
        <v>2</v>
      </c>
      <c r="J52" s="27" t="s">
        <v>3</v>
      </c>
      <c r="K52" s="28"/>
      <c r="L52" s="28"/>
      <c r="M52" s="29" t="s">
        <v>3</v>
      </c>
      <c r="N52" s="30" t="s">
        <v>4</v>
      </c>
      <c r="O52" s="30" t="s">
        <v>5</v>
      </c>
      <c r="P52" s="30" t="s">
        <v>6</v>
      </c>
      <c r="Q52" s="30" t="s">
        <v>7</v>
      </c>
      <c r="R52" s="30" t="s">
        <v>142</v>
      </c>
      <c r="S52" s="133" t="s">
        <v>143</v>
      </c>
      <c r="T52" s="31" t="s">
        <v>8</v>
      </c>
    </row>
    <row r="53" spans="1:41" s="24" customFormat="1" x14ac:dyDescent="0.25">
      <c r="A53" s="26"/>
      <c r="B53" s="28" t="s">
        <v>9</v>
      </c>
      <c r="C53" s="28" t="s">
        <v>10</v>
      </c>
      <c r="D53" s="28" t="s">
        <v>11</v>
      </c>
      <c r="E53" s="28" t="s">
        <v>12</v>
      </c>
      <c r="F53" s="28" t="s">
        <v>13</v>
      </c>
      <c r="G53" s="28" t="s">
        <v>14</v>
      </c>
      <c r="H53" s="28" t="s">
        <v>15</v>
      </c>
      <c r="I53" s="32" t="s">
        <v>16</v>
      </c>
      <c r="J53" s="28" t="s">
        <v>17</v>
      </c>
      <c r="K53" s="28" t="s">
        <v>18</v>
      </c>
      <c r="L53" s="28" t="s">
        <v>141</v>
      </c>
      <c r="M53" s="32" t="s">
        <v>16</v>
      </c>
      <c r="N53" s="30" t="s">
        <v>16</v>
      </c>
      <c r="O53" s="30" t="s">
        <v>16</v>
      </c>
      <c r="P53" s="30" t="s">
        <v>16</v>
      </c>
      <c r="Q53" s="30" t="s">
        <v>16</v>
      </c>
      <c r="R53" s="30" t="s">
        <v>16</v>
      </c>
      <c r="S53" s="133" t="s">
        <v>16</v>
      </c>
      <c r="T53" s="31" t="s">
        <v>16</v>
      </c>
    </row>
    <row r="54" spans="1:41" s="24" customFormat="1" x14ac:dyDescent="0.25">
      <c r="A54" s="66">
        <f>+$A$12</f>
        <v>44834</v>
      </c>
      <c r="B54" s="79">
        <f t="shared" ref="B54:H56" si="11">+B38+B46</f>
        <v>42950.649999999965</v>
      </c>
      <c r="C54" s="79">
        <f t="shared" si="11"/>
        <v>1197796.3399999999</v>
      </c>
      <c r="D54" s="79">
        <f t="shared" si="11"/>
        <v>1069356.0299999998</v>
      </c>
      <c r="E54" s="79">
        <f t="shared" si="11"/>
        <v>178363.92999999988</v>
      </c>
      <c r="F54" s="79">
        <f t="shared" si="11"/>
        <v>13436.160000000005</v>
      </c>
      <c r="G54" s="79">
        <f t="shared" si="11"/>
        <v>905935.24000000069</v>
      </c>
      <c r="H54" s="79">
        <f t="shared" si="11"/>
        <v>177370.88999999993</v>
      </c>
      <c r="I54" s="80">
        <f>SUM(B54:H54)</f>
        <v>3585209.24</v>
      </c>
      <c r="J54" s="79">
        <f t="shared" ref="J54:L56" si="12">+J38+J46</f>
        <v>986072.64000000118</v>
      </c>
      <c r="K54" s="79">
        <f t="shared" si="12"/>
        <v>1271261.9200000004</v>
      </c>
      <c r="L54" s="79">
        <f t="shared" si="12"/>
        <v>798916.83000000054</v>
      </c>
      <c r="M54" s="80">
        <f>SUM(J54:L54)</f>
        <v>3056251.390000002</v>
      </c>
      <c r="N54" s="86">
        <f t="shared" ref="N54:R56" si="13">+N38+N46</f>
        <v>61104.040000000023</v>
      </c>
      <c r="O54" s="86">
        <f t="shared" si="13"/>
        <v>651829.46000000101</v>
      </c>
      <c r="P54" s="86">
        <f t="shared" si="13"/>
        <v>14869.09</v>
      </c>
      <c r="Q54" s="86">
        <f t="shared" si="13"/>
        <v>-728750.91999999993</v>
      </c>
      <c r="R54" s="86">
        <f>+R38+R46</f>
        <v>3299.1300000000028</v>
      </c>
      <c r="S54" s="86">
        <f>+S38+S46</f>
        <v>115774.77000000002</v>
      </c>
      <c r="T54" s="80">
        <f>SUM(I54,M54,N54:S54)</f>
        <v>6759586.200000003</v>
      </c>
    </row>
    <row r="55" spans="1:41" s="24" customFormat="1" x14ac:dyDescent="0.25">
      <c r="A55" s="66">
        <f>+$A$13</f>
        <v>45199</v>
      </c>
      <c r="B55" s="79">
        <f t="shared" si="11"/>
        <v>11678.819999999989</v>
      </c>
      <c r="C55" s="79">
        <f t="shared" si="11"/>
        <v>1353182.3499999985</v>
      </c>
      <c r="D55" s="79">
        <f t="shared" si="11"/>
        <v>838377.31999999913</v>
      </c>
      <c r="E55" s="79">
        <f t="shared" si="11"/>
        <v>175800.12</v>
      </c>
      <c r="F55" s="79">
        <f t="shared" si="11"/>
        <v>17422.48000000001</v>
      </c>
      <c r="G55" s="79">
        <f t="shared" si="11"/>
        <v>696867.79000000097</v>
      </c>
      <c r="H55" s="79">
        <f t="shared" si="11"/>
        <v>212711.56999999998</v>
      </c>
      <c r="I55" s="80">
        <f>SUM(B55:H55)</f>
        <v>3306040.4499999983</v>
      </c>
      <c r="J55" s="79">
        <f t="shared" si="12"/>
        <v>517780.06000000046</v>
      </c>
      <c r="K55" s="79">
        <f t="shared" si="12"/>
        <v>830396.8600000008</v>
      </c>
      <c r="L55" s="79">
        <f t="shared" si="12"/>
        <v>617897.14000000071</v>
      </c>
      <c r="M55" s="80">
        <f>SUM(J55:L55)</f>
        <v>1966074.0600000019</v>
      </c>
      <c r="N55" s="86">
        <f t="shared" si="13"/>
        <v>42009.009999999987</v>
      </c>
      <c r="O55" s="86">
        <f t="shared" si="13"/>
        <v>384080.67999999964</v>
      </c>
      <c r="P55" s="86">
        <f t="shared" si="13"/>
        <v>25780.83</v>
      </c>
      <c r="Q55" s="86">
        <f t="shared" si="13"/>
        <v>-3331124.61</v>
      </c>
      <c r="R55" s="86">
        <f t="shared" si="13"/>
        <v>1506.23</v>
      </c>
      <c r="S55" s="86">
        <f>+S39+S47</f>
        <v>71835.640000000029</v>
      </c>
      <c r="T55" s="80">
        <f>SUM(I55,M55,N55:S55)</f>
        <v>2466202.2899999996</v>
      </c>
    </row>
    <row r="56" spans="1:41" s="24" customFormat="1" x14ac:dyDescent="0.25">
      <c r="A56" s="34" t="s">
        <v>19</v>
      </c>
      <c r="B56" s="82">
        <f t="shared" si="11"/>
        <v>-31271.829999999984</v>
      </c>
      <c r="C56" s="82">
        <f t="shared" si="11"/>
        <v>155386.00999999861</v>
      </c>
      <c r="D56" s="82">
        <f t="shared" si="11"/>
        <v>-230978.71000000072</v>
      </c>
      <c r="E56" s="82">
        <f t="shared" si="11"/>
        <v>-2563.8099999998813</v>
      </c>
      <c r="F56" s="82">
        <f t="shared" si="11"/>
        <v>3986.3200000000052</v>
      </c>
      <c r="G56" s="82">
        <f t="shared" si="11"/>
        <v>-209067.44999999972</v>
      </c>
      <c r="H56" s="82">
        <f t="shared" si="11"/>
        <v>35340.680000000051</v>
      </c>
      <c r="I56" s="83">
        <f>SUM(B56:H56)</f>
        <v>-279168.79000000167</v>
      </c>
      <c r="J56" s="82">
        <f t="shared" si="12"/>
        <v>-468292.58000000071</v>
      </c>
      <c r="K56" s="82">
        <f t="shared" si="12"/>
        <v>-440865.05999999959</v>
      </c>
      <c r="L56" s="82">
        <f t="shared" si="12"/>
        <v>-181019.68999999983</v>
      </c>
      <c r="M56" s="83">
        <f>SUM(J56:L56)</f>
        <v>-1090177.33</v>
      </c>
      <c r="N56" s="82">
        <f t="shared" si="13"/>
        <v>-19095.030000000035</v>
      </c>
      <c r="O56" s="82">
        <f t="shared" si="13"/>
        <v>-267748.78000000137</v>
      </c>
      <c r="P56" s="82">
        <f t="shared" si="13"/>
        <v>10911.740000000002</v>
      </c>
      <c r="Q56" s="82">
        <f t="shared" si="13"/>
        <v>-2602373.69</v>
      </c>
      <c r="R56" s="82">
        <f t="shared" si="13"/>
        <v>-1792.9000000000028</v>
      </c>
      <c r="S56" s="82">
        <f>+S40+S48</f>
        <v>-43939.12999999999</v>
      </c>
      <c r="T56" s="84">
        <f>SUM(I56,M56,N56:S56)</f>
        <v>-4293383.9100000029</v>
      </c>
    </row>
    <row r="57" spans="1:41" s="24" customFormat="1" ht="13.8" thickBot="1" x14ac:dyDescent="0.3">
      <c r="I57" s="38"/>
      <c r="M57" s="38"/>
      <c r="T57" s="38"/>
    </row>
    <row r="58" spans="1:41" s="24" customFormat="1" ht="18" thickBot="1" x14ac:dyDescent="0.3">
      <c r="A58" s="262" t="s">
        <v>1</v>
      </c>
      <c r="B58" s="263"/>
      <c r="C58" s="263"/>
      <c r="D58" s="263"/>
      <c r="E58" s="263"/>
      <c r="F58" s="263"/>
      <c r="G58" s="263"/>
      <c r="H58" s="263"/>
      <c r="I58" s="263"/>
      <c r="J58" s="263"/>
      <c r="K58" s="263"/>
      <c r="L58" s="263"/>
      <c r="M58" s="263"/>
      <c r="N58" s="263"/>
      <c r="O58" s="263"/>
      <c r="P58" s="263"/>
      <c r="Q58" s="263"/>
      <c r="R58" s="263"/>
      <c r="S58" s="263"/>
      <c r="T58" s="264"/>
      <c r="U58" s="23"/>
      <c r="W58" s="115" t="s">
        <v>364</v>
      </c>
      <c r="X58" s="115" t="s">
        <v>364</v>
      </c>
      <c r="Y58" s="115" t="s">
        <v>364</v>
      </c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</row>
    <row r="59" spans="1:41" s="24" customFormat="1" ht="13.8" thickBot="1" x14ac:dyDescent="0.3">
      <c r="I59" s="38"/>
      <c r="M59" s="150"/>
      <c r="T59" s="38"/>
      <c r="W59" s="58" t="s">
        <v>365</v>
      </c>
      <c r="X59" s="58" t="s">
        <v>365</v>
      </c>
      <c r="Y59" s="58" t="s">
        <v>365</v>
      </c>
    </row>
    <row r="60" spans="1:41" s="24" customFormat="1" ht="15.6" x14ac:dyDescent="0.25">
      <c r="A60" s="255" t="s">
        <v>149</v>
      </c>
      <c r="B60" s="256"/>
      <c r="C60" s="256"/>
      <c r="D60" s="256"/>
      <c r="E60" s="257"/>
      <c r="F60" s="134"/>
      <c r="G60" s="23"/>
      <c r="H60" s="23"/>
      <c r="I60" s="39"/>
      <c r="J60" s="23"/>
      <c r="K60" s="23"/>
      <c r="L60" s="23"/>
      <c r="M60" s="150"/>
      <c r="N60" s="23"/>
      <c r="O60" s="23"/>
      <c r="P60" s="23"/>
      <c r="Q60" s="23"/>
      <c r="R60" s="23"/>
      <c r="S60" s="23"/>
      <c r="T60" s="39"/>
      <c r="U60" s="23"/>
      <c r="V60" s="119" t="s">
        <v>190</v>
      </c>
      <c r="W60" s="111" t="s">
        <v>2</v>
      </c>
      <c r="X60" s="111" t="s">
        <v>3</v>
      </c>
      <c r="Y60" s="111" t="s">
        <v>8</v>
      </c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</row>
    <row r="61" spans="1:41" s="24" customFormat="1" ht="13.8" thickBot="1" x14ac:dyDescent="0.3">
      <c r="A61" s="23"/>
      <c r="B61" s="23"/>
      <c r="C61" s="23"/>
      <c r="D61" s="23"/>
      <c r="E61" s="23"/>
      <c r="F61" s="23"/>
      <c r="G61" s="23"/>
      <c r="H61" s="23"/>
      <c r="I61" s="39"/>
      <c r="J61" s="23"/>
      <c r="K61" s="23"/>
      <c r="L61" s="23"/>
      <c r="M61" s="39"/>
      <c r="N61" s="23"/>
      <c r="O61" s="23"/>
      <c r="P61" s="23"/>
      <c r="Q61" s="23"/>
      <c r="R61" s="23"/>
      <c r="S61" s="23"/>
      <c r="T61" s="39"/>
      <c r="U61" s="23"/>
      <c r="V61" s="116" t="s">
        <v>189</v>
      </c>
      <c r="W61" s="112" t="s">
        <v>16</v>
      </c>
      <c r="X61" s="112" t="s">
        <v>16</v>
      </c>
      <c r="Y61" s="112" t="s">
        <v>16</v>
      </c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</row>
    <row r="62" spans="1:41" s="24" customFormat="1" x14ac:dyDescent="0.25">
      <c r="A62" s="26"/>
      <c r="B62" s="27" t="s">
        <v>2</v>
      </c>
      <c r="C62" s="28"/>
      <c r="D62" s="28"/>
      <c r="E62" s="28"/>
      <c r="F62" s="28"/>
      <c r="G62" s="28"/>
      <c r="H62" s="28"/>
      <c r="I62" s="29" t="s">
        <v>2</v>
      </c>
      <c r="J62" s="27" t="s">
        <v>3</v>
      </c>
      <c r="K62" s="28"/>
      <c r="L62" s="28"/>
      <c r="M62" s="29" t="s">
        <v>3</v>
      </c>
      <c r="N62" s="30" t="s">
        <v>4</v>
      </c>
      <c r="O62" s="30" t="s">
        <v>5</v>
      </c>
      <c r="P62" s="30" t="s">
        <v>6</v>
      </c>
      <c r="Q62" s="30" t="s">
        <v>7</v>
      </c>
      <c r="R62" s="30" t="s">
        <v>142</v>
      </c>
      <c r="S62" s="30" t="s">
        <v>143</v>
      </c>
      <c r="T62" s="31" t="s">
        <v>8</v>
      </c>
      <c r="V62" s="108" t="s">
        <v>179</v>
      </c>
      <c r="W62" s="109">
        <f>+'Tab 2'!J12</f>
        <v>-503154.69999999367</v>
      </c>
      <c r="X62" s="109">
        <f>+'Tab 2'!N12</f>
        <v>-349299.44000000507</v>
      </c>
      <c r="Y62" s="109">
        <f>+'Tab 2'!U12</f>
        <v>-1649072.4999999963</v>
      </c>
    </row>
    <row r="63" spans="1:41" s="24" customFormat="1" x14ac:dyDescent="0.25">
      <c r="A63" s="26"/>
      <c r="B63" s="28" t="s">
        <v>9</v>
      </c>
      <c r="C63" s="28" t="s">
        <v>10</v>
      </c>
      <c r="D63" s="28" t="s">
        <v>11</v>
      </c>
      <c r="E63" s="28" t="s">
        <v>12</v>
      </c>
      <c r="F63" s="28" t="s">
        <v>13</v>
      </c>
      <c r="G63" s="28" t="s">
        <v>14</v>
      </c>
      <c r="H63" s="28" t="s">
        <v>15</v>
      </c>
      <c r="I63" s="32" t="s">
        <v>16</v>
      </c>
      <c r="J63" s="28" t="s">
        <v>17</v>
      </c>
      <c r="K63" s="28" t="s">
        <v>18</v>
      </c>
      <c r="L63" s="28" t="s">
        <v>141</v>
      </c>
      <c r="M63" s="32" t="s">
        <v>16</v>
      </c>
      <c r="N63" s="30" t="s">
        <v>16</v>
      </c>
      <c r="O63" s="30" t="s">
        <v>16</v>
      </c>
      <c r="P63" s="30" t="s">
        <v>16</v>
      </c>
      <c r="Q63" s="30" t="s">
        <v>16</v>
      </c>
      <c r="R63" s="30" t="s">
        <v>16</v>
      </c>
      <c r="S63" s="30" t="s">
        <v>16</v>
      </c>
      <c r="T63" s="31" t="s">
        <v>16</v>
      </c>
      <c r="V63" s="110" t="s">
        <v>182</v>
      </c>
      <c r="W63" s="109">
        <f>+'Tab 2'!J20</f>
        <v>-1247354.3100000003</v>
      </c>
      <c r="X63" s="109">
        <f>+'Tab 2'!N20</f>
        <v>-846583.57999999914</v>
      </c>
      <c r="Y63" s="109">
        <f>+'Tab 2'!U20</f>
        <v>-2228328.9099999997</v>
      </c>
    </row>
    <row r="64" spans="1:41" s="24" customFormat="1" x14ac:dyDescent="0.25">
      <c r="A64" s="66">
        <f>+$A$12</f>
        <v>44834</v>
      </c>
      <c r="B64" s="78">
        <v>36134.490000000042</v>
      </c>
      <c r="C64" s="78">
        <v>15685924.130000006</v>
      </c>
      <c r="D64" s="78">
        <v>9817586.2499999795</v>
      </c>
      <c r="E64" s="78">
        <v>2616055.7799999951</v>
      </c>
      <c r="F64" s="78">
        <v>374466.5500000008</v>
      </c>
      <c r="G64" s="78">
        <v>11755225.679999983</v>
      </c>
      <c r="H64" s="78">
        <v>1677269.0700000008</v>
      </c>
      <c r="I64" s="33">
        <v>41962661.949999966</v>
      </c>
      <c r="J64" s="78">
        <v>8188054.7100000316</v>
      </c>
      <c r="K64" s="78">
        <v>9556816.6899999939</v>
      </c>
      <c r="L64" s="78">
        <v>9029762.2099999785</v>
      </c>
      <c r="M64" s="33">
        <v>26774633.610000003</v>
      </c>
      <c r="N64" s="85">
        <v>5049067.9599999916</v>
      </c>
      <c r="O64" s="64">
        <v>9188536.9699999224</v>
      </c>
      <c r="P64" s="64">
        <v>94961.14999999998</v>
      </c>
      <c r="Q64" s="21">
        <v>206210.81000000003</v>
      </c>
      <c r="R64" s="88">
        <v>367954.77000000142</v>
      </c>
      <c r="S64" s="64">
        <v>1814843.8199999996</v>
      </c>
      <c r="T64" s="33">
        <v>85458871.039999887</v>
      </c>
      <c r="V64" s="110" t="s">
        <v>180</v>
      </c>
      <c r="W64" s="109">
        <f>+'Tab 2'!J28</f>
        <v>-3841753.4699999997</v>
      </c>
      <c r="X64" s="109">
        <f>+'Tab 2'!N28</f>
        <v>-2525687.7800000003</v>
      </c>
      <c r="Y64" s="109">
        <f>+'Tab 2'!U28</f>
        <v>-8033544.9299999997</v>
      </c>
    </row>
    <row r="65" spans="1:59" s="24" customFormat="1" x14ac:dyDescent="0.25">
      <c r="A65" s="66">
        <f>+$A$13</f>
        <v>45199</v>
      </c>
      <c r="B65" s="78">
        <v>67431.619999999981</v>
      </c>
      <c r="C65" s="78">
        <v>11874284.51000002</v>
      </c>
      <c r="D65" s="78">
        <v>7432132.8299999936</v>
      </c>
      <c r="E65" s="78">
        <v>1935888.6300000011</v>
      </c>
      <c r="F65" s="78">
        <v>305240.08000000007</v>
      </c>
      <c r="G65" s="78">
        <v>9593869.3499999978</v>
      </c>
      <c r="H65" s="78">
        <v>1264886.2100000007</v>
      </c>
      <c r="I65" s="33">
        <v>32473733.230000015</v>
      </c>
      <c r="J65" s="78">
        <v>6173015.3500000108</v>
      </c>
      <c r="K65" s="78">
        <v>7151717.3100000042</v>
      </c>
      <c r="L65" s="78">
        <v>7397165.5199999874</v>
      </c>
      <c r="M65" s="33">
        <v>20721898.180000003</v>
      </c>
      <c r="N65" s="85">
        <v>2563410.0800000057</v>
      </c>
      <c r="O65" s="64">
        <v>6764619.9199999627</v>
      </c>
      <c r="P65" s="64">
        <v>52004.369999999995</v>
      </c>
      <c r="Q65" s="21">
        <v>79771.87999999999</v>
      </c>
      <c r="R65" s="88">
        <v>334636.66000000184</v>
      </c>
      <c r="S65" s="64">
        <v>1573494.7499999988</v>
      </c>
      <c r="T65" s="33">
        <v>64563569.069999993</v>
      </c>
      <c r="V65" s="110" t="s">
        <v>181</v>
      </c>
      <c r="W65" s="109">
        <f>+'Tab 2'!J36</f>
        <v>-215755.4299999997</v>
      </c>
      <c r="X65" s="109">
        <f>+'Tab 2'!N36</f>
        <v>-153349.04999999981</v>
      </c>
      <c r="Y65" s="109">
        <f>+'Tab 2'!U36</f>
        <v>-567984.84999999916</v>
      </c>
    </row>
    <row r="66" spans="1:59" s="24" customFormat="1" x14ac:dyDescent="0.25">
      <c r="A66" s="34" t="s">
        <v>19</v>
      </c>
      <c r="B66" s="35">
        <f t="shared" ref="B66:H66" si="14">+B65-B64</f>
        <v>31297.129999999939</v>
      </c>
      <c r="C66" s="35">
        <f t="shared" si="14"/>
        <v>-3811639.6199999861</v>
      </c>
      <c r="D66" s="35">
        <f t="shared" si="14"/>
        <v>-2385453.419999986</v>
      </c>
      <c r="E66" s="35">
        <f t="shared" si="14"/>
        <v>-680167.14999999409</v>
      </c>
      <c r="F66" s="35">
        <f t="shared" si="14"/>
        <v>-69226.470000000729</v>
      </c>
      <c r="G66" s="35">
        <f t="shared" si="14"/>
        <v>-2161356.3299999852</v>
      </c>
      <c r="H66" s="35">
        <f t="shared" si="14"/>
        <v>-412382.8600000001</v>
      </c>
      <c r="I66" s="36">
        <f>SUM(B66:H66)</f>
        <v>-9488928.7199999504</v>
      </c>
      <c r="J66" s="35">
        <f>+J65-J64</f>
        <v>-2015039.3600000208</v>
      </c>
      <c r="K66" s="35">
        <f>+K65-K64</f>
        <v>-2405099.3799999896</v>
      </c>
      <c r="L66" s="35">
        <f>+L65-L64</f>
        <v>-1632596.6899999911</v>
      </c>
      <c r="M66" s="36">
        <f>SUM(J66:L66)</f>
        <v>-6052735.4300000016</v>
      </c>
      <c r="N66" s="35">
        <f t="shared" ref="N66:S66" si="15">+N65-N64</f>
        <v>-2485657.8799999859</v>
      </c>
      <c r="O66" s="35">
        <f t="shared" si="15"/>
        <v>-2423917.0499999598</v>
      </c>
      <c r="P66" s="35">
        <f t="shared" si="15"/>
        <v>-42956.779999999984</v>
      </c>
      <c r="Q66" s="35">
        <f t="shared" si="15"/>
        <v>-126438.93000000004</v>
      </c>
      <c r="R66" s="35">
        <f t="shared" si="15"/>
        <v>-33318.109999999579</v>
      </c>
      <c r="S66" s="35">
        <f t="shared" si="15"/>
        <v>-241349.07000000076</v>
      </c>
      <c r="T66" s="154">
        <f>SUM(I66,M66,N66:S66)</f>
        <v>-20895301.969999898</v>
      </c>
      <c r="V66" s="108" t="s">
        <v>183</v>
      </c>
      <c r="W66" s="109">
        <f>+'Tab 2'!J44</f>
        <v>856170.12999999989</v>
      </c>
      <c r="X66" s="109">
        <f>+'Tab 2'!N44</f>
        <v>535421.68999999994</v>
      </c>
      <c r="Y66" s="109">
        <f>+'Tab 2'!U44</f>
        <v>1585592.06</v>
      </c>
    </row>
    <row r="67" spans="1:59" s="24" customFormat="1" x14ac:dyDescent="0.25">
      <c r="I67" s="38"/>
      <c r="M67" s="38"/>
      <c r="T67" s="38"/>
      <c r="V67" s="108" t="s">
        <v>184</v>
      </c>
      <c r="W67" s="109">
        <f>+'Tab 2'!J52</f>
        <v>-2029718.7800000021</v>
      </c>
      <c r="X67" s="109">
        <f>+'Tab 2'!N52</f>
        <v>-1703192.7899999991</v>
      </c>
      <c r="Y67" s="109">
        <f>+'Tab 2'!U52</f>
        <v>-4933971.7300000023</v>
      </c>
    </row>
    <row r="68" spans="1:59" s="24" customFormat="1" ht="15.6" x14ac:dyDescent="0.25">
      <c r="A68" s="259" t="s">
        <v>150</v>
      </c>
      <c r="B68" s="260"/>
      <c r="C68" s="260"/>
      <c r="D68" s="260"/>
      <c r="E68" s="261"/>
      <c r="F68" s="23"/>
      <c r="G68" s="23"/>
      <c r="H68" s="23"/>
      <c r="I68" s="39"/>
      <c r="J68" s="23"/>
      <c r="K68" s="23"/>
      <c r="L68" s="23"/>
      <c r="M68" s="39"/>
      <c r="N68" s="23"/>
      <c r="O68" s="23"/>
      <c r="P68" s="23"/>
      <c r="Q68" s="23"/>
      <c r="R68" s="23"/>
      <c r="S68" s="23"/>
      <c r="T68" s="39"/>
      <c r="U68" s="23"/>
      <c r="V68" s="108" t="s">
        <v>185</v>
      </c>
      <c r="W68" s="109">
        <f>+'Tab 2'!J60</f>
        <v>-383706.42000000027</v>
      </c>
      <c r="X68" s="109">
        <f>+'Tab 2'!N60</f>
        <v>-159883.20999999996</v>
      </c>
      <c r="Y68" s="109">
        <f>+'Tab 2'!U60</f>
        <v>-670036.05000000028</v>
      </c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</row>
    <row r="69" spans="1:59" s="24" customFormat="1" x14ac:dyDescent="0.25">
      <c r="A69" s="23"/>
      <c r="B69" s="23"/>
      <c r="C69" s="23"/>
      <c r="D69" s="23"/>
      <c r="E69" s="23"/>
      <c r="F69" s="23"/>
      <c r="G69" s="23"/>
      <c r="H69" s="23"/>
      <c r="I69" s="39"/>
      <c r="J69" s="23"/>
      <c r="K69" s="23"/>
      <c r="L69" s="23"/>
      <c r="M69" s="39"/>
      <c r="N69" s="23"/>
      <c r="O69" s="23"/>
      <c r="P69" s="23"/>
      <c r="Q69" s="23"/>
      <c r="R69" s="23"/>
      <c r="S69" s="23"/>
      <c r="T69" s="39"/>
      <c r="U69" s="23"/>
      <c r="V69" s="108" t="s">
        <v>186</v>
      </c>
      <c r="W69" s="109">
        <f>+'Tab 2'!J68</f>
        <v>-238653.16</v>
      </c>
      <c r="X69" s="109">
        <f>+'Tab 2'!N68</f>
        <v>-150231.43999999994</v>
      </c>
      <c r="Y69" s="109">
        <f>+'Tab 2'!U68</f>
        <v>-508920.96999999986</v>
      </c>
      <c r="Z69" s="23"/>
      <c r="AA69" s="23"/>
      <c r="AB69" s="23"/>
      <c r="AC69" s="23"/>
      <c r="AD69" s="23"/>
      <c r="AE69" s="23"/>
      <c r="AF69" s="23"/>
      <c r="AG69" s="23"/>
      <c r="AH69" s="23"/>
      <c r="AI69" s="23"/>
      <c r="AJ69" s="23"/>
      <c r="AK69" s="23"/>
      <c r="AL69" s="23"/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</row>
    <row r="70" spans="1:59" s="24" customFormat="1" x14ac:dyDescent="0.25">
      <c r="A70" s="26"/>
      <c r="B70" s="27" t="s">
        <v>2</v>
      </c>
      <c r="C70" s="28"/>
      <c r="D70" s="28"/>
      <c r="E70" s="28"/>
      <c r="F70" s="28"/>
      <c r="G70" s="28"/>
      <c r="H70" s="28"/>
      <c r="I70" s="29" t="s">
        <v>2</v>
      </c>
      <c r="J70" s="27" t="s">
        <v>3</v>
      </c>
      <c r="K70" s="28"/>
      <c r="L70" s="28"/>
      <c r="M70" s="29" t="s">
        <v>3</v>
      </c>
      <c r="N70" s="30" t="s">
        <v>4</v>
      </c>
      <c r="O70" s="30" t="s">
        <v>5</v>
      </c>
      <c r="P70" s="30" t="s">
        <v>6</v>
      </c>
      <c r="Q70" s="30" t="s">
        <v>7</v>
      </c>
      <c r="R70" s="30" t="s">
        <v>142</v>
      </c>
      <c r="S70" s="30" t="s">
        <v>143</v>
      </c>
      <c r="T70" s="31" t="s">
        <v>8</v>
      </c>
      <c r="U70" s="23"/>
      <c r="V70" s="108" t="s">
        <v>188</v>
      </c>
      <c r="W70" s="109">
        <f>+'Tab 2'!J76</f>
        <v>-649460.22000000346</v>
      </c>
      <c r="X70" s="109">
        <f>+'Tab 2'!N76</f>
        <v>92105.120000000112</v>
      </c>
      <c r="Y70" s="109">
        <f>+'Tab 2'!U76</f>
        <v>-569499.53000000492</v>
      </c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</row>
    <row r="71" spans="1:59" s="24" customFormat="1" x14ac:dyDescent="0.25">
      <c r="A71" s="26"/>
      <c r="B71" s="28" t="s">
        <v>9</v>
      </c>
      <c r="C71" s="28" t="s">
        <v>10</v>
      </c>
      <c r="D71" s="28" t="s">
        <v>11</v>
      </c>
      <c r="E71" s="28" t="s">
        <v>12</v>
      </c>
      <c r="F71" s="28" t="s">
        <v>13</v>
      </c>
      <c r="G71" s="28" t="s">
        <v>14</v>
      </c>
      <c r="H71" s="28" t="s">
        <v>15</v>
      </c>
      <c r="I71" s="32" t="s">
        <v>16</v>
      </c>
      <c r="J71" s="28" t="s">
        <v>17</v>
      </c>
      <c r="K71" s="28" t="s">
        <v>18</v>
      </c>
      <c r="L71" s="28" t="s">
        <v>141</v>
      </c>
      <c r="M71" s="32" t="s">
        <v>16</v>
      </c>
      <c r="N71" s="30" t="s">
        <v>16</v>
      </c>
      <c r="O71" s="30" t="s">
        <v>16</v>
      </c>
      <c r="P71" s="30" t="s">
        <v>16</v>
      </c>
      <c r="Q71" s="30" t="s">
        <v>16</v>
      </c>
      <c r="R71" s="30" t="s">
        <v>16</v>
      </c>
      <c r="S71" s="30" t="s">
        <v>16</v>
      </c>
      <c r="T71" s="31" t="s">
        <v>16</v>
      </c>
      <c r="U71" s="23"/>
      <c r="V71" s="113" t="s">
        <v>187</v>
      </c>
      <c r="W71" s="114">
        <f>+'Tab 2'!J84</f>
        <v>-1235542.3600000022</v>
      </c>
      <c r="X71" s="114">
        <f>+'Tab 2'!N84</f>
        <v>-792034.94999999925</v>
      </c>
      <c r="Y71" s="114">
        <f>+'Tab 2'!U84</f>
        <v>-3319534.5599999987</v>
      </c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</row>
    <row r="72" spans="1:59" s="24" customFormat="1" x14ac:dyDescent="0.25">
      <c r="A72" s="66">
        <f>+$A$12</f>
        <v>44834</v>
      </c>
      <c r="B72" s="79">
        <v>0</v>
      </c>
      <c r="C72" s="141">
        <v>300.08999999999997</v>
      </c>
      <c r="D72" s="141">
        <v>204.49</v>
      </c>
      <c r="E72" s="141">
        <v>75.61</v>
      </c>
      <c r="F72" s="141">
        <v>3.1199999999999997</v>
      </c>
      <c r="G72" s="141">
        <v>373.98</v>
      </c>
      <c r="H72" s="142">
        <v>11.01</v>
      </c>
      <c r="I72" s="80">
        <v>968.3</v>
      </c>
      <c r="J72" s="142">
        <v>154.44</v>
      </c>
      <c r="K72" s="143">
        <v>238.60999999999999</v>
      </c>
      <c r="L72" s="142">
        <v>494.35999999999996</v>
      </c>
      <c r="M72" s="80">
        <v>887.40999999999985</v>
      </c>
      <c r="N72" s="144">
        <v>0</v>
      </c>
      <c r="O72" s="144">
        <v>210.41999999999996</v>
      </c>
      <c r="P72" s="144">
        <v>0</v>
      </c>
      <c r="Q72" s="144">
        <v>0</v>
      </c>
      <c r="R72" s="144">
        <v>0</v>
      </c>
      <c r="S72" s="144">
        <v>-2066.12</v>
      </c>
      <c r="T72" s="80">
        <v>9.9999999997635314E-3</v>
      </c>
      <c r="U72" s="23"/>
      <c r="V72" s="117" t="str">
        <f>+A58</f>
        <v>AEPSC Income Statement</v>
      </c>
      <c r="W72" s="118">
        <f>SUM(W62:W71)</f>
        <v>-9488928.7200000025</v>
      </c>
      <c r="X72" s="118">
        <f>SUM(X62:X71)</f>
        <v>-6052735.4300000025</v>
      </c>
      <c r="Y72" s="118">
        <f>SUM(Y62:Y71)</f>
        <v>-20895301.970000003</v>
      </c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</row>
    <row r="73" spans="1:59" s="24" customFormat="1" x14ac:dyDescent="0.25">
      <c r="A73" s="66">
        <f>+$A$13</f>
        <v>45199</v>
      </c>
      <c r="B73" s="79">
        <v>0</v>
      </c>
      <c r="C73" s="141">
        <v>443.84</v>
      </c>
      <c r="D73" s="141">
        <v>297.62</v>
      </c>
      <c r="E73" s="141">
        <v>111.75</v>
      </c>
      <c r="F73" s="141">
        <v>4.67</v>
      </c>
      <c r="G73" s="141">
        <v>556.20000000000005</v>
      </c>
      <c r="H73" s="142">
        <v>16.46</v>
      </c>
      <c r="I73" s="80">
        <v>1430.54</v>
      </c>
      <c r="J73" s="142">
        <v>227.22</v>
      </c>
      <c r="K73" s="143">
        <v>353.99</v>
      </c>
      <c r="L73" s="142">
        <v>739.81000000000006</v>
      </c>
      <c r="M73" s="80">
        <v>1321.02</v>
      </c>
      <c r="N73" s="144">
        <v>0</v>
      </c>
      <c r="O73" s="144">
        <v>342.11</v>
      </c>
      <c r="P73" s="144">
        <v>0</v>
      </c>
      <c r="Q73" s="144">
        <v>0</v>
      </c>
      <c r="R73" s="144">
        <v>0</v>
      </c>
      <c r="S73" s="144">
        <v>-3093.66</v>
      </c>
      <c r="T73" s="80">
        <v>1.0000000000218279E-2</v>
      </c>
      <c r="U73" s="23"/>
      <c r="V73" s="23"/>
      <c r="W73" s="135">
        <f>+W72-I66</f>
        <v>-5.2154064178466797E-8</v>
      </c>
      <c r="X73" s="135">
        <f>+X72-M66</f>
        <v>0</v>
      </c>
      <c r="Y73" s="120">
        <f>+Y72-T66</f>
        <v>-1.0430812835693359E-7</v>
      </c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</row>
    <row r="74" spans="1:59" s="24" customFormat="1" x14ac:dyDescent="0.25">
      <c r="A74" s="34" t="s">
        <v>19</v>
      </c>
      <c r="B74" s="82">
        <f t="shared" ref="B74:H74" si="16">+B73-B72</f>
        <v>0</v>
      </c>
      <c r="C74" s="82">
        <f t="shared" si="16"/>
        <v>143.75</v>
      </c>
      <c r="D74" s="82">
        <f t="shared" si="16"/>
        <v>93.13</v>
      </c>
      <c r="E74" s="82">
        <f t="shared" si="16"/>
        <v>36.14</v>
      </c>
      <c r="F74" s="82">
        <f t="shared" si="16"/>
        <v>1.5500000000000003</v>
      </c>
      <c r="G74" s="82">
        <f t="shared" si="16"/>
        <v>182.22000000000003</v>
      </c>
      <c r="H74" s="82">
        <f t="shared" si="16"/>
        <v>5.4500000000000011</v>
      </c>
      <c r="I74" s="83">
        <f>SUM(B74:H74)</f>
        <v>462.24</v>
      </c>
      <c r="J74" s="82">
        <f>+J73-J72</f>
        <v>72.78</v>
      </c>
      <c r="K74" s="82">
        <f>+K73-K72</f>
        <v>115.38000000000002</v>
      </c>
      <c r="L74" s="82">
        <f>+L73-L72</f>
        <v>245.4500000000001</v>
      </c>
      <c r="M74" s="83">
        <f>SUM(J74:L74)</f>
        <v>433.61000000000013</v>
      </c>
      <c r="N74" s="82">
        <f t="shared" ref="N74:S74" si="17">+N73-N72</f>
        <v>0</v>
      </c>
      <c r="O74" s="82">
        <f t="shared" si="17"/>
        <v>131.69000000000005</v>
      </c>
      <c r="P74" s="82">
        <f t="shared" si="17"/>
        <v>0</v>
      </c>
      <c r="Q74" s="82">
        <f t="shared" si="17"/>
        <v>0</v>
      </c>
      <c r="R74" s="82">
        <f t="shared" si="17"/>
        <v>0</v>
      </c>
      <c r="S74" s="82">
        <f t="shared" si="17"/>
        <v>-1027.54</v>
      </c>
      <c r="T74" s="84">
        <f>SUM(I74,M74,N74:S74)</f>
        <v>0</v>
      </c>
      <c r="U74" s="23"/>
      <c r="V74" s="23"/>
      <c r="W74" s="23"/>
      <c r="X74" s="55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</row>
    <row r="75" spans="1:59" s="24" customFormat="1" x14ac:dyDescent="0.25">
      <c r="I75" s="38"/>
      <c r="M75" s="38"/>
      <c r="T75" s="38"/>
    </row>
    <row r="76" spans="1:59" s="24" customFormat="1" ht="17.399999999999999" x14ac:dyDescent="0.25">
      <c r="A76" s="258" t="s">
        <v>20</v>
      </c>
      <c r="B76" s="258"/>
      <c r="C76" s="258"/>
      <c r="D76" s="258"/>
      <c r="E76" s="258"/>
      <c r="F76" s="41"/>
      <c r="G76" s="41"/>
      <c r="H76" s="23"/>
      <c r="I76" s="39"/>
      <c r="J76" s="23"/>
      <c r="K76" s="23"/>
      <c r="L76" s="23"/>
      <c r="M76" s="39"/>
      <c r="N76" s="23"/>
      <c r="O76" s="23"/>
      <c r="P76" s="23"/>
      <c r="Q76" s="23"/>
      <c r="R76" s="23"/>
      <c r="S76" s="23"/>
      <c r="T76" s="39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</row>
    <row r="77" spans="1:59" s="24" customFormat="1" x14ac:dyDescent="0.25">
      <c r="I77" s="38"/>
      <c r="M77" s="38"/>
      <c r="T77" s="38"/>
    </row>
    <row r="78" spans="1:59" s="24" customFormat="1" x14ac:dyDescent="0.25">
      <c r="A78" s="26"/>
      <c r="B78" s="27" t="s">
        <v>2</v>
      </c>
      <c r="C78" s="28"/>
      <c r="D78" s="28"/>
      <c r="E78" s="28"/>
      <c r="F78" s="28"/>
      <c r="G78" s="28"/>
      <c r="H78" s="28"/>
      <c r="I78" s="29" t="s">
        <v>2</v>
      </c>
      <c r="J78" s="27" t="s">
        <v>3</v>
      </c>
      <c r="K78" s="28"/>
      <c r="L78" s="28"/>
      <c r="M78" s="29" t="s">
        <v>3</v>
      </c>
      <c r="N78" s="30" t="s">
        <v>4</v>
      </c>
      <c r="O78" s="30" t="s">
        <v>5</v>
      </c>
      <c r="P78" s="30" t="s">
        <v>6</v>
      </c>
      <c r="Q78" s="30" t="s">
        <v>7</v>
      </c>
      <c r="R78" s="30" t="s">
        <v>142</v>
      </c>
      <c r="S78" s="30" t="s">
        <v>143</v>
      </c>
      <c r="T78" s="31" t="s">
        <v>8</v>
      </c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</row>
    <row r="79" spans="1:59" s="24" customFormat="1" x14ac:dyDescent="0.25">
      <c r="A79" s="26"/>
      <c r="B79" s="28" t="s">
        <v>9</v>
      </c>
      <c r="C79" s="28" t="s">
        <v>10</v>
      </c>
      <c r="D79" s="28" t="s">
        <v>11</v>
      </c>
      <c r="E79" s="28" t="s">
        <v>12</v>
      </c>
      <c r="F79" s="28" t="s">
        <v>13</v>
      </c>
      <c r="G79" s="28" t="s">
        <v>14</v>
      </c>
      <c r="H79" s="28" t="s">
        <v>15</v>
      </c>
      <c r="I79" s="32" t="s">
        <v>16</v>
      </c>
      <c r="J79" s="28" t="s">
        <v>17</v>
      </c>
      <c r="K79" s="28" t="s">
        <v>18</v>
      </c>
      <c r="L79" s="28" t="s">
        <v>141</v>
      </c>
      <c r="M79" s="32" t="s">
        <v>16</v>
      </c>
      <c r="N79" s="30" t="s">
        <v>16</v>
      </c>
      <c r="O79" s="30" t="s">
        <v>16</v>
      </c>
      <c r="P79" s="30" t="s">
        <v>16</v>
      </c>
      <c r="Q79" s="30" t="s">
        <v>16</v>
      </c>
      <c r="R79" s="30" t="s">
        <v>16</v>
      </c>
      <c r="S79" s="30" t="s">
        <v>16</v>
      </c>
      <c r="T79" s="31" t="s">
        <v>16</v>
      </c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</row>
    <row r="80" spans="1:59" s="24" customFormat="1" x14ac:dyDescent="0.25">
      <c r="A80" s="66">
        <f>+$A$12</f>
        <v>44834</v>
      </c>
      <c r="B80" s="79">
        <f>+B64+B72</f>
        <v>36134.490000000042</v>
      </c>
      <c r="C80" s="79">
        <f t="shared" ref="C80:H82" si="18">+C64+C72</f>
        <v>15686224.220000006</v>
      </c>
      <c r="D80" s="79">
        <f t="shared" si="18"/>
        <v>9817790.7399999797</v>
      </c>
      <c r="E80" s="79">
        <f>+E64+E72</f>
        <v>2616131.389999995</v>
      </c>
      <c r="F80" s="79">
        <f t="shared" si="18"/>
        <v>374469.6700000008</v>
      </c>
      <c r="G80" s="79">
        <f t="shared" si="18"/>
        <v>11755599.659999983</v>
      </c>
      <c r="H80" s="79">
        <f t="shared" si="18"/>
        <v>1677280.0800000008</v>
      </c>
      <c r="I80" s="80">
        <f>SUM(B80:H80)</f>
        <v>41963630.249999963</v>
      </c>
      <c r="J80" s="79">
        <f t="shared" ref="J80:L82" si="19">+J64+J72</f>
        <v>8188209.150000032</v>
      </c>
      <c r="K80" s="79">
        <f t="shared" si="19"/>
        <v>9557055.2999999933</v>
      </c>
      <c r="L80" s="79">
        <f t="shared" si="19"/>
        <v>9030256.5699999779</v>
      </c>
      <c r="M80" s="80">
        <f>SUM(J80:L80)</f>
        <v>26775521.020000003</v>
      </c>
      <c r="N80" s="81">
        <f t="shared" ref="N80:S82" si="20">+N64+N72</f>
        <v>5049067.9599999916</v>
      </c>
      <c r="O80" s="81">
        <f t="shared" si="20"/>
        <v>9188747.3899999224</v>
      </c>
      <c r="P80" s="81">
        <f t="shared" si="20"/>
        <v>94961.14999999998</v>
      </c>
      <c r="Q80" s="81">
        <f t="shared" si="20"/>
        <v>206210.81000000003</v>
      </c>
      <c r="R80" s="81">
        <f t="shared" si="20"/>
        <v>367954.77000000142</v>
      </c>
      <c r="S80" s="81">
        <f t="shared" si="20"/>
        <v>1812777.6999999995</v>
      </c>
      <c r="T80" s="80">
        <f>SUM(I80,M80,N80:S80)</f>
        <v>85458871.049999893</v>
      </c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</row>
    <row r="81" spans="1:51" s="24" customFormat="1" x14ac:dyDescent="0.25">
      <c r="A81" s="66">
        <f>+$A$13</f>
        <v>45199</v>
      </c>
      <c r="B81" s="79">
        <f>+B65+B73</f>
        <v>67431.619999999981</v>
      </c>
      <c r="C81" s="79">
        <f t="shared" si="18"/>
        <v>11874728.35000002</v>
      </c>
      <c r="D81" s="79">
        <f t="shared" si="18"/>
        <v>7432430.4499999937</v>
      </c>
      <c r="E81" s="79">
        <f t="shared" si="18"/>
        <v>1936000.3800000011</v>
      </c>
      <c r="F81" s="79">
        <f t="shared" si="18"/>
        <v>305244.75000000006</v>
      </c>
      <c r="G81" s="79">
        <f t="shared" si="18"/>
        <v>9594425.549999997</v>
      </c>
      <c r="H81" s="79">
        <f t="shared" si="18"/>
        <v>1264902.6700000006</v>
      </c>
      <c r="I81" s="80">
        <f>SUM(B81:H81)</f>
        <v>32475163.770000014</v>
      </c>
      <c r="J81" s="79">
        <f t="shared" si="19"/>
        <v>6173242.5700000105</v>
      </c>
      <c r="K81" s="79">
        <f t="shared" si="19"/>
        <v>7152071.3000000045</v>
      </c>
      <c r="L81" s="79">
        <f t="shared" si="19"/>
        <v>7397905.329999987</v>
      </c>
      <c r="M81" s="80">
        <f>SUM(J81:L81)</f>
        <v>20723219.200000003</v>
      </c>
      <c r="N81" s="81">
        <f t="shared" si="20"/>
        <v>2563410.0800000057</v>
      </c>
      <c r="O81" s="81">
        <f t="shared" si="20"/>
        <v>6764962.029999963</v>
      </c>
      <c r="P81" s="81">
        <f t="shared" si="20"/>
        <v>52004.369999999995</v>
      </c>
      <c r="Q81" s="81">
        <f t="shared" si="20"/>
        <v>79771.87999999999</v>
      </c>
      <c r="R81" s="81">
        <f t="shared" si="20"/>
        <v>334636.66000000184</v>
      </c>
      <c r="S81" s="81">
        <f t="shared" si="20"/>
        <v>1570401.0899999989</v>
      </c>
      <c r="T81" s="80">
        <f>SUM(I81,M81,N81:S81)</f>
        <v>64563569.079999983</v>
      </c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</row>
    <row r="82" spans="1:51" s="24" customFormat="1" x14ac:dyDescent="0.25">
      <c r="A82" s="34" t="s">
        <v>19</v>
      </c>
      <c r="B82" s="82">
        <f>+B66+B74</f>
        <v>31297.129999999939</v>
      </c>
      <c r="C82" s="82">
        <f>+C66+C74</f>
        <v>-3811495.8699999861</v>
      </c>
      <c r="D82" s="82">
        <f t="shared" si="18"/>
        <v>-2385360.2899999861</v>
      </c>
      <c r="E82" s="82">
        <f t="shared" si="18"/>
        <v>-680131.00999999407</v>
      </c>
      <c r="F82" s="82">
        <f t="shared" si="18"/>
        <v>-69224.920000000726</v>
      </c>
      <c r="G82" s="82">
        <f t="shared" si="18"/>
        <v>-2161174.109999985</v>
      </c>
      <c r="H82" s="82">
        <f t="shared" si="18"/>
        <v>-412377.41000000009</v>
      </c>
      <c r="I82" s="83">
        <f>SUM(B82:H82)</f>
        <v>-9488466.479999952</v>
      </c>
      <c r="J82" s="82">
        <f t="shared" si="19"/>
        <v>-2014966.5800000208</v>
      </c>
      <c r="K82" s="82">
        <f t="shared" si="19"/>
        <v>-2404983.9999999898</v>
      </c>
      <c r="L82" s="82">
        <f t="shared" si="19"/>
        <v>-1632351.2399999911</v>
      </c>
      <c r="M82" s="83">
        <f>SUM(J82:L82)</f>
        <v>-6052301.8200000012</v>
      </c>
      <c r="N82" s="82">
        <f t="shared" si="20"/>
        <v>-2485657.8799999859</v>
      </c>
      <c r="O82" s="82">
        <f t="shared" si="20"/>
        <v>-2423785.3599999598</v>
      </c>
      <c r="P82" s="82">
        <f t="shared" si="20"/>
        <v>-42956.779999999984</v>
      </c>
      <c r="Q82" s="82">
        <f t="shared" si="20"/>
        <v>-126438.93000000004</v>
      </c>
      <c r="R82" s="82">
        <f t="shared" si="20"/>
        <v>-33318.109999999579</v>
      </c>
      <c r="S82" s="82">
        <f t="shared" si="20"/>
        <v>-242376.61000000077</v>
      </c>
      <c r="T82" s="84">
        <f>SUM(I82,M82,N82:S82)</f>
        <v>-20895301.969999898</v>
      </c>
      <c r="U82" s="23"/>
      <c r="V82" s="55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</row>
    <row r="83" spans="1:51" ht="13.8" thickBot="1" x14ac:dyDescent="0.3">
      <c r="I83" s="42"/>
      <c r="M83" s="42"/>
      <c r="T83" s="42"/>
    </row>
    <row r="84" spans="1:51" x14ac:dyDescent="0.25">
      <c r="U84" s="58"/>
      <c r="V84" s="58"/>
    </row>
    <row r="85" spans="1:51" s="24" customFormat="1" ht="17.399999999999999" x14ac:dyDescent="0.25">
      <c r="A85" s="258" t="s">
        <v>191</v>
      </c>
      <c r="B85" s="258"/>
      <c r="C85" s="258"/>
      <c r="D85" s="258"/>
      <c r="E85" s="258"/>
      <c r="F85" s="41"/>
      <c r="G85" s="41"/>
      <c r="H85" s="23"/>
      <c r="I85" s="1"/>
      <c r="J85" s="23"/>
      <c r="K85" s="23"/>
      <c r="L85" s="23"/>
      <c r="M85" s="1"/>
      <c r="N85" s="23"/>
      <c r="O85" s="23"/>
      <c r="P85" s="23"/>
      <c r="Q85" s="23"/>
      <c r="R85" s="23"/>
      <c r="S85" s="23"/>
      <c r="T85" s="57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</row>
    <row r="86" spans="1:51" s="24" customFormat="1" ht="13.8" thickBot="1" x14ac:dyDescent="0.3">
      <c r="I86" s="1"/>
      <c r="M86" s="1"/>
      <c r="T86" s="57"/>
    </row>
    <row r="87" spans="1:51" s="24" customFormat="1" x14ac:dyDescent="0.25">
      <c r="A87" s="26"/>
      <c r="B87" s="27" t="s">
        <v>2</v>
      </c>
      <c r="C87" s="28"/>
      <c r="D87" s="28"/>
      <c r="E87" s="28"/>
      <c r="F87" s="28"/>
      <c r="G87" s="28"/>
      <c r="H87" s="28"/>
      <c r="I87" s="128" t="s">
        <v>2</v>
      </c>
      <c r="J87" s="27" t="s">
        <v>3</v>
      </c>
      <c r="K87" s="28"/>
      <c r="L87" s="28"/>
      <c r="M87" s="128" t="s">
        <v>3</v>
      </c>
      <c r="N87" s="30" t="s">
        <v>4</v>
      </c>
      <c r="O87" s="30" t="s">
        <v>5</v>
      </c>
      <c r="P87" s="30" t="s">
        <v>6</v>
      </c>
      <c r="Q87" s="30" t="s">
        <v>7</v>
      </c>
      <c r="R87" s="30" t="s">
        <v>142</v>
      </c>
      <c r="S87" s="30" t="s">
        <v>143</v>
      </c>
      <c r="T87" s="128" t="s">
        <v>8</v>
      </c>
      <c r="U87" s="23"/>
      <c r="V87" s="23"/>
      <c r="W87" s="145" t="s">
        <v>193</v>
      </c>
      <c r="X87" s="1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</row>
    <row r="88" spans="1:51" s="24" customFormat="1" x14ac:dyDescent="0.25">
      <c r="A88" s="26"/>
      <c r="B88" s="28" t="s">
        <v>9</v>
      </c>
      <c r="C88" s="28" t="s">
        <v>10</v>
      </c>
      <c r="D88" s="28" t="s">
        <v>11</v>
      </c>
      <c r="E88" s="28" t="s">
        <v>12</v>
      </c>
      <c r="F88" s="28" t="s">
        <v>13</v>
      </c>
      <c r="G88" s="28" t="s">
        <v>14</v>
      </c>
      <c r="H88" s="28" t="s">
        <v>15</v>
      </c>
      <c r="I88" s="32" t="s">
        <v>16</v>
      </c>
      <c r="J88" s="28" t="s">
        <v>17</v>
      </c>
      <c r="K88" s="28" t="s">
        <v>18</v>
      </c>
      <c r="L88" s="28" t="s">
        <v>141</v>
      </c>
      <c r="M88" s="32" t="s">
        <v>16</v>
      </c>
      <c r="N88" s="30" t="s">
        <v>16</v>
      </c>
      <c r="O88" s="30" t="s">
        <v>16</v>
      </c>
      <c r="P88" s="30" t="s">
        <v>16</v>
      </c>
      <c r="Q88" s="30" t="s">
        <v>16</v>
      </c>
      <c r="R88" s="30" t="s">
        <v>16</v>
      </c>
      <c r="S88" s="30" t="s">
        <v>16</v>
      </c>
      <c r="T88" s="32" t="s">
        <v>16</v>
      </c>
      <c r="U88" s="23"/>
      <c r="V88" s="23"/>
      <c r="W88" s="146" t="s">
        <v>194</v>
      </c>
      <c r="X88" s="146" t="s">
        <v>195</v>
      </c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</row>
    <row r="89" spans="1:51" s="24" customFormat="1" x14ac:dyDescent="0.25">
      <c r="A89" s="66">
        <f>+$A$12</f>
        <v>44834</v>
      </c>
      <c r="B89" s="79">
        <f t="shared" ref="B89:H90" si="21">+B28+B54+B80</f>
        <v>79085.140000000014</v>
      </c>
      <c r="C89" s="79">
        <f t="shared" si="21"/>
        <v>33231127.880000018</v>
      </c>
      <c r="D89" s="79">
        <f t="shared" si="21"/>
        <v>20230011.899999969</v>
      </c>
      <c r="E89" s="79">
        <f t="shared" si="21"/>
        <v>5374943.7599999942</v>
      </c>
      <c r="F89" s="79">
        <f t="shared" si="21"/>
        <v>1035107.9100000008</v>
      </c>
      <c r="G89" s="79">
        <f t="shared" si="21"/>
        <v>25805473.399999969</v>
      </c>
      <c r="H89" s="79">
        <f t="shared" si="21"/>
        <v>3713792.5700000003</v>
      </c>
      <c r="I89" s="80">
        <f>SUM(B89:H89)</f>
        <v>89469542.559999943</v>
      </c>
      <c r="J89" s="79">
        <f t="shared" ref="J89:L90" si="22">+J28+J54+J80</f>
        <v>15018370.000000041</v>
      </c>
      <c r="K89" s="79">
        <f t="shared" si="22"/>
        <v>18299875.989999998</v>
      </c>
      <c r="L89" s="79">
        <f t="shared" si="22"/>
        <v>22691659.909999989</v>
      </c>
      <c r="M89" s="80">
        <f>SUM(J89:L89)</f>
        <v>56009905.900000028</v>
      </c>
      <c r="N89" s="79">
        <f t="shared" ref="N89:S90" si="23">+N28+N54+N80</f>
        <v>5888748.979999993</v>
      </c>
      <c r="O89" s="79">
        <f t="shared" si="23"/>
        <v>25849088.899999902</v>
      </c>
      <c r="P89" s="79">
        <f t="shared" si="23"/>
        <v>109830.23999999998</v>
      </c>
      <c r="Q89" s="79">
        <f t="shared" si="23"/>
        <v>-522319.77999999991</v>
      </c>
      <c r="R89" s="79">
        <f t="shared" si="23"/>
        <v>493232.37000000139</v>
      </c>
      <c r="S89" s="79">
        <f t="shared" si="23"/>
        <v>3458356.79</v>
      </c>
      <c r="T89" s="80">
        <f>SUM(I89,M89,N89:S89)</f>
        <v>180756385.95999986</v>
      </c>
      <c r="U89" s="23"/>
      <c r="V89" s="134" t="s">
        <v>196</v>
      </c>
      <c r="W89" s="153">
        <f>SUMIF('457-PQ'!C:C,YEAR(Index!A3)-1,'457-PQ'!F:F)</f>
        <v>-180756385.95999998</v>
      </c>
      <c r="X89" s="147">
        <f>+W89+T89</f>
        <v>0</v>
      </c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</row>
    <row r="90" spans="1:51" s="24" customFormat="1" x14ac:dyDescent="0.25">
      <c r="A90" s="66">
        <f>+$A$13</f>
        <v>45199</v>
      </c>
      <c r="B90" s="79">
        <f t="shared" si="21"/>
        <v>79110.439999999973</v>
      </c>
      <c r="C90" s="79">
        <f t="shared" si="21"/>
        <v>24976956.550000012</v>
      </c>
      <c r="D90" s="79">
        <f t="shared" si="21"/>
        <v>14403348.129999995</v>
      </c>
      <c r="E90" s="79">
        <f t="shared" si="21"/>
        <v>3801757.4300000006</v>
      </c>
      <c r="F90" s="79">
        <f t="shared" si="21"/>
        <v>850510.65000000037</v>
      </c>
      <c r="G90" s="79">
        <f t="shared" si="21"/>
        <v>22001774.170000006</v>
      </c>
      <c r="H90" s="79">
        <f t="shared" si="21"/>
        <v>3338483.8100000015</v>
      </c>
      <c r="I90" s="80">
        <f>SUM(B90:H90)</f>
        <v>69451941.180000007</v>
      </c>
      <c r="J90" s="79">
        <f t="shared" si="22"/>
        <v>11485372.360000011</v>
      </c>
      <c r="K90" s="79">
        <f t="shared" si="22"/>
        <v>14607478.280000003</v>
      </c>
      <c r="L90" s="79">
        <f t="shared" si="22"/>
        <v>19427283.889999993</v>
      </c>
      <c r="M90" s="80">
        <f>SUM(J90:L90)</f>
        <v>45520134.530000009</v>
      </c>
      <c r="N90" s="79">
        <f t="shared" si="23"/>
        <v>2769545.7300000056</v>
      </c>
      <c r="O90" s="79">
        <f t="shared" si="23"/>
        <v>20744672.639999967</v>
      </c>
      <c r="P90" s="79">
        <f t="shared" si="23"/>
        <v>77785.2</v>
      </c>
      <c r="Q90" s="79">
        <f t="shared" si="23"/>
        <v>-3251517.86</v>
      </c>
      <c r="R90" s="79">
        <f t="shared" si="23"/>
        <v>433347.72000000183</v>
      </c>
      <c r="S90" s="79">
        <f t="shared" si="23"/>
        <v>3351837.419999999</v>
      </c>
      <c r="T90" s="80">
        <f>SUM(I90,M90,N90:S90)</f>
        <v>139097746.55999994</v>
      </c>
      <c r="U90" s="23"/>
      <c r="V90" s="134" t="s">
        <v>196</v>
      </c>
      <c r="W90" s="153">
        <f>SUMIF('457-PQ'!C:C,YEAR(Index!A3),'457-PQ'!F:F)</f>
        <v>-139097746.56</v>
      </c>
      <c r="X90" s="147">
        <f>+W90+T90</f>
        <v>0</v>
      </c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</row>
    <row r="91" spans="1:51" s="24" customFormat="1" ht="13.8" thickBot="1" x14ac:dyDescent="0.3">
      <c r="A91" s="34" t="s">
        <v>19</v>
      </c>
      <c r="B91" s="82">
        <f t="shared" ref="B91:H91" si="24">+B90-B89</f>
        <v>25.299999999959255</v>
      </c>
      <c r="C91" s="82">
        <f t="shared" si="24"/>
        <v>-8254171.3300000057</v>
      </c>
      <c r="D91" s="82">
        <f t="shared" si="24"/>
        <v>-5826663.7699999735</v>
      </c>
      <c r="E91" s="82">
        <f t="shared" si="24"/>
        <v>-1573186.3299999936</v>
      </c>
      <c r="F91" s="82">
        <f t="shared" si="24"/>
        <v>-184597.26000000047</v>
      </c>
      <c r="G91" s="82">
        <f t="shared" si="24"/>
        <v>-3803699.2299999632</v>
      </c>
      <c r="H91" s="82">
        <f t="shared" si="24"/>
        <v>-375308.75999999885</v>
      </c>
      <c r="I91" s="129">
        <f>SUM(B91:H91)</f>
        <v>-20017601.379999936</v>
      </c>
      <c r="J91" s="82">
        <f>+J90-J89</f>
        <v>-3532997.6400000304</v>
      </c>
      <c r="K91" s="82">
        <f>+K90-K89</f>
        <v>-3692397.7099999953</v>
      </c>
      <c r="L91" s="82">
        <f>+L90-L89</f>
        <v>-3264376.0199999958</v>
      </c>
      <c r="M91" s="129">
        <f>SUM(J91:L91)</f>
        <v>-10489771.370000022</v>
      </c>
      <c r="N91" s="82">
        <f t="shared" ref="N91:S91" si="25">+N90-N89</f>
        <v>-3119203.2499999874</v>
      </c>
      <c r="O91" s="82">
        <f t="shared" si="25"/>
        <v>-5104416.2599999346</v>
      </c>
      <c r="P91" s="82">
        <f t="shared" si="25"/>
        <v>-32045.039999999979</v>
      </c>
      <c r="Q91" s="82">
        <f t="shared" si="25"/>
        <v>-2729198.08</v>
      </c>
      <c r="R91" s="82">
        <f t="shared" si="25"/>
        <v>-59884.649999999558</v>
      </c>
      <c r="S91" s="82">
        <f t="shared" si="25"/>
        <v>-106519.37000000104</v>
      </c>
      <c r="T91" s="129">
        <f>SUM(I91,M91,N91:S91)</f>
        <v>-41658639.399999872</v>
      </c>
      <c r="U91" s="23"/>
      <c r="V91" s="55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</row>
  </sheetData>
  <mergeCells count="15">
    <mergeCell ref="A60:E60"/>
    <mergeCell ref="A68:E68"/>
    <mergeCell ref="A76:E76"/>
    <mergeCell ref="A85:E85"/>
    <mergeCell ref="A5:T5"/>
    <mergeCell ref="A32:T32"/>
    <mergeCell ref="A58:T58"/>
    <mergeCell ref="A34:E34"/>
    <mergeCell ref="A42:E42"/>
    <mergeCell ref="A50:E50"/>
    <mergeCell ref="A2:E2"/>
    <mergeCell ref="A3:E3"/>
    <mergeCell ref="A16:E16"/>
    <mergeCell ref="A24:E24"/>
    <mergeCell ref="A8:E8"/>
  </mergeCells>
  <printOptions horizontalCentered="1"/>
  <pageMargins left="0.5" right="0.5" top="0.5" bottom="0.5" header="0.5" footer="0.5"/>
  <pageSetup scale="35" orientation="landscape" r:id="rId1"/>
  <headerFooter>
    <oddHeader>&amp;RDocket No. 56165
Exhibit BJF-5
Page &amp;P of &amp;N</oddHeader>
  </headerFooter>
  <ignoredErrors>
    <ignoredError sqref="I89:I91 M89:M91 I56:R56 T55 I55:R55 T54 I54:Q54 I57:T57 D82:H82 A82 A83:H83 N15:T15 F29:H29 A29:B29 A30:H31 A21 A72:A73 M14 A20 K16:T19 A17:H19 K15:L15 B15:H15 A23:T23 A75:H75 A64:A65 A67:H67 A38:A39 A41:H41 A46:A47 A49:H49 A35:H37 A43:H45 A48 A51:H57 A58:T58 A61:H63 A69:H71 A74 A77:H79 A59:H59 A66 A33:H33 A40 A28 A32:T32 A14 I28:T31 I33:T33 I59:L59 I76:T81 I68:T71 I61:T63 I50:T53 I42:T45 I34:T37 I49:T49 I41:T41 I67:T67 I66 M66 I75:T75 I74 M74 I40 M40 T40 I48 M48 T48 I84:R84 A86:T88 A84:H84 S84:T84 S56:T56 C82 T74 T66 E29 I14 A15 I15:J15 M15 I16:J19 R54:S54 S55 A16 F16:H16 A25:T27 A24 F24:T24 A34 F34:H34 A42 F42:H42 A50 F50:H50 A60 G60:H60 A68 F68:H68 A76 G76:H76 A85 F85:T85 I60:L60 N60:T60 N59:T59 I83:T83 I82:S82 A81 A80 C80:D80 C81:H81 C28:H28 F80:H80 D29 T14 A22 I22 M22 T22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B1:X99"/>
  <sheetViews>
    <sheetView showGridLines="0" tabSelected="1" zoomScale="85" zoomScaleNormal="85" workbookViewId="0">
      <pane xSplit="1" ySplit="5" topLeftCell="C6" activePane="bottomRight" state="frozen"/>
      <selection sqref="A1:XFD1"/>
      <selection pane="topRight" sqref="A1:XFD1"/>
      <selection pane="bottomLeft" sqref="A1:XFD1"/>
      <selection pane="bottomRight" sqref="A1:XFD1"/>
    </sheetView>
  </sheetViews>
  <sheetFormatPr defaultRowHeight="13.2" x14ac:dyDescent="0.25"/>
  <cols>
    <col min="1" max="1" width="1" customWidth="1"/>
    <col min="2" max="2" width="15" customWidth="1"/>
    <col min="3" max="20" width="14.6640625" customWidth="1"/>
    <col min="21" max="21" width="14.6640625" style="70" customWidth="1"/>
    <col min="22" max="22" width="1.44140625" customWidth="1"/>
    <col min="23" max="32" width="15.6640625" customWidth="1"/>
  </cols>
  <sheetData>
    <row r="1" spans="2:21" ht="8.25" customHeight="1" x14ac:dyDescent="0.25"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69"/>
    </row>
    <row r="2" spans="2:21" ht="23.4" x14ac:dyDescent="0.25">
      <c r="B2" s="265" t="s">
        <v>368</v>
      </c>
      <c r="C2" s="265"/>
      <c r="D2" s="265"/>
      <c r="E2" s="265"/>
      <c r="F2" s="265"/>
      <c r="G2" s="265"/>
      <c r="H2" s="265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69"/>
    </row>
    <row r="3" spans="2:21" ht="2.1" customHeight="1" x14ac:dyDescent="0.25"/>
    <row r="4" spans="2:21" ht="23.25" customHeight="1" x14ac:dyDescent="0.25">
      <c r="B4" s="100" t="s">
        <v>172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69"/>
    </row>
    <row r="5" spans="2:21" ht="15.45" customHeight="1" x14ac:dyDescent="0.25">
      <c r="B5" s="266" t="s">
        <v>117</v>
      </c>
      <c r="C5" s="266"/>
      <c r="D5" s="266"/>
      <c r="E5" s="266"/>
      <c r="F5" s="266"/>
      <c r="G5" s="266"/>
      <c r="H5" s="266"/>
      <c r="I5" s="266"/>
      <c r="J5" s="266"/>
      <c r="K5" s="266"/>
      <c r="L5" s="266"/>
      <c r="M5" s="266"/>
      <c r="N5" s="266"/>
      <c r="O5" s="266"/>
      <c r="P5" s="266"/>
      <c r="Q5" s="266"/>
      <c r="R5" s="266"/>
      <c r="S5" s="266"/>
      <c r="T5" s="266"/>
      <c r="U5" s="266"/>
    </row>
    <row r="6" spans="2:21" ht="7.5" customHeight="1" x14ac:dyDescent="0.25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69"/>
    </row>
    <row r="7" spans="2:21" ht="15.45" customHeight="1" thickBot="1" x14ac:dyDescent="0.3">
      <c r="B7" s="19" t="s">
        <v>118</v>
      </c>
      <c r="C7" s="13"/>
      <c r="D7" s="13"/>
      <c r="E7" s="13"/>
      <c r="F7" s="13"/>
      <c r="G7" s="13"/>
      <c r="H7" s="13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69"/>
    </row>
    <row r="8" spans="2:21" ht="18.600000000000001" customHeight="1" x14ac:dyDescent="0.25">
      <c r="B8" s="9"/>
      <c r="C8" s="52" t="s">
        <v>2</v>
      </c>
      <c r="D8" s="8"/>
      <c r="E8" s="8"/>
      <c r="F8" s="8"/>
      <c r="G8" s="8"/>
      <c r="H8" s="8"/>
      <c r="I8" s="8"/>
      <c r="J8" s="56" t="s">
        <v>2</v>
      </c>
      <c r="K8" s="52" t="s">
        <v>3</v>
      </c>
      <c r="L8" s="8"/>
      <c r="M8" s="8"/>
      <c r="N8" s="56" t="s">
        <v>3</v>
      </c>
      <c r="O8" s="9" t="s">
        <v>4</v>
      </c>
      <c r="P8" s="9" t="s">
        <v>5</v>
      </c>
      <c r="Q8" s="9" t="s">
        <v>6</v>
      </c>
      <c r="R8" s="9" t="s">
        <v>7</v>
      </c>
      <c r="S8" s="9" t="s">
        <v>142</v>
      </c>
      <c r="T8" s="9" t="s">
        <v>143</v>
      </c>
      <c r="U8" s="71" t="s">
        <v>8</v>
      </c>
    </row>
    <row r="9" spans="2:21" ht="17.100000000000001" customHeight="1" x14ac:dyDescent="0.25">
      <c r="B9" s="9"/>
      <c r="C9" s="8" t="s">
        <v>9</v>
      </c>
      <c r="D9" s="8" t="s">
        <v>10</v>
      </c>
      <c r="E9" s="8" t="s">
        <v>11</v>
      </c>
      <c r="F9" s="8" t="s">
        <v>12</v>
      </c>
      <c r="G9" s="8" t="s">
        <v>13</v>
      </c>
      <c r="H9" s="8" t="s">
        <v>14</v>
      </c>
      <c r="I9" s="8" t="s">
        <v>15</v>
      </c>
      <c r="J9" s="43" t="s">
        <v>16</v>
      </c>
      <c r="K9" s="8" t="s">
        <v>17</v>
      </c>
      <c r="L9" s="8" t="s">
        <v>18</v>
      </c>
      <c r="M9" s="8" t="s">
        <v>141</v>
      </c>
      <c r="N9" s="43" t="s">
        <v>16</v>
      </c>
      <c r="O9" s="9" t="s">
        <v>16</v>
      </c>
      <c r="P9" s="9" t="s">
        <v>16</v>
      </c>
      <c r="Q9" s="9" t="s">
        <v>16</v>
      </c>
      <c r="R9" s="9" t="s">
        <v>16</v>
      </c>
      <c r="S9" s="9" t="s">
        <v>16</v>
      </c>
      <c r="T9" s="9" t="s">
        <v>16</v>
      </c>
      <c r="U9" s="72" t="s">
        <v>16</v>
      </c>
    </row>
    <row r="10" spans="2:21" ht="15" customHeight="1" x14ac:dyDescent="0.25">
      <c r="B10" s="61" t="str">
        <f>TEXT(+'Tab 1'!A12,"mmm-yyyy")</f>
        <v>Sep-2022</v>
      </c>
      <c r="C10" s="59">
        <v>13327.169999999995</v>
      </c>
      <c r="D10" s="59">
        <v>4973108.3599999985</v>
      </c>
      <c r="E10" s="59">
        <v>2971770.1199999987</v>
      </c>
      <c r="F10" s="60">
        <v>855480.92</v>
      </c>
      <c r="G10" s="59">
        <v>100162.60999999999</v>
      </c>
      <c r="H10" s="60">
        <v>3800311.1999999993</v>
      </c>
      <c r="I10" s="59">
        <v>465351.88999999937</v>
      </c>
      <c r="J10" s="44">
        <v>13179512.269999994</v>
      </c>
      <c r="K10" s="60">
        <v>2527741.9000000004</v>
      </c>
      <c r="L10" s="60">
        <v>3056861.140000002</v>
      </c>
      <c r="M10" s="60">
        <v>2868542.1699999976</v>
      </c>
      <c r="N10" s="49">
        <v>8453145.2100000009</v>
      </c>
      <c r="O10" s="60">
        <v>1351170.1900000006</v>
      </c>
      <c r="P10" s="60">
        <v>3093107.8399999994</v>
      </c>
      <c r="Q10" s="60">
        <v>33748.959999999999</v>
      </c>
      <c r="R10" s="60">
        <v>50061.169999999976</v>
      </c>
      <c r="S10" s="60">
        <v>111642.22999999998</v>
      </c>
      <c r="T10" s="60">
        <v>650079.58999999985</v>
      </c>
      <c r="U10" s="73">
        <v>26922467.459999997</v>
      </c>
    </row>
    <row r="11" spans="2:21" ht="15" customHeight="1" x14ac:dyDescent="0.25">
      <c r="B11" s="66">
        <f>EOMONTH(B10,12)</f>
        <v>45199</v>
      </c>
      <c r="C11" s="59">
        <v>26781.370000000017</v>
      </c>
      <c r="D11" s="59">
        <v>4869395.0499999933</v>
      </c>
      <c r="E11" s="59">
        <v>2788467.9700000049</v>
      </c>
      <c r="F11" s="60">
        <v>784492.37000000034</v>
      </c>
      <c r="G11" s="59">
        <v>101219.83000000003</v>
      </c>
      <c r="H11" s="60">
        <v>3598154.4000000004</v>
      </c>
      <c r="I11" s="59">
        <v>507846.57999999961</v>
      </c>
      <c r="J11" s="44">
        <v>12676357.57</v>
      </c>
      <c r="K11" s="60">
        <v>2452785.3699999973</v>
      </c>
      <c r="L11" s="60">
        <v>2848518.9599999986</v>
      </c>
      <c r="M11" s="60">
        <v>2802541.44</v>
      </c>
      <c r="N11" s="49">
        <v>8103845.7699999958</v>
      </c>
      <c r="O11" s="60">
        <v>848951.69000000018</v>
      </c>
      <c r="P11" s="60">
        <v>2834608.3400000036</v>
      </c>
      <c r="Q11" s="60">
        <v>26829.459999999992</v>
      </c>
      <c r="R11" s="60">
        <v>27253.639999999996</v>
      </c>
      <c r="S11" s="60">
        <v>143530.29999999996</v>
      </c>
      <c r="T11" s="60">
        <v>612018.19000000018</v>
      </c>
      <c r="U11" s="73">
        <v>25273394.960000001</v>
      </c>
    </row>
    <row r="12" spans="2:21" ht="15" customHeight="1" x14ac:dyDescent="0.25">
      <c r="B12" s="12" t="s">
        <v>19</v>
      </c>
      <c r="C12" s="11">
        <f>+C11-C10</f>
        <v>13454.200000000023</v>
      </c>
      <c r="D12" s="11">
        <f t="shared" ref="D12:U12" si="0">+D11-D10</f>
        <v>-103713.31000000518</v>
      </c>
      <c r="E12" s="11">
        <f t="shared" si="0"/>
        <v>-183302.14999999385</v>
      </c>
      <c r="F12" s="11">
        <f t="shared" si="0"/>
        <v>-70988.549999999697</v>
      </c>
      <c r="G12" s="11">
        <f t="shared" si="0"/>
        <v>1057.2200000000448</v>
      </c>
      <c r="H12" s="11">
        <f t="shared" si="0"/>
        <v>-202156.79999999888</v>
      </c>
      <c r="I12" s="11">
        <f t="shared" si="0"/>
        <v>42494.690000000235</v>
      </c>
      <c r="J12" s="45">
        <f t="shared" si="0"/>
        <v>-503154.69999999367</v>
      </c>
      <c r="K12" s="11">
        <f t="shared" si="0"/>
        <v>-74956.530000003055</v>
      </c>
      <c r="L12" s="11">
        <f t="shared" si="0"/>
        <v>-208342.18000000343</v>
      </c>
      <c r="M12" s="11">
        <f t="shared" si="0"/>
        <v>-66000.729999997653</v>
      </c>
      <c r="N12" s="50">
        <f t="shared" si="0"/>
        <v>-349299.44000000507</v>
      </c>
      <c r="O12" s="11">
        <f t="shared" si="0"/>
        <v>-502218.50000000047</v>
      </c>
      <c r="P12" s="11">
        <f t="shared" si="0"/>
        <v>-258499.49999999581</v>
      </c>
      <c r="Q12" s="11">
        <f t="shared" si="0"/>
        <v>-6919.5000000000073</v>
      </c>
      <c r="R12" s="11">
        <f t="shared" si="0"/>
        <v>-22807.529999999981</v>
      </c>
      <c r="S12" s="11">
        <f t="shared" si="0"/>
        <v>31888.069999999978</v>
      </c>
      <c r="T12" s="11">
        <f t="shared" si="0"/>
        <v>-38061.399999999674</v>
      </c>
      <c r="U12" s="74">
        <f t="shared" si="0"/>
        <v>-1649072.4999999963</v>
      </c>
    </row>
    <row r="13" spans="2:21" x14ac:dyDescent="0.25">
      <c r="B13" s="106"/>
      <c r="C13" s="125"/>
      <c r="D13" s="125"/>
      <c r="E13" s="125"/>
      <c r="F13" s="125"/>
      <c r="G13" s="125"/>
      <c r="H13" s="125"/>
      <c r="I13" s="125"/>
      <c r="J13" s="127"/>
      <c r="K13" s="126"/>
      <c r="L13" s="126"/>
      <c r="M13" s="126"/>
      <c r="N13" s="127"/>
      <c r="O13" s="126"/>
      <c r="P13" s="126"/>
      <c r="Q13" s="126"/>
      <c r="R13" s="126"/>
      <c r="S13" s="126"/>
      <c r="T13" s="126"/>
      <c r="U13" s="127"/>
    </row>
    <row r="14" spans="2:21" ht="7.5" customHeight="1" x14ac:dyDescent="0.25">
      <c r="B14" s="7"/>
      <c r="C14" s="7"/>
      <c r="D14" s="7"/>
      <c r="E14" s="7"/>
      <c r="F14" s="7"/>
      <c r="G14" s="7"/>
      <c r="H14" s="7"/>
      <c r="I14" s="7"/>
      <c r="J14" s="47"/>
      <c r="K14" s="7"/>
      <c r="L14" s="7"/>
      <c r="M14" s="7"/>
      <c r="N14" s="47"/>
      <c r="O14" s="7"/>
      <c r="P14" s="7"/>
      <c r="Q14" s="7"/>
      <c r="R14" s="7"/>
      <c r="S14" s="7"/>
      <c r="T14" s="7"/>
      <c r="U14" s="76"/>
    </row>
    <row r="15" spans="2:21" ht="15.45" customHeight="1" x14ac:dyDescent="0.25">
      <c r="B15" s="19" t="s">
        <v>144</v>
      </c>
      <c r="C15" s="13"/>
      <c r="D15" s="13"/>
      <c r="E15" s="13"/>
      <c r="F15" s="13"/>
      <c r="G15" s="13"/>
      <c r="H15" s="13"/>
      <c r="I15" s="7"/>
      <c r="J15" s="47"/>
      <c r="K15" s="7"/>
      <c r="L15" s="7"/>
      <c r="M15" s="7"/>
      <c r="N15" s="47"/>
      <c r="O15" s="7"/>
      <c r="P15" s="7"/>
      <c r="Q15" s="7"/>
      <c r="R15" s="7"/>
      <c r="S15" s="7"/>
      <c r="T15" s="7"/>
      <c r="U15" s="76"/>
    </row>
    <row r="16" spans="2:21" ht="14.1" customHeight="1" x14ac:dyDescent="0.25">
      <c r="B16" s="9"/>
      <c r="C16" s="8" t="s">
        <v>2</v>
      </c>
      <c r="D16" s="8"/>
      <c r="E16" s="8"/>
      <c r="F16" s="8"/>
      <c r="G16" s="8"/>
      <c r="H16" s="8"/>
      <c r="I16" s="8"/>
      <c r="J16" s="43" t="s">
        <v>2</v>
      </c>
      <c r="K16" s="52" t="s">
        <v>3</v>
      </c>
      <c r="L16" s="8"/>
      <c r="M16" s="8"/>
      <c r="N16" s="43" t="s">
        <v>3</v>
      </c>
      <c r="O16" s="9" t="s">
        <v>4</v>
      </c>
      <c r="P16" s="9" t="s">
        <v>5</v>
      </c>
      <c r="Q16" s="9" t="s">
        <v>6</v>
      </c>
      <c r="R16" s="9" t="s">
        <v>7</v>
      </c>
      <c r="S16" s="9" t="s">
        <v>142</v>
      </c>
      <c r="T16" s="9" t="s">
        <v>143</v>
      </c>
      <c r="U16" s="72" t="s">
        <v>8</v>
      </c>
    </row>
    <row r="17" spans="2:22" ht="17.100000000000001" customHeight="1" x14ac:dyDescent="0.25">
      <c r="B17" s="9"/>
      <c r="C17" s="8" t="s">
        <v>9</v>
      </c>
      <c r="D17" s="8" t="s">
        <v>10</v>
      </c>
      <c r="E17" s="8" t="s">
        <v>11</v>
      </c>
      <c r="F17" s="8" t="s">
        <v>12</v>
      </c>
      <c r="G17" s="8" t="s">
        <v>13</v>
      </c>
      <c r="H17" s="8" t="s">
        <v>14</v>
      </c>
      <c r="I17" s="8" t="s">
        <v>15</v>
      </c>
      <c r="J17" s="43" t="s">
        <v>16</v>
      </c>
      <c r="K17" s="8" t="s">
        <v>17</v>
      </c>
      <c r="L17" s="8" t="s">
        <v>18</v>
      </c>
      <c r="M17" s="8" t="s">
        <v>141</v>
      </c>
      <c r="N17" s="43" t="s">
        <v>16</v>
      </c>
      <c r="O17" s="9" t="s">
        <v>16</v>
      </c>
      <c r="P17" s="9" t="s">
        <v>16</v>
      </c>
      <c r="Q17" s="9" t="s">
        <v>16</v>
      </c>
      <c r="R17" s="9" t="s">
        <v>16</v>
      </c>
      <c r="S17" s="9" t="s">
        <v>16</v>
      </c>
      <c r="T17" s="9" t="s">
        <v>16</v>
      </c>
      <c r="U17" s="72" t="s">
        <v>16</v>
      </c>
    </row>
    <row r="18" spans="2:22" ht="15" customHeight="1" x14ac:dyDescent="0.25">
      <c r="B18" s="61" t="str">
        <f>+$B$10</f>
        <v>Sep-2022</v>
      </c>
      <c r="C18" s="59">
        <v>2941.0099999999998</v>
      </c>
      <c r="D18" s="59">
        <v>961965.65999999992</v>
      </c>
      <c r="E18" s="59">
        <v>599265.13000000012</v>
      </c>
      <c r="F18" s="60">
        <v>139145.9899999999</v>
      </c>
      <c r="G18" s="59">
        <v>13558.160000000014</v>
      </c>
      <c r="H18" s="60">
        <v>719994.6100000001</v>
      </c>
      <c r="I18" s="59">
        <v>122496.45999999993</v>
      </c>
      <c r="J18" s="44">
        <v>2559367.02</v>
      </c>
      <c r="K18" s="60">
        <v>536315.69999999949</v>
      </c>
      <c r="L18" s="60">
        <v>624232.14999999967</v>
      </c>
      <c r="M18" s="60">
        <v>506440.95999999985</v>
      </c>
      <c r="N18" s="49">
        <v>1666988.8099999991</v>
      </c>
      <c r="O18" s="182">
        <v>-114170.94999999998</v>
      </c>
      <c r="P18" s="182">
        <v>493542.09999999992</v>
      </c>
      <c r="Q18" s="182">
        <v>9702.2800000000025</v>
      </c>
      <c r="R18" s="182">
        <v>11924.14</v>
      </c>
      <c r="S18" s="182">
        <v>24116.059999999998</v>
      </c>
      <c r="T18" s="182">
        <v>131667.42000000001</v>
      </c>
      <c r="U18" s="73">
        <v>4783136.879999999</v>
      </c>
      <c r="V18" s="53"/>
    </row>
    <row r="19" spans="2:22" ht="15" customHeight="1" x14ac:dyDescent="0.25">
      <c r="B19" s="66">
        <f>+$B$11</f>
        <v>45199</v>
      </c>
      <c r="C19" s="59">
        <v>4705.0700000000006</v>
      </c>
      <c r="D19" s="59">
        <v>509810.27999999974</v>
      </c>
      <c r="E19" s="59">
        <v>325118.48999999976</v>
      </c>
      <c r="F19" s="60">
        <v>93809.240000000122</v>
      </c>
      <c r="G19" s="59">
        <v>4728.3299999999972</v>
      </c>
      <c r="H19" s="60">
        <v>326956.47000000009</v>
      </c>
      <c r="I19" s="59">
        <v>46884.83</v>
      </c>
      <c r="J19" s="44">
        <v>1312012.7099999997</v>
      </c>
      <c r="K19" s="60">
        <v>314319.01999999984</v>
      </c>
      <c r="L19" s="60">
        <v>312393.83000000031</v>
      </c>
      <c r="M19" s="60">
        <v>193692.37999999989</v>
      </c>
      <c r="N19" s="49">
        <v>820405.23</v>
      </c>
      <c r="O19" s="182">
        <v>124807.11999999994</v>
      </c>
      <c r="P19" s="182">
        <v>166337.21999999994</v>
      </c>
      <c r="Q19" s="182">
        <v>7095.9700000000021</v>
      </c>
      <c r="R19" s="182">
        <v>4453.0900000000011</v>
      </c>
      <c r="S19" s="182">
        <v>30077.39</v>
      </c>
      <c r="T19" s="182">
        <v>89619.239999999991</v>
      </c>
      <c r="U19" s="73">
        <v>2554807.9699999993</v>
      </c>
      <c r="V19" s="53"/>
    </row>
    <row r="20" spans="2:22" ht="15" customHeight="1" x14ac:dyDescent="0.25">
      <c r="B20" s="12" t="s">
        <v>19</v>
      </c>
      <c r="C20" s="11">
        <f>+C19-C18</f>
        <v>1764.0600000000009</v>
      </c>
      <c r="D20" s="11">
        <f t="shared" ref="D20" si="1">+D19-D18</f>
        <v>-452155.38000000018</v>
      </c>
      <c r="E20" s="11">
        <f t="shared" ref="E20" si="2">+E19-E18</f>
        <v>-274146.64000000036</v>
      </c>
      <c r="F20" s="11">
        <f t="shared" ref="F20" si="3">+F19-F18</f>
        <v>-45336.749999999782</v>
      </c>
      <c r="G20" s="11">
        <f t="shared" ref="G20" si="4">+G19-G18</f>
        <v>-8829.8300000000163</v>
      </c>
      <c r="H20" s="11">
        <f t="shared" ref="H20" si="5">+H19-H18</f>
        <v>-393038.14</v>
      </c>
      <c r="I20" s="11">
        <f t="shared" ref="I20" si="6">+I19-I18</f>
        <v>-75611.629999999932</v>
      </c>
      <c r="J20" s="45">
        <f t="shared" ref="J20" si="7">+J19-J18</f>
        <v>-1247354.3100000003</v>
      </c>
      <c r="K20" s="11">
        <f t="shared" ref="K20" si="8">+K19-K18</f>
        <v>-221996.67999999964</v>
      </c>
      <c r="L20" s="11">
        <f t="shared" ref="L20" si="9">+L19-L18</f>
        <v>-311838.31999999937</v>
      </c>
      <c r="M20" s="11">
        <f t="shared" ref="M20" si="10">+M19-M18</f>
        <v>-312748.57999999996</v>
      </c>
      <c r="N20" s="50">
        <f t="shared" ref="N20" si="11">+N19-N18</f>
        <v>-846583.57999999914</v>
      </c>
      <c r="O20" s="11">
        <f t="shared" ref="O20" si="12">+O19-O18</f>
        <v>238978.06999999992</v>
      </c>
      <c r="P20" s="11">
        <f t="shared" ref="P20" si="13">+P19-P18</f>
        <v>-327204.88</v>
      </c>
      <c r="Q20" s="11">
        <f t="shared" ref="Q20" si="14">+Q19-Q18</f>
        <v>-2606.3100000000004</v>
      </c>
      <c r="R20" s="11">
        <f t="shared" ref="R20" si="15">+R19-R18</f>
        <v>-7471.0499999999984</v>
      </c>
      <c r="S20" s="11">
        <f t="shared" ref="S20" si="16">+S19-S18</f>
        <v>5961.3300000000017</v>
      </c>
      <c r="T20" s="11">
        <f t="shared" ref="T20" si="17">+T19-T18</f>
        <v>-42048.180000000022</v>
      </c>
      <c r="U20" s="74">
        <f t="shared" ref="U20" si="18">+U19-U18</f>
        <v>-2228328.9099999997</v>
      </c>
      <c r="V20" s="54"/>
    </row>
    <row r="21" spans="2:22" ht="7.5" customHeight="1" x14ac:dyDescent="0.25">
      <c r="J21" s="46"/>
      <c r="N21" s="46"/>
      <c r="U21" s="75"/>
      <c r="V21" s="53"/>
    </row>
    <row r="22" spans="2:22" ht="7.5" customHeight="1" x14ac:dyDescent="0.25">
      <c r="B22" s="7"/>
      <c r="C22" s="7"/>
      <c r="D22" s="7"/>
      <c r="E22" s="7"/>
      <c r="F22" s="7"/>
      <c r="G22" s="7"/>
      <c r="H22" s="7"/>
      <c r="I22" s="7"/>
      <c r="J22" s="47"/>
      <c r="K22" s="7"/>
      <c r="L22" s="7"/>
      <c r="M22" s="7"/>
      <c r="N22" s="47"/>
      <c r="O22" s="7"/>
      <c r="P22" s="7"/>
      <c r="Q22" s="7"/>
      <c r="R22" s="7"/>
      <c r="S22" s="7"/>
      <c r="T22" s="7"/>
      <c r="U22" s="76"/>
    </row>
    <row r="23" spans="2:22" ht="15.45" customHeight="1" x14ac:dyDescent="0.25">
      <c r="B23" s="19" t="s">
        <v>146</v>
      </c>
      <c r="C23" s="13"/>
      <c r="D23" s="13"/>
      <c r="E23" s="13"/>
      <c r="F23" s="13"/>
      <c r="G23" s="13"/>
      <c r="H23" s="13"/>
      <c r="I23" s="7"/>
      <c r="J23" s="47"/>
      <c r="K23" s="7"/>
      <c r="L23" s="7"/>
      <c r="M23" s="7"/>
      <c r="N23" s="47"/>
      <c r="O23" s="7"/>
      <c r="P23" s="7"/>
      <c r="Q23" s="7"/>
      <c r="R23" s="7"/>
      <c r="S23" s="7"/>
      <c r="T23" s="7"/>
      <c r="U23" s="76"/>
    </row>
    <row r="24" spans="2:22" ht="18.600000000000001" customHeight="1" x14ac:dyDescent="0.25">
      <c r="B24" s="9"/>
      <c r="C24" s="52" t="s">
        <v>2</v>
      </c>
      <c r="D24" s="8"/>
      <c r="E24" s="8"/>
      <c r="F24" s="8"/>
      <c r="G24" s="8"/>
      <c r="H24" s="8"/>
      <c r="I24" s="8"/>
      <c r="J24" s="51" t="s">
        <v>2</v>
      </c>
      <c r="K24" s="52" t="s">
        <v>3</v>
      </c>
      <c r="L24" s="8"/>
      <c r="M24" s="8"/>
      <c r="N24" s="51" t="s">
        <v>3</v>
      </c>
      <c r="O24" s="9" t="s">
        <v>4</v>
      </c>
      <c r="P24" s="9" t="s">
        <v>5</v>
      </c>
      <c r="Q24" s="9" t="s">
        <v>6</v>
      </c>
      <c r="R24" s="9" t="s">
        <v>7</v>
      </c>
      <c r="S24" s="9" t="s">
        <v>142</v>
      </c>
      <c r="T24" s="9" t="s">
        <v>143</v>
      </c>
      <c r="U24" s="72" t="s">
        <v>8</v>
      </c>
    </row>
    <row r="25" spans="2:22" ht="17.100000000000001" customHeight="1" x14ac:dyDescent="0.25">
      <c r="B25" s="9"/>
      <c r="C25" s="8" t="s">
        <v>9</v>
      </c>
      <c r="D25" s="8" t="s">
        <v>10</v>
      </c>
      <c r="E25" s="8" t="s">
        <v>11</v>
      </c>
      <c r="F25" s="8" t="s">
        <v>12</v>
      </c>
      <c r="G25" s="8" t="s">
        <v>13</v>
      </c>
      <c r="H25" s="8" t="s">
        <v>14</v>
      </c>
      <c r="I25" s="8" t="s">
        <v>15</v>
      </c>
      <c r="J25" s="43" t="s">
        <v>16</v>
      </c>
      <c r="K25" s="8" t="s">
        <v>17</v>
      </c>
      <c r="L25" s="8" t="s">
        <v>18</v>
      </c>
      <c r="M25" s="8" t="s">
        <v>141</v>
      </c>
      <c r="N25" s="43" t="s">
        <v>16</v>
      </c>
      <c r="O25" s="9" t="s">
        <v>16</v>
      </c>
      <c r="P25" s="9" t="s">
        <v>16</v>
      </c>
      <c r="Q25" s="9" t="s">
        <v>16</v>
      </c>
      <c r="R25" s="9" t="s">
        <v>16</v>
      </c>
      <c r="S25" s="9" t="s">
        <v>16</v>
      </c>
      <c r="T25" s="9" t="s">
        <v>16</v>
      </c>
      <c r="U25" s="72" t="s">
        <v>16</v>
      </c>
    </row>
    <row r="26" spans="2:22" ht="15" customHeight="1" x14ac:dyDescent="0.25">
      <c r="B26" s="61" t="str">
        <f>+$B$10</f>
        <v>Sep-2022</v>
      </c>
      <c r="C26" s="59">
        <v>3702.18</v>
      </c>
      <c r="D26" s="59">
        <v>1214659.7799999996</v>
      </c>
      <c r="E26" s="59">
        <v>769190.96000000043</v>
      </c>
      <c r="F26" s="60">
        <v>195779.91999999993</v>
      </c>
      <c r="G26" s="10">
        <v>23728.71</v>
      </c>
      <c r="H26" s="20">
        <v>855703.11999999988</v>
      </c>
      <c r="I26" s="10">
        <v>133225.69000000003</v>
      </c>
      <c r="J26" s="44">
        <v>3195990.36</v>
      </c>
      <c r="K26" s="20">
        <v>642798.4099999998</v>
      </c>
      <c r="L26" s="20">
        <v>754077.36</v>
      </c>
      <c r="M26" s="20">
        <v>683542.91000000038</v>
      </c>
      <c r="N26" s="49">
        <v>2080418.6800000002</v>
      </c>
      <c r="O26" s="182">
        <v>458298.25999999978</v>
      </c>
      <c r="P26" s="182">
        <v>722565.37000000023</v>
      </c>
      <c r="Q26" s="182">
        <v>10687.97</v>
      </c>
      <c r="R26" s="182">
        <v>14459.780000000002</v>
      </c>
      <c r="S26" s="182">
        <v>34523.719999999994</v>
      </c>
      <c r="T26" s="182">
        <v>170662.72000000003</v>
      </c>
      <c r="U26" s="73">
        <v>6687606.8599999994</v>
      </c>
    </row>
    <row r="27" spans="2:22" ht="15" customHeight="1" x14ac:dyDescent="0.25">
      <c r="B27" s="66">
        <f>+$B$11</f>
        <v>45199</v>
      </c>
      <c r="C27" s="59">
        <v>-1720.87</v>
      </c>
      <c r="D27" s="59">
        <v>-223172.80999999991</v>
      </c>
      <c r="E27" s="59">
        <v>-158631.81</v>
      </c>
      <c r="F27" s="60">
        <v>-47988.559999999969</v>
      </c>
      <c r="G27" s="10">
        <v>-6070.2699999999986</v>
      </c>
      <c r="H27" s="20">
        <v>-182468.87999999986</v>
      </c>
      <c r="I27" s="10">
        <v>-25709.909999999989</v>
      </c>
      <c r="J27" s="44">
        <v>-645763.10999999975</v>
      </c>
      <c r="K27" s="20">
        <v>-134805.65000000005</v>
      </c>
      <c r="L27" s="20">
        <v>-146781.44999999995</v>
      </c>
      <c r="M27" s="20">
        <v>-163682.00000000003</v>
      </c>
      <c r="N27" s="49">
        <v>-445269.1</v>
      </c>
      <c r="O27" s="182">
        <v>-55828.570000000022</v>
      </c>
      <c r="P27" s="182">
        <v>-152996.99000000002</v>
      </c>
      <c r="Q27" s="182">
        <v>-1729.7799999999995</v>
      </c>
      <c r="R27" s="182">
        <v>-1305.77</v>
      </c>
      <c r="S27" s="182">
        <v>-10319.700000000001</v>
      </c>
      <c r="T27" s="182">
        <v>-32725.049999999996</v>
      </c>
      <c r="U27" s="73">
        <v>-1345938.0699999998</v>
      </c>
    </row>
    <row r="28" spans="2:22" ht="15" customHeight="1" x14ac:dyDescent="0.25">
      <c r="B28" s="12" t="s">
        <v>19</v>
      </c>
      <c r="C28" s="11">
        <f>+C27-C26</f>
        <v>-5423.0499999999993</v>
      </c>
      <c r="D28" s="11">
        <f t="shared" ref="D28" si="19">+D27-D26</f>
        <v>-1437832.5899999994</v>
      </c>
      <c r="E28" s="11">
        <f t="shared" ref="E28" si="20">+E27-E26</f>
        <v>-927822.77000000048</v>
      </c>
      <c r="F28" s="11">
        <f t="shared" ref="F28" si="21">+F27-F26</f>
        <v>-243768.47999999989</v>
      </c>
      <c r="G28" s="11">
        <f t="shared" ref="G28" si="22">+G27-G26</f>
        <v>-29798.979999999996</v>
      </c>
      <c r="H28" s="11">
        <f t="shared" ref="H28" si="23">+H27-H26</f>
        <v>-1038171.9999999998</v>
      </c>
      <c r="I28" s="11">
        <f t="shared" ref="I28" si="24">+I27-I26</f>
        <v>-158935.60000000003</v>
      </c>
      <c r="J28" s="45">
        <f t="shared" ref="J28" si="25">+J27-J26</f>
        <v>-3841753.4699999997</v>
      </c>
      <c r="K28" s="11">
        <f t="shared" ref="K28" si="26">+K27-K26</f>
        <v>-777604.05999999982</v>
      </c>
      <c r="L28" s="11">
        <f t="shared" ref="L28" si="27">+L27-L26</f>
        <v>-900858.80999999994</v>
      </c>
      <c r="M28" s="11">
        <f t="shared" ref="M28" si="28">+M27-M26</f>
        <v>-847224.91000000038</v>
      </c>
      <c r="N28" s="50">
        <f t="shared" ref="N28" si="29">+N27-N26</f>
        <v>-2525687.7800000003</v>
      </c>
      <c r="O28" s="11">
        <f t="shared" ref="O28" si="30">+O27-O26</f>
        <v>-514126.82999999978</v>
      </c>
      <c r="P28" s="11">
        <f t="shared" ref="P28" si="31">+P27-P26</f>
        <v>-875562.36000000022</v>
      </c>
      <c r="Q28" s="11">
        <f t="shared" ref="Q28" si="32">+Q27-Q26</f>
        <v>-12417.749999999998</v>
      </c>
      <c r="R28" s="11">
        <f t="shared" ref="R28" si="33">+R27-R26</f>
        <v>-15765.550000000003</v>
      </c>
      <c r="S28" s="11">
        <f t="shared" ref="S28" si="34">+S27-S26</f>
        <v>-44843.42</v>
      </c>
      <c r="T28" s="11">
        <f t="shared" ref="T28" si="35">+T27-T26</f>
        <v>-203387.77000000002</v>
      </c>
      <c r="U28" s="74">
        <f t="shared" ref="U28" si="36">+U27-U26</f>
        <v>-8033544.9299999997</v>
      </c>
    </row>
    <row r="29" spans="2:22" x14ac:dyDescent="0.25">
      <c r="B29" s="65"/>
      <c r="I29" s="151"/>
      <c r="J29" s="47"/>
      <c r="K29" s="7"/>
      <c r="L29" s="7"/>
      <c r="M29" s="7"/>
      <c r="N29" s="47"/>
      <c r="O29" s="7"/>
      <c r="P29" s="7"/>
      <c r="Q29" s="7"/>
      <c r="R29" s="7"/>
      <c r="S29" s="7"/>
      <c r="T29" s="7"/>
      <c r="U29" s="76"/>
    </row>
    <row r="30" spans="2:22" x14ac:dyDescent="0.25">
      <c r="B30" s="65"/>
      <c r="C30" s="7"/>
      <c r="D30" s="7"/>
      <c r="E30" s="7"/>
      <c r="F30" s="7"/>
      <c r="G30" s="7"/>
      <c r="H30" s="7"/>
      <c r="I30" s="7"/>
      <c r="J30" s="47"/>
      <c r="K30" s="7"/>
      <c r="L30" s="7"/>
      <c r="M30" s="7"/>
      <c r="N30" s="47"/>
      <c r="O30" s="7"/>
      <c r="P30" s="7"/>
      <c r="Q30" s="7"/>
      <c r="R30" s="7"/>
      <c r="S30" s="7"/>
      <c r="T30" s="7"/>
      <c r="U30" s="76"/>
    </row>
    <row r="31" spans="2:22" ht="15.45" customHeight="1" x14ac:dyDescent="0.25">
      <c r="B31" s="19" t="s">
        <v>139</v>
      </c>
      <c r="C31" s="13"/>
      <c r="D31" s="13"/>
      <c r="E31" s="13"/>
      <c r="F31" s="13"/>
      <c r="G31" s="13"/>
      <c r="H31" s="13"/>
      <c r="I31" s="7"/>
      <c r="J31" s="47"/>
      <c r="K31" s="7"/>
      <c r="L31" s="7"/>
      <c r="M31" s="7"/>
      <c r="N31" s="47"/>
      <c r="O31" s="7"/>
      <c r="P31" s="7"/>
      <c r="Q31" s="7"/>
      <c r="R31" s="7"/>
      <c r="S31" s="7"/>
      <c r="T31" s="7"/>
      <c r="U31" s="76"/>
    </row>
    <row r="32" spans="2:22" ht="18.600000000000001" customHeight="1" x14ac:dyDescent="0.25">
      <c r="B32" s="9"/>
      <c r="C32" s="52" t="s">
        <v>2</v>
      </c>
      <c r="D32" s="8"/>
      <c r="E32" s="8"/>
      <c r="F32" s="8"/>
      <c r="G32" s="8"/>
      <c r="H32" s="8"/>
      <c r="I32" s="8"/>
      <c r="J32" s="51" t="s">
        <v>2</v>
      </c>
      <c r="K32" s="52" t="s">
        <v>3</v>
      </c>
      <c r="L32" s="8"/>
      <c r="M32" s="8"/>
      <c r="N32" s="51" t="s">
        <v>3</v>
      </c>
      <c r="O32" s="9" t="s">
        <v>4</v>
      </c>
      <c r="P32" s="9" t="s">
        <v>5</v>
      </c>
      <c r="Q32" s="9" t="s">
        <v>6</v>
      </c>
      <c r="R32" s="9" t="s">
        <v>7</v>
      </c>
      <c r="S32" s="9" t="s">
        <v>142</v>
      </c>
      <c r="T32" s="9" t="s">
        <v>143</v>
      </c>
      <c r="U32" s="72" t="s">
        <v>8</v>
      </c>
    </row>
    <row r="33" spans="2:21" ht="17.100000000000001" customHeight="1" x14ac:dyDescent="0.25">
      <c r="B33" s="9"/>
      <c r="C33" s="8" t="s">
        <v>9</v>
      </c>
      <c r="D33" s="8" t="s">
        <v>10</v>
      </c>
      <c r="E33" s="8" t="s">
        <v>11</v>
      </c>
      <c r="F33" s="8" t="s">
        <v>12</v>
      </c>
      <c r="G33" s="8" t="s">
        <v>13</v>
      </c>
      <c r="H33" s="8" t="s">
        <v>14</v>
      </c>
      <c r="I33" s="8" t="s">
        <v>15</v>
      </c>
      <c r="J33" s="43" t="s">
        <v>16</v>
      </c>
      <c r="K33" s="8" t="s">
        <v>17</v>
      </c>
      <c r="L33" s="8" t="s">
        <v>18</v>
      </c>
      <c r="M33" s="8" t="s">
        <v>141</v>
      </c>
      <c r="N33" s="43" t="s">
        <v>16</v>
      </c>
      <c r="O33" s="9" t="s">
        <v>16</v>
      </c>
      <c r="P33" s="9" t="s">
        <v>16</v>
      </c>
      <c r="Q33" s="9" t="s">
        <v>16</v>
      </c>
      <c r="R33" s="9" t="s">
        <v>16</v>
      </c>
      <c r="S33" s="9" t="s">
        <v>16</v>
      </c>
      <c r="T33" s="9" t="s">
        <v>16</v>
      </c>
      <c r="U33" s="72" t="s">
        <v>16</v>
      </c>
    </row>
    <row r="34" spans="2:21" ht="15" customHeight="1" x14ac:dyDescent="0.25">
      <c r="B34" s="61" t="str">
        <f>+$B$10</f>
        <v>Sep-2022</v>
      </c>
      <c r="C34" s="10">
        <v>2078.31</v>
      </c>
      <c r="D34" s="10">
        <v>556665.5699999996</v>
      </c>
      <c r="E34" s="10">
        <v>429349.83999999979</v>
      </c>
      <c r="F34" s="20">
        <v>91079.18</v>
      </c>
      <c r="G34" s="10">
        <v>10831.07</v>
      </c>
      <c r="H34" s="20">
        <v>375010.30000000016</v>
      </c>
      <c r="I34" s="10">
        <v>69306.130000000063</v>
      </c>
      <c r="J34" s="44">
        <v>1534320.3999999997</v>
      </c>
      <c r="K34" s="20">
        <v>321948.63000000006</v>
      </c>
      <c r="L34" s="20">
        <v>356424.95000000019</v>
      </c>
      <c r="M34" s="20">
        <v>364284.84999999992</v>
      </c>
      <c r="N34" s="49">
        <v>1042658.4300000002</v>
      </c>
      <c r="O34" s="183">
        <v>328282.91000000027</v>
      </c>
      <c r="P34" s="183">
        <v>345056.49999999994</v>
      </c>
      <c r="Q34" s="183">
        <v>3437.5799999999995</v>
      </c>
      <c r="R34" s="183">
        <v>10123.009999999998</v>
      </c>
      <c r="S34" s="183">
        <v>10631.690000000002</v>
      </c>
      <c r="T34" s="183">
        <v>46274.869999999995</v>
      </c>
      <c r="U34" s="73">
        <v>3320785.39</v>
      </c>
    </row>
    <row r="35" spans="2:21" ht="15" customHeight="1" x14ac:dyDescent="0.25">
      <c r="B35" s="66">
        <f>+$B$11</f>
        <v>45199</v>
      </c>
      <c r="C35" s="10">
        <v>2560.9900000000007</v>
      </c>
      <c r="D35" s="10">
        <v>483185.77</v>
      </c>
      <c r="E35" s="10">
        <v>368142.66000000003</v>
      </c>
      <c r="F35" s="20">
        <v>86845.780000000013</v>
      </c>
      <c r="G35" s="10">
        <v>12585.580000000009</v>
      </c>
      <c r="H35" s="20">
        <v>302456.76999999979</v>
      </c>
      <c r="I35" s="10">
        <v>62787.420000000071</v>
      </c>
      <c r="J35" s="44">
        <v>1318564.97</v>
      </c>
      <c r="K35" s="20">
        <v>265676.30999999994</v>
      </c>
      <c r="L35" s="20">
        <v>297286.61000000016</v>
      </c>
      <c r="M35" s="20">
        <v>326346.46000000014</v>
      </c>
      <c r="N35" s="49">
        <v>889309.38000000035</v>
      </c>
      <c r="O35" s="183">
        <v>202601.62999999998</v>
      </c>
      <c r="P35" s="183">
        <v>295441.42000000033</v>
      </c>
      <c r="Q35" s="183">
        <v>2099.59</v>
      </c>
      <c r="R35" s="183">
        <v>6436.0199999999995</v>
      </c>
      <c r="S35" s="183">
        <v>9367.59</v>
      </c>
      <c r="T35" s="183">
        <v>28979.939999999991</v>
      </c>
      <c r="U35" s="73">
        <v>2752800.540000001</v>
      </c>
    </row>
    <row r="36" spans="2:21" ht="15" customHeight="1" x14ac:dyDescent="0.25">
      <c r="B36" s="12" t="s">
        <v>19</v>
      </c>
      <c r="C36" s="11">
        <f>+C35-C34</f>
        <v>482.68000000000075</v>
      </c>
      <c r="D36" s="11">
        <f t="shared" ref="D36" si="37">+D35-D34</f>
        <v>-73479.799999999581</v>
      </c>
      <c r="E36" s="11">
        <f t="shared" ref="E36" si="38">+E35-E34</f>
        <v>-61207.17999999976</v>
      </c>
      <c r="F36" s="11">
        <f t="shared" ref="F36" si="39">+F35-F34</f>
        <v>-4233.3999999999796</v>
      </c>
      <c r="G36" s="11">
        <f t="shared" ref="G36" si="40">+G35-G34</f>
        <v>1754.5100000000093</v>
      </c>
      <c r="H36" s="11">
        <f t="shared" ref="H36" si="41">+H35-H34</f>
        <v>-72553.530000000377</v>
      </c>
      <c r="I36" s="11">
        <f t="shared" ref="I36" si="42">+I35-I34</f>
        <v>-6518.7099999999919</v>
      </c>
      <c r="J36" s="45">
        <f t="shared" ref="J36" si="43">+J35-J34</f>
        <v>-215755.4299999997</v>
      </c>
      <c r="K36" s="11">
        <f t="shared" ref="K36" si="44">+K35-K34</f>
        <v>-56272.320000000123</v>
      </c>
      <c r="L36" s="11">
        <f t="shared" ref="L36" si="45">+L35-L34</f>
        <v>-59138.340000000026</v>
      </c>
      <c r="M36" s="11">
        <f t="shared" ref="M36" si="46">+M35-M34</f>
        <v>-37938.389999999781</v>
      </c>
      <c r="N36" s="50">
        <f t="shared" ref="N36" si="47">+N35-N34</f>
        <v>-153349.04999999981</v>
      </c>
      <c r="O36" s="11">
        <f t="shared" ref="O36" si="48">+O35-O34</f>
        <v>-125681.28000000029</v>
      </c>
      <c r="P36" s="11">
        <f t="shared" ref="P36" si="49">+P35-P34</f>
        <v>-49615.079999999609</v>
      </c>
      <c r="Q36" s="11">
        <f t="shared" ref="Q36" si="50">+Q35-Q34</f>
        <v>-1337.9899999999993</v>
      </c>
      <c r="R36" s="11">
        <f t="shared" ref="R36" si="51">+R35-R34</f>
        <v>-3686.9899999999989</v>
      </c>
      <c r="S36" s="11">
        <f t="shared" ref="S36" si="52">+S35-S34</f>
        <v>-1264.1000000000022</v>
      </c>
      <c r="T36" s="11">
        <f t="shared" ref="T36" si="53">+T35-T34</f>
        <v>-17294.930000000004</v>
      </c>
      <c r="U36" s="74">
        <f t="shared" ref="U36" si="54">+U35-U34</f>
        <v>-567984.84999999916</v>
      </c>
    </row>
    <row r="37" spans="2:21" ht="15.75" customHeight="1" x14ac:dyDescent="0.25">
      <c r="J37" s="46"/>
      <c r="N37" s="46"/>
      <c r="U37" s="75"/>
    </row>
    <row r="38" spans="2:21" ht="7.5" customHeight="1" x14ac:dyDescent="0.25">
      <c r="B38" s="7"/>
      <c r="C38" s="7"/>
      <c r="D38" s="7"/>
      <c r="E38" s="7"/>
      <c r="F38" s="7"/>
      <c r="G38" s="7"/>
      <c r="H38" s="7"/>
      <c r="I38" s="7"/>
      <c r="J38" s="47"/>
      <c r="K38" s="7"/>
      <c r="L38" s="7"/>
      <c r="M38" s="7"/>
      <c r="N38" s="47"/>
      <c r="O38" s="7"/>
      <c r="P38" s="7"/>
      <c r="Q38" s="7"/>
      <c r="R38" s="7"/>
      <c r="S38" s="7"/>
      <c r="T38" s="7"/>
      <c r="U38" s="76"/>
    </row>
    <row r="39" spans="2:21" ht="15.45" customHeight="1" x14ac:dyDescent="0.25">
      <c r="B39" s="272" t="s">
        <v>119</v>
      </c>
      <c r="C39" s="272"/>
      <c r="D39" s="272"/>
      <c r="E39" s="272"/>
      <c r="F39" s="272"/>
      <c r="G39" s="272"/>
      <c r="H39" s="272"/>
      <c r="I39" s="7"/>
      <c r="J39" s="47"/>
      <c r="K39" s="7"/>
      <c r="L39" s="7"/>
      <c r="M39" s="7"/>
      <c r="N39" s="47"/>
      <c r="O39" s="7"/>
      <c r="P39" s="7"/>
      <c r="Q39" s="7"/>
      <c r="R39" s="7"/>
      <c r="S39" s="7"/>
      <c r="T39" s="7"/>
      <c r="U39" s="76"/>
    </row>
    <row r="40" spans="2:21" ht="18.600000000000001" customHeight="1" x14ac:dyDescent="0.25">
      <c r="B40" s="9"/>
      <c r="C40" s="52" t="s">
        <v>2</v>
      </c>
      <c r="D40" s="8"/>
      <c r="E40" s="8"/>
      <c r="F40" s="8"/>
      <c r="G40" s="8"/>
      <c r="H40" s="8"/>
      <c r="I40" s="8"/>
      <c r="J40" s="51" t="s">
        <v>2</v>
      </c>
      <c r="K40" s="52" t="s">
        <v>3</v>
      </c>
      <c r="L40" s="8"/>
      <c r="M40" s="8"/>
      <c r="N40" s="51" t="s">
        <v>3</v>
      </c>
      <c r="O40" s="9" t="s">
        <v>4</v>
      </c>
      <c r="P40" s="9" t="s">
        <v>5</v>
      </c>
      <c r="Q40" s="9" t="s">
        <v>6</v>
      </c>
      <c r="R40" s="9" t="s">
        <v>7</v>
      </c>
      <c r="S40" s="9" t="s">
        <v>142</v>
      </c>
      <c r="T40" s="9" t="s">
        <v>143</v>
      </c>
      <c r="U40" s="72" t="s">
        <v>8</v>
      </c>
    </row>
    <row r="41" spans="2:21" ht="17.100000000000001" customHeight="1" x14ac:dyDescent="0.25">
      <c r="B41" s="9"/>
      <c r="C41" s="8" t="s">
        <v>9</v>
      </c>
      <c r="D41" s="8" t="s">
        <v>10</v>
      </c>
      <c r="E41" s="8" t="s">
        <v>11</v>
      </c>
      <c r="F41" s="8" t="s">
        <v>12</v>
      </c>
      <c r="G41" s="8" t="s">
        <v>13</v>
      </c>
      <c r="H41" s="8" t="s">
        <v>14</v>
      </c>
      <c r="I41" s="8" t="s">
        <v>15</v>
      </c>
      <c r="J41" s="43" t="s">
        <v>16</v>
      </c>
      <c r="K41" s="8" t="s">
        <v>17</v>
      </c>
      <c r="L41" s="8" t="s">
        <v>18</v>
      </c>
      <c r="M41" s="8" t="s">
        <v>141</v>
      </c>
      <c r="N41" s="43" t="s">
        <v>16</v>
      </c>
      <c r="O41" s="9" t="s">
        <v>16</v>
      </c>
      <c r="P41" s="9" t="s">
        <v>16</v>
      </c>
      <c r="Q41" s="9" t="s">
        <v>16</v>
      </c>
      <c r="R41" s="9" t="s">
        <v>16</v>
      </c>
      <c r="S41" s="9" t="s">
        <v>16</v>
      </c>
      <c r="T41" s="9" t="s">
        <v>16</v>
      </c>
      <c r="U41" s="72" t="s">
        <v>16</v>
      </c>
    </row>
    <row r="42" spans="2:21" ht="15" customHeight="1" x14ac:dyDescent="0.25">
      <c r="B42" s="61" t="str">
        <f>+$B$10</f>
        <v>Sep-2022</v>
      </c>
      <c r="C42" s="10">
        <v>-1.6099999999999999</v>
      </c>
      <c r="D42" s="10">
        <v>151768.78000000003</v>
      </c>
      <c r="E42" s="10">
        <v>137703.09000000003</v>
      </c>
      <c r="F42" s="20">
        <v>26894.390000000003</v>
      </c>
      <c r="G42" s="10">
        <v>3004.5600000000004</v>
      </c>
      <c r="H42" s="20">
        <v>102114.99</v>
      </c>
      <c r="I42" s="10">
        <v>19343.449999999993</v>
      </c>
      <c r="J42" s="44">
        <v>440827.65000000008</v>
      </c>
      <c r="K42" s="20">
        <v>92077.03</v>
      </c>
      <c r="L42" s="20">
        <v>98887.189999999973</v>
      </c>
      <c r="M42" s="20">
        <v>119294.55000000002</v>
      </c>
      <c r="N42" s="49">
        <v>310258.77</v>
      </c>
      <c r="O42" s="182">
        <v>236.71</v>
      </c>
      <c r="P42" s="182">
        <v>138815.93</v>
      </c>
      <c r="Q42" s="182">
        <v>0.03</v>
      </c>
      <c r="R42" s="182">
        <v>-12.99</v>
      </c>
      <c r="S42" s="182">
        <v>145.76999999999998</v>
      </c>
      <c r="T42" s="182">
        <v>4027.56</v>
      </c>
      <c r="U42" s="73">
        <v>894299.43000000017</v>
      </c>
    </row>
    <row r="43" spans="2:21" ht="15" customHeight="1" x14ac:dyDescent="0.25">
      <c r="B43" s="66">
        <f>+$B$11</f>
        <v>45199</v>
      </c>
      <c r="C43" s="10">
        <v>16618.62</v>
      </c>
      <c r="D43" s="10">
        <v>387481.52000000008</v>
      </c>
      <c r="E43" s="10">
        <v>266482.15999999997</v>
      </c>
      <c r="F43" s="20">
        <v>98450.319999999978</v>
      </c>
      <c r="G43" s="10">
        <v>41288.289999999994</v>
      </c>
      <c r="H43" s="20">
        <v>418488.1</v>
      </c>
      <c r="I43" s="10">
        <v>68188.77</v>
      </c>
      <c r="J43" s="44">
        <v>1296997.78</v>
      </c>
      <c r="K43" s="20">
        <v>221052.36000000004</v>
      </c>
      <c r="L43" s="20">
        <v>273257.70999999996</v>
      </c>
      <c r="M43" s="20">
        <v>351370.38999999996</v>
      </c>
      <c r="N43" s="49">
        <v>845680.46</v>
      </c>
      <c r="O43" s="182">
        <v>190079.06000000006</v>
      </c>
      <c r="P43" s="182">
        <v>91249.560000000027</v>
      </c>
      <c r="Q43" s="182">
        <v>639.13000000000011</v>
      </c>
      <c r="R43" s="182">
        <v>14116.07</v>
      </c>
      <c r="S43" s="182">
        <v>18628.95</v>
      </c>
      <c r="T43" s="182">
        <v>22500.48</v>
      </c>
      <c r="U43" s="73">
        <v>2479891.4900000002</v>
      </c>
    </row>
    <row r="44" spans="2:21" ht="15" customHeight="1" x14ac:dyDescent="0.25">
      <c r="B44" s="12" t="s">
        <v>19</v>
      </c>
      <c r="C44" s="11">
        <f>+C43-C42</f>
        <v>16620.23</v>
      </c>
      <c r="D44" s="11">
        <f t="shared" ref="D44" si="55">+D43-D42</f>
        <v>235712.74000000005</v>
      </c>
      <c r="E44" s="11">
        <f t="shared" ref="E44" si="56">+E43-E42</f>
        <v>128779.06999999995</v>
      </c>
      <c r="F44" s="11">
        <f t="shared" ref="F44" si="57">+F43-F42</f>
        <v>71555.929999999978</v>
      </c>
      <c r="G44" s="11">
        <f t="shared" ref="G44" si="58">+G43-G42</f>
        <v>38283.729999999996</v>
      </c>
      <c r="H44" s="11">
        <f t="shared" ref="H44" si="59">+H43-H42</f>
        <v>316373.11</v>
      </c>
      <c r="I44" s="11">
        <f t="shared" ref="I44" si="60">+I43-I42</f>
        <v>48845.320000000007</v>
      </c>
      <c r="J44" s="45">
        <f t="shared" ref="J44" si="61">+J43-J42</f>
        <v>856170.12999999989</v>
      </c>
      <c r="K44" s="11">
        <f t="shared" ref="K44" si="62">+K43-K42</f>
        <v>128975.33000000005</v>
      </c>
      <c r="L44" s="11">
        <f t="shared" ref="L44" si="63">+L43-L42</f>
        <v>174370.52</v>
      </c>
      <c r="M44" s="11">
        <f t="shared" ref="M44" si="64">+M43-M42</f>
        <v>232075.83999999994</v>
      </c>
      <c r="N44" s="50">
        <f t="shared" ref="N44" si="65">+N43-N42</f>
        <v>535421.68999999994</v>
      </c>
      <c r="O44" s="11">
        <f t="shared" ref="O44" si="66">+O43-O42</f>
        <v>189842.35000000006</v>
      </c>
      <c r="P44" s="11">
        <f t="shared" ref="P44" si="67">+P43-P42</f>
        <v>-47566.369999999966</v>
      </c>
      <c r="Q44" s="11">
        <f t="shared" ref="Q44" si="68">+Q43-Q42</f>
        <v>639.10000000000014</v>
      </c>
      <c r="R44" s="11">
        <f t="shared" ref="R44" si="69">+R43-R42</f>
        <v>14129.06</v>
      </c>
      <c r="S44" s="11">
        <f t="shared" ref="S44" si="70">+S43-S42</f>
        <v>18483.18</v>
      </c>
      <c r="T44" s="11">
        <f t="shared" ref="T44" si="71">+T43-T42</f>
        <v>18472.919999999998</v>
      </c>
      <c r="U44" s="74">
        <f t="shared" ref="U44" si="72">+U43-U42</f>
        <v>1585592.06</v>
      </c>
    </row>
    <row r="45" spans="2:21" x14ac:dyDescent="0.25">
      <c r="B45" s="63"/>
      <c r="J45" s="46"/>
      <c r="N45" s="46"/>
      <c r="U45" s="75"/>
    </row>
    <row r="46" spans="2:21" ht="7.5" customHeight="1" x14ac:dyDescent="0.25">
      <c r="B46" s="7"/>
      <c r="C46" s="7"/>
      <c r="D46" s="7"/>
      <c r="E46" s="7"/>
      <c r="F46" s="7"/>
      <c r="G46" s="7"/>
      <c r="H46" s="7"/>
      <c r="I46" s="7"/>
      <c r="J46" s="47"/>
      <c r="K46" s="7"/>
      <c r="L46" s="7"/>
      <c r="M46" s="7"/>
      <c r="N46" s="47"/>
      <c r="O46" s="7"/>
      <c r="P46" s="7"/>
      <c r="Q46" s="7"/>
      <c r="R46" s="7"/>
      <c r="S46" s="7"/>
      <c r="T46" s="7"/>
      <c r="U46" s="76"/>
    </row>
    <row r="47" spans="2:21" ht="15.45" customHeight="1" x14ac:dyDescent="0.25">
      <c r="B47" s="272" t="s">
        <v>120</v>
      </c>
      <c r="C47" s="272"/>
      <c r="D47" s="272"/>
      <c r="E47" s="272"/>
      <c r="F47" s="272"/>
      <c r="G47" s="272"/>
      <c r="H47" s="272"/>
      <c r="I47" s="7"/>
      <c r="J47" s="47"/>
      <c r="K47" s="7"/>
      <c r="L47" s="7"/>
      <c r="M47" s="7"/>
      <c r="N47" s="47"/>
      <c r="O47" s="7"/>
      <c r="P47" s="7"/>
      <c r="Q47" s="7"/>
      <c r="R47" s="7"/>
      <c r="S47" s="7"/>
      <c r="T47" s="7"/>
      <c r="U47" s="76"/>
    </row>
    <row r="48" spans="2:21" ht="18.600000000000001" customHeight="1" x14ac:dyDescent="0.25">
      <c r="B48" s="9"/>
      <c r="C48" s="52" t="s">
        <v>2</v>
      </c>
      <c r="D48" s="8"/>
      <c r="E48" s="8"/>
      <c r="F48" s="8"/>
      <c r="G48" s="8"/>
      <c r="H48" s="8"/>
      <c r="I48" s="8"/>
      <c r="J48" s="51" t="s">
        <v>2</v>
      </c>
      <c r="K48" s="52" t="s">
        <v>3</v>
      </c>
      <c r="L48" s="8"/>
      <c r="M48" s="8"/>
      <c r="N48" s="51" t="s">
        <v>3</v>
      </c>
      <c r="O48" s="9" t="s">
        <v>4</v>
      </c>
      <c r="P48" s="9" t="s">
        <v>5</v>
      </c>
      <c r="Q48" s="9" t="s">
        <v>6</v>
      </c>
      <c r="R48" s="9" t="s">
        <v>7</v>
      </c>
      <c r="S48" s="9" t="s">
        <v>142</v>
      </c>
      <c r="T48" s="9" t="s">
        <v>143</v>
      </c>
      <c r="U48" s="72" t="s">
        <v>8</v>
      </c>
    </row>
    <row r="49" spans="2:21" ht="17.100000000000001" customHeight="1" x14ac:dyDescent="0.25">
      <c r="B49" s="9"/>
      <c r="C49" s="8" t="s">
        <v>9</v>
      </c>
      <c r="D49" s="8" t="s">
        <v>10</v>
      </c>
      <c r="E49" s="8" t="s">
        <v>11</v>
      </c>
      <c r="F49" s="8" t="s">
        <v>12</v>
      </c>
      <c r="G49" s="8" t="s">
        <v>13</v>
      </c>
      <c r="H49" s="8" t="s">
        <v>14</v>
      </c>
      <c r="I49" s="8" t="s">
        <v>15</v>
      </c>
      <c r="J49" s="43" t="s">
        <v>16</v>
      </c>
      <c r="K49" s="8" t="s">
        <v>17</v>
      </c>
      <c r="L49" s="8" t="s">
        <v>18</v>
      </c>
      <c r="M49" s="8" t="s">
        <v>141</v>
      </c>
      <c r="N49" s="43" t="s">
        <v>16</v>
      </c>
      <c r="O49" s="9" t="s">
        <v>16</v>
      </c>
      <c r="P49" s="9" t="s">
        <v>16</v>
      </c>
      <c r="Q49" s="9" t="s">
        <v>16</v>
      </c>
      <c r="R49" s="9" t="s">
        <v>16</v>
      </c>
      <c r="S49" s="9" t="s">
        <v>16</v>
      </c>
      <c r="T49" s="9" t="s">
        <v>16</v>
      </c>
      <c r="U49" s="72" t="s">
        <v>16</v>
      </c>
    </row>
    <row r="50" spans="2:21" ht="15" customHeight="1" x14ac:dyDescent="0.25">
      <c r="B50" s="61" t="str">
        <f>+$B$10</f>
        <v>Sep-2022</v>
      </c>
      <c r="C50" s="10">
        <v>4430.5200000000004</v>
      </c>
      <c r="D50" s="10">
        <v>2596117.0299999998</v>
      </c>
      <c r="E50" s="10">
        <v>1516892.9699999997</v>
      </c>
      <c r="F50" s="20">
        <v>294973.72000000003</v>
      </c>
      <c r="G50" s="10">
        <v>73902.409999999974</v>
      </c>
      <c r="H50" s="20">
        <v>1695173.4900000009</v>
      </c>
      <c r="I50" s="10">
        <v>547725.28000000049</v>
      </c>
      <c r="J50" s="44">
        <v>6729215.4200000009</v>
      </c>
      <c r="K50" s="20">
        <v>1664544.3500000008</v>
      </c>
      <c r="L50" s="20">
        <v>1804494.1699999985</v>
      </c>
      <c r="M50" s="20">
        <v>1261080.9599999997</v>
      </c>
      <c r="N50" s="49">
        <v>4730119.4799999995</v>
      </c>
      <c r="O50" s="182">
        <v>814171.07999999973</v>
      </c>
      <c r="P50" s="182">
        <v>690559.35999999964</v>
      </c>
      <c r="Q50" s="182">
        <v>4982.9400000000032</v>
      </c>
      <c r="R50" s="182">
        <v>81776.310000000012</v>
      </c>
      <c r="S50" s="182">
        <v>105821.19000000003</v>
      </c>
      <c r="T50" s="182">
        <v>199016.44999999995</v>
      </c>
      <c r="U50" s="73">
        <v>13355662.23</v>
      </c>
    </row>
    <row r="51" spans="2:21" ht="15" customHeight="1" x14ac:dyDescent="0.25">
      <c r="B51" s="66">
        <f>+$B$11</f>
        <v>45199</v>
      </c>
      <c r="C51" s="10">
        <v>5207.9900000000007</v>
      </c>
      <c r="D51" s="10">
        <v>1625020.0699999991</v>
      </c>
      <c r="E51" s="10">
        <v>1212763.4699999995</v>
      </c>
      <c r="F51" s="20">
        <v>245387.71999999991</v>
      </c>
      <c r="G51" s="10">
        <v>39215.01999999999</v>
      </c>
      <c r="H51" s="20">
        <v>1413365.8</v>
      </c>
      <c r="I51" s="10">
        <v>158536.56999999995</v>
      </c>
      <c r="J51" s="44">
        <v>4699496.6399999987</v>
      </c>
      <c r="K51" s="20">
        <v>874040.5699999996</v>
      </c>
      <c r="L51" s="20">
        <v>1124036.2400000005</v>
      </c>
      <c r="M51" s="20">
        <v>1028849.8800000002</v>
      </c>
      <c r="N51" s="49">
        <v>3026926.6900000004</v>
      </c>
      <c r="O51" s="182">
        <v>-158775.21999999994</v>
      </c>
      <c r="P51" s="182">
        <v>662255.46999999962</v>
      </c>
      <c r="Q51" s="182">
        <v>5652.4100000000017</v>
      </c>
      <c r="R51" s="182">
        <v>8666.5</v>
      </c>
      <c r="S51" s="182">
        <v>51245.26</v>
      </c>
      <c r="T51" s="182">
        <v>126222.75000000001</v>
      </c>
      <c r="U51" s="73">
        <v>8421690.4999999981</v>
      </c>
    </row>
    <row r="52" spans="2:21" ht="15" customHeight="1" x14ac:dyDescent="0.25">
      <c r="B52" s="12" t="s">
        <v>19</v>
      </c>
      <c r="C52" s="11">
        <f>+C51-C50</f>
        <v>777.47000000000025</v>
      </c>
      <c r="D52" s="11">
        <f t="shared" ref="D52" si="73">+D51-D50</f>
        <v>-971096.96000000066</v>
      </c>
      <c r="E52" s="11">
        <f t="shared" ref="E52" si="74">+E51-E50</f>
        <v>-304129.50000000023</v>
      </c>
      <c r="F52" s="11">
        <f t="shared" ref="F52" si="75">+F51-F50</f>
        <v>-49586.000000000116</v>
      </c>
      <c r="G52" s="11">
        <f t="shared" ref="G52" si="76">+G51-G50</f>
        <v>-34687.389999999985</v>
      </c>
      <c r="H52" s="11">
        <f t="shared" ref="H52" si="77">+H51-H50</f>
        <v>-281807.69000000088</v>
      </c>
      <c r="I52" s="11">
        <f t="shared" ref="I52" si="78">+I51-I50</f>
        <v>-389188.71000000054</v>
      </c>
      <c r="J52" s="45">
        <f t="shared" ref="J52" si="79">+J51-J50</f>
        <v>-2029718.7800000021</v>
      </c>
      <c r="K52" s="11">
        <f t="shared" ref="K52" si="80">+K51-K50</f>
        <v>-790503.78000000119</v>
      </c>
      <c r="L52" s="11">
        <f t="shared" ref="L52" si="81">+L51-L50</f>
        <v>-680457.92999999807</v>
      </c>
      <c r="M52" s="11">
        <f t="shared" ref="M52" si="82">+M51-M50</f>
        <v>-232231.07999999949</v>
      </c>
      <c r="N52" s="50">
        <f t="shared" ref="N52" si="83">+N51-N50</f>
        <v>-1703192.7899999991</v>
      </c>
      <c r="O52" s="11">
        <f t="shared" ref="O52" si="84">+O51-O50</f>
        <v>-972946.2999999997</v>
      </c>
      <c r="P52" s="11">
        <f t="shared" ref="P52" si="85">+P51-P50</f>
        <v>-28303.890000000014</v>
      </c>
      <c r="Q52" s="11">
        <f t="shared" ref="Q52" si="86">+Q51-Q50</f>
        <v>669.46999999999844</v>
      </c>
      <c r="R52" s="11">
        <f t="shared" ref="R52" si="87">+R51-R50</f>
        <v>-73109.810000000012</v>
      </c>
      <c r="S52" s="11">
        <f t="shared" ref="S52" si="88">+S51-S50</f>
        <v>-54575.930000000029</v>
      </c>
      <c r="T52" s="11">
        <f t="shared" ref="T52" si="89">+T51-T50</f>
        <v>-72793.699999999939</v>
      </c>
      <c r="U52" s="74">
        <f t="shared" ref="U52" si="90">+U51-U50</f>
        <v>-4933971.7300000023</v>
      </c>
    </row>
    <row r="53" spans="2:21" ht="11.25" customHeight="1" x14ac:dyDescent="0.25">
      <c r="B53" s="269"/>
      <c r="C53" s="269"/>
      <c r="D53" s="269"/>
      <c r="E53" s="269"/>
      <c r="F53" s="269"/>
      <c r="G53" s="269"/>
      <c r="H53" s="269"/>
      <c r="I53" s="270"/>
      <c r="J53" s="46"/>
      <c r="N53" s="46"/>
      <c r="U53" s="75"/>
    </row>
    <row r="54" spans="2:21" ht="7.5" customHeight="1" x14ac:dyDescent="0.25">
      <c r="B54" s="7"/>
      <c r="C54" s="7"/>
      <c r="D54" s="7"/>
      <c r="E54" s="7"/>
      <c r="F54" s="7"/>
      <c r="G54" s="7"/>
      <c r="H54" s="7"/>
      <c r="I54" s="7"/>
      <c r="J54" s="47"/>
      <c r="K54" s="7"/>
      <c r="L54" s="7"/>
      <c r="M54" s="7"/>
      <c r="N54" s="47"/>
      <c r="O54" s="7"/>
      <c r="P54" s="7"/>
      <c r="Q54" s="7"/>
      <c r="R54" s="7"/>
      <c r="S54" s="7"/>
      <c r="T54" s="7"/>
      <c r="U54" s="76"/>
    </row>
    <row r="55" spans="2:21" ht="15.45" customHeight="1" x14ac:dyDescent="0.25">
      <c r="B55" s="272" t="s">
        <v>121</v>
      </c>
      <c r="C55" s="272"/>
      <c r="D55" s="272"/>
      <c r="E55" s="272"/>
      <c r="F55" s="272"/>
      <c r="G55" s="272"/>
      <c r="H55" s="272"/>
      <c r="I55" s="7"/>
      <c r="J55" s="47"/>
      <c r="K55" s="7"/>
      <c r="L55" s="7"/>
      <c r="M55" s="7"/>
      <c r="N55" s="47"/>
      <c r="O55" s="7"/>
      <c r="P55" s="7"/>
      <c r="Q55" s="7"/>
      <c r="R55" s="7"/>
      <c r="S55" s="7"/>
      <c r="T55" s="7"/>
      <c r="U55" s="76"/>
    </row>
    <row r="56" spans="2:21" ht="18.600000000000001" customHeight="1" x14ac:dyDescent="0.25">
      <c r="B56" s="9"/>
      <c r="C56" s="52" t="s">
        <v>2</v>
      </c>
      <c r="D56" s="8"/>
      <c r="E56" s="8"/>
      <c r="F56" s="8"/>
      <c r="G56" s="8"/>
      <c r="H56" s="8"/>
      <c r="I56" s="8"/>
      <c r="J56" s="51" t="s">
        <v>2</v>
      </c>
      <c r="K56" s="52" t="s">
        <v>3</v>
      </c>
      <c r="L56" s="8"/>
      <c r="M56" s="8"/>
      <c r="N56" s="51" t="s">
        <v>3</v>
      </c>
      <c r="O56" s="9" t="s">
        <v>4</v>
      </c>
      <c r="P56" s="9" t="s">
        <v>5</v>
      </c>
      <c r="Q56" s="9" t="s">
        <v>6</v>
      </c>
      <c r="R56" s="9" t="s">
        <v>7</v>
      </c>
      <c r="S56" s="9" t="s">
        <v>142</v>
      </c>
      <c r="T56" s="9" t="s">
        <v>143</v>
      </c>
      <c r="U56" s="72" t="s">
        <v>8</v>
      </c>
    </row>
    <row r="57" spans="2:21" ht="17.100000000000001" customHeight="1" x14ac:dyDescent="0.25">
      <c r="B57" s="9"/>
      <c r="C57" s="8" t="s">
        <v>9</v>
      </c>
      <c r="D57" s="8" t="s">
        <v>10</v>
      </c>
      <c r="E57" s="8" t="s">
        <v>11</v>
      </c>
      <c r="F57" s="8" t="s">
        <v>12</v>
      </c>
      <c r="G57" s="8" t="s">
        <v>13</v>
      </c>
      <c r="H57" s="8" t="s">
        <v>14</v>
      </c>
      <c r="I57" s="8" t="s">
        <v>15</v>
      </c>
      <c r="J57" s="43" t="s">
        <v>16</v>
      </c>
      <c r="K57" s="8" t="s">
        <v>17</v>
      </c>
      <c r="L57" s="8" t="s">
        <v>18</v>
      </c>
      <c r="M57" s="8" t="s">
        <v>141</v>
      </c>
      <c r="N57" s="43" t="s">
        <v>16</v>
      </c>
      <c r="O57" s="9" t="s">
        <v>16</v>
      </c>
      <c r="P57" s="9" t="s">
        <v>16</v>
      </c>
      <c r="Q57" s="9" t="s">
        <v>16</v>
      </c>
      <c r="R57" s="9" t="s">
        <v>16</v>
      </c>
      <c r="S57" s="9" t="s">
        <v>16</v>
      </c>
      <c r="T57" s="9" t="s">
        <v>16</v>
      </c>
      <c r="U57" s="72" t="s">
        <v>16</v>
      </c>
    </row>
    <row r="58" spans="2:21" ht="15" customHeight="1" x14ac:dyDescent="0.25">
      <c r="B58" s="61" t="str">
        <f>+$B$10</f>
        <v>Sep-2022</v>
      </c>
      <c r="C58" s="10">
        <v>86.97</v>
      </c>
      <c r="D58" s="10">
        <v>261322.61000000013</v>
      </c>
      <c r="E58" s="10">
        <v>147322.22</v>
      </c>
      <c r="F58" s="20">
        <v>60805.369999999988</v>
      </c>
      <c r="G58" s="10">
        <v>6343.59</v>
      </c>
      <c r="H58" s="20">
        <v>280381.08000000007</v>
      </c>
      <c r="I58" s="10">
        <v>25709.120000000003</v>
      </c>
      <c r="J58" s="44">
        <v>781970.96000000031</v>
      </c>
      <c r="K58" s="184">
        <v>118908.53999999996</v>
      </c>
      <c r="L58" s="184">
        <v>127074.12000000008</v>
      </c>
      <c r="M58" s="184">
        <v>86111.079999999973</v>
      </c>
      <c r="N58" s="49">
        <v>332093.74</v>
      </c>
      <c r="O58" s="183">
        <v>22511.65</v>
      </c>
      <c r="P58" s="183">
        <v>140449.76000000007</v>
      </c>
      <c r="Q58" s="183">
        <v>2.0599999999999996</v>
      </c>
      <c r="R58" s="183">
        <v>2177.06</v>
      </c>
      <c r="S58" s="183">
        <v>2121.7199999999993</v>
      </c>
      <c r="T58" s="183">
        <v>32571.910000000003</v>
      </c>
      <c r="U58" s="73">
        <v>1313898.8600000003</v>
      </c>
    </row>
    <row r="59" spans="2:21" ht="15" customHeight="1" x14ac:dyDescent="0.25">
      <c r="B59" s="66">
        <f>+$B$11</f>
        <v>45199</v>
      </c>
      <c r="C59" s="10">
        <v>78.489999999999981</v>
      </c>
      <c r="D59" s="10">
        <v>134754.51000000004</v>
      </c>
      <c r="E59" s="10">
        <v>52188.959999999985</v>
      </c>
      <c r="F59" s="20">
        <v>43811.140000000029</v>
      </c>
      <c r="G59" s="10">
        <v>1900.1599999999996</v>
      </c>
      <c r="H59" s="20">
        <v>150257.26999999999</v>
      </c>
      <c r="I59" s="10">
        <v>15274.010000000002</v>
      </c>
      <c r="J59" s="44">
        <v>398264.54000000004</v>
      </c>
      <c r="K59" s="184">
        <v>65150.859999999979</v>
      </c>
      <c r="L59" s="184">
        <v>54191.610000000022</v>
      </c>
      <c r="M59" s="184">
        <v>52868.060000000027</v>
      </c>
      <c r="N59" s="49">
        <v>172210.53000000003</v>
      </c>
      <c r="O59" s="183">
        <v>4373.6799999999994</v>
      </c>
      <c r="P59" s="183">
        <v>58959.590000000011</v>
      </c>
      <c r="Q59" s="183">
        <v>1.2400000000000002</v>
      </c>
      <c r="R59" s="183">
        <v>284.09999999999991</v>
      </c>
      <c r="S59" s="183">
        <v>1563.71</v>
      </c>
      <c r="T59" s="183">
        <v>8205.42</v>
      </c>
      <c r="U59" s="73">
        <v>643862.81000000006</v>
      </c>
    </row>
    <row r="60" spans="2:21" ht="15" customHeight="1" x14ac:dyDescent="0.25">
      <c r="B60" s="12" t="s">
        <v>19</v>
      </c>
      <c r="C60" s="11">
        <f>+C59-C58</f>
        <v>-8.4800000000000182</v>
      </c>
      <c r="D60" s="11">
        <f t="shared" ref="D60" si="91">+D59-D58</f>
        <v>-126568.10000000009</v>
      </c>
      <c r="E60" s="11">
        <f t="shared" ref="E60" si="92">+E59-E58</f>
        <v>-95133.260000000009</v>
      </c>
      <c r="F60" s="11">
        <f t="shared" ref="F60" si="93">+F59-F58</f>
        <v>-16994.22999999996</v>
      </c>
      <c r="G60" s="11">
        <f t="shared" ref="G60" si="94">+G59-G58</f>
        <v>-4443.43</v>
      </c>
      <c r="H60" s="11">
        <f t="shared" ref="H60" si="95">+H59-H58</f>
        <v>-130123.81000000008</v>
      </c>
      <c r="I60" s="11">
        <f t="shared" ref="I60" si="96">+I59-I58</f>
        <v>-10435.11</v>
      </c>
      <c r="J60" s="45">
        <f t="shared" ref="J60" si="97">+J59-J58</f>
        <v>-383706.42000000027</v>
      </c>
      <c r="K60" s="11">
        <f t="shared" ref="K60" si="98">+K59-K58</f>
        <v>-53757.679999999986</v>
      </c>
      <c r="L60" s="11">
        <f t="shared" ref="L60" si="99">+L59-L58</f>
        <v>-72882.510000000068</v>
      </c>
      <c r="M60" s="11">
        <f t="shared" ref="M60" si="100">+M59-M58</f>
        <v>-33243.019999999946</v>
      </c>
      <c r="N60" s="50">
        <f t="shared" ref="N60" si="101">+N59-N58</f>
        <v>-159883.20999999996</v>
      </c>
      <c r="O60" s="11">
        <f t="shared" ref="O60" si="102">+O59-O58</f>
        <v>-18137.97</v>
      </c>
      <c r="P60" s="11">
        <f t="shared" ref="P60" si="103">+P59-P58</f>
        <v>-81490.170000000056</v>
      </c>
      <c r="Q60" s="11">
        <f t="shared" ref="Q60" si="104">+Q59-Q58</f>
        <v>-0.8199999999999994</v>
      </c>
      <c r="R60" s="11">
        <f t="shared" ref="R60" si="105">+R59-R58</f>
        <v>-1892.96</v>
      </c>
      <c r="S60" s="11">
        <f t="shared" ref="S60" si="106">+S59-S58</f>
        <v>-558.00999999999931</v>
      </c>
      <c r="T60" s="11">
        <f t="shared" ref="T60" si="107">+T59-T58</f>
        <v>-24366.490000000005</v>
      </c>
      <c r="U60" s="74">
        <f t="shared" ref="U60" si="108">+U59-U58</f>
        <v>-670036.05000000028</v>
      </c>
    </row>
    <row r="61" spans="2:21" ht="7.5" customHeight="1" x14ac:dyDescent="0.25">
      <c r="J61" s="46"/>
      <c r="N61" s="46"/>
      <c r="U61" s="75"/>
    </row>
    <row r="62" spans="2:21" ht="7.5" customHeight="1" x14ac:dyDescent="0.25">
      <c r="B62" s="7"/>
      <c r="C62" s="7"/>
      <c r="D62" s="7"/>
      <c r="E62" s="7"/>
      <c r="F62" s="7"/>
      <c r="G62" s="7"/>
      <c r="H62" s="7"/>
      <c r="I62" s="7"/>
      <c r="J62" s="47"/>
      <c r="K62" s="7"/>
      <c r="L62" s="7"/>
      <c r="M62" s="7"/>
      <c r="N62" s="47"/>
      <c r="O62" s="7"/>
      <c r="P62" s="7"/>
      <c r="Q62" s="7"/>
      <c r="R62" s="7"/>
      <c r="S62" s="7"/>
      <c r="T62" s="7"/>
      <c r="U62" s="76"/>
    </row>
    <row r="63" spans="2:21" ht="15.45" customHeight="1" x14ac:dyDescent="0.25">
      <c r="B63" s="272" t="s">
        <v>122</v>
      </c>
      <c r="C63" s="272"/>
      <c r="D63" s="272"/>
      <c r="E63" s="272"/>
      <c r="F63" s="272"/>
      <c r="G63" s="272"/>
      <c r="H63" s="272"/>
      <c r="I63" s="7"/>
      <c r="J63" s="47"/>
      <c r="K63" s="7"/>
      <c r="L63" s="7"/>
      <c r="M63" s="7"/>
      <c r="N63" s="47"/>
      <c r="O63" s="7"/>
      <c r="P63" s="7"/>
      <c r="Q63" s="7"/>
      <c r="R63" s="7"/>
      <c r="S63" s="7"/>
      <c r="T63" s="7"/>
      <c r="U63" s="76"/>
    </row>
    <row r="64" spans="2:21" ht="18.600000000000001" customHeight="1" x14ac:dyDescent="0.25">
      <c r="B64" s="9"/>
      <c r="C64" s="52" t="s">
        <v>2</v>
      </c>
      <c r="D64" s="8"/>
      <c r="E64" s="8"/>
      <c r="F64" s="8"/>
      <c r="G64" s="8"/>
      <c r="H64" s="8"/>
      <c r="I64" s="8"/>
      <c r="J64" s="51" t="s">
        <v>2</v>
      </c>
      <c r="K64" s="52" t="s">
        <v>3</v>
      </c>
      <c r="L64" s="8"/>
      <c r="M64" s="8"/>
      <c r="N64" s="51" t="s">
        <v>3</v>
      </c>
      <c r="O64" s="9" t="s">
        <v>4</v>
      </c>
      <c r="P64" s="9" t="s">
        <v>5</v>
      </c>
      <c r="Q64" s="9" t="s">
        <v>6</v>
      </c>
      <c r="R64" s="9" t="s">
        <v>7</v>
      </c>
      <c r="S64" s="9" t="s">
        <v>142</v>
      </c>
      <c r="T64" s="9" t="s">
        <v>143</v>
      </c>
      <c r="U64" s="72" t="s">
        <v>8</v>
      </c>
    </row>
    <row r="65" spans="2:21" ht="17.100000000000001" customHeight="1" x14ac:dyDescent="0.25">
      <c r="B65" s="9"/>
      <c r="C65" s="8" t="s">
        <v>9</v>
      </c>
      <c r="D65" s="8" t="s">
        <v>10</v>
      </c>
      <c r="E65" s="8" t="s">
        <v>11</v>
      </c>
      <c r="F65" s="8" t="s">
        <v>12</v>
      </c>
      <c r="G65" s="8" t="s">
        <v>13</v>
      </c>
      <c r="H65" s="8" t="s">
        <v>14</v>
      </c>
      <c r="I65" s="8" t="s">
        <v>15</v>
      </c>
      <c r="J65" s="43" t="s">
        <v>16</v>
      </c>
      <c r="K65" s="8" t="s">
        <v>17</v>
      </c>
      <c r="L65" s="8" t="s">
        <v>18</v>
      </c>
      <c r="M65" s="8" t="s">
        <v>141</v>
      </c>
      <c r="N65" s="43" t="s">
        <v>16</v>
      </c>
      <c r="O65" s="9" t="s">
        <v>16</v>
      </c>
      <c r="P65" s="9" t="s">
        <v>16</v>
      </c>
      <c r="Q65" s="9" t="s">
        <v>16</v>
      </c>
      <c r="R65" s="9" t="s">
        <v>16</v>
      </c>
      <c r="S65" s="9" t="s">
        <v>16</v>
      </c>
      <c r="T65" s="9" t="s">
        <v>16</v>
      </c>
      <c r="U65" s="72" t="s">
        <v>16</v>
      </c>
    </row>
    <row r="66" spans="2:21" ht="15" customHeight="1" x14ac:dyDescent="0.25">
      <c r="B66" s="61" t="str">
        <f>+$B$10</f>
        <v>Sep-2022</v>
      </c>
      <c r="C66" s="10">
        <v>426.87</v>
      </c>
      <c r="D66" s="10">
        <v>142901.43000000008</v>
      </c>
      <c r="E66" s="10">
        <v>169581.63999999998</v>
      </c>
      <c r="F66" s="20">
        <v>41638.539999999972</v>
      </c>
      <c r="G66" s="10">
        <v>3559.0299999999997</v>
      </c>
      <c r="H66" s="20">
        <v>93622.209999999948</v>
      </c>
      <c r="I66" s="10">
        <v>14116.770000000011</v>
      </c>
      <c r="J66" s="44">
        <v>465846.49000000005</v>
      </c>
      <c r="K66" s="20">
        <v>75420.55</v>
      </c>
      <c r="L66" s="20">
        <v>84364.169999999969</v>
      </c>
      <c r="M66" s="20">
        <v>119724.47</v>
      </c>
      <c r="N66" s="49">
        <v>279509.18999999994</v>
      </c>
      <c r="O66" s="182">
        <v>13903.13</v>
      </c>
      <c r="P66" s="182">
        <v>139113.34</v>
      </c>
      <c r="Q66" s="182">
        <v>7862.9800000000014</v>
      </c>
      <c r="R66" s="182">
        <v>1220.1400000000003</v>
      </c>
      <c r="S66" s="182">
        <v>9578.4200000000019</v>
      </c>
      <c r="T66" s="182">
        <v>42536.109999999979</v>
      </c>
      <c r="U66" s="73">
        <v>959569.79999999993</v>
      </c>
    </row>
    <row r="67" spans="2:21" ht="15" customHeight="1" x14ac:dyDescent="0.25">
      <c r="B67" s="66">
        <f>+$B$11</f>
        <v>45199</v>
      </c>
      <c r="C67" s="10">
        <v>223.57</v>
      </c>
      <c r="D67" s="10">
        <v>68862.7</v>
      </c>
      <c r="E67" s="10">
        <v>110430.18000000001</v>
      </c>
      <c r="F67" s="20">
        <v>7257.2000000000007</v>
      </c>
      <c r="G67" s="10">
        <v>467.79000000000008</v>
      </c>
      <c r="H67" s="20">
        <v>28420.930000000008</v>
      </c>
      <c r="I67" s="10">
        <v>11530.960000000005</v>
      </c>
      <c r="J67" s="44">
        <v>227193.33000000005</v>
      </c>
      <c r="K67" s="20">
        <v>34959.69999999999</v>
      </c>
      <c r="L67" s="20">
        <v>45377.380000000026</v>
      </c>
      <c r="M67" s="20">
        <v>48940.67</v>
      </c>
      <c r="N67" s="49">
        <v>129277.75000000001</v>
      </c>
      <c r="O67" s="182">
        <v>18415.080000000002</v>
      </c>
      <c r="P67" s="182">
        <v>50028.549999999981</v>
      </c>
      <c r="Q67" s="182">
        <v>4254.5300000000007</v>
      </c>
      <c r="R67" s="182">
        <v>276.57</v>
      </c>
      <c r="S67" s="182">
        <v>1449.7100000000003</v>
      </c>
      <c r="T67" s="182">
        <v>19753.309999999998</v>
      </c>
      <c r="U67" s="73">
        <v>450648.83000000007</v>
      </c>
    </row>
    <row r="68" spans="2:21" ht="15" customHeight="1" x14ac:dyDescent="0.25">
      <c r="B68" s="12" t="s">
        <v>19</v>
      </c>
      <c r="C68" s="11">
        <f>+C67-C66</f>
        <v>-203.3</v>
      </c>
      <c r="D68" s="11">
        <f t="shared" ref="D68" si="109">+D67-D66</f>
        <v>-74038.730000000083</v>
      </c>
      <c r="E68" s="11">
        <f t="shared" ref="E68" si="110">+E67-E66</f>
        <v>-59151.459999999977</v>
      </c>
      <c r="F68" s="11">
        <f t="shared" ref="F68" si="111">+F67-F66</f>
        <v>-34381.339999999967</v>
      </c>
      <c r="G68" s="11">
        <f t="shared" ref="G68" si="112">+G67-G66</f>
        <v>-3091.24</v>
      </c>
      <c r="H68" s="11">
        <f t="shared" ref="H68" si="113">+H67-H66</f>
        <v>-65201.279999999941</v>
      </c>
      <c r="I68" s="11">
        <f t="shared" ref="I68" si="114">+I67-I66</f>
        <v>-2585.8100000000068</v>
      </c>
      <c r="J68" s="45">
        <f t="shared" ref="J68" si="115">+J67-J66</f>
        <v>-238653.16</v>
      </c>
      <c r="K68" s="11">
        <f t="shared" ref="K68" si="116">+K67-K66</f>
        <v>-40460.850000000013</v>
      </c>
      <c r="L68" s="11">
        <f t="shared" ref="L68" si="117">+L67-L66</f>
        <v>-38986.789999999943</v>
      </c>
      <c r="M68" s="11">
        <f t="shared" ref="M68" si="118">+M67-M66</f>
        <v>-70783.8</v>
      </c>
      <c r="N68" s="50">
        <f t="shared" ref="N68" si="119">+N67-N66</f>
        <v>-150231.43999999994</v>
      </c>
      <c r="O68" s="11">
        <f t="shared" ref="O68" si="120">+O67-O66</f>
        <v>4511.9500000000025</v>
      </c>
      <c r="P68" s="11">
        <f t="shared" ref="P68" si="121">+P67-P66</f>
        <v>-89084.790000000008</v>
      </c>
      <c r="Q68" s="11">
        <f t="shared" ref="Q68" si="122">+Q67-Q66</f>
        <v>-3608.4500000000007</v>
      </c>
      <c r="R68" s="11">
        <f t="shared" ref="R68" si="123">+R67-R66</f>
        <v>-943.57000000000039</v>
      </c>
      <c r="S68" s="11">
        <f t="shared" ref="S68" si="124">+S67-S66</f>
        <v>-8128.7100000000019</v>
      </c>
      <c r="T68" s="11">
        <f t="shared" ref="T68" si="125">+T67-T66</f>
        <v>-22782.799999999981</v>
      </c>
      <c r="U68" s="74">
        <f t="shared" ref="U68" si="126">+U67-U66</f>
        <v>-508920.96999999986</v>
      </c>
    </row>
    <row r="69" spans="2:21" x14ac:dyDescent="0.25">
      <c r="B69" s="148"/>
      <c r="J69" s="46"/>
      <c r="N69" s="46"/>
      <c r="U69" s="75"/>
    </row>
    <row r="70" spans="2:21" ht="7.5" customHeight="1" x14ac:dyDescent="0.25">
      <c r="B70" s="7"/>
      <c r="C70" s="7"/>
      <c r="D70" s="7"/>
      <c r="E70" s="7"/>
      <c r="F70" s="7"/>
      <c r="G70" s="7"/>
      <c r="H70" s="7"/>
      <c r="I70" s="7"/>
      <c r="J70" s="47"/>
      <c r="K70" s="7"/>
      <c r="L70" s="7"/>
      <c r="M70" s="7"/>
      <c r="N70" s="47"/>
      <c r="O70" s="7"/>
      <c r="P70" s="7"/>
      <c r="Q70" s="7"/>
      <c r="R70" s="7"/>
      <c r="S70" s="7"/>
      <c r="T70" s="7"/>
      <c r="U70" s="76"/>
    </row>
    <row r="71" spans="2:21" ht="15.45" customHeight="1" x14ac:dyDescent="0.25">
      <c r="B71" s="272" t="s">
        <v>123</v>
      </c>
      <c r="C71" s="272"/>
      <c r="D71" s="272"/>
      <c r="E71" s="272"/>
      <c r="F71" s="272"/>
      <c r="G71" s="272"/>
      <c r="H71" s="272"/>
      <c r="I71" s="7"/>
      <c r="J71" s="47"/>
      <c r="K71" s="7"/>
      <c r="L71" s="7"/>
      <c r="M71" s="7"/>
      <c r="N71" s="47"/>
      <c r="O71" s="7"/>
      <c r="P71" s="7"/>
      <c r="Q71" s="7"/>
      <c r="R71" s="7"/>
      <c r="S71" s="7"/>
      <c r="T71" s="7"/>
      <c r="U71" s="76"/>
    </row>
    <row r="72" spans="2:21" ht="18.600000000000001" customHeight="1" x14ac:dyDescent="0.25">
      <c r="B72" s="9"/>
      <c r="C72" s="52" t="s">
        <v>2</v>
      </c>
      <c r="D72" s="8"/>
      <c r="E72" s="8"/>
      <c r="F72" s="8"/>
      <c r="G72" s="8"/>
      <c r="H72" s="8"/>
      <c r="I72" s="8"/>
      <c r="J72" s="51" t="s">
        <v>2</v>
      </c>
      <c r="K72" s="52" t="s">
        <v>3</v>
      </c>
      <c r="L72" s="8"/>
      <c r="M72" s="8"/>
      <c r="N72" s="51" t="s">
        <v>3</v>
      </c>
      <c r="O72" s="9" t="s">
        <v>4</v>
      </c>
      <c r="P72" s="9" t="s">
        <v>5</v>
      </c>
      <c r="Q72" s="9" t="s">
        <v>6</v>
      </c>
      <c r="R72" s="9" t="s">
        <v>7</v>
      </c>
      <c r="S72" s="9" t="s">
        <v>142</v>
      </c>
      <c r="T72" s="9" t="s">
        <v>143</v>
      </c>
      <c r="U72" s="72" t="s">
        <v>8</v>
      </c>
    </row>
    <row r="73" spans="2:21" ht="17.100000000000001" customHeight="1" x14ac:dyDescent="0.25">
      <c r="B73" s="9"/>
      <c r="C73" s="8" t="s">
        <v>9</v>
      </c>
      <c r="D73" s="8" t="s">
        <v>10</v>
      </c>
      <c r="E73" s="8" t="s">
        <v>11</v>
      </c>
      <c r="F73" s="8" t="s">
        <v>12</v>
      </c>
      <c r="G73" s="8" t="s">
        <v>13</v>
      </c>
      <c r="H73" s="8" t="s">
        <v>14</v>
      </c>
      <c r="I73" s="8" t="s">
        <v>15</v>
      </c>
      <c r="J73" s="43" t="s">
        <v>16</v>
      </c>
      <c r="K73" s="8" t="s">
        <v>17</v>
      </c>
      <c r="L73" s="8" t="s">
        <v>18</v>
      </c>
      <c r="M73" s="8" t="s">
        <v>141</v>
      </c>
      <c r="N73" s="43" t="s">
        <v>16</v>
      </c>
      <c r="O73" s="9" t="s">
        <v>16</v>
      </c>
      <c r="P73" s="9" t="s">
        <v>16</v>
      </c>
      <c r="Q73" s="9" t="s">
        <v>16</v>
      </c>
      <c r="R73" s="9" t="s">
        <v>16</v>
      </c>
      <c r="S73" s="9" t="s">
        <v>16</v>
      </c>
      <c r="T73" s="9" t="s">
        <v>16</v>
      </c>
      <c r="U73" s="72" t="s">
        <v>16</v>
      </c>
    </row>
    <row r="74" spans="2:21" ht="15" customHeight="1" x14ac:dyDescent="0.25">
      <c r="B74" s="61" t="str">
        <f>+$B$10</f>
        <v>Sep-2022</v>
      </c>
      <c r="C74" s="10">
        <v>4741.5400000000018</v>
      </c>
      <c r="D74" s="10">
        <v>2591717</v>
      </c>
      <c r="E74" s="10">
        <v>1800838.0200000003</v>
      </c>
      <c r="F74" s="20">
        <v>435048.36</v>
      </c>
      <c r="G74" s="10">
        <v>70014.900000000038</v>
      </c>
      <c r="H74" s="20">
        <v>2093367.7300000011</v>
      </c>
      <c r="I74" s="10">
        <v>212331.06000000003</v>
      </c>
      <c r="J74" s="44">
        <v>7208058.6100000022</v>
      </c>
      <c r="K74" s="20">
        <v>1266376.8600000001</v>
      </c>
      <c r="L74" s="20">
        <v>1396988.4099999995</v>
      </c>
      <c r="M74" s="20">
        <v>1428716.7700000021</v>
      </c>
      <c r="N74" s="49">
        <v>4092082.0400000019</v>
      </c>
      <c r="O74" s="182">
        <v>1646682.3000000014</v>
      </c>
      <c r="P74" s="182">
        <v>1562718.0200000026</v>
      </c>
      <c r="Q74" s="182">
        <v>7274.2400000000034</v>
      </c>
      <c r="R74" s="182">
        <v>21880.999999999996</v>
      </c>
      <c r="S74" s="182">
        <v>35964.559999999998</v>
      </c>
      <c r="T74" s="182">
        <v>302262.19</v>
      </c>
      <c r="U74" s="73">
        <v>14876922.960000008</v>
      </c>
    </row>
    <row r="75" spans="2:21" ht="15" customHeight="1" x14ac:dyDescent="0.25">
      <c r="B75" s="66">
        <f>+$B$11</f>
        <v>45199</v>
      </c>
      <c r="C75" s="10">
        <v>9412.9200000000055</v>
      </c>
      <c r="D75" s="10">
        <v>2264776.6500000004</v>
      </c>
      <c r="E75" s="10">
        <v>1516008.6099999996</v>
      </c>
      <c r="F75" s="20">
        <v>378996.63999999978</v>
      </c>
      <c r="G75" s="10">
        <v>59898.479999999981</v>
      </c>
      <c r="H75" s="20">
        <v>2115130.67</v>
      </c>
      <c r="I75" s="10">
        <v>214374.41999999969</v>
      </c>
      <c r="J75" s="44">
        <v>6558598.3899999987</v>
      </c>
      <c r="K75" s="20">
        <v>1338639.9700000016</v>
      </c>
      <c r="L75" s="20">
        <v>1351558.2899999996</v>
      </c>
      <c r="M75" s="20">
        <v>1493988.9000000006</v>
      </c>
      <c r="N75" s="49">
        <v>4184187.160000002</v>
      </c>
      <c r="O75" s="182">
        <v>1692179.3100000019</v>
      </c>
      <c r="P75" s="182">
        <v>1314199.040000001</v>
      </c>
      <c r="Q75" s="182">
        <v>7039.5300000000052</v>
      </c>
      <c r="R75" s="182">
        <v>14787.79</v>
      </c>
      <c r="S75" s="182">
        <v>46575.89</v>
      </c>
      <c r="T75" s="182">
        <v>489856.31999999983</v>
      </c>
      <c r="U75" s="73">
        <v>14307423.430000003</v>
      </c>
    </row>
    <row r="76" spans="2:21" ht="15" customHeight="1" x14ac:dyDescent="0.25">
      <c r="B76" s="12" t="s">
        <v>19</v>
      </c>
      <c r="C76" s="11">
        <f>+C75-C74</f>
        <v>4671.3800000000037</v>
      </c>
      <c r="D76" s="11">
        <f t="shared" ref="D76" si="127">+D75-D74</f>
        <v>-326940.34999999963</v>
      </c>
      <c r="E76" s="11">
        <f t="shared" ref="E76" si="128">+E75-E74</f>
        <v>-284829.41000000061</v>
      </c>
      <c r="F76" s="11">
        <f t="shared" ref="F76" si="129">+F75-F74</f>
        <v>-56051.720000000205</v>
      </c>
      <c r="G76" s="11">
        <f t="shared" ref="G76" si="130">+G75-G74</f>
        <v>-10116.420000000056</v>
      </c>
      <c r="H76" s="11">
        <f t="shared" ref="H76" si="131">+H75-H74</f>
        <v>21762.93999999878</v>
      </c>
      <c r="I76" s="11">
        <f t="shared" ref="I76" si="132">+I75-I74</f>
        <v>2043.3599999996659</v>
      </c>
      <c r="J76" s="45">
        <f t="shared" ref="J76" si="133">+J75-J74</f>
        <v>-649460.22000000346</v>
      </c>
      <c r="K76" s="11">
        <f t="shared" ref="K76" si="134">+K75-K74</f>
        <v>72263.110000001499</v>
      </c>
      <c r="L76" s="11">
        <f t="shared" ref="L76" si="135">+L75-L74</f>
        <v>-45430.119999999879</v>
      </c>
      <c r="M76" s="11">
        <f t="shared" ref="M76" si="136">+M75-M74</f>
        <v>65272.129999998491</v>
      </c>
      <c r="N76" s="50">
        <f t="shared" ref="N76" si="137">+N75-N74</f>
        <v>92105.120000000112</v>
      </c>
      <c r="O76" s="11">
        <f t="shared" ref="O76" si="138">+O75-O74</f>
        <v>45497.010000000475</v>
      </c>
      <c r="P76" s="11">
        <f t="shared" ref="P76" si="139">+P75-P74</f>
        <v>-248518.98000000161</v>
      </c>
      <c r="Q76" s="11">
        <f t="shared" ref="Q76" si="140">+Q75-Q74</f>
        <v>-234.70999999999822</v>
      </c>
      <c r="R76" s="11">
        <f t="shared" ref="R76" si="141">+R75-R74</f>
        <v>-7093.2099999999955</v>
      </c>
      <c r="S76" s="11">
        <f t="shared" ref="S76" si="142">+S75-S74</f>
        <v>10611.330000000002</v>
      </c>
      <c r="T76" s="11">
        <f t="shared" ref="T76" si="143">+T75-T74</f>
        <v>187594.12999999983</v>
      </c>
      <c r="U76" s="74">
        <f t="shared" ref="U76" si="144">+U75-U74</f>
        <v>-569499.53000000492</v>
      </c>
    </row>
    <row r="77" spans="2:21" s="158" customFormat="1" x14ac:dyDescent="0.25">
      <c r="C77" s="156"/>
      <c r="D77" s="156"/>
      <c r="E77" s="156"/>
      <c r="F77" s="156"/>
      <c r="G77" s="156"/>
      <c r="H77" s="156"/>
      <c r="I77" s="157"/>
      <c r="J77" s="159"/>
      <c r="K77" s="125"/>
      <c r="L77" s="125"/>
      <c r="M77" s="125"/>
      <c r="N77" s="159"/>
      <c r="O77" s="125"/>
      <c r="P77" s="125"/>
      <c r="Q77" s="125"/>
      <c r="R77" s="125"/>
      <c r="S77" s="125"/>
      <c r="T77" s="125"/>
      <c r="U77" s="159"/>
    </row>
    <row r="78" spans="2:21" ht="7.5" customHeight="1" x14ac:dyDescent="0.25">
      <c r="B78" s="7"/>
      <c r="C78" s="7"/>
      <c r="D78" s="7"/>
      <c r="E78" s="7"/>
      <c r="F78" s="7"/>
      <c r="G78" s="7"/>
      <c r="H78" s="7"/>
      <c r="I78" s="7"/>
      <c r="J78" s="47"/>
      <c r="K78" s="7"/>
      <c r="L78" s="7"/>
      <c r="M78" s="7"/>
      <c r="N78" s="47"/>
      <c r="O78" s="7"/>
      <c r="P78" s="7"/>
      <c r="Q78" s="7"/>
      <c r="R78" s="7"/>
      <c r="S78" s="7"/>
      <c r="T78" s="7"/>
      <c r="U78" s="76"/>
    </row>
    <row r="79" spans="2:21" ht="15.45" customHeight="1" x14ac:dyDescent="0.25">
      <c r="B79" s="272" t="s">
        <v>124</v>
      </c>
      <c r="C79" s="272"/>
      <c r="D79" s="272"/>
      <c r="E79" s="272"/>
      <c r="F79" s="272"/>
      <c r="G79" s="272"/>
      <c r="H79" s="272"/>
      <c r="I79" s="7"/>
      <c r="J79" s="47"/>
      <c r="K79" s="7"/>
      <c r="L79" s="7"/>
      <c r="M79" s="7"/>
      <c r="N79" s="47"/>
      <c r="O79" s="7"/>
      <c r="P79" s="7"/>
      <c r="Q79" s="7"/>
      <c r="R79" s="7"/>
      <c r="S79" s="7"/>
      <c r="T79" s="7"/>
      <c r="U79" s="76"/>
    </row>
    <row r="80" spans="2:21" ht="18.600000000000001" customHeight="1" x14ac:dyDescent="0.25">
      <c r="B80" s="9"/>
      <c r="C80" s="52" t="s">
        <v>2</v>
      </c>
      <c r="D80" s="8"/>
      <c r="E80" s="8"/>
      <c r="F80" s="8"/>
      <c r="G80" s="8"/>
      <c r="H80" s="8"/>
      <c r="I80" s="8"/>
      <c r="J80" s="51" t="s">
        <v>2</v>
      </c>
      <c r="K80" s="52" t="s">
        <v>3</v>
      </c>
      <c r="L80" s="8"/>
      <c r="M80" s="8"/>
      <c r="N80" s="51" t="s">
        <v>3</v>
      </c>
      <c r="O80" s="9" t="s">
        <v>4</v>
      </c>
      <c r="P80" s="9" t="s">
        <v>5</v>
      </c>
      <c r="Q80" s="9" t="s">
        <v>6</v>
      </c>
      <c r="R80" s="9" t="s">
        <v>7</v>
      </c>
      <c r="S80" s="9" t="s">
        <v>142</v>
      </c>
      <c r="T80" s="9" t="s">
        <v>143</v>
      </c>
      <c r="U80" s="72" t="s">
        <v>8</v>
      </c>
    </row>
    <row r="81" spans="2:24" ht="17.100000000000001" customHeight="1" x14ac:dyDescent="0.25">
      <c r="B81" s="9"/>
      <c r="C81" s="8" t="s">
        <v>9</v>
      </c>
      <c r="D81" s="8" t="s">
        <v>10</v>
      </c>
      <c r="E81" s="8" t="s">
        <v>11</v>
      </c>
      <c r="F81" s="8" t="s">
        <v>12</v>
      </c>
      <c r="G81" s="8" t="s">
        <v>13</v>
      </c>
      <c r="H81" s="8" t="s">
        <v>14</v>
      </c>
      <c r="I81" s="8" t="s">
        <v>15</v>
      </c>
      <c r="J81" s="43" t="s">
        <v>16</v>
      </c>
      <c r="K81" s="8" t="s">
        <v>17</v>
      </c>
      <c r="L81" s="8" t="s">
        <v>18</v>
      </c>
      <c r="M81" s="8" t="s">
        <v>141</v>
      </c>
      <c r="N81" s="43" t="s">
        <v>16</v>
      </c>
      <c r="O81" s="9" t="s">
        <v>16</v>
      </c>
      <c r="P81" s="9" t="s">
        <v>16</v>
      </c>
      <c r="Q81" s="9" t="s">
        <v>16</v>
      </c>
      <c r="R81" s="9" t="s">
        <v>16</v>
      </c>
      <c r="S81" s="9" t="s">
        <v>16</v>
      </c>
      <c r="T81" s="9" t="s">
        <v>16</v>
      </c>
      <c r="U81" s="72" t="s">
        <v>16</v>
      </c>
    </row>
    <row r="82" spans="2:24" ht="15" customHeight="1" x14ac:dyDescent="0.25">
      <c r="B82" s="61" t="str">
        <f>+$B$10</f>
        <v>Sep-2022</v>
      </c>
      <c r="C82" s="10">
        <v>4401.53</v>
      </c>
      <c r="D82" s="10">
        <v>2235697.9100000011</v>
      </c>
      <c r="E82" s="10">
        <v>1275672.2600000009</v>
      </c>
      <c r="F82" s="20">
        <v>475209.39000000019</v>
      </c>
      <c r="G82" s="10">
        <v>69361.510000000009</v>
      </c>
      <c r="H82" s="20">
        <v>1739546.9500000007</v>
      </c>
      <c r="I82" s="10">
        <v>67663.219999999958</v>
      </c>
      <c r="J82" s="44">
        <v>5867552.7700000023</v>
      </c>
      <c r="K82" s="20">
        <v>941922.74000000022</v>
      </c>
      <c r="L82" s="20">
        <v>1253413.0299999993</v>
      </c>
      <c r="M82" s="20">
        <v>1592023.4900000012</v>
      </c>
      <c r="N82" s="44">
        <v>3787359.2600000007</v>
      </c>
      <c r="O82" s="182">
        <v>527982.67999999993</v>
      </c>
      <c r="P82" s="182">
        <v>1862608.7499999995</v>
      </c>
      <c r="Q82" s="182">
        <v>17262.109999999997</v>
      </c>
      <c r="R82" s="182">
        <v>12601.19</v>
      </c>
      <c r="S82" s="182">
        <v>33409.410000000011</v>
      </c>
      <c r="T82" s="182">
        <v>235744.99999999997</v>
      </c>
      <c r="U82" s="73">
        <v>12344521.170000002</v>
      </c>
    </row>
    <row r="83" spans="2:24" ht="15" customHeight="1" x14ac:dyDescent="0.25">
      <c r="B83" s="66">
        <f>+$B$11</f>
        <v>45199</v>
      </c>
      <c r="C83" s="10">
        <v>3563.4700000000016</v>
      </c>
      <c r="D83" s="10">
        <v>1754170.77</v>
      </c>
      <c r="E83" s="10">
        <v>951162.1399999999</v>
      </c>
      <c r="F83" s="20">
        <v>244826.78000000003</v>
      </c>
      <c r="G83" s="10">
        <v>50006.87</v>
      </c>
      <c r="H83" s="20">
        <v>1423107.8200000003</v>
      </c>
      <c r="I83" s="10">
        <v>205172.56000000003</v>
      </c>
      <c r="J83" s="44">
        <v>4632010.41</v>
      </c>
      <c r="K83" s="20">
        <v>741196.84000000067</v>
      </c>
      <c r="L83" s="20">
        <v>991878.13000000082</v>
      </c>
      <c r="M83" s="20">
        <v>1262249.3399999996</v>
      </c>
      <c r="N83" s="44">
        <v>2995324.3100000015</v>
      </c>
      <c r="O83" s="182">
        <v>-303393.7</v>
      </c>
      <c r="P83" s="182">
        <v>1444537.7200000016</v>
      </c>
      <c r="Q83" s="182">
        <v>122.29</v>
      </c>
      <c r="R83" s="182">
        <v>4803.87</v>
      </c>
      <c r="S83" s="182">
        <v>42517.560000000012</v>
      </c>
      <c r="T83" s="182">
        <v>209064.15</v>
      </c>
      <c r="U83" s="73">
        <v>9024986.6100000031</v>
      </c>
    </row>
    <row r="84" spans="2:24" ht="15" customHeight="1" x14ac:dyDescent="0.25">
      <c r="B84" s="12" t="s">
        <v>19</v>
      </c>
      <c r="C84" s="11">
        <f>+C83-C82</f>
        <v>-838.05999999999813</v>
      </c>
      <c r="D84" s="11">
        <f t="shared" ref="D84" si="145">+D83-D82</f>
        <v>-481527.14000000106</v>
      </c>
      <c r="E84" s="11">
        <f t="shared" ref="E84" si="146">+E83-E82</f>
        <v>-324510.12000000104</v>
      </c>
      <c r="F84" s="11">
        <f t="shared" ref="F84" si="147">+F83-F82</f>
        <v>-230382.61000000016</v>
      </c>
      <c r="G84" s="11">
        <f t="shared" ref="G84" si="148">+G83-G82</f>
        <v>-19354.640000000007</v>
      </c>
      <c r="H84" s="11">
        <f t="shared" ref="H84" si="149">+H83-H82</f>
        <v>-316439.13000000035</v>
      </c>
      <c r="I84" s="11">
        <f t="shared" ref="I84" si="150">+I83-I82</f>
        <v>137509.34000000008</v>
      </c>
      <c r="J84" s="45">
        <f t="shared" ref="J84" si="151">+J83-J82</f>
        <v>-1235542.3600000022</v>
      </c>
      <c r="K84" s="11">
        <f t="shared" ref="K84" si="152">+K83-K82</f>
        <v>-200725.89999999956</v>
      </c>
      <c r="L84" s="11">
        <f t="shared" ref="L84" si="153">+L83-L82</f>
        <v>-261534.89999999851</v>
      </c>
      <c r="M84" s="11">
        <f t="shared" ref="M84" si="154">+M83-M82</f>
        <v>-329774.15000000154</v>
      </c>
      <c r="N84" s="50">
        <f t="shared" ref="N84" si="155">+N83-N82</f>
        <v>-792034.94999999925</v>
      </c>
      <c r="O84" s="11">
        <f t="shared" ref="O84" si="156">+O83-O82</f>
        <v>-831376.37999999989</v>
      </c>
      <c r="P84" s="11">
        <f t="shared" ref="P84" si="157">+P83-P82</f>
        <v>-418071.02999999793</v>
      </c>
      <c r="Q84" s="11">
        <f t="shared" ref="Q84" si="158">+Q83-Q82</f>
        <v>-17139.819999999996</v>
      </c>
      <c r="R84" s="11">
        <f t="shared" ref="R84" si="159">+R83-R82</f>
        <v>-7797.3200000000006</v>
      </c>
      <c r="S84" s="11">
        <f t="shared" ref="S84" si="160">+S83-S82</f>
        <v>9108.1500000000015</v>
      </c>
      <c r="T84" s="11">
        <f t="shared" ref="T84" si="161">+T83-T82</f>
        <v>-26680.849999999977</v>
      </c>
      <c r="U84" s="74">
        <f t="shared" ref="U84" si="162">+U83-U82</f>
        <v>-3319534.5599999987</v>
      </c>
    </row>
    <row r="85" spans="2:24" ht="12.75" customHeight="1" x14ac:dyDescent="0.25">
      <c r="B85" s="121"/>
      <c r="C85" s="121"/>
      <c r="D85" s="121"/>
      <c r="E85" s="121"/>
      <c r="F85" s="121"/>
      <c r="G85" s="121"/>
      <c r="H85" s="121"/>
      <c r="I85" s="122"/>
      <c r="J85" s="46"/>
      <c r="N85" s="46"/>
      <c r="U85" s="75"/>
    </row>
    <row r="86" spans="2:24" ht="11.85" customHeight="1" x14ac:dyDescent="0.25">
      <c r="B86" s="149"/>
      <c r="C86" s="7"/>
      <c r="D86" s="7"/>
      <c r="E86" s="7"/>
      <c r="F86" s="7"/>
      <c r="G86" s="7"/>
      <c r="H86" s="7"/>
      <c r="I86" s="7"/>
      <c r="J86" s="47"/>
      <c r="K86" s="7"/>
      <c r="L86" s="7"/>
      <c r="M86" s="7"/>
      <c r="N86" s="47"/>
      <c r="O86" s="7"/>
      <c r="P86" s="7"/>
      <c r="Q86" s="7"/>
      <c r="R86" s="7"/>
      <c r="S86" s="7"/>
      <c r="T86" s="7"/>
      <c r="U86" s="76"/>
    </row>
    <row r="87" spans="2:24" ht="18.75" customHeight="1" x14ac:dyDescent="0.25">
      <c r="B87" s="271" t="s">
        <v>20</v>
      </c>
      <c r="C87" s="271"/>
      <c r="D87" s="271"/>
      <c r="E87" s="271"/>
      <c r="F87" s="271"/>
      <c r="G87" s="271"/>
      <c r="H87" s="271"/>
      <c r="J87" s="46"/>
      <c r="N87" s="46"/>
      <c r="U87" s="75"/>
    </row>
    <row r="88" spans="2:24" ht="18.600000000000001" customHeight="1" x14ac:dyDescent="0.25">
      <c r="B88" s="9"/>
      <c r="C88" s="52" t="s">
        <v>2</v>
      </c>
      <c r="D88" s="8"/>
      <c r="E88" s="8"/>
      <c r="F88" s="8"/>
      <c r="G88" s="8"/>
      <c r="H88" s="8"/>
      <c r="I88" s="8"/>
      <c r="J88" s="51" t="s">
        <v>2</v>
      </c>
      <c r="K88" s="52" t="s">
        <v>3</v>
      </c>
      <c r="L88" s="8"/>
      <c r="M88" s="8"/>
      <c r="N88" s="51" t="s">
        <v>3</v>
      </c>
      <c r="O88" s="9" t="s">
        <v>4</v>
      </c>
      <c r="P88" s="9" t="s">
        <v>5</v>
      </c>
      <c r="Q88" s="9" t="s">
        <v>6</v>
      </c>
      <c r="R88" s="9" t="s">
        <v>7</v>
      </c>
      <c r="S88" s="9" t="s">
        <v>142</v>
      </c>
      <c r="T88" s="9" t="s">
        <v>143</v>
      </c>
      <c r="U88" s="72" t="s">
        <v>8</v>
      </c>
    </row>
    <row r="89" spans="2:24" ht="15" customHeight="1" x14ac:dyDescent="0.25">
      <c r="B89" s="9"/>
      <c r="C89" s="8" t="s">
        <v>9</v>
      </c>
      <c r="D89" s="8" t="s">
        <v>10</v>
      </c>
      <c r="E89" s="8" t="s">
        <v>11</v>
      </c>
      <c r="F89" s="8" t="s">
        <v>12</v>
      </c>
      <c r="G89" s="8" t="s">
        <v>13</v>
      </c>
      <c r="H89" s="8" t="s">
        <v>14</v>
      </c>
      <c r="I89" s="8" t="s">
        <v>15</v>
      </c>
      <c r="J89" s="43" t="s">
        <v>16</v>
      </c>
      <c r="K89" s="8" t="s">
        <v>17</v>
      </c>
      <c r="L89" s="8" t="s">
        <v>18</v>
      </c>
      <c r="M89" s="8" t="s">
        <v>141</v>
      </c>
      <c r="N89" s="43" t="s">
        <v>16</v>
      </c>
      <c r="O89" s="9" t="s">
        <v>16</v>
      </c>
      <c r="P89" s="9" t="s">
        <v>16</v>
      </c>
      <c r="Q89" s="9" t="s">
        <v>16</v>
      </c>
      <c r="R89" s="9" t="s">
        <v>16</v>
      </c>
      <c r="S89" s="9" t="s">
        <v>16</v>
      </c>
      <c r="T89" s="9" t="s">
        <v>16</v>
      </c>
      <c r="U89" s="72" t="s">
        <v>16</v>
      </c>
      <c r="W89" s="106" t="str">
        <f>'Tab 1'!A60&amp; " from:"</f>
        <v>AEPSC Bill Entries from:</v>
      </c>
    </row>
    <row r="90" spans="2:24" ht="15" customHeight="1" x14ac:dyDescent="0.25">
      <c r="B90" s="91" t="str">
        <f>+B82</f>
        <v>Sep-2022</v>
      </c>
      <c r="C90" s="92">
        <f>SUMIF($B$1:$B$89,$B$90,C1:C89)</f>
        <v>36134.49</v>
      </c>
      <c r="D90" s="92">
        <f t="shared" ref="D90:U90" si="163">SUMIF($B$1:$B$89,$B$90,D1:D89)</f>
        <v>15685924.129999999</v>
      </c>
      <c r="E90" s="92">
        <f t="shared" si="163"/>
        <v>9817586.25</v>
      </c>
      <c r="F90" s="93">
        <f t="shared" si="163"/>
        <v>2616055.7799999998</v>
      </c>
      <c r="G90" s="92">
        <f t="shared" si="163"/>
        <v>374466.55000000005</v>
      </c>
      <c r="H90" s="93">
        <f t="shared" si="163"/>
        <v>11755225.680000003</v>
      </c>
      <c r="I90" s="92">
        <f t="shared" si="163"/>
        <v>1677269.07</v>
      </c>
      <c r="J90" s="94">
        <f t="shared" si="163"/>
        <v>41962661.949999996</v>
      </c>
      <c r="K90" s="93">
        <f t="shared" si="163"/>
        <v>8188054.71</v>
      </c>
      <c r="L90" s="93">
        <f t="shared" si="163"/>
        <v>9556816.6899999995</v>
      </c>
      <c r="M90" s="93">
        <f t="shared" si="163"/>
        <v>9029762.2100000009</v>
      </c>
      <c r="N90" s="95">
        <f t="shared" si="163"/>
        <v>26774633.610000003</v>
      </c>
      <c r="O90" s="96">
        <f t="shared" si="163"/>
        <v>5049067.9600000009</v>
      </c>
      <c r="P90" s="96">
        <f t="shared" si="163"/>
        <v>9188536.9700000007</v>
      </c>
      <c r="Q90" s="96">
        <f t="shared" si="163"/>
        <v>94961.150000000009</v>
      </c>
      <c r="R90" s="96">
        <f t="shared" si="163"/>
        <v>206210.81</v>
      </c>
      <c r="S90" s="96">
        <f t="shared" si="163"/>
        <v>367954.77</v>
      </c>
      <c r="T90" s="96">
        <f t="shared" si="163"/>
        <v>1814843.8199999996</v>
      </c>
      <c r="U90" s="97">
        <f t="shared" si="163"/>
        <v>85458871.040000007</v>
      </c>
      <c r="W90" s="267" t="s">
        <v>138</v>
      </c>
      <c r="X90" s="268"/>
    </row>
    <row r="91" spans="2:24" ht="15" customHeight="1" x14ac:dyDescent="0.25">
      <c r="B91" s="66">
        <f>+B83</f>
        <v>45199</v>
      </c>
      <c r="C91" s="92">
        <f>SUMIF($B$1:$B$89,$B$91,C1:C89)</f>
        <v>67431.620000000024</v>
      </c>
      <c r="D91" s="92">
        <f t="shared" ref="D91:U91" si="164">SUMIF($B$1:$B$89,$B$91,D1:D89)</f>
        <v>11874284.509999994</v>
      </c>
      <c r="E91" s="92">
        <f t="shared" si="164"/>
        <v>7432132.8300000029</v>
      </c>
      <c r="F91" s="93">
        <f t="shared" si="164"/>
        <v>1935888.6300000001</v>
      </c>
      <c r="G91" s="92">
        <f t="shared" si="164"/>
        <v>305240.08</v>
      </c>
      <c r="H91" s="93">
        <f t="shared" si="164"/>
        <v>9593869.3499999996</v>
      </c>
      <c r="I91" s="92">
        <f t="shared" si="164"/>
        <v>1264886.2099999993</v>
      </c>
      <c r="J91" s="94">
        <f t="shared" si="164"/>
        <v>32473733.229999993</v>
      </c>
      <c r="K91" s="93">
        <f t="shared" si="164"/>
        <v>6173015.3499999987</v>
      </c>
      <c r="L91" s="93">
        <f t="shared" si="164"/>
        <v>7151717.3100000005</v>
      </c>
      <c r="M91" s="93">
        <f t="shared" si="164"/>
        <v>7397165.5199999996</v>
      </c>
      <c r="N91" s="95">
        <f t="shared" si="164"/>
        <v>20721898.180000003</v>
      </c>
      <c r="O91" s="96">
        <f t="shared" si="164"/>
        <v>2563410.0800000019</v>
      </c>
      <c r="P91" s="96">
        <f t="shared" si="164"/>
        <v>6764619.9200000055</v>
      </c>
      <c r="Q91" s="96">
        <f t="shared" si="164"/>
        <v>52004.369999999995</v>
      </c>
      <c r="R91" s="96">
        <f t="shared" si="164"/>
        <v>79771.87999999999</v>
      </c>
      <c r="S91" s="96">
        <f t="shared" si="164"/>
        <v>334636.65999999992</v>
      </c>
      <c r="T91" s="96">
        <f t="shared" si="164"/>
        <v>1573494.7499999998</v>
      </c>
      <c r="U91" s="97">
        <f t="shared" si="164"/>
        <v>64563569.070000008</v>
      </c>
      <c r="W91" s="99" t="s">
        <v>170</v>
      </c>
      <c r="X91" s="99" t="s">
        <v>171</v>
      </c>
    </row>
    <row r="92" spans="2:24" ht="15" customHeight="1" x14ac:dyDescent="0.25">
      <c r="B92" s="12" t="s">
        <v>19</v>
      </c>
      <c r="C92" s="11">
        <f>+C91-C90</f>
        <v>31297.130000000026</v>
      </c>
      <c r="D92" s="11">
        <f t="shared" ref="D92" si="165">+D91-D90</f>
        <v>-3811639.6200000048</v>
      </c>
      <c r="E92" s="11">
        <f t="shared" ref="E92" si="166">+E91-E90</f>
        <v>-2385453.4199999971</v>
      </c>
      <c r="F92" s="11">
        <f t="shared" ref="F92" si="167">+F91-F90</f>
        <v>-680167.14999999967</v>
      </c>
      <c r="G92" s="11">
        <f t="shared" ref="G92" si="168">+G91-G90</f>
        <v>-69226.47000000003</v>
      </c>
      <c r="H92" s="11">
        <f t="shared" ref="H92" si="169">+H91-H90</f>
        <v>-2161356.3300000038</v>
      </c>
      <c r="I92" s="11">
        <f t="shared" ref="I92" si="170">+I91-I90</f>
        <v>-412382.8600000008</v>
      </c>
      <c r="J92" s="45">
        <f t="shared" ref="J92" si="171">+J91-J90</f>
        <v>-9488928.7200000025</v>
      </c>
      <c r="K92" s="11">
        <f t="shared" ref="K92" si="172">+K91-K90</f>
        <v>-2015039.3600000013</v>
      </c>
      <c r="L92" s="11">
        <f t="shared" ref="L92" si="173">+L91-L90</f>
        <v>-2405099.379999999</v>
      </c>
      <c r="M92" s="11">
        <f t="shared" ref="M92" si="174">+M91-M90</f>
        <v>-1632596.6900000013</v>
      </c>
      <c r="N92" s="50">
        <f t="shared" ref="N92" si="175">+N91-N90</f>
        <v>-6052735.4299999997</v>
      </c>
      <c r="O92" s="11">
        <f t="shared" ref="O92" si="176">+O91-O90</f>
        <v>-2485657.879999999</v>
      </c>
      <c r="P92" s="11">
        <f t="shared" ref="P92" si="177">+P91-P90</f>
        <v>-2423917.0499999952</v>
      </c>
      <c r="Q92" s="11">
        <f t="shared" ref="Q92" si="178">+Q91-Q90</f>
        <v>-42956.780000000013</v>
      </c>
      <c r="R92" s="11">
        <f t="shared" ref="R92" si="179">+R91-R90</f>
        <v>-126438.93000000001</v>
      </c>
      <c r="S92" s="11">
        <f t="shared" ref="S92" si="180">+S91-S90</f>
        <v>-33318.110000000102</v>
      </c>
      <c r="T92" s="11">
        <f t="shared" ref="T92" si="181">+T91-T90</f>
        <v>-241349.06999999983</v>
      </c>
      <c r="U92" s="74">
        <f t="shared" ref="U92" si="182">+U91-U90</f>
        <v>-20895301.969999999</v>
      </c>
      <c r="W92" s="98">
        <f>+'Tab 1'!T66</f>
        <v>-20895301.969999898</v>
      </c>
      <c r="X92" s="98">
        <f>+W92-U92</f>
        <v>1.0058283805847168E-7</v>
      </c>
    </row>
    <row r="93" spans="2:24" ht="13.8" thickBot="1" x14ac:dyDescent="0.3">
      <c r="J93" s="48"/>
      <c r="N93" s="48"/>
      <c r="U93" s="77"/>
    </row>
    <row r="99" spans="5:10" x14ac:dyDescent="0.25">
      <c r="E99" s="62"/>
      <c r="J99" s="155"/>
    </row>
  </sheetData>
  <mergeCells count="11">
    <mergeCell ref="B2:H2"/>
    <mergeCell ref="B5:U5"/>
    <mergeCell ref="W90:X90"/>
    <mergeCell ref="B53:I53"/>
    <mergeCell ref="B87:H87"/>
    <mergeCell ref="B79:H79"/>
    <mergeCell ref="B63:H63"/>
    <mergeCell ref="B55:H55"/>
    <mergeCell ref="B47:H47"/>
    <mergeCell ref="B39:H39"/>
    <mergeCell ref="B71:H71"/>
  </mergeCells>
  <printOptions horizontalCentered="1"/>
  <pageMargins left="0.5" right="0.5" top="0.5" bottom="0.5" header="0.5" footer="0.5"/>
  <pageSetup scale="41" orientation="landscape" r:id="rId1"/>
  <headerFooter>
    <oddHeader>&amp;RDocket No. 56165
Exhibit BJF-5
Page &amp;P of &amp;N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B1:Z114"/>
  <sheetViews>
    <sheetView showGridLines="0" tabSelected="1" defaultGridColor="0" colorId="58" zoomScale="85" zoomScaleNormal="85" workbookViewId="0">
      <pane xSplit="3" ySplit="6" topLeftCell="D7" activePane="bottomRight" state="frozen"/>
      <selection sqref="A1:XFD1"/>
      <selection pane="topRight" sqref="A1:XFD1"/>
      <selection pane="bottomLeft" sqref="A1:XFD1"/>
      <selection pane="bottomRight" sqref="A1:XFD1"/>
    </sheetView>
  </sheetViews>
  <sheetFormatPr defaultRowHeight="13.2" x14ac:dyDescent="0.25"/>
  <cols>
    <col min="1" max="1" width="1" customWidth="1"/>
    <col min="2" max="2" width="44" customWidth="1"/>
    <col min="3" max="3" width="38.109375" bestFit="1" customWidth="1"/>
    <col min="4" max="10" width="14.6640625" customWidth="1"/>
    <col min="11" max="11" width="14.6640625" style="106" customWidth="1"/>
    <col min="12" max="12" width="1.6640625" customWidth="1"/>
    <col min="13" max="15" width="14.6640625" customWidth="1"/>
    <col min="16" max="16" width="14.6640625" style="106" customWidth="1"/>
    <col min="17" max="17" width="1.6640625" customWidth="1"/>
    <col min="18" max="23" width="14.6640625" customWidth="1"/>
    <col min="24" max="24" width="2.6640625" customWidth="1"/>
    <col min="25" max="25" width="14.6640625" style="106" customWidth="1"/>
    <col min="250" max="250" width="1" customWidth="1"/>
    <col min="251" max="251" width="44" customWidth="1"/>
    <col min="252" max="252" width="43" customWidth="1"/>
    <col min="253" max="256" width="17" customWidth="1"/>
    <col min="257" max="257" width="1" customWidth="1"/>
    <col min="258" max="258" width="16" customWidth="1"/>
    <col min="259" max="261" width="17" customWidth="1"/>
    <col min="262" max="262" width="3" customWidth="1"/>
    <col min="263" max="266" width="17" customWidth="1"/>
    <col min="267" max="267" width="3" customWidth="1"/>
    <col min="268" max="268" width="17" customWidth="1"/>
    <col min="269" max="269" width="3" customWidth="1"/>
    <col min="270" max="270" width="17" customWidth="1"/>
    <col min="271" max="271" width="3" customWidth="1"/>
    <col min="272" max="272" width="17" customWidth="1"/>
    <col min="273" max="273" width="3" customWidth="1"/>
    <col min="274" max="274" width="16" customWidth="1"/>
    <col min="275" max="275" width="2" customWidth="1"/>
    <col min="276" max="277" width="16" customWidth="1"/>
    <col min="278" max="278" width="12" bestFit="1" customWidth="1"/>
    <col min="279" max="279" width="12" customWidth="1"/>
    <col min="280" max="280" width="13.44140625" bestFit="1" customWidth="1"/>
    <col min="506" max="506" width="1" customWidth="1"/>
    <col min="507" max="507" width="44" customWidth="1"/>
    <col min="508" max="508" width="43" customWidth="1"/>
    <col min="509" max="512" width="17" customWidth="1"/>
    <col min="513" max="513" width="1" customWidth="1"/>
    <col min="514" max="514" width="16" customWidth="1"/>
    <col min="515" max="517" width="17" customWidth="1"/>
    <col min="518" max="518" width="3" customWidth="1"/>
    <col min="519" max="522" width="17" customWidth="1"/>
    <col min="523" max="523" width="3" customWidth="1"/>
    <col min="524" max="524" width="17" customWidth="1"/>
    <col min="525" max="525" width="3" customWidth="1"/>
    <col min="526" max="526" width="17" customWidth="1"/>
    <col min="527" max="527" width="3" customWidth="1"/>
    <col min="528" max="528" width="17" customWidth="1"/>
    <col min="529" max="529" width="3" customWidth="1"/>
    <col min="530" max="530" width="16" customWidth="1"/>
    <col min="531" max="531" width="2" customWidth="1"/>
    <col min="532" max="533" width="16" customWidth="1"/>
    <col min="534" max="534" width="12" bestFit="1" customWidth="1"/>
    <col min="535" max="535" width="12" customWidth="1"/>
    <col min="536" max="536" width="13.44140625" bestFit="1" customWidth="1"/>
    <col min="762" max="762" width="1" customWidth="1"/>
    <col min="763" max="763" width="44" customWidth="1"/>
    <col min="764" max="764" width="43" customWidth="1"/>
    <col min="765" max="768" width="17" customWidth="1"/>
    <col min="769" max="769" width="1" customWidth="1"/>
    <col min="770" max="770" width="16" customWidth="1"/>
    <col min="771" max="773" width="17" customWidth="1"/>
    <col min="774" max="774" width="3" customWidth="1"/>
    <col min="775" max="778" width="17" customWidth="1"/>
    <col min="779" max="779" width="3" customWidth="1"/>
    <col min="780" max="780" width="17" customWidth="1"/>
    <col min="781" max="781" width="3" customWidth="1"/>
    <col min="782" max="782" width="17" customWidth="1"/>
    <col min="783" max="783" width="3" customWidth="1"/>
    <col min="784" max="784" width="17" customWidth="1"/>
    <col min="785" max="785" width="3" customWidth="1"/>
    <col min="786" max="786" width="16" customWidth="1"/>
    <col min="787" max="787" width="2" customWidth="1"/>
    <col min="788" max="789" width="16" customWidth="1"/>
    <col min="790" max="790" width="12" bestFit="1" customWidth="1"/>
    <col min="791" max="791" width="12" customWidth="1"/>
    <col min="792" max="792" width="13.44140625" bestFit="1" customWidth="1"/>
    <col min="1018" max="1018" width="1" customWidth="1"/>
    <col min="1019" max="1019" width="44" customWidth="1"/>
    <col min="1020" max="1020" width="43" customWidth="1"/>
    <col min="1021" max="1024" width="17" customWidth="1"/>
    <col min="1025" max="1025" width="1" customWidth="1"/>
    <col min="1026" max="1026" width="16" customWidth="1"/>
    <col min="1027" max="1029" width="17" customWidth="1"/>
    <col min="1030" max="1030" width="3" customWidth="1"/>
    <col min="1031" max="1034" width="17" customWidth="1"/>
    <col min="1035" max="1035" width="3" customWidth="1"/>
    <col min="1036" max="1036" width="17" customWidth="1"/>
    <col min="1037" max="1037" width="3" customWidth="1"/>
    <col min="1038" max="1038" width="17" customWidth="1"/>
    <col min="1039" max="1039" width="3" customWidth="1"/>
    <col min="1040" max="1040" width="17" customWidth="1"/>
    <col min="1041" max="1041" width="3" customWidth="1"/>
    <col min="1042" max="1042" width="16" customWidth="1"/>
    <col min="1043" max="1043" width="2" customWidth="1"/>
    <col min="1044" max="1045" width="16" customWidth="1"/>
    <col min="1046" max="1046" width="12" bestFit="1" customWidth="1"/>
    <col min="1047" max="1047" width="12" customWidth="1"/>
    <col min="1048" max="1048" width="13.44140625" bestFit="1" customWidth="1"/>
    <col min="1274" max="1274" width="1" customWidth="1"/>
    <col min="1275" max="1275" width="44" customWidth="1"/>
    <col min="1276" max="1276" width="43" customWidth="1"/>
    <col min="1277" max="1280" width="17" customWidth="1"/>
    <col min="1281" max="1281" width="1" customWidth="1"/>
    <col min="1282" max="1282" width="16" customWidth="1"/>
    <col min="1283" max="1285" width="17" customWidth="1"/>
    <col min="1286" max="1286" width="3" customWidth="1"/>
    <col min="1287" max="1290" width="17" customWidth="1"/>
    <col min="1291" max="1291" width="3" customWidth="1"/>
    <col min="1292" max="1292" width="17" customWidth="1"/>
    <col min="1293" max="1293" width="3" customWidth="1"/>
    <col min="1294" max="1294" width="17" customWidth="1"/>
    <col min="1295" max="1295" width="3" customWidth="1"/>
    <col min="1296" max="1296" width="17" customWidth="1"/>
    <col min="1297" max="1297" width="3" customWidth="1"/>
    <col min="1298" max="1298" width="16" customWidth="1"/>
    <col min="1299" max="1299" width="2" customWidth="1"/>
    <col min="1300" max="1301" width="16" customWidth="1"/>
    <col min="1302" max="1302" width="12" bestFit="1" customWidth="1"/>
    <col min="1303" max="1303" width="12" customWidth="1"/>
    <col min="1304" max="1304" width="13.44140625" bestFit="1" customWidth="1"/>
    <col min="1530" max="1530" width="1" customWidth="1"/>
    <col min="1531" max="1531" width="44" customWidth="1"/>
    <col min="1532" max="1532" width="43" customWidth="1"/>
    <col min="1533" max="1536" width="17" customWidth="1"/>
    <col min="1537" max="1537" width="1" customWidth="1"/>
    <col min="1538" max="1538" width="16" customWidth="1"/>
    <col min="1539" max="1541" width="17" customWidth="1"/>
    <col min="1542" max="1542" width="3" customWidth="1"/>
    <col min="1543" max="1546" width="17" customWidth="1"/>
    <col min="1547" max="1547" width="3" customWidth="1"/>
    <col min="1548" max="1548" width="17" customWidth="1"/>
    <col min="1549" max="1549" width="3" customWidth="1"/>
    <col min="1550" max="1550" width="17" customWidth="1"/>
    <col min="1551" max="1551" width="3" customWidth="1"/>
    <col min="1552" max="1552" width="17" customWidth="1"/>
    <col min="1553" max="1553" width="3" customWidth="1"/>
    <col min="1554" max="1554" width="16" customWidth="1"/>
    <col min="1555" max="1555" width="2" customWidth="1"/>
    <col min="1556" max="1557" width="16" customWidth="1"/>
    <col min="1558" max="1558" width="12" bestFit="1" customWidth="1"/>
    <col min="1559" max="1559" width="12" customWidth="1"/>
    <col min="1560" max="1560" width="13.44140625" bestFit="1" customWidth="1"/>
    <col min="1786" max="1786" width="1" customWidth="1"/>
    <col min="1787" max="1787" width="44" customWidth="1"/>
    <col min="1788" max="1788" width="43" customWidth="1"/>
    <col min="1789" max="1792" width="17" customWidth="1"/>
    <col min="1793" max="1793" width="1" customWidth="1"/>
    <col min="1794" max="1794" width="16" customWidth="1"/>
    <col min="1795" max="1797" width="17" customWidth="1"/>
    <col min="1798" max="1798" width="3" customWidth="1"/>
    <col min="1799" max="1802" width="17" customWidth="1"/>
    <col min="1803" max="1803" width="3" customWidth="1"/>
    <col min="1804" max="1804" width="17" customWidth="1"/>
    <col min="1805" max="1805" width="3" customWidth="1"/>
    <col min="1806" max="1806" width="17" customWidth="1"/>
    <col min="1807" max="1807" width="3" customWidth="1"/>
    <col min="1808" max="1808" width="17" customWidth="1"/>
    <col min="1809" max="1809" width="3" customWidth="1"/>
    <col min="1810" max="1810" width="16" customWidth="1"/>
    <col min="1811" max="1811" width="2" customWidth="1"/>
    <col min="1812" max="1813" width="16" customWidth="1"/>
    <col min="1814" max="1814" width="12" bestFit="1" customWidth="1"/>
    <col min="1815" max="1815" width="12" customWidth="1"/>
    <col min="1816" max="1816" width="13.44140625" bestFit="1" customWidth="1"/>
    <col min="2042" max="2042" width="1" customWidth="1"/>
    <col min="2043" max="2043" width="44" customWidth="1"/>
    <col min="2044" max="2044" width="43" customWidth="1"/>
    <col min="2045" max="2048" width="17" customWidth="1"/>
    <col min="2049" max="2049" width="1" customWidth="1"/>
    <col min="2050" max="2050" width="16" customWidth="1"/>
    <col min="2051" max="2053" width="17" customWidth="1"/>
    <col min="2054" max="2054" width="3" customWidth="1"/>
    <col min="2055" max="2058" width="17" customWidth="1"/>
    <col min="2059" max="2059" width="3" customWidth="1"/>
    <col min="2060" max="2060" width="17" customWidth="1"/>
    <col min="2061" max="2061" width="3" customWidth="1"/>
    <col min="2062" max="2062" width="17" customWidth="1"/>
    <col min="2063" max="2063" width="3" customWidth="1"/>
    <col min="2064" max="2064" width="17" customWidth="1"/>
    <col min="2065" max="2065" width="3" customWidth="1"/>
    <col min="2066" max="2066" width="16" customWidth="1"/>
    <col min="2067" max="2067" width="2" customWidth="1"/>
    <col min="2068" max="2069" width="16" customWidth="1"/>
    <col min="2070" max="2070" width="12" bestFit="1" customWidth="1"/>
    <col min="2071" max="2071" width="12" customWidth="1"/>
    <col min="2072" max="2072" width="13.44140625" bestFit="1" customWidth="1"/>
    <col min="2298" max="2298" width="1" customWidth="1"/>
    <col min="2299" max="2299" width="44" customWidth="1"/>
    <col min="2300" max="2300" width="43" customWidth="1"/>
    <col min="2301" max="2304" width="17" customWidth="1"/>
    <col min="2305" max="2305" width="1" customWidth="1"/>
    <col min="2306" max="2306" width="16" customWidth="1"/>
    <col min="2307" max="2309" width="17" customWidth="1"/>
    <col min="2310" max="2310" width="3" customWidth="1"/>
    <col min="2311" max="2314" width="17" customWidth="1"/>
    <col min="2315" max="2315" width="3" customWidth="1"/>
    <col min="2316" max="2316" width="17" customWidth="1"/>
    <col min="2317" max="2317" width="3" customWidth="1"/>
    <col min="2318" max="2318" width="17" customWidth="1"/>
    <col min="2319" max="2319" width="3" customWidth="1"/>
    <col min="2320" max="2320" width="17" customWidth="1"/>
    <col min="2321" max="2321" width="3" customWidth="1"/>
    <col min="2322" max="2322" width="16" customWidth="1"/>
    <col min="2323" max="2323" width="2" customWidth="1"/>
    <col min="2324" max="2325" width="16" customWidth="1"/>
    <col min="2326" max="2326" width="12" bestFit="1" customWidth="1"/>
    <col min="2327" max="2327" width="12" customWidth="1"/>
    <col min="2328" max="2328" width="13.44140625" bestFit="1" customWidth="1"/>
    <col min="2554" max="2554" width="1" customWidth="1"/>
    <col min="2555" max="2555" width="44" customWidth="1"/>
    <col min="2556" max="2556" width="43" customWidth="1"/>
    <col min="2557" max="2560" width="17" customWidth="1"/>
    <col min="2561" max="2561" width="1" customWidth="1"/>
    <col min="2562" max="2562" width="16" customWidth="1"/>
    <col min="2563" max="2565" width="17" customWidth="1"/>
    <col min="2566" max="2566" width="3" customWidth="1"/>
    <col min="2567" max="2570" width="17" customWidth="1"/>
    <col min="2571" max="2571" width="3" customWidth="1"/>
    <col min="2572" max="2572" width="17" customWidth="1"/>
    <col min="2573" max="2573" width="3" customWidth="1"/>
    <col min="2574" max="2574" width="17" customWidth="1"/>
    <col min="2575" max="2575" width="3" customWidth="1"/>
    <col min="2576" max="2576" width="17" customWidth="1"/>
    <col min="2577" max="2577" width="3" customWidth="1"/>
    <col min="2578" max="2578" width="16" customWidth="1"/>
    <col min="2579" max="2579" width="2" customWidth="1"/>
    <col min="2580" max="2581" width="16" customWidth="1"/>
    <col min="2582" max="2582" width="12" bestFit="1" customWidth="1"/>
    <col min="2583" max="2583" width="12" customWidth="1"/>
    <col min="2584" max="2584" width="13.44140625" bestFit="1" customWidth="1"/>
    <col min="2810" max="2810" width="1" customWidth="1"/>
    <col min="2811" max="2811" width="44" customWidth="1"/>
    <col min="2812" max="2812" width="43" customWidth="1"/>
    <col min="2813" max="2816" width="17" customWidth="1"/>
    <col min="2817" max="2817" width="1" customWidth="1"/>
    <col min="2818" max="2818" width="16" customWidth="1"/>
    <col min="2819" max="2821" width="17" customWidth="1"/>
    <col min="2822" max="2822" width="3" customWidth="1"/>
    <col min="2823" max="2826" width="17" customWidth="1"/>
    <col min="2827" max="2827" width="3" customWidth="1"/>
    <col min="2828" max="2828" width="17" customWidth="1"/>
    <col min="2829" max="2829" width="3" customWidth="1"/>
    <col min="2830" max="2830" width="17" customWidth="1"/>
    <col min="2831" max="2831" width="3" customWidth="1"/>
    <col min="2832" max="2832" width="17" customWidth="1"/>
    <col min="2833" max="2833" width="3" customWidth="1"/>
    <col min="2834" max="2834" width="16" customWidth="1"/>
    <col min="2835" max="2835" width="2" customWidth="1"/>
    <col min="2836" max="2837" width="16" customWidth="1"/>
    <col min="2838" max="2838" width="12" bestFit="1" customWidth="1"/>
    <col min="2839" max="2839" width="12" customWidth="1"/>
    <col min="2840" max="2840" width="13.44140625" bestFit="1" customWidth="1"/>
    <col min="3066" max="3066" width="1" customWidth="1"/>
    <col min="3067" max="3067" width="44" customWidth="1"/>
    <col min="3068" max="3068" width="43" customWidth="1"/>
    <col min="3069" max="3072" width="17" customWidth="1"/>
    <col min="3073" max="3073" width="1" customWidth="1"/>
    <col min="3074" max="3074" width="16" customWidth="1"/>
    <col min="3075" max="3077" width="17" customWidth="1"/>
    <col min="3078" max="3078" width="3" customWidth="1"/>
    <col min="3079" max="3082" width="17" customWidth="1"/>
    <col min="3083" max="3083" width="3" customWidth="1"/>
    <col min="3084" max="3084" width="17" customWidth="1"/>
    <col min="3085" max="3085" width="3" customWidth="1"/>
    <col min="3086" max="3086" width="17" customWidth="1"/>
    <col min="3087" max="3087" width="3" customWidth="1"/>
    <col min="3088" max="3088" width="17" customWidth="1"/>
    <col min="3089" max="3089" width="3" customWidth="1"/>
    <col min="3090" max="3090" width="16" customWidth="1"/>
    <col min="3091" max="3091" width="2" customWidth="1"/>
    <col min="3092" max="3093" width="16" customWidth="1"/>
    <col min="3094" max="3094" width="12" bestFit="1" customWidth="1"/>
    <col min="3095" max="3095" width="12" customWidth="1"/>
    <col min="3096" max="3096" width="13.44140625" bestFit="1" customWidth="1"/>
    <col min="3322" max="3322" width="1" customWidth="1"/>
    <col min="3323" max="3323" width="44" customWidth="1"/>
    <col min="3324" max="3324" width="43" customWidth="1"/>
    <col min="3325" max="3328" width="17" customWidth="1"/>
    <col min="3329" max="3329" width="1" customWidth="1"/>
    <col min="3330" max="3330" width="16" customWidth="1"/>
    <col min="3331" max="3333" width="17" customWidth="1"/>
    <col min="3334" max="3334" width="3" customWidth="1"/>
    <col min="3335" max="3338" width="17" customWidth="1"/>
    <col min="3339" max="3339" width="3" customWidth="1"/>
    <col min="3340" max="3340" width="17" customWidth="1"/>
    <col min="3341" max="3341" width="3" customWidth="1"/>
    <col min="3342" max="3342" width="17" customWidth="1"/>
    <col min="3343" max="3343" width="3" customWidth="1"/>
    <col min="3344" max="3344" width="17" customWidth="1"/>
    <col min="3345" max="3345" width="3" customWidth="1"/>
    <col min="3346" max="3346" width="16" customWidth="1"/>
    <col min="3347" max="3347" width="2" customWidth="1"/>
    <col min="3348" max="3349" width="16" customWidth="1"/>
    <col min="3350" max="3350" width="12" bestFit="1" customWidth="1"/>
    <col min="3351" max="3351" width="12" customWidth="1"/>
    <col min="3352" max="3352" width="13.44140625" bestFit="1" customWidth="1"/>
    <col min="3578" max="3578" width="1" customWidth="1"/>
    <col min="3579" max="3579" width="44" customWidth="1"/>
    <col min="3580" max="3580" width="43" customWidth="1"/>
    <col min="3581" max="3584" width="17" customWidth="1"/>
    <col min="3585" max="3585" width="1" customWidth="1"/>
    <col min="3586" max="3586" width="16" customWidth="1"/>
    <col min="3587" max="3589" width="17" customWidth="1"/>
    <col min="3590" max="3590" width="3" customWidth="1"/>
    <col min="3591" max="3594" width="17" customWidth="1"/>
    <col min="3595" max="3595" width="3" customWidth="1"/>
    <col min="3596" max="3596" width="17" customWidth="1"/>
    <col min="3597" max="3597" width="3" customWidth="1"/>
    <col min="3598" max="3598" width="17" customWidth="1"/>
    <col min="3599" max="3599" width="3" customWidth="1"/>
    <col min="3600" max="3600" width="17" customWidth="1"/>
    <col min="3601" max="3601" width="3" customWidth="1"/>
    <col min="3602" max="3602" width="16" customWidth="1"/>
    <col min="3603" max="3603" width="2" customWidth="1"/>
    <col min="3604" max="3605" width="16" customWidth="1"/>
    <col min="3606" max="3606" width="12" bestFit="1" customWidth="1"/>
    <col min="3607" max="3607" width="12" customWidth="1"/>
    <col min="3608" max="3608" width="13.44140625" bestFit="1" customWidth="1"/>
    <col min="3834" max="3834" width="1" customWidth="1"/>
    <col min="3835" max="3835" width="44" customWidth="1"/>
    <col min="3836" max="3836" width="43" customWidth="1"/>
    <col min="3837" max="3840" width="17" customWidth="1"/>
    <col min="3841" max="3841" width="1" customWidth="1"/>
    <col min="3842" max="3842" width="16" customWidth="1"/>
    <col min="3843" max="3845" width="17" customWidth="1"/>
    <col min="3846" max="3846" width="3" customWidth="1"/>
    <col min="3847" max="3850" width="17" customWidth="1"/>
    <col min="3851" max="3851" width="3" customWidth="1"/>
    <col min="3852" max="3852" width="17" customWidth="1"/>
    <col min="3853" max="3853" width="3" customWidth="1"/>
    <col min="3854" max="3854" width="17" customWidth="1"/>
    <col min="3855" max="3855" width="3" customWidth="1"/>
    <col min="3856" max="3856" width="17" customWidth="1"/>
    <col min="3857" max="3857" width="3" customWidth="1"/>
    <col min="3858" max="3858" width="16" customWidth="1"/>
    <col min="3859" max="3859" width="2" customWidth="1"/>
    <col min="3860" max="3861" width="16" customWidth="1"/>
    <col min="3862" max="3862" width="12" bestFit="1" customWidth="1"/>
    <col min="3863" max="3863" width="12" customWidth="1"/>
    <col min="3864" max="3864" width="13.44140625" bestFit="1" customWidth="1"/>
    <col min="4090" max="4090" width="1" customWidth="1"/>
    <col min="4091" max="4091" width="44" customWidth="1"/>
    <col min="4092" max="4092" width="43" customWidth="1"/>
    <col min="4093" max="4096" width="17" customWidth="1"/>
    <col min="4097" max="4097" width="1" customWidth="1"/>
    <col min="4098" max="4098" width="16" customWidth="1"/>
    <col min="4099" max="4101" width="17" customWidth="1"/>
    <col min="4102" max="4102" width="3" customWidth="1"/>
    <col min="4103" max="4106" width="17" customWidth="1"/>
    <col min="4107" max="4107" width="3" customWidth="1"/>
    <col min="4108" max="4108" width="17" customWidth="1"/>
    <col min="4109" max="4109" width="3" customWidth="1"/>
    <col min="4110" max="4110" width="17" customWidth="1"/>
    <col min="4111" max="4111" width="3" customWidth="1"/>
    <col min="4112" max="4112" width="17" customWidth="1"/>
    <col min="4113" max="4113" width="3" customWidth="1"/>
    <col min="4114" max="4114" width="16" customWidth="1"/>
    <col min="4115" max="4115" width="2" customWidth="1"/>
    <col min="4116" max="4117" width="16" customWidth="1"/>
    <col min="4118" max="4118" width="12" bestFit="1" customWidth="1"/>
    <col min="4119" max="4119" width="12" customWidth="1"/>
    <col min="4120" max="4120" width="13.44140625" bestFit="1" customWidth="1"/>
    <col min="4346" max="4346" width="1" customWidth="1"/>
    <col min="4347" max="4347" width="44" customWidth="1"/>
    <col min="4348" max="4348" width="43" customWidth="1"/>
    <col min="4349" max="4352" width="17" customWidth="1"/>
    <col min="4353" max="4353" width="1" customWidth="1"/>
    <col min="4354" max="4354" width="16" customWidth="1"/>
    <col min="4355" max="4357" width="17" customWidth="1"/>
    <col min="4358" max="4358" width="3" customWidth="1"/>
    <col min="4359" max="4362" width="17" customWidth="1"/>
    <col min="4363" max="4363" width="3" customWidth="1"/>
    <col min="4364" max="4364" width="17" customWidth="1"/>
    <col min="4365" max="4365" width="3" customWidth="1"/>
    <col min="4366" max="4366" width="17" customWidth="1"/>
    <col min="4367" max="4367" width="3" customWidth="1"/>
    <col min="4368" max="4368" width="17" customWidth="1"/>
    <col min="4369" max="4369" width="3" customWidth="1"/>
    <col min="4370" max="4370" width="16" customWidth="1"/>
    <col min="4371" max="4371" width="2" customWidth="1"/>
    <col min="4372" max="4373" width="16" customWidth="1"/>
    <col min="4374" max="4374" width="12" bestFit="1" customWidth="1"/>
    <col min="4375" max="4375" width="12" customWidth="1"/>
    <col min="4376" max="4376" width="13.44140625" bestFit="1" customWidth="1"/>
    <col min="4602" max="4602" width="1" customWidth="1"/>
    <col min="4603" max="4603" width="44" customWidth="1"/>
    <col min="4604" max="4604" width="43" customWidth="1"/>
    <col min="4605" max="4608" width="17" customWidth="1"/>
    <col min="4609" max="4609" width="1" customWidth="1"/>
    <col min="4610" max="4610" width="16" customWidth="1"/>
    <col min="4611" max="4613" width="17" customWidth="1"/>
    <col min="4614" max="4614" width="3" customWidth="1"/>
    <col min="4615" max="4618" width="17" customWidth="1"/>
    <col min="4619" max="4619" width="3" customWidth="1"/>
    <col min="4620" max="4620" width="17" customWidth="1"/>
    <col min="4621" max="4621" width="3" customWidth="1"/>
    <col min="4622" max="4622" width="17" customWidth="1"/>
    <col min="4623" max="4623" width="3" customWidth="1"/>
    <col min="4624" max="4624" width="17" customWidth="1"/>
    <col min="4625" max="4625" width="3" customWidth="1"/>
    <col min="4626" max="4626" width="16" customWidth="1"/>
    <col min="4627" max="4627" width="2" customWidth="1"/>
    <col min="4628" max="4629" width="16" customWidth="1"/>
    <col min="4630" max="4630" width="12" bestFit="1" customWidth="1"/>
    <col min="4631" max="4631" width="12" customWidth="1"/>
    <col min="4632" max="4632" width="13.44140625" bestFit="1" customWidth="1"/>
    <col min="4858" max="4858" width="1" customWidth="1"/>
    <col min="4859" max="4859" width="44" customWidth="1"/>
    <col min="4860" max="4860" width="43" customWidth="1"/>
    <col min="4861" max="4864" width="17" customWidth="1"/>
    <col min="4865" max="4865" width="1" customWidth="1"/>
    <col min="4866" max="4866" width="16" customWidth="1"/>
    <col min="4867" max="4869" width="17" customWidth="1"/>
    <col min="4870" max="4870" width="3" customWidth="1"/>
    <col min="4871" max="4874" width="17" customWidth="1"/>
    <col min="4875" max="4875" width="3" customWidth="1"/>
    <col min="4876" max="4876" width="17" customWidth="1"/>
    <col min="4877" max="4877" width="3" customWidth="1"/>
    <col min="4878" max="4878" width="17" customWidth="1"/>
    <col min="4879" max="4879" width="3" customWidth="1"/>
    <col min="4880" max="4880" width="17" customWidth="1"/>
    <col min="4881" max="4881" width="3" customWidth="1"/>
    <col min="4882" max="4882" width="16" customWidth="1"/>
    <col min="4883" max="4883" width="2" customWidth="1"/>
    <col min="4884" max="4885" width="16" customWidth="1"/>
    <col min="4886" max="4886" width="12" bestFit="1" customWidth="1"/>
    <col min="4887" max="4887" width="12" customWidth="1"/>
    <col min="4888" max="4888" width="13.44140625" bestFit="1" customWidth="1"/>
    <col min="5114" max="5114" width="1" customWidth="1"/>
    <col min="5115" max="5115" width="44" customWidth="1"/>
    <col min="5116" max="5116" width="43" customWidth="1"/>
    <col min="5117" max="5120" width="17" customWidth="1"/>
    <col min="5121" max="5121" width="1" customWidth="1"/>
    <col min="5122" max="5122" width="16" customWidth="1"/>
    <col min="5123" max="5125" width="17" customWidth="1"/>
    <col min="5126" max="5126" width="3" customWidth="1"/>
    <col min="5127" max="5130" width="17" customWidth="1"/>
    <col min="5131" max="5131" width="3" customWidth="1"/>
    <col min="5132" max="5132" width="17" customWidth="1"/>
    <col min="5133" max="5133" width="3" customWidth="1"/>
    <col min="5134" max="5134" width="17" customWidth="1"/>
    <col min="5135" max="5135" width="3" customWidth="1"/>
    <col min="5136" max="5136" width="17" customWidth="1"/>
    <col min="5137" max="5137" width="3" customWidth="1"/>
    <col min="5138" max="5138" width="16" customWidth="1"/>
    <col min="5139" max="5139" width="2" customWidth="1"/>
    <col min="5140" max="5141" width="16" customWidth="1"/>
    <col min="5142" max="5142" width="12" bestFit="1" customWidth="1"/>
    <col min="5143" max="5143" width="12" customWidth="1"/>
    <col min="5144" max="5144" width="13.44140625" bestFit="1" customWidth="1"/>
    <col min="5370" max="5370" width="1" customWidth="1"/>
    <col min="5371" max="5371" width="44" customWidth="1"/>
    <col min="5372" max="5372" width="43" customWidth="1"/>
    <col min="5373" max="5376" width="17" customWidth="1"/>
    <col min="5377" max="5377" width="1" customWidth="1"/>
    <col min="5378" max="5378" width="16" customWidth="1"/>
    <col min="5379" max="5381" width="17" customWidth="1"/>
    <col min="5382" max="5382" width="3" customWidth="1"/>
    <col min="5383" max="5386" width="17" customWidth="1"/>
    <col min="5387" max="5387" width="3" customWidth="1"/>
    <col min="5388" max="5388" width="17" customWidth="1"/>
    <col min="5389" max="5389" width="3" customWidth="1"/>
    <col min="5390" max="5390" width="17" customWidth="1"/>
    <col min="5391" max="5391" width="3" customWidth="1"/>
    <col min="5392" max="5392" width="17" customWidth="1"/>
    <col min="5393" max="5393" width="3" customWidth="1"/>
    <col min="5394" max="5394" width="16" customWidth="1"/>
    <col min="5395" max="5395" width="2" customWidth="1"/>
    <col min="5396" max="5397" width="16" customWidth="1"/>
    <col min="5398" max="5398" width="12" bestFit="1" customWidth="1"/>
    <col min="5399" max="5399" width="12" customWidth="1"/>
    <col min="5400" max="5400" width="13.44140625" bestFit="1" customWidth="1"/>
    <col min="5626" max="5626" width="1" customWidth="1"/>
    <col min="5627" max="5627" width="44" customWidth="1"/>
    <col min="5628" max="5628" width="43" customWidth="1"/>
    <col min="5629" max="5632" width="17" customWidth="1"/>
    <col min="5633" max="5633" width="1" customWidth="1"/>
    <col min="5634" max="5634" width="16" customWidth="1"/>
    <col min="5635" max="5637" width="17" customWidth="1"/>
    <col min="5638" max="5638" width="3" customWidth="1"/>
    <col min="5639" max="5642" width="17" customWidth="1"/>
    <col min="5643" max="5643" width="3" customWidth="1"/>
    <col min="5644" max="5644" width="17" customWidth="1"/>
    <col min="5645" max="5645" width="3" customWidth="1"/>
    <col min="5646" max="5646" width="17" customWidth="1"/>
    <col min="5647" max="5647" width="3" customWidth="1"/>
    <col min="5648" max="5648" width="17" customWidth="1"/>
    <col min="5649" max="5649" width="3" customWidth="1"/>
    <col min="5650" max="5650" width="16" customWidth="1"/>
    <col min="5651" max="5651" width="2" customWidth="1"/>
    <col min="5652" max="5653" width="16" customWidth="1"/>
    <col min="5654" max="5654" width="12" bestFit="1" customWidth="1"/>
    <col min="5655" max="5655" width="12" customWidth="1"/>
    <col min="5656" max="5656" width="13.44140625" bestFit="1" customWidth="1"/>
    <col min="5882" max="5882" width="1" customWidth="1"/>
    <col min="5883" max="5883" width="44" customWidth="1"/>
    <col min="5884" max="5884" width="43" customWidth="1"/>
    <col min="5885" max="5888" width="17" customWidth="1"/>
    <col min="5889" max="5889" width="1" customWidth="1"/>
    <col min="5890" max="5890" width="16" customWidth="1"/>
    <col min="5891" max="5893" width="17" customWidth="1"/>
    <col min="5894" max="5894" width="3" customWidth="1"/>
    <col min="5895" max="5898" width="17" customWidth="1"/>
    <col min="5899" max="5899" width="3" customWidth="1"/>
    <col min="5900" max="5900" width="17" customWidth="1"/>
    <col min="5901" max="5901" width="3" customWidth="1"/>
    <col min="5902" max="5902" width="17" customWidth="1"/>
    <col min="5903" max="5903" width="3" customWidth="1"/>
    <col min="5904" max="5904" width="17" customWidth="1"/>
    <col min="5905" max="5905" width="3" customWidth="1"/>
    <col min="5906" max="5906" width="16" customWidth="1"/>
    <col min="5907" max="5907" width="2" customWidth="1"/>
    <col min="5908" max="5909" width="16" customWidth="1"/>
    <col min="5910" max="5910" width="12" bestFit="1" customWidth="1"/>
    <col min="5911" max="5911" width="12" customWidth="1"/>
    <col min="5912" max="5912" width="13.44140625" bestFit="1" customWidth="1"/>
    <col min="6138" max="6138" width="1" customWidth="1"/>
    <col min="6139" max="6139" width="44" customWidth="1"/>
    <col min="6140" max="6140" width="43" customWidth="1"/>
    <col min="6141" max="6144" width="17" customWidth="1"/>
    <col min="6145" max="6145" width="1" customWidth="1"/>
    <col min="6146" max="6146" width="16" customWidth="1"/>
    <col min="6147" max="6149" width="17" customWidth="1"/>
    <col min="6150" max="6150" width="3" customWidth="1"/>
    <col min="6151" max="6154" width="17" customWidth="1"/>
    <col min="6155" max="6155" width="3" customWidth="1"/>
    <col min="6156" max="6156" width="17" customWidth="1"/>
    <col min="6157" max="6157" width="3" customWidth="1"/>
    <col min="6158" max="6158" width="17" customWidth="1"/>
    <col min="6159" max="6159" width="3" customWidth="1"/>
    <col min="6160" max="6160" width="17" customWidth="1"/>
    <col min="6161" max="6161" width="3" customWidth="1"/>
    <col min="6162" max="6162" width="16" customWidth="1"/>
    <col min="6163" max="6163" width="2" customWidth="1"/>
    <col min="6164" max="6165" width="16" customWidth="1"/>
    <col min="6166" max="6166" width="12" bestFit="1" customWidth="1"/>
    <col min="6167" max="6167" width="12" customWidth="1"/>
    <col min="6168" max="6168" width="13.44140625" bestFit="1" customWidth="1"/>
    <col min="6394" max="6394" width="1" customWidth="1"/>
    <col min="6395" max="6395" width="44" customWidth="1"/>
    <col min="6396" max="6396" width="43" customWidth="1"/>
    <col min="6397" max="6400" width="17" customWidth="1"/>
    <col min="6401" max="6401" width="1" customWidth="1"/>
    <col min="6402" max="6402" width="16" customWidth="1"/>
    <col min="6403" max="6405" width="17" customWidth="1"/>
    <col min="6406" max="6406" width="3" customWidth="1"/>
    <col min="6407" max="6410" width="17" customWidth="1"/>
    <col min="6411" max="6411" width="3" customWidth="1"/>
    <col min="6412" max="6412" width="17" customWidth="1"/>
    <col min="6413" max="6413" width="3" customWidth="1"/>
    <col min="6414" max="6414" width="17" customWidth="1"/>
    <col min="6415" max="6415" width="3" customWidth="1"/>
    <col min="6416" max="6416" width="17" customWidth="1"/>
    <col min="6417" max="6417" width="3" customWidth="1"/>
    <col min="6418" max="6418" width="16" customWidth="1"/>
    <col min="6419" max="6419" width="2" customWidth="1"/>
    <col min="6420" max="6421" width="16" customWidth="1"/>
    <col min="6422" max="6422" width="12" bestFit="1" customWidth="1"/>
    <col min="6423" max="6423" width="12" customWidth="1"/>
    <col min="6424" max="6424" width="13.44140625" bestFit="1" customWidth="1"/>
    <col min="6650" max="6650" width="1" customWidth="1"/>
    <col min="6651" max="6651" width="44" customWidth="1"/>
    <col min="6652" max="6652" width="43" customWidth="1"/>
    <col min="6653" max="6656" width="17" customWidth="1"/>
    <col min="6657" max="6657" width="1" customWidth="1"/>
    <col min="6658" max="6658" width="16" customWidth="1"/>
    <col min="6659" max="6661" width="17" customWidth="1"/>
    <col min="6662" max="6662" width="3" customWidth="1"/>
    <col min="6663" max="6666" width="17" customWidth="1"/>
    <col min="6667" max="6667" width="3" customWidth="1"/>
    <col min="6668" max="6668" width="17" customWidth="1"/>
    <col min="6669" max="6669" width="3" customWidth="1"/>
    <col min="6670" max="6670" width="17" customWidth="1"/>
    <col min="6671" max="6671" width="3" customWidth="1"/>
    <col min="6672" max="6672" width="17" customWidth="1"/>
    <col min="6673" max="6673" width="3" customWidth="1"/>
    <col min="6674" max="6674" width="16" customWidth="1"/>
    <col min="6675" max="6675" width="2" customWidth="1"/>
    <col min="6676" max="6677" width="16" customWidth="1"/>
    <col min="6678" max="6678" width="12" bestFit="1" customWidth="1"/>
    <col min="6679" max="6679" width="12" customWidth="1"/>
    <col min="6680" max="6680" width="13.44140625" bestFit="1" customWidth="1"/>
    <col min="6906" max="6906" width="1" customWidth="1"/>
    <col min="6907" max="6907" width="44" customWidth="1"/>
    <col min="6908" max="6908" width="43" customWidth="1"/>
    <col min="6909" max="6912" width="17" customWidth="1"/>
    <col min="6913" max="6913" width="1" customWidth="1"/>
    <col min="6914" max="6914" width="16" customWidth="1"/>
    <col min="6915" max="6917" width="17" customWidth="1"/>
    <col min="6918" max="6918" width="3" customWidth="1"/>
    <col min="6919" max="6922" width="17" customWidth="1"/>
    <col min="6923" max="6923" width="3" customWidth="1"/>
    <col min="6924" max="6924" width="17" customWidth="1"/>
    <col min="6925" max="6925" width="3" customWidth="1"/>
    <col min="6926" max="6926" width="17" customWidth="1"/>
    <col min="6927" max="6927" width="3" customWidth="1"/>
    <col min="6928" max="6928" width="17" customWidth="1"/>
    <col min="6929" max="6929" width="3" customWidth="1"/>
    <col min="6930" max="6930" width="16" customWidth="1"/>
    <col min="6931" max="6931" width="2" customWidth="1"/>
    <col min="6932" max="6933" width="16" customWidth="1"/>
    <col min="6934" max="6934" width="12" bestFit="1" customWidth="1"/>
    <col min="6935" max="6935" width="12" customWidth="1"/>
    <col min="6936" max="6936" width="13.44140625" bestFit="1" customWidth="1"/>
    <col min="7162" max="7162" width="1" customWidth="1"/>
    <col min="7163" max="7163" width="44" customWidth="1"/>
    <col min="7164" max="7164" width="43" customWidth="1"/>
    <col min="7165" max="7168" width="17" customWidth="1"/>
    <col min="7169" max="7169" width="1" customWidth="1"/>
    <col min="7170" max="7170" width="16" customWidth="1"/>
    <col min="7171" max="7173" width="17" customWidth="1"/>
    <col min="7174" max="7174" width="3" customWidth="1"/>
    <col min="7175" max="7178" width="17" customWidth="1"/>
    <col min="7179" max="7179" width="3" customWidth="1"/>
    <col min="7180" max="7180" width="17" customWidth="1"/>
    <col min="7181" max="7181" width="3" customWidth="1"/>
    <col min="7182" max="7182" width="17" customWidth="1"/>
    <col min="7183" max="7183" width="3" customWidth="1"/>
    <col min="7184" max="7184" width="17" customWidth="1"/>
    <col min="7185" max="7185" width="3" customWidth="1"/>
    <col min="7186" max="7186" width="16" customWidth="1"/>
    <col min="7187" max="7187" width="2" customWidth="1"/>
    <col min="7188" max="7189" width="16" customWidth="1"/>
    <col min="7190" max="7190" width="12" bestFit="1" customWidth="1"/>
    <col min="7191" max="7191" width="12" customWidth="1"/>
    <col min="7192" max="7192" width="13.44140625" bestFit="1" customWidth="1"/>
    <col min="7418" max="7418" width="1" customWidth="1"/>
    <col min="7419" max="7419" width="44" customWidth="1"/>
    <col min="7420" max="7420" width="43" customWidth="1"/>
    <col min="7421" max="7424" width="17" customWidth="1"/>
    <col min="7425" max="7425" width="1" customWidth="1"/>
    <col min="7426" max="7426" width="16" customWidth="1"/>
    <col min="7427" max="7429" width="17" customWidth="1"/>
    <col min="7430" max="7430" width="3" customWidth="1"/>
    <col min="7431" max="7434" width="17" customWidth="1"/>
    <col min="7435" max="7435" width="3" customWidth="1"/>
    <col min="7436" max="7436" width="17" customWidth="1"/>
    <col min="7437" max="7437" width="3" customWidth="1"/>
    <col min="7438" max="7438" width="17" customWidth="1"/>
    <col min="7439" max="7439" width="3" customWidth="1"/>
    <col min="7440" max="7440" width="17" customWidth="1"/>
    <col min="7441" max="7441" width="3" customWidth="1"/>
    <col min="7442" max="7442" width="16" customWidth="1"/>
    <col min="7443" max="7443" width="2" customWidth="1"/>
    <col min="7444" max="7445" width="16" customWidth="1"/>
    <col min="7446" max="7446" width="12" bestFit="1" customWidth="1"/>
    <col min="7447" max="7447" width="12" customWidth="1"/>
    <col min="7448" max="7448" width="13.44140625" bestFit="1" customWidth="1"/>
    <col min="7674" max="7674" width="1" customWidth="1"/>
    <col min="7675" max="7675" width="44" customWidth="1"/>
    <col min="7676" max="7676" width="43" customWidth="1"/>
    <col min="7677" max="7680" width="17" customWidth="1"/>
    <col min="7681" max="7681" width="1" customWidth="1"/>
    <col min="7682" max="7682" width="16" customWidth="1"/>
    <col min="7683" max="7685" width="17" customWidth="1"/>
    <col min="7686" max="7686" width="3" customWidth="1"/>
    <col min="7687" max="7690" width="17" customWidth="1"/>
    <col min="7691" max="7691" width="3" customWidth="1"/>
    <col min="7692" max="7692" width="17" customWidth="1"/>
    <col min="7693" max="7693" width="3" customWidth="1"/>
    <col min="7694" max="7694" width="17" customWidth="1"/>
    <col min="7695" max="7695" width="3" customWidth="1"/>
    <col min="7696" max="7696" width="17" customWidth="1"/>
    <col min="7697" max="7697" width="3" customWidth="1"/>
    <col min="7698" max="7698" width="16" customWidth="1"/>
    <col min="7699" max="7699" width="2" customWidth="1"/>
    <col min="7700" max="7701" width="16" customWidth="1"/>
    <col min="7702" max="7702" width="12" bestFit="1" customWidth="1"/>
    <col min="7703" max="7703" width="12" customWidth="1"/>
    <col min="7704" max="7704" width="13.44140625" bestFit="1" customWidth="1"/>
    <col min="7930" max="7930" width="1" customWidth="1"/>
    <col min="7931" max="7931" width="44" customWidth="1"/>
    <col min="7932" max="7932" width="43" customWidth="1"/>
    <col min="7933" max="7936" width="17" customWidth="1"/>
    <col min="7937" max="7937" width="1" customWidth="1"/>
    <col min="7938" max="7938" width="16" customWidth="1"/>
    <col min="7939" max="7941" width="17" customWidth="1"/>
    <col min="7942" max="7942" width="3" customWidth="1"/>
    <col min="7943" max="7946" width="17" customWidth="1"/>
    <col min="7947" max="7947" width="3" customWidth="1"/>
    <col min="7948" max="7948" width="17" customWidth="1"/>
    <col min="7949" max="7949" width="3" customWidth="1"/>
    <col min="7950" max="7950" width="17" customWidth="1"/>
    <col min="7951" max="7951" width="3" customWidth="1"/>
    <col min="7952" max="7952" width="17" customWidth="1"/>
    <col min="7953" max="7953" width="3" customWidth="1"/>
    <col min="7954" max="7954" width="16" customWidth="1"/>
    <col min="7955" max="7955" width="2" customWidth="1"/>
    <col min="7956" max="7957" width="16" customWidth="1"/>
    <col min="7958" max="7958" width="12" bestFit="1" customWidth="1"/>
    <col min="7959" max="7959" width="12" customWidth="1"/>
    <col min="7960" max="7960" width="13.44140625" bestFit="1" customWidth="1"/>
    <col min="8186" max="8186" width="1" customWidth="1"/>
    <col min="8187" max="8187" width="44" customWidth="1"/>
    <col min="8188" max="8188" width="43" customWidth="1"/>
    <col min="8189" max="8192" width="17" customWidth="1"/>
    <col min="8193" max="8193" width="1" customWidth="1"/>
    <col min="8194" max="8194" width="16" customWidth="1"/>
    <col min="8195" max="8197" width="17" customWidth="1"/>
    <col min="8198" max="8198" width="3" customWidth="1"/>
    <col min="8199" max="8202" width="17" customWidth="1"/>
    <col min="8203" max="8203" width="3" customWidth="1"/>
    <col min="8204" max="8204" width="17" customWidth="1"/>
    <col min="8205" max="8205" width="3" customWidth="1"/>
    <col min="8206" max="8206" width="17" customWidth="1"/>
    <col min="8207" max="8207" width="3" customWidth="1"/>
    <col min="8208" max="8208" width="17" customWidth="1"/>
    <col min="8209" max="8209" width="3" customWidth="1"/>
    <col min="8210" max="8210" width="16" customWidth="1"/>
    <col min="8211" max="8211" width="2" customWidth="1"/>
    <col min="8212" max="8213" width="16" customWidth="1"/>
    <col min="8214" max="8214" width="12" bestFit="1" customWidth="1"/>
    <col min="8215" max="8215" width="12" customWidth="1"/>
    <col min="8216" max="8216" width="13.44140625" bestFit="1" customWidth="1"/>
    <col min="8442" max="8442" width="1" customWidth="1"/>
    <col min="8443" max="8443" width="44" customWidth="1"/>
    <col min="8444" max="8444" width="43" customWidth="1"/>
    <col min="8445" max="8448" width="17" customWidth="1"/>
    <col min="8449" max="8449" width="1" customWidth="1"/>
    <col min="8450" max="8450" width="16" customWidth="1"/>
    <col min="8451" max="8453" width="17" customWidth="1"/>
    <col min="8454" max="8454" width="3" customWidth="1"/>
    <col min="8455" max="8458" width="17" customWidth="1"/>
    <col min="8459" max="8459" width="3" customWidth="1"/>
    <col min="8460" max="8460" width="17" customWidth="1"/>
    <col min="8461" max="8461" width="3" customWidth="1"/>
    <col min="8462" max="8462" width="17" customWidth="1"/>
    <col min="8463" max="8463" width="3" customWidth="1"/>
    <col min="8464" max="8464" width="17" customWidth="1"/>
    <col min="8465" max="8465" width="3" customWidth="1"/>
    <col min="8466" max="8466" width="16" customWidth="1"/>
    <col min="8467" max="8467" width="2" customWidth="1"/>
    <col min="8468" max="8469" width="16" customWidth="1"/>
    <col min="8470" max="8470" width="12" bestFit="1" customWidth="1"/>
    <col min="8471" max="8471" width="12" customWidth="1"/>
    <col min="8472" max="8472" width="13.44140625" bestFit="1" customWidth="1"/>
    <col min="8698" max="8698" width="1" customWidth="1"/>
    <col min="8699" max="8699" width="44" customWidth="1"/>
    <col min="8700" max="8700" width="43" customWidth="1"/>
    <col min="8701" max="8704" width="17" customWidth="1"/>
    <col min="8705" max="8705" width="1" customWidth="1"/>
    <col min="8706" max="8706" width="16" customWidth="1"/>
    <col min="8707" max="8709" width="17" customWidth="1"/>
    <col min="8710" max="8710" width="3" customWidth="1"/>
    <col min="8711" max="8714" width="17" customWidth="1"/>
    <col min="8715" max="8715" width="3" customWidth="1"/>
    <col min="8716" max="8716" width="17" customWidth="1"/>
    <col min="8717" max="8717" width="3" customWidth="1"/>
    <col min="8718" max="8718" width="17" customWidth="1"/>
    <col min="8719" max="8719" width="3" customWidth="1"/>
    <col min="8720" max="8720" width="17" customWidth="1"/>
    <col min="8721" max="8721" width="3" customWidth="1"/>
    <col min="8722" max="8722" width="16" customWidth="1"/>
    <col min="8723" max="8723" width="2" customWidth="1"/>
    <col min="8724" max="8725" width="16" customWidth="1"/>
    <col min="8726" max="8726" width="12" bestFit="1" customWidth="1"/>
    <col min="8727" max="8727" width="12" customWidth="1"/>
    <col min="8728" max="8728" width="13.44140625" bestFit="1" customWidth="1"/>
    <col min="8954" max="8954" width="1" customWidth="1"/>
    <col min="8955" max="8955" width="44" customWidth="1"/>
    <col min="8956" max="8956" width="43" customWidth="1"/>
    <col min="8957" max="8960" width="17" customWidth="1"/>
    <col min="8961" max="8961" width="1" customWidth="1"/>
    <col min="8962" max="8962" width="16" customWidth="1"/>
    <col min="8963" max="8965" width="17" customWidth="1"/>
    <col min="8966" max="8966" width="3" customWidth="1"/>
    <col min="8967" max="8970" width="17" customWidth="1"/>
    <col min="8971" max="8971" width="3" customWidth="1"/>
    <col min="8972" max="8972" width="17" customWidth="1"/>
    <col min="8973" max="8973" width="3" customWidth="1"/>
    <col min="8974" max="8974" width="17" customWidth="1"/>
    <col min="8975" max="8975" width="3" customWidth="1"/>
    <col min="8976" max="8976" width="17" customWidth="1"/>
    <col min="8977" max="8977" width="3" customWidth="1"/>
    <col min="8978" max="8978" width="16" customWidth="1"/>
    <col min="8979" max="8979" width="2" customWidth="1"/>
    <col min="8980" max="8981" width="16" customWidth="1"/>
    <col min="8982" max="8982" width="12" bestFit="1" customWidth="1"/>
    <col min="8983" max="8983" width="12" customWidth="1"/>
    <col min="8984" max="8984" width="13.44140625" bestFit="1" customWidth="1"/>
    <col min="9210" max="9210" width="1" customWidth="1"/>
    <col min="9211" max="9211" width="44" customWidth="1"/>
    <col min="9212" max="9212" width="43" customWidth="1"/>
    <col min="9213" max="9216" width="17" customWidth="1"/>
    <col min="9217" max="9217" width="1" customWidth="1"/>
    <col min="9218" max="9218" width="16" customWidth="1"/>
    <col min="9219" max="9221" width="17" customWidth="1"/>
    <col min="9222" max="9222" width="3" customWidth="1"/>
    <col min="9223" max="9226" width="17" customWidth="1"/>
    <col min="9227" max="9227" width="3" customWidth="1"/>
    <col min="9228" max="9228" width="17" customWidth="1"/>
    <col min="9229" max="9229" width="3" customWidth="1"/>
    <col min="9230" max="9230" width="17" customWidth="1"/>
    <col min="9231" max="9231" width="3" customWidth="1"/>
    <col min="9232" max="9232" width="17" customWidth="1"/>
    <col min="9233" max="9233" width="3" customWidth="1"/>
    <col min="9234" max="9234" width="16" customWidth="1"/>
    <col min="9235" max="9235" width="2" customWidth="1"/>
    <col min="9236" max="9237" width="16" customWidth="1"/>
    <col min="9238" max="9238" width="12" bestFit="1" customWidth="1"/>
    <col min="9239" max="9239" width="12" customWidth="1"/>
    <col min="9240" max="9240" width="13.44140625" bestFit="1" customWidth="1"/>
    <col min="9466" max="9466" width="1" customWidth="1"/>
    <col min="9467" max="9467" width="44" customWidth="1"/>
    <col min="9468" max="9468" width="43" customWidth="1"/>
    <col min="9469" max="9472" width="17" customWidth="1"/>
    <col min="9473" max="9473" width="1" customWidth="1"/>
    <col min="9474" max="9474" width="16" customWidth="1"/>
    <col min="9475" max="9477" width="17" customWidth="1"/>
    <col min="9478" max="9478" width="3" customWidth="1"/>
    <col min="9479" max="9482" width="17" customWidth="1"/>
    <col min="9483" max="9483" width="3" customWidth="1"/>
    <col min="9484" max="9484" width="17" customWidth="1"/>
    <col min="9485" max="9485" width="3" customWidth="1"/>
    <col min="9486" max="9486" width="17" customWidth="1"/>
    <col min="9487" max="9487" width="3" customWidth="1"/>
    <col min="9488" max="9488" width="17" customWidth="1"/>
    <col min="9489" max="9489" width="3" customWidth="1"/>
    <col min="9490" max="9490" width="16" customWidth="1"/>
    <col min="9491" max="9491" width="2" customWidth="1"/>
    <col min="9492" max="9493" width="16" customWidth="1"/>
    <col min="9494" max="9494" width="12" bestFit="1" customWidth="1"/>
    <col min="9495" max="9495" width="12" customWidth="1"/>
    <col min="9496" max="9496" width="13.44140625" bestFit="1" customWidth="1"/>
    <col min="9722" max="9722" width="1" customWidth="1"/>
    <col min="9723" max="9723" width="44" customWidth="1"/>
    <col min="9724" max="9724" width="43" customWidth="1"/>
    <col min="9725" max="9728" width="17" customWidth="1"/>
    <col min="9729" max="9729" width="1" customWidth="1"/>
    <col min="9730" max="9730" width="16" customWidth="1"/>
    <col min="9731" max="9733" width="17" customWidth="1"/>
    <col min="9734" max="9734" width="3" customWidth="1"/>
    <col min="9735" max="9738" width="17" customWidth="1"/>
    <col min="9739" max="9739" width="3" customWidth="1"/>
    <col min="9740" max="9740" width="17" customWidth="1"/>
    <col min="9741" max="9741" width="3" customWidth="1"/>
    <col min="9742" max="9742" width="17" customWidth="1"/>
    <col min="9743" max="9743" width="3" customWidth="1"/>
    <col min="9744" max="9744" width="17" customWidth="1"/>
    <col min="9745" max="9745" width="3" customWidth="1"/>
    <col min="9746" max="9746" width="16" customWidth="1"/>
    <col min="9747" max="9747" width="2" customWidth="1"/>
    <col min="9748" max="9749" width="16" customWidth="1"/>
    <col min="9750" max="9750" width="12" bestFit="1" customWidth="1"/>
    <col min="9751" max="9751" width="12" customWidth="1"/>
    <col min="9752" max="9752" width="13.44140625" bestFit="1" customWidth="1"/>
    <col min="9978" max="9978" width="1" customWidth="1"/>
    <col min="9979" max="9979" width="44" customWidth="1"/>
    <col min="9980" max="9980" width="43" customWidth="1"/>
    <col min="9981" max="9984" width="17" customWidth="1"/>
    <col min="9985" max="9985" width="1" customWidth="1"/>
    <col min="9986" max="9986" width="16" customWidth="1"/>
    <col min="9987" max="9989" width="17" customWidth="1"/>
    <col min="9990" max="9990" width="3" customWidth="1"/>
    <col min="9991" max="9994" width="17" customWidth="1"/>
    <col min="9995" max="9995" width="3" customWidth="1"/>
    <col min="9996" max="9996" width="17" customWidth="1"/>
    <col min="9997" max="9997" width="3" customWidth="1"/>
    <col min="9998" max="9998" width="17" customWidth="1"/>
    <col min="9999" max="9999" width="3" customWidth="1"/>
    <col min="10000" max="10000" width="17" customWidth="1"/>
    <col min="10001" max="10001" width="3" customWidth="1"/>
    <col min="10002" max="10002" width="16" customWidth="1"/>
    <col min="10003" max="10003" width="2" customWidth="1"/>
    <col min="10004" max="10005" width="16" customWidth="1"/>
    <col min="10006" max="10006" width="12" bestFit="1" customWidth="1"/>
    <col min="10007" max="10007" width="12" customWidth="1"/>
    <col min="10008" max="10008" width="13.44140625" bestFit="1" customWidth="1"/>
    <col min="10234" max="10234" width="1" customWidth="1"/>
    <col min="10235" max="10235" width="44" customWidth="1"/>
    <col min="10236" max="10236" width="43" customWidth="1"/>
    <col min="10237" max="10240" width="17" customWidth="1"/>
    <col min="10241" max="10241" width="1" customWidth="1"/>
    <col min="10242" max="10242" width="16" customWidth="1"/>
    <col min="10243" max="10245" width="17" customWidth="1"/>
    <col min="10246" max="10246" width="3" customWidth="1"/>
    <col min="10247" max="10250" width="17" customWidth="1"/>
    <col min="10251" max="10251" width="3" customWidth="1"/>
    <col min="10252" max="10252" width="17" customWidth="1"/>
    <col min="10253" max="10253" width="3" customWidth="1"/>
    <col min="10254" max="10254" width="17" customWidth="1"/>
    <col min="10255" max="10255" width="3" customWidth="1"/>
    <col min="10256" max="10256" width="17" customWidth="1"/>
    <col min="10257" max="10257" width="3" customWidth="1"/>
    <col min="10258" max="10258" width="16" customWidth="1"/>
    <col min="10259" max="10259" width="2" customWidth="1"/>
    <col min="10260" max="10261" width="16" customWidth="1"/>
    <col min="10262" max="10262" width="12" bestFit="1" customWidth="1"/>
    <col min="10263" max="10263" width="12" customWidth="1"/>
    <col min="10264" max="10264" width="13.44140625" bestFit="1" customWidth="1"/>
    <col min="10490" max="10490" width="1" customWidth="1"/>
    <col min="10491" max="10491" width="44" customWidth="1"/>
    <col min="10492" max="10492" width="43" customWidth="1"/>
    <col min="10493" max="10496" width="17" customWidth="1"/>
    <col min="10497" max="10497" width="1" customWidth="1"/>
    <col min="10498" max="10498" width="16" customWidth="1"/>
    <col min="10499" max="10501" width="17" customWidth="1"/>
    <col min="10502" max="10502" width="3" customWidth="1"/>
    <col min="10503" max="10506" width="17" customWidth="1"/>
    <col min="10507" max="10507" width="3" customWidth="1"/>
    <col min="10508" max="10508" width="17" customWidth="1"/>
    <col min="10509" max="10509" width="3" customWidth="1"/>
    <col min="10510" max="10510" width="17" customWidth="1"/>
    <col min="10511" max="10511" width="3" customWidth="1"/>
    <col min="10512" max="10512" width="17" customWidth="1"/>
    <col min="10513" max="10513" width="3" customWidth="1"/>
    <col min="10514" max="10514" width="16" customWidth="1"/>
    <col min="10515" max="10515" width="2" customWidth="1"/>
    <col min="10516" max="10517" width="16" customWidth="1"/>
    <col min="10518" max="10518" width="12" bestFit="1" customWidth="1"/>
    <col min="10519" max="10519" width="12" customWidth="1"/>
    <col min="10520" max="10520" width="13.44140625" bestFit="1" customWidth="1"/>
    <col min="10746" max="10746" width="1" customWidth="1"/>
    <col min="10747" max="10747" width="44" customWidth="1"/>
    <col min="10748" max="10748" width="43" customWidth="1"/>
    <col min="10749" max="10752" width="17" customWidth="1"/>
    <col min="10753" max="10753" width="1" customWidth="1"/>
    <col min="10754" max="10754" width="16" customWidth="1"/>
    <col min="10755" max="10757" width="17" customWidth="1"/>
    <col min="10758" max="10758" width="3" customWidth="1"/>
    <col min="10759" max="10762" width="17" customWidth="1"/>
    <col min="10763" max="10763" width="3" customWidth="1"/>
    <col min="10764" max="10764" width="17" customWidth="1"/>
    <col min="10765" max="10765" width="3" customWidth="1"/>
    <col min="10766" max="10766" width="17" customWidth="1"/>
    <col min="10767" max="10767" width="3" customWidth="1"/>
    <col min="10768" max="10768" width="17" customWidth="1"/>
    <col min="10769" max="10769" width="3" customWidth="1"/>
    <col min="10770" max="10770" width="16" customWidth="1"/>
    <col min="10771" max="10771" width="2" customWidth="1"/>
    <col min="10772" max="10773" width="16" customWidth="1"/>
    <col min="10774" max="10774" width="12" bestFit="1" customWidth="1"/>
    <col min="10775" max="10775" width="12" customWidth="1"/>
    <col min="10776" max="10776" width="13.44140625" bestFit="1" customWidth="1"/>
    <col min="11002" max="11002" width="1" customWidth="1"/>
    <col min="11003" max="11003" width="44" customWidth="1"/>
    <col min="11004" max="11004" width="43" customWidth="1"/>
    <col min="11005" max="11008" width="17" customWidth="1"/>
    <col min="11009" max="11009" width="1" customWidth="1"/>
    <col min="11010" max="11010" width="16" customWidth="1"/>
    <col min="11011" max="11013" width="17" customWidth="1"/>
    <col min="11014" max="11014" width="3" customWidth="1"/>
    <col min="11015" max="11018" width="17" customWidth="1"/>
    <col min="11019" max="11019" width="3" customWidth="1"/>
    <col min="11020" max="11020" width="17" customWidth="1"/>
    <col min="11021" max="11021" width="3" customWidth="1"/>
    <col min="11022" max="11022" width="17" customWidth="1"/>
    <col min="11023" max="11023" width="3" customWidth="1"/>
    <col min="11024" max="11024" width="17" customWidth="1"/>
    <col min="11025" max="11025" width="3" customWidth="1"/>
    <col min="11026" max="11026" width="16" customWidth="1"/>
    <col min="11027" max="11027" width="2" customWidth="1"/>
    <col min="11028" max="11029" width="16" customWidth="1"/>
    <col min="11030" max="11030" width="12" bestFit="1" customWidth="1"/>
    <col min="11031" max="11031" width="12" customWidth="1"/>
    <col min="11032" max="11032" width="13.44140625" bestFit="1" customWidth="1"/>
    <col min="11258" max="11258" width="1" customWidth="1"/>
    <col min="11259" max="11259" width="44" customWidth="1"/>
    <col min="11260" max="11260" width="43" customWidth="1"/>
    <col min="11261" max="11264" width="17" customWidth="1"/>
    <col min="11265" max="11265" width="1" customWidth="1"/>
    <col min="11266" max="11266" width="16" customWidth="1"/>
    <col min="11267" max="11269" width="17" customWidth="1"/>
    <col min="11270" max="11270" width="3" customWidth="1"/>
    <col min="11271" max="11274" width="17" customWidth="1"/>
    <col min="11275" max="11275" width="3" customWidth="1"/>
    <col min="11276" max="11276" width="17" customWidth="1"/>
    <col min="11277" max="11277" width="3" customWidth="1"/>
    <col min="11278" max="11278" width="17" customWidth="1"/>
    <col min="11279" max="11279" width="3" customWidth="1"/>
    <col min="11280" max="11280" width="17" customWidth="1"/>
    <col min="11281" max="11281" width="3" customWidth="1"/>
    <col min="11282" max="11282" width="16" customWidth="1"/>
    <col min="11283" max="11283" width="2" customWidth="1"/>
    <col min="11284" max="11285" width="16" customWidth="1"/>
    <col min="11286" max="11286" width="12" bestFit="1" customWidth="1"/>
    <col min="11287" max="11287" width="12" customWidth="1"/>
    <col min="11288" max="11288" width="13.44140625" bestFit="1" customWidth="1"/>
    <col min="11514" max="11514" width="1" customWidth="1"/>
    <col min="11515" max="11515" width="44" customWidth="1"/>
    <col min="11516" max="11516" width="43" customWidth="1"/>
    <col min="11517" max="11520" width="17" customWidth="1"/>
    <col min="11521" max="11521" width="1" customWidth="1"/>
    <col min="11522" max="11522" width="16" customWidth="1"/>
    <col min="11523" max="11525" width="17" customWidth="1"/>
    <col min="11526" max="11526" width="3" customWidth="1"/>
    <col min="11527" max="11530" width="17" customWidth="1"/>
    <col min="11531" max="11531" width="3" customWidth="1"/>
    <col min="11532" max="11532" width="17" customWidth="1"/>
    <col min="11533" max="11533" width="3" customWidth="1"/>
    <col min="11534" max="11534" width="17" customWidth="1"/>
    <col min="11535" max="11535" width="3" customWidth="1"/>
    <col min="11536" max="11536" width="17" customWidth="1"/>
    <col min="11537" max="11537" width="3" customWidth="1"/>
    <col min="11538" max="11538" width="16" customWidth="1"/>
    <col min="11539" max="11539" width="2" customWidth="1"/>
    <col min="11540" max="11541" width="16" customWidth="1"/>
    <col min="11542" max="11542" width="12" bestFit="1" customWidth="1"/>
    <col min="11543" max="11543" width="12" customWidth="1"/>
    <col min="11544" max="11544" width="13.44140625" bestFit="1" customWidth="1"/>
    <col min="11770" max="11770" width="1" customWidth="1"/>
    <col min="11771" max="11771" width="44" customWidth="1"/>
    <col min="11772" max="11772" width="43" customWidth="1"/>
    <col min="11773" max="11776" width="17" customWidth="1"/>
    <col min="11777" max="11777" width="1" customWidth="1"/>
    <col min="11778" max="11778" width="16" customWidth="1"/>
    <col min="11779" max="11781" width="17" customWidth="1"/>
    <col min="11782" max="11782" width="3" customWidth="1"/>
    <col min="11783" max="11786" width="17" customWidth="1"/>
    <col min="11787" max="11787" width="3" customWidth="1"/>
    <col min="11788" max="11788" width="17" customWidth="1"/>
    <col min="11789" max="11789" width="3" customWidth="1"/>
    <col min="11790" max="11790" width="17" customWidth="1"/>
    <col min="11791" max="11791" width="3" customWidth="1"/>
    <col min="11792" max="11792" width="17" customWidth="1"/>
    <col min="11793" max="11793" width="3" customWidth="1"/>
    <col min="11794" max="11794" width="16" customWidth="1"/>
    <col min="11795" max="11795" width="2" customWidth="1"/>
    <col min="11796" max="11797" width="16" customWidth="1"/>
    <col min="11798" max="11798" width="12" bestFit="1" customWidth="1"/>
    <col min="11799" max="11799" width="12" customWidth="1"/>
    <col min="11800" max="11800" width="13.44140625" bestFit="1" customWidth="1"/>
    <col min="12026" max="12026" width="1" customWidth="1"/>
    <col min="12027" max="12027" width="44" customWidth="1"/>
    <col min="12028" max="12028" width="43" customWidth="1"/>
    <col min="12029" max="12032" width="17" customWidth="1"/>
    <col min="12033" max="12033" width="1" customWidth="1"/>
    <col min="12034" max="12034" width="16" customWidth="1"/>
    <col min="12035" max="12037" width="17" customWidth="1"/>
    <col min="12038" max="12038" width="3" customWidth="1"/>
    <col min="12039" max="12042" width="17" customWidth="1"/>
    <col min="12043" max="12043" width="3" customWidth="1"/>
    <col min="12044" max="12044" width="17" customWidth="1"/>
    <col min="12045" max="12045" width="3" customWidth="1"/>
    <col min="12046" max="12046" width="17" customWidth="1"/>
    <col min="12047" max="12047" width="3" customWidth="1"/>
    <col min="12048" max="12048" width="17" customWidth="1"/>
    <col min="12049" max="12049" width="3" customWidth="1"/>
    <col min="12050" max="12050" width="16" customWidth="1"/>
    <col min="12051" max="12051" width="2" customWidth="1"/>
    <col min="12052" max="12053" width="16" customWidth="1"/>
    <col min="12054" max="12054" width="12" bestFit="1" customWidth="1"/>
    <col min="12055" max="12055" width="12" customWidth="1"/>
    <col min="12056" max="12056" width="13.44140625" bestFit="1" customWidth="1"/>
    <col min="12282" max="12282" width="1" customWidth="1"/>
    <col min="12283" max="12283" width="44" customWidth="1"/>
    <col min="12284" max="12284" width="43" customWidth="1"/>
    <col min="12285" max="12288" width="17" customWidth="1"/>
    <col min="12289" max="12289" width="1" customWidth="1"/>
    <col min="12290" max="12290" width="16" customWidth="1"/>
    <col min="12291" max="12293" width="17" customWidth="1"/>
    <col min="12294" max="12294" width="3" customWidth="1"/>
    <col min="12295" max="12298" width="17" customWidth="1"/>
    <col min="12299" max="12299" width="3" customWidth="1"/>
    <col min="12300" max="12300" width="17" customWidth="1"/>
    <col min="12301" max="12301" width="3" customWidth="1"/>
    <col min="12302" max="12302" width="17" customWidth="1"/>
    <col min="12303" max="12303" width="3" customWidth="1"/>
    <col min="12304" max="12304" width="17" customWidth="1"/>
    <col min="12305" max="12305" width="3" customWidth="1"/>
    <col min="12306" max="12306" width="16" customWidth="1"/>
    <col min="12307" max="12307" width="2" customWidth="1"/>
    <col min="12308" max="12309" width="16" customWidth="1"/>
    <col min="12310" max="12310" width="12" bestFit="1" customWidth="1"/>
    <col min="12311" max="12311" width="12" customWidth="1"/>
    <col min="12312" max="12312" width="13.44140625" bestFit="1" customWidth="1"/>
    <col min="12538" max="12538" width="1" customWidth="1"/>
    <col min="12539" max="12539" width="44" customWidth="1"/>
    <col min="12540" max="12540" width="43" customWidth="1"/>
    <col min="12541" max="12544" width="17" customWidth="1"/>
    <col min="12545" max="12545" width="1" customWidth="1"/>
    <col min="12546" max="12546" width="16" customWidth="1"/>
    <col min="12547" max="12549" width="17" customWidth="1"/>
    <col min="12550" max="12550" width="3" customWidth="1"/>
    <col min="12551" max="12554" width="17" customWidth="1"/>
    <col min="12555" max="12555" width="3" customWidth="1"/>
    <col min="12556" max="12556" width="17" customWidth="1"/>
    <col min="12557" max="12557" width="3" customWidth="1"/>
    <col min="12558" max="12558" width="17" customWidth="1"/>
    <col min="12559" max="12559" width="3" customWidth="1"/>
    <col min="12560" max="12560" width="17" customWidth="1"/>
    <col min="12561" max="12561" width="3" customWidth="1"/>
    <col min="12562" max="12562" width="16" customWidth="1"/>
    <col min="12563" max="12563" width="2" customWidth="1"/>
    <col min="12564" max="12565" width="16" customWidth="1"/>
    <col min="12566" max="12566" width="12" bestFit="1" customWidth="1"/>
    <col min="12567" max="12567" width="12" customWidth="1"/>
    <col min="12568" max="12568" width="13.44140625" bestFit="1" customWidth="1"/>
    <col min="12794" max="12794" width="1" customWidth="1"/>
    <col min="12795" max="12795" width="44" customWidth="1"/>
    <col min="12796" max="12796" width="43" customWidth="1"/>
    <col min="12797" max="12800" width="17" customWidth="1"/>
    <col min="12801" max="12801" width="1" customWidth="1"/>
    <col min="12802" max="12802" width="16" customWidth="1"/>
    <col min="12803" max="12805" width="17" customWidth="1"/>
    <col min="12806" max="12806" width="3" customWidth="1"/>
    <col min="12807" max="12810" width="17" customWidth="1"/>
    <col min="12811" max="12811" width="3" customWidth="1"/>
    <col min="12812" max="12812" width="17" customWidth="1"/>
    <col min="12813" max="12813" width="3" customWidth="1"/>
    <col min="12814" max="12814" width="17" customWidth="1"/>
    <col min="12815" max="12815" width="3" customWidth="1"/>
    <col min="12816" max="12816" width="17" customWidth="1"/>
    <col min="12817" max="12817" width="3" customWidth="1"/>
    <col min="12818" max="12818" width="16" customWidth="1"/>
    <col min="12819" max="12819" width="2" customWidth="1"/>
    <col min="12820" max="12821" width="16" customWidth="1"/>
    <col min="12822" max="12822" width="12" bestFit="1" customWidth="1"/>
    <col min="12823" max="12823" width="12" customWidth="1"/>
    <col min="12824" max="12824" width="13.44140625" bestFit="1" customWidth="1"/>
    <col min="13050" max="13050" width="1" customWidth="1"/>
    <col min="13051" max="13051" width="44" customWidth="1"/>
    <col min="13052" max="13052" width="43" customWidth="1"/>
    <col min="13053" max="13056" width="17" customWidth="1"/>
    <col min="13057" max="13057" width="1" customWidth="1"/>
    <col min="13058" max="13058" width="16" customWidth="1"/>
    <col min="13059" max="13061" width="17" customWidth="1"/>
    <col min="13062" max="13062" width="3" customWidth="1"/>
    <col min="13063" max="13066" width="17" customWidth="1"/>
    <col min="13067" max="13067" width="3" customWidth="1"/>
    <col min="13068" max="13068" width="17" customWidth="1"/>
    <col min="13069" max="13069" width="3" customWidth="1"/>
    <col min="13070" max="13070" width="17" customWidth="1"/>
    <col min="13071" max="13071" width="3" customWidth="1"/>
    <col min="13072" max="13072" width="17" customWidth="1"/>
    <col min="13073" max="13073" width="3" customWidth="1"/>
    <col min="13074" max="13074" width="16" customWidth="1"/>
    <col min="13075" max="13075" width="2" customWidth="1"/>
    <col min="13076" max="13077" width="16" customWidth="1"/>
    <col min="13078" max="13078" width="12" bestFit="1" customWidth="1"/>
    <col min="13079" max="13079" width="12" customWidth="1"/>
    <col min="13080" max="13080" width="13.44140625" bestFit="1" customWidth="1"/>
    <col min="13306" max="13306" width="1" customWidth="1"/>
    <col min="13307" max="13307" width="44" customWidth="1"/>
    <col min="13308" max="13308" width="43" customWidth="1"/>
    <col min="13309" max="13312" width="17" customWidth="1"/>
    <col min="13313" max="13313" width="1" customWidth="1"/>
    <col min="13314" max="13314" width="16" customWidth="1"/>
    <col min="13315" max="13317" width="17" customWidth="1"/>
    <col min="13318" max="13318" width="3" customWidth="1"/>
    <col min="13319" max="13322" width="17" customWidth="1"/>
    <col min="13323" max="13323" width="3" customWidth="1"/>
    <col min="13324" max="13324" width="17" customWidth="1"/>
    <col min="13325" max="13325" width="3" customWidth="1"/>
    <col min="13326" max="13326" width="17" customWidth="1"/>
    <col min="13327" max="13327" width="3" customWidth="1"/>
    <col min="13328" max="13328" width="17" customWidth="1"/>
    <col min="13329" max="13329" width="3" customWidth="1"/>
    <col min="13330" max="13330" width="16" customWidth="1"/>
    <col min="13331" max="13331" width="2" customWidth="1"/>
    <col min="13332" max="13333" width="16" customWidth="1"/>
    <col min="13334" max="13334" width="12" bestFit="1" customWidth="1"/>
    <col min="13335" max="13335" width="12" customWidth="1"/>
    <col min="13336" max="13336" width="13.44140625" bestFit="1" customWidth="1"/>
    <col min="13562" max="13562" width="1" customWidth="1"/>
    <col min="13563" max="13563" width="44" customWidth="1"/>
    <col min="13564" max="13564" width="43" customWidth="1"/>
    <col min="13565" max="13568" width="17" customWidth="1"/>
    <col min="13569" max="13569" width="1" customWidth="1"/>
    <col min="13570" max="13570" width="16" customWidth="1"/>
    <col min="13571" max="13573" width="17" customWidth="1"/>
    <col min="13574" max="13574" width="3" customWidth="1"/>
    <col min="13575" max="13578" width="17" customWidth="1"/>
    <col min="13579" max="13579" width="3" customWidth="1"/>
    <col min="13580" max="13580" width="17" customWidth="1"/>
    <col min="13581" max="13581" width="3" customWidth="1"/>
    <col min="13582" max="13582" width="17" customWidth="1"/>
    <col min="13583" max="13583" width="3" customWidth="1"/>
    <col min="13584" max="13584" width="17" customWidth="1"/>
    <col min="13585" max="13585" width="3" customWidth="1"/>
    <col min="13586" max="13586" width="16" customWidth="1"/>
    <col min="13587" max="13587" width="2" customWidth="1"/>
    <col min="13588" max="13589" width="16" customWidth="1"/>
    <col min="13590" max="13590" width="12" bestFit="1" customWidth="1"/>
    <col min="13591" max="13591" width="12" customWidth="1"/>
    <col min="13592" max="13592" width="13.44140625" bestFit="1" customWidth="1"/>
    <col min="13818" max="13818" width="1" customWidth="1"/>
    <col min="13819" max="13819" width="44" customWidth="1"/>
    <col min="13820" max="13820" width="43" customWidth="1"/>
    <col min="13821" max="13824" width="17" customWidth="1"/>
    <col min="13825" max="13825" width="1" customWidth="1"/>
    <col min="13826" max="13826" width="16" customWidth="1"/>
    <col min="13827" max="13829" width="17" customWidth="1"/>
    <col min="13830" max="13830" width="3" customWidth="1"/>
    <col min="13831" max="13834" width="17" customWidth="1"/>
    <col min="13835" max="13835" width="3" customWidth="1"/>
    <col min="13836" max="13836" width="17" customWidth="1"/>
    <col min="13837" max="13837" width="3" customWidth="1"/>
    <col min="13838" max="13838" width="17" customWidth="1"/>
    <col min="13839" max="13839" width="3" customWidth="1"/>
    <col min="13840" max="13840" width="17" customWidth="1"/>
    <col min="13841" max="13841" width="3" customWidth="1"/>
    <col min="13842" max="13842" width="16" customWidth="1"/>
    <col min="13843" max="13843" width="2" customWidth="1"/>
    <col min="13844" max="13845" width="16" customWidth="1"/>
    <col min="13846" max="13846" width="12" bestFit="1" customWidth="1"/>
    <col min="13847" max="13847" width="12" customWidth="1"/>
    <col min="13848" max="13848" width="13.44140625" bestFit="1" customWidth="1"/>
    <col min="14074" max="14074" width="1" customWidth="1"/>
    <col min="14075" max="14075" width="44" customWidth="1"/>
    <col min="14076" max="14076" width="43" customWidth="1"/>
    <col min="14077" max="14080" width="17" customWidth="1"/>
    <col min="14081" max="14081" width="1" customWidth="1"/>
    <col min="14082" max="14082" width="16" customWidth="1"/>
    <col min="14083" max="14085" width="17" customWidth="1"/>
    <col min="14086" max="14086" width="3" customWidth="1"/>
    <col min="14087" max="14090" width="17" customWidth="1"/>
    <col min="14091" max="14091" width="3" customWidth="1"/>
    <col min="14092" max="14092" width="17" customWidth="1"/>
    <col min="14093" max="14093" width="3" customWidth="1"/>
    <col min="14094" max="14094" width="17" customWidth="1"/>
    <col min="14095" max="14095" width="3" customWidth="1"/>
    <col min="14096" max="14096" width="17" customWidth="1"/>
    <col min="14097" max="14097" width="3" customWidth="1"/>
    <col min="14098" max="14098" width="16" customWidth="1"/>
    <col min="14099" max="14099" width="2" customWidth="1"/>
    <col min="14100" max="14101" width="16" customWidth="1"/>
    <col min="14102" max="14102" width="12" bestFit="1" customWidth="1"/>
    <col min="14103" max="14103" width="12" customWidth="1"/>
    <col min="14104" max="14104" width="13.44140625" bestFit="1" customWidth="1"/>
    <col min="14330" max="14330" width="1" customWidth="1"/>
    <col min="14331" max="14331" width="44" customWidth="1"/>
    <col min="14332" max="14332" width="43" customWidth="1"/>
    <col min="14333" max="14336" width="17" customWidth="1"/>
    <col min="14337" max="14337" width="1" customWidth="1"/>
    <col min="14338" max="14338" width="16" customWidth="1"/>
    <col min="14339" max="14341" width="17" customWidth="1"/>
    <col min="14342" max="14342" width="3" customWidth="1"/>
    <col min="14343" max="14346" width="17" customWidth="1"/>
    <col min="14347" max="14347" width="3" customWidth="1"/>
    <col min="14348" max="14348" width="17" customWidth="1"/>
    <col min="14349" max="14349" width="3" customWidth="1"/>
    <col min="14350" max="14350" width="17" customWidth="1"/>
    <col min="14351" max="14351" width="3" customWidth="1"/>
    <col min="14352" max="14352" width="17" customWidth="1"/>
    <col min="14353" max="14353" width="3" customWidth="1"/>
    <col min="14354" max="14354" width="16" customWidth="1"/>
    <col min="14355" max="14355" width="2" customWidth="1"/>
    <col min="14356" max="14357" width="16" customWidth="1"/>
    <col min="14358" max="14358" width="12" bestFit="1" customWidth="1"/>
    <col min="14359" max="14359" width="12" customWidth="1"/>
    <col min="14360" max="14360" width="13.44140625" bestFit="1" customWidth="1"/>
    <col min="14586" max="14586" width="1" customWidth="1"/>
    <col min="14587" max="14587" width="44" customWidth="1"/>
    <col min="14588" max="14588" width="43" customWidth="1"/>
    <col min="14589" max="14592" width="17" customWidth="1"/>
    <col min="14593" max="14593" width="1" customWidth="1"/>
    <col min="14594" max="14594" width="16" customWidth="1"/>
    <col min="14595" max="14597" width="17" customWidth="1"/>
    <col min="14598" max="14598" width="3" customWidth="1"/>
    <col min="14599" max="14602" width="17" customWidth="1"/>
    <col min="14603" max="14603" width="3" customWidth="1"/>
    <col min="14604" max="14604" width="17" customWidth="1"/>
    <col min="14605" max="14605" width="3" customWidth="1"/>
    <col min="14606" max="14606" width="17" customWidth="1"/>
    <col min="14607" max="14607" width="3" customWidth="1"/>
    <col min="14608" max="14608" width="17" customWidth="1"/>
    <col min="14609" max="14609" width="3" customWidth="1"/>
    <col min="14610" max="14610" width="16" customWidth="1"/>
    <col min="14611" max="14611" width="2" customWidth="1"/>
    <col min="14612" max="14613" width="16" customWidth="1"/>
    <col min="14614" max="14614" width="12" bestFit="1" customWidth="1"/>
    <col min="14615" max="14615" width="12" customWidth="1"/>
    <col min="14616" max="14616" width="13.44140625" bestFit="1" customWidth="1"/>
    <col min="14842" max="14842" width="1" customWidth="1"/>
    <col min="14843" max="14843" width="44" customWidth="1"/>
    <col min="14844" max="14844" width="43" customWidth="1"/>
    <col min="14845" max="14848" width="17" customWidth="1"/>
    <col min="14849" max="14849" width="1" customWidth="1"/>
    <col min="14850" max="14850" width="16" customWidth="1"/>
    <col min="14851" max="14853" width="17" customWidth="1"/>
    <col min="14854" max="14854" width="3" customWidth="1"/>
    <col min="14855" max="14858" width="17" customWidth="1"/>
    <col min="14859" max="14859" width="3" customWidth="1"/>
    <col min="14860" max="14860" width="17" customWidth="1"/>
    <col min="14861" max="14861" width="3" customWidth="1"/>
    <col min="14862" max="14862" width="17" customWidth="1"/>
    <col min="14863" max="14863" width="3" customWidth="1"/>
    <col min="14864" max="14864" width="17" customWidth="1"/>
    <col min="14865" max="14865" width="3" customWidth="1"/>
    <col min="14866" max="14866" width="16" customWidth="1"/>
    <col min="14867" max="14867" width="2" customWidth="1"/>
    <col min="14868" max="14869" width="16" customWidth="1"/>
    <col min="14870" max="14870" width="12" bestFit="1" customWidth="1"/>
    <col min="14871" max="14871" width="12" customWidth="1"/>
    <col min="14872" max="14872" width="13.44140625" bestFit="1" customWidth="1"/>
    <col min="15098" max="15098" width="1" customWidth="1"/>
    <col min="15099" max="15099" width="44" customWidth="1"/>
    <col min="15100" max="15100" width="43" customWidth="1"/>
    <col min="15101" max="15104" width="17" customWidth="1"/>
    <col min="15105" max="15105" width="1" customWidth="1"/>
    <col min="15106" max="15106" width="16" customWidth="1"/>
    <col min="15107" max="15109" width="17" customWidth="1"/>
    <col min="15110" max="15110" width="3" customWidth="1"/>
    <col min="15111" max="15114" width="17" customWidth="1"/>
    <col min="15115" max="15115" width="3" customWidth="1"/>
    <col min="15116" max="15116" width="17" customWidth="1"/>
    <col min="15117" max="15117" width="3" customWidth="1"/>
    <col min="15118" max="15118" width="17" customWidth="1"/>
    <col min="15119" max="15119" width="3" customWidth="1"/>
    <col min="15120" max="15120" width="17" customWidth="1"/>
    <col min="15121" max="15121" width="3" customWidth="1"/>
    <col min="15122" max="15122" width="16" customWidth="1"/>
    <col min="15123" max="15123" width="2" customWidth="1"/>
    <col min="15124" max="15125" width="16" customWidth="1"/>
    <col min="15126" max="15126" width="12" bestFit="1" customWidth="1"/>
    <col min="15127" max="15127" width="12" customWidth="1"/>
    <col min="15128" max="15128" width="13.44140625" bestFit="1" customWidth="1"/>
    <col min="15354" max="15354" width="1" customWidth="1"/>
    <col min="15355" max="15355" width="44" customWidth="1"/>
    <col min="15356" max="15356" width="43" customWidth="1"/>
    <col min="15357" max="15360" width="17" customWidth="1"/>
    <col min="15361" max="15361" width="1" customWidth="1"/>
    <col min="15362" max="15362" width="16" customWidth="1"/>
    <col min="15363" max="15365" width="17" customWidth="1"/>
    <col min="15366" max="15366" width="3" customWidth="1"/>
    <col min="15367" max="15370" width="17" customWidth="1"/>
    <col min="15371" max="15371" width="3" customWidth="1"/>
    <col min="15372" max="15372" width="17" customWidth="1"/>
    <col min="15373" max="15373" width="3" customWidth="1"/>
    <col min="15374" max="15374" width="17" customWidth="1"/>
    <col min="15375" max="15375" width="3" customWidth="1"/>
    <col min="15376" max="15376" width="17" customWidth="1"/>
    <col min="15377" max="15377" width="3" customWidth="1"/>
    <col min="15378" max="15378" width="16" customWidth="1"/>
    <col min="15379" max="15379" width="2" customWidth="1"/>
    <col min="15380" max="15381" width="16" customWidth="1"/>
    <col min="15382" max="15382" width="12" bestFit="1" customWidth="1"/>
    <col min="15383" max="15383" width="12" customWidth="1"/>
    <col min="15384" max="15384" width="13.44140625" bestFit="1" customWidth="1"/>
    <col min="15610" max="15610" width="1" customWidth="1"/>
    <col min="15611" max="15611" width="44" customWidth="1"/>
    <col min="15612" max="15612" width="43" customWidth="1"/>
    <col min="15613" max="15616" width="17" customWidth="1"/>
    <col min="15617" max="15617" width="1" customWidth="1"/>
    <col min="15618" max="15618" width="16" customWidth="1"/>
    <col min="15619" max="15621" width="17" customWidth="1"/>
    <col min="15622" max="15622" width="3" customWidth="1"/>
    <col min="15623" max="15626" width="17" customWidth="1"/>
    <col min="15627" max="15627" width="3" customWidth="1"/>
    <col min="15628" max="15628" width="17" customWidth="1"/>
    <col min="15629" max="15629" width="3" customWidth="1"/>
    <col min="15630" max="15630" width="17" customWidth="1"/>
    <col min="15631" max="15631" width="3" customWidth="1"/>
    <col min="15632" max="15632" width="17" customWidth="1"/>
    <col min="15633" max="15633" width="3" customWidth="1"/>
    <col min="15634" max="15634" width="16" customWidth="1"/>
    <col min="15635" max="15635" width="2" customWidth="1"/>
    <col min="15636" max="15637" width="16" customWidth="1"/>
    <col min="15638" max="15638" width="12" bestFit="1" customWidth="1"/>
    <col min="15639" max="15639" width="12" customWidth="1"/>
    <col min="15640" max="15640" width="13.44140625" bestFit="1" customWidth="1"/>
    <col min="15866" max="15866" width="1" customWidth="1"/>
    <col min="15867" max="15867" width="44" customWidth="1"/>
    <col min="15868" max="15868" width="43" customWidth="1"/>
    <col min="15869" max="15872" width="17" customWidth="1"/>
    <col min="15873" max="15873" width="1" customWidth="1"/>
    <col min="15874" max="15874" width="16" customWidth="1"/>
    <col min="15875" max="15877" width="17" customWidth="1"/>
    <col min="15878" max="15878" width="3" customWidth="1"/>
    <col min="15879" max="15882" width="17" customWidth="1"/>
    <col min="15883" max="15883" width="3" customWidth="1"/>
    <col min="15884" max="15884" width="17" customWidth="1"/>
    <col min="15885" max="15885" width="3" customWidth="1"/>
    <col min="15886" max="15886" width="17" customWidth="1"/>
    <col min="15887" max="15887" width="3" customWidth="1"/>
    <col min="15888" max="15888" width="17" customWidth="1"/>
    <col min="15889" max="15889" width="3" customWidth="1"/>
    <col min="15890" max="15890" width="16" customWidth="1"/>
    <col min="15891" max="15891" width="2" customWidth="1"/>
    <col min="15892" max="15893" width="16" customWidth="1"/>
    <col min="15894" max="15894" width="12" bestFit="1" customWidth="1"/>
    <col min="15895" max="15895" width="12" customWidth="1"/>
    <col min="15896" max="15896" width="13.44140625" bestFit="1" customWidth="1"/>
    <col min="16122" max="16122" width="1" customWidth="1"/>
    <col min="16123" max="16123" width="44" customWidth="1"/>
    <col min="16124" max="16124" width="43" customWidth="1"/>
    <col min="16125" max="16128" width="17" customWidth="1"/>
    <col min="16129" max="16129" width="1" customWidth="1"/>
    <col min="16130" max="16130" width="16" customWidth="1"/>
    <col min="16131" max="16133" width="17" customWidth="1"/>
    <col min="16134" max="16134" width="3" customWidth="1"/>
    <col min="16135" max="16138" width="17" customWidth="1"/>
    <col min="16139" max="16139" width="3" customWidth="1"/>
    <col min="16140" max="16140" width="17" customWidth="1"/>
    <col min="16141" max="16141" width="3" customWidth="1"/>
    <col min="16142" max="16142" width="17" customWidth="1"/>
    <col min="16143" max="16143" width="3" customWidth="1"/>
    <col min="16144" max="16144" width="17" customWidth="1"/>
    <col min="16145" max="16145" width="3" customWidth="1"/>
    <col min="16146" max="16146" width="16" customWidth="1"/>
    <col min="16147" max="16147" width="2" customWidth="1"/>
    <col min="16148" max="16149" width="16" customWidth="1"/>
    <col min="16150" max="16150" width="12" bestFit="1" customWidth="1"/>
    <col min="16151" max="16151" width="12" customWidth="1"/>
    <col min="16152" max="16152" width="13.44140625" bestFit="1" customWidth="1"/>
  </cols>
  <sheetData>
    <row r="1" spans="2:26" x14ac:dyDescent="0.25">
      <c r="B1" s="166"/>
      <c r="C1" s="166"/>
      <c r="D1" s="166"/>
      <c r="E1" s="166"/>
      <c r="F1" s="166"/>
      <c r="G1" s="166"/>
      <c r="H1" s="166"/>
      <c r="I1" s="166"/>
      <c r="J1" s="166"/>
      <c r="L1" s="166"/>
      <c r="M1" s="166"/>
      <c r="N1" s="166"/>
      <c r="O1" s="166"/>
      <c r="Q1" s="166"/>
      <c r="X1" s="166"/>
    </row>
    <row r="2" spans="2:26" x14ac:dyDescent="0.25">
      <c r="B2" s="273" t="s">
        <v>197</v>
      </c>
      <c r="C2" s="273"/>
      <c r="D2" s="273"/>
      <c r="E2" s="273"/>
      <c r="F2" s="273"/>
      <c r="G2" s="273"/>
      <c r="H2" s="273"/>
      <c r="I2" s="166"/>
      <c r="J2" s="166"/>
      <c r="L2" s="166"/>
      <c r="M2" s="166"/>
      <c r="N2" s="166"/>
      <c r="O2" s="166"/>
      <c r="Q2" s="166"/>
      <c r="X2" s="166"/>
    </row>
    <row r="3" spans="2:26" x14ac:dyDescent="0.25">
      <c r="B3" s="181" t="s">
        <v>198</v>
      </c>
      <c r="C3" s="166"/>
      <c r="D3" s="166"/>
      <c r="E3" s="166"/>
      <c r="F3" s="166"/>
      <c r="G3" s="166"/>
      <c r="H3" s="166"/>
      <c r="I3" s="166"/>
      <c r="J3" s="166"/>
      <c r="L3" s="166"/>
      <c r="M3" s="166"/>
      <c r="N3" s="166"/>
      <c r="O3" s="166"/>
      <c r="Q3" s="166"/>
      <c r="R3" s="166"/>
      <c r="X3" s="166"/>
    </row>
    <row r="4" spans="2:26" ht="13.8" thickBot="1" x14ac:dyDescent="0.3">
      <c r="B4" s="106" t="s">
        <v>367</v>
      </c>
    </row>
    <row r="5" spans="2:26" x14ac:dyDescent="0.25">
      <c r="B5" s="160"/>
      <c r="C5" s="160"/>
      <c r="D5" s="167" t="s">
        <v>2</v>
      </c>
      <c r="E5" s="167"/>
      <c r="F5" s="167"/>
      <c r="G5" s="167"/>
      <c r="H5" s="168"/>
      <c r="I5" s="167"/>
      <c r="J5" s="168"/>
      <c r="K5" s="172" t="s">
        <v>2</v>
      </c>
      <c r="L5" s="163"/>
      <c r="M5" s="167" t="s">
        <v>3</v>
      </c>
      <c r="N5" s="167"/>
      <c r="O5" s="168"/>
      <c r="P5" s="172" t="s">
        <v>3</v>
      </c>
      <c r="Q5" s="163"/>
      <c r="R5" s="167" t="s">
        <v>4</v>
      </c>
      <c r="S5" s="167" t="s">
        <v>5</v>
      </c>
      <c r="T5" s="167" t="s">
        <v>6</v>
      </c>
      <c r="U5" s="167" t="s">
        <v>7</v>
      </c>
      <c r="V5" s="167" t="s">
        <v>142</v>
      </c>
      <c r="W5" s="167" t="s">
        <v>143</v>
      </c>
      <c r="X5" s="161"/>
      <c r="Y5" s="172" t="s">
        <v>8</v>
      </c>
    </row>
    <row r="6" spans="2:26" s="131" customFormat="1" x14ac:dyDescent="0.25">
      <c r="B6" s="167" t="s">
        <v>21</v>
      </c>
      <c r="C6" s="167" t="s">
        <v>22</v>
      </c>
      <c r="D6" s="167" t="s">
        <v>9</v>
      </c>
      <c r="E6" s="167" t="s">
        <v>10</v>
      </c>
      <c r="F6" s="167" t="s">
        <v>11</v>
      </c>
      <c r="G6" s="167" t="s">
        <v>12</v>
      </c>
      <c r="H6" s="167" t="s">
        <v>13</v>
      </c>
      <c r="I6" s="167" t="s">
        <v>14</v>
      </c>
      <c r="J6" s="168" t="s">
        <v>15</v>
      </c>
      <c r="K6" s="173" t="s">
        <v>16</v>
      </c>
      <c r="L6" s="163"/>
      <c r="M6" s="167" t="s">
        <v>17</v>
      </c>
      <c r="N6" s="167" t="s">
        <v>18</v>
      </c>
      <c r="O6" s="168" t="s">
        <v>141</v>
      </c>
      <c r="P6" s="173" t="s">
        <v>16</v>
      </c>
      <c r="Q6" s="163"/>
      <c r="R6" s="169" t="s">
        <v>16</v>
      </c>
      <c r="S6" s="169" t="s">
        <v>16</v>
      </c>
      <c r="T6" s="169" t="s">
        <v>16</v>
      </c>
      <c r="U6" s="169" t="s">
        <v>16</v>
      </c>
      <c r="V6" s="169" t="s">
        <v>16</v>
      </c>
      <c r="W6" s="169" t="s">
        <v>16</v>
      </c>
      <c r="X6" s="170"/>
      <c r="Y6" s="173" t="s">
        <v>16</v>
      </c>
    </row>
    <row r="7" spans="2:26" x14ac:dyDescent="0.25">
      <c r="B7" s="162"/>
      <c r="C7" s="175"/>
      <c r="D7" s="176"/>
      <c r="E7" s="176"/>
      <c r="F7" s="176"/>
      <c r="G7" s="176"/>
      <c r="H7" s="177"/>
      <c r="I7" s="176"/>
      <c r="J7" s="177"/>
      <c r="K7" s="240"/>
      <c r="L7" s="163"/>
      <c r="M7" s="245"/>
      <c r="N7" s="245"/>
      <c r="O7" s="246"/>
      <c r="P7" s="240"/>
      <c r="Q7" s="163"/>
      <c r="R7" s="245"/>
      <c r="S7" s="245"/>
      <c r="T7" s="245"/>
      <c r="U7" s="245"/>
      <c r="V7" s="247"/>
      <c r="W7" s="247"/>
      <c r="X7" s="163"/>
      <c r="Y7" s="240"/>
      <c r="Z7" s="163"/>
    </row>
    <row r="8" spans="2:26" x14ac:dyDescent="0.25">
      <c r="B8" s="195" t="s">
        <v>23</v>
      </c>
      <c r="C8" s="241" t="s">
        <v>24</v>
      </c>
      <c r="D8" s="194"/>
      <c r="E8" s="194"/>
      <c r="F8" s="194">
        <v>-16066.380000000003</v>
      </c>
      <c r="G8" s="194"/>
      <c r="H8" s="194"/>
      <c r="I8" s="194"/>
      <c r="J8" s="204"/>
      <c r="K8" s="206">
        <f>SUM(D8:J8)</f>
        <v>-16066.380000000003</v>
      </c>
      <c r="L8" s="163"/>
      <c r="M8" s="194"/>
      <c r="N8" s="194"/>
      <c r="O8" s="194"/>
      <c r="P8" s="206">
        <f>SUM(M8:O8)</f>
        <v>0</v>
      </c>
      <c r="Q8" s="163"/>
      <c r="R8" s="194"/>
      <c r="S8" s="194"/>
      <c r="T8" s="194"/>
      <c r="U8" s="194"/>
      <c r="V8" s="194"/>
      <c r="W8" s="194"/>
      <c r="X8" s="163"/>
      <c r="Y8" s="206">
        <f t="shared" ref="Y8:Y71" si="0">+K8+P8+R8+S8+T8+U8+V8+W8</f>
        <v>-16066.380000000003</v>
      </c>
      <c r="Z8" s="163"/>
    </row>
    <row r="9" spans="2:26" x14ac:dyDescent="0.25">
      <c r="B9" s="195"/>
      <c r="C9" s="241" t="s">
        <v>25</v>
      </c>
      <c r="D9" s="194">
        <v>-1146.98</v>
      </c>
      <c r="E9" s="194">
        <v>-10382.869999999999</v>
      </c>
      <c r="F9" s="194">
        <v>-230.43000000000004</v>
      </c>
      <c r="G9" s="194">
        <v>-83.37</v>
      </c>
      <c r="H9" s="194">
        <v>-8.1199999999999957</v>
      </c>
      <c r="I9" s="194">
        <v>-209.20000000000027</v>
      </c>
      <c r="J9" s="204">
        <v>-9.7500000000000018</v>
      </c>
      <c r="K9" s="206">
        <f t="shared" ref="K9:K72" si="1">SUM(D9:J9)</f>
        <v>-12070.720000000001</v>
      </c>
      <c r="L9" s="163"/>
      <c r="M9" s="194">
        <v>-102.7000000000001</v>
      </c>
      <c r="N9" s="194">
        <v>-191.21999999999997</v>
      </c>
      <c r="O9" s="194">
        <v>-133.20000000000005</v>
      </c>
      <c r="P9" s="206">
        <f t="shared" ref="P9:P72" si="2">SUM(M9:O9)</f>
        <v>-427.12000000000012</v>
      </c>
      <c r="Q9" s="163"/>
      <c r="R9" s="194">
        <v>-8.8700000000000028</v>
      </c>
      <c r="S9" s="194">
        <v>-191.74999999999955</v>
      </c>
      <c r="T9" s="194"/>
      <c r="U9" s="194">
        <v>-4.1100000000000003</v>
      </c>
      <c r="V9" s="194">
        <v>0.83</v>
      </c>
      <c r="W9" s="194"/>
      <c r="X9" s="163"/>
      <c r="Y9" s="206">
        <f t="shared" si="0"/>
        <v>-12701.740000000003</v>
      </c>
      <c r="Z9" s="163"/>
    </row>
    <row r="10" spans="2:26" x14ac:dyDescent="0.25">
      <c r="B10" s="195"/>
      <c r="C10" s="241" t="s">
        <v>26</v>
      </c>
      <c r="D10" s="194">
        <v>3.2600000000000002</v>
      </c>
      <c r="E10" s="194">
        <v>1428.5800000000002</v>
      </c>
      <c r="F10" s="194">
        <v>787.05</v>
      </c>
      <c r="G10" s="194">
        <v>283.73</v>
      </c>
      <c r="H10" s="194">
        <v>45.28</v>
      </c>
      <c r="I10" s="194">
        <v>1129.1100000000001</v>
      </c>
      <c r="J10" s="204">
        <v>91.63</v>
      </c>
      <c r="K10" s="206">
        <f t="shared" si="1"/>
        <v>3768.6400000000008</v>
      </c>
      <c r="L10" s="163"/>
      <c r="M10" s="194">
        <v>589.42000000000007</v>
      </c>
      <c r="N10" s="194">
        <v>796.69</v>
      </c>
      <c r="O10" s="194">
        <v>979.99</v>
      </c>
      <c r="P10" s="206">
        <f t="shared" si="2"/>
        <v>2366.1000000000004</v>
      </c>
      <c r="Q10" s="163"/>
      <c r="R10" s="194">
        <v>16.8</v>
      </c>
      <c r="S10" s="194">
        <v>1173.9899999999998</v>
      </c>
      <c r="T10" s="194"/>
      <c r="U10" s="194">
        <v>6.71</v>
      </c>
      <c r="V10" s="194"/>
      <c r="W10" s="194"/>
      <c r="X10" s="163"/>
      <c r="Y10" s="206">
        <f t="shared" si="0"/>
        <v>7332.2400000000016</v>
      </c>
      <c r="Z10" s="163"/>
    </row>
    <row r="11" spans="2:26" x14ac:dyDescent="0.25">
      <c r="B11" s="195"/>
      <c r="C11" s="242" t="s">
        <v>373</v>
      </c>
      <c r="D11" s="194">
        <v>-0.01</v>
      </c>
      <c r="E11" s="194">
        <v>-8.98</v>
      </c>
      <c r="F11" s="194">
        <v>-8.2100000000000009</v>
      </c>
      <c r="G11" s="194">
        <v>-1.56</v>
      </c>
      <c r="H11" s="194">
        <v>-0.18</v>
      </c>
      <c r="I11" s="194">
        <v>-5.91</v>
      </c>
      <c r="J11" s="204">
        <v>-1.1599999999999999</v>
      </c>
      <c r="K11" s="206">
        <f t="shared" si="1"/>
        <v>-26.01</v>
      </c>
      <c r="L11" s="163"/>
      <c r="M11" s="194">
        <v>-5.37</v>
      </c>
      <c r="N11" s="194">
        <v>-5.67</v>
      </c>
      <c r="O11" s="194">
        <v>-7.1400000000000006</v>
      </c>
      <c r="P11" s="206">
        <f t="shared" si="2"/>
        <v>-18.18</v>
      </c>
      <c r="Q11" s="163"/>
      <c r="R11" s="194">
        <v>-0.62</v>
      </c>
      <c r="S11" s="194">
        <v>-8.01</v>
      </c>
      <c r="T11" s="194"/>
      <c r="U11" s="194">
        <v>-0.26</v>
      </c>
      <c r="V11" s="194">
        <v>-0.31</v>
      </c>
      <c r="W11" s="194">
        <v>-2.09</v>
      </c>
      <c r="X11" s="163"/>
      <c r="Y11" s="206">
        <f t="shared" si="0"/>
        <v>-55.47999999999999</v>
      </c>
      <c r="Z11" s="163"/>
    </row>
    <row r="12" spans="2:26" x14ac:dyDescent="0.25">
      <c r="B12" s="195"/>
      <c r="C12" s="241" t="s">
        <v>27</v>
      </c>
      <c r="D12" s="194">
        <v>-117.91</v>
      </c>
      <c r="E12" s="194">
        <v>-72378.389999999985</v>
      </c>
      <c r="F12" s="194">
        <v>-66494</v>
      </c>
      <c r="G12" s="194">
        <v>-12796.719999999998</v>
      </c>
      <c r="H12" s="194">
        <v>-1407.7100000000003</v>
      </c>
      <c r="I12" s="194">
        <v>-54933.650000000009</v>
      </c>
      <c r="J12" s="204">
        <v>-8931.8500000000022</v>
      </c>
      <c r="K12" s="206">
        <f t="shared" si="1"/>
        <v>-217060.23</v>
      </c>
      <c r="L12" s="163"/>
      <c r="M12" s="248">
        <v>113674.49000000005</v>
      </c>
      <c r="N12" s="194">
        <v>-45568.08</v>
      </c>
      <c r="O12" s="194">
        <v>-54530</v>
      </c>
      <c r="P12" s="206">
        <f t="shared" si="2"/>
        <v>13576.410000000047</v>
      </c>
      <c r="Q12" s="163"/>
      <c r="R12" s="194">
        <v>-5401.98</v>
      </c>
      <c r="S12" s="194">
        <v>-60760.800000000017</v>
      </c>
      <c r="T12" s="194"/>
      <c r="U12" s="194">
        <v>-1493.08</v>
      </c>
      <c r="V12" s="194">
        <v>-79.650000000000006</v>
      </c>
      <c r="W12" s="248">
        <v>184883.20000000001</v>
      </c>
      <c r="X12" s="163"/>
      <c r="Y12" s="206">
        <f t="shared" si="0"/>
        <v>-86336.13</v>
      </c>
      <c r="Z12" s="163"/>
    </row>
    <row r="13" spans="2:26" x14ac:dyDescent="0.25">
      <c r="B13" s="243"/>
      <c r="C13" s="244" t="s">
        <v>28</v>
      </c>
      <c r="D13" s="194">
        <v>-32.64</v>
      </c>
      <c r="E13" s="194">
        <v>-21409.349999999995</v>
      </c>
      <c r="F13" s="194">
        <v>-18166.12</v>
      </c>
      <c r="G13" s="194">
        <v>-4057.2099999999996</v>
      </c>
      <c r="H13" s="194">
        <v>-423.2399999999999</v>
      </c>
      <c r="I13" s="194">
        <v>-14799.039999999999</v>
      </c>
      <c r="J13" s="204">
        <v>-15874.870000000006</v>
      </c>
      <c r="K13" s="206">
        <f t="shared" si="1"/>
        <v>-74762.47</v>
      </c>
      <c r="L13" s="163"/>
      <c r="M13" s="194">
        <v>-12195.850000000002</v>
      </c>
      <c r="N13" s="194">
        <v>-13486.33</v>
      </c>
      <c r="O13" s="194">
        <v>-17031.32</v>
      </c>
      <c r="P13" s="206">
        <f t="shared" si="2"/>
        <v>-42713.5</v>
      </c>
      <c r="Q13" s="163"/>
      <c r="R13" s="194">
        <v>-1479.7299999999998</v>
      </c>
      <c r="S13" s="194">
        <v>-19144.03</v>
      </c>
      <c r="T13" s="194"/>
      <c r="U13" s="194">
        <v>-608.1</v>
      </c>
      <c r="V13" s="194">
        <v>-20.77</v>
      </c>
      <c r="W13" s="194"/>
      <c r="X13" s="163"/>
      <c r="Y13" s="206">
        <f t="shared" si="0"/>
        <v>-138728.59999999998</v>
      </c>
      <c r="Z13" s="163"/>
    </row>
    <row r="14" spans="2:26" ht="13.8" thickBot="1" x14ac:dyDescent="0.3">
      <c r="B14" s="196" t="s">
        <v>217</v>
      </c>
      <c r="C14" s="197"/>
      <c r="D14" s="198">
        <v>-1294.2800000000002</v>
      </c>
      <c r="E14" s="198">
        <v>-102751.00999999998</v>
      </c>
      <c r="F14" s="198">
        <v>-100178.09</v>
      </c>
      <c r="G14" s="198">
        <v>-16655.129999999997</v>
      </c>
      <c r="H14" s="198">
        <v>-1793.9700000000003</v>
      </c>
      <c r="I14" s="198">
        <v>-68818.69</v>
      </c>
      <c r="J14" s="219">
        <v>-24726.000000000007</v>
      </c>
      <c r="K14" s="207">
        <f t="shared" si="1"/>
        <v>-316217.17</v>
      </c>
      <c r="L14" s="163"/>
      <c r="M14" s="198">
        <v>101959.99000000005</v>
      </c>
      <c r="N14" s="198">
        <v>-58454.61</v>
      </c>
      <c r="O14" s="198">
        <v>-70721.67</v>
      </c>
      <c r="P14" s="207">
        <f t="shared" si="2"/>
        <v>-27216.28999999995</v>
      </c>
      <c r="Q14" s="163"/>
      <c r="R14" s="198">
        <v>-6874.3999999999987</v>
      </c>
      <c r="S14" s="198">
        <v>-78930.600000000006</v>
      </c>
      <c r="T14" s="198"/>
      <c r="U14" s="198">
        <v>-2098.84</v>
      </c>
      <c r="V14" s="198">
        <v>-99.9</v>
      </c>
      <c r="W14" s="198">
        <v>184881.11000000002</v>
      </c>
      <c r="X14" s="163"/>
      <c r="Y14" s="207">
        <f t="shared" si="0"/>
        <v>-246556.09</v>
      </c>
      <c r="Z14" s="163"/>
    </row>
    <row r="15" spans="2:26" x14ac:dyDescent="0.25">
      <c r="B15" s="195" t="s">
        <v>29</v>
      </c>
      <c r="C15" s="241" t="s">
        <v>30</v>
      </c>
      <c r="D15" s="202">
        <v>592.57999999999993</v>
      </c>
      <c r="E15" s="249">
        <v>-746558.19000000018</v>
      </c>
      <c r="F15" s="249">
        <v>-404469.39000000013</v>
      </c>
      <c r="G15" s="202">
        <v>-82373.850000000006</v>
      </c>
      <c r="H15" s="202">
        <v>299.51999999999992</v>
      </c>
      <c r="I15" s="202">
        <v>6910.7999999999975</v>
      </c>
      <c r="J15" s="250">
        <v>-164769.42000000001</v>
      </c>
      <c r="K15" s="208">
        <f t="shared" si="1"/>
        <v>-1390367.9500000004</v>
      </c>
      <c r="L15" s="163"/>
      <c r="M15" s="249">
        <v>-549100.02</v>
      </c>
      <c r="N15" s="249">
        <v>-648462.82999999973</v>
      </c>
      <c r="O15" s="202">
        <v>20832.749999999996</v>
      </c>
      <c r="P15" s="208">
        <f t="shared" si="2"/>
        <v>-1176730.0999999996</v>
      </c>
      <c r="Q15" s="163"/>
      <c r="R15" s="202">
        <v>-457.53999999999991</v>
      </c>
      <c r="S15" s="202">
        <v>12677.679999999988</v>
      </c>
      <c r="T15" s="202">
        <v>0.09</v>
      </c>
      <c r="U15" s="202">
        <v>2080.9699999999993</v>
      </c>
      <c r="V15" s="202">
        <v>95.05</v>
      </c>
      <c r="W15" s="202">
        <v>418.7299999999999</v>
      </c>
      <c r="X15" s="163"/>
      <c r="Y15" s="208">
        <f t="shared" si="0"/>
        <v>-2552283.0699999998</v>
      </c>
      <c r="Z15" s="163"/>
    </row>
    <row r="16" spans="2:26" ht="12" customHeight="1" x14ac:dyDescent="0.25">
      <c r="B16" s="195"/>
      <c r="C16" s="241" t="s">
        <v>31</v>
      </c>
      <c r="D16" s="194">
        <v>0.94</v>
      </c>
      <c r="E16" s="194">
        <v>52225.500000000007</v>
      </c>
      <c r="F16" s="194">
        <v>5184.5599999999986</v>
      </c>
      <c r="G16" s="194">
        <v>7167.1999999999989</v>
      </c>
      <c r="H16" s="194">
        <v>-16.729999999999997</v>
      </c>
      <c r="I16" s="194">
        <v>-511.68999999999994</v>
      </c>
      <c r="J16" s="204">
        <v>4453.6600000000017</v>
      </c>
      <c r="K16" s="206">
        <f t="shared" si="1"/>
        <v>68503.44</v>
      </c>
      <c r="L16" s="163"/>
      <c r="M16" s="194">
        <v>49101.270000000004</v>
      </c>
      <c r="N16" s="194">
        <v>61157.229999999989</v>
      </c>
      <c r="O16" s="194">
        <v>-450.42000000000019</v>
      </c>
      <c r="P16" s="206">
        <f t="shared" si="2"/>
        <v>109808.08</v>
      </c>
      <c r="Q16" s="163"/>
      <c r="R16" s="194">
        <v>-298.01</v>
      </c>
      <c r="S16" s="194">
        <v>-581.78999999999974</v>
      </c>
      <c r="T16" s="194"/>
      <c r="U16" s="194">
        <v>-1837.1800000000003</v>
      </c>
      <c r="V16" s="194"/>
      <c r="W16" s="194"/>
      <c r="X16" s="163"/>
      <c r="Y16" s="206">
        <f t="shared" si="0"/>
        <v>175594.54</v>
      </c>
      <c r="Z16" s="163"/>
    </row>
    <row r="17" spans="2:26" x14ac:dyDescent="0.25">
      <c r="B17" s="195"/>
      <c r="C17" s="241" t="s">
        <v>32</v>
      </c>
      <c r="D17" s="194"/>
      <c r="E17" s="194">
        <v>-2660.6700000000005</v>
      </c>
      <c r="F17" s="194">
        <v>-226.22999999999988</v>
      </c>
      <c r="G17" s="194">
        <v>-1.5799999999999983</v>
      </c>
      <c r="H17" s="194"/>
      <c r="I17" s="194"/>
      <c r="J17" s="204">
        <v>-2769.7599999999989</v>
      </c>
      <c r="K17" s="206">
        <f t="shared" si="1"/>
        <v>-5658.24</v>
      </c>
      <c r="L17" s="163"/>
      <c r="M17" s="194">
        <v>-585.62999999999977</v>
      </c>
      <c r="N17" s="194">
        <v>-6453.87</v>
      </c>
      <c r="O17" s="194"/>
      <c r="P17" s="206">
        <f t="shared" si="2"/>
        <v>-7039.5</v>
      </c>
      <c r="Q17" s="163"/>
      <c r="R17" s="194"/>
      <c r="S17" s="194"/>
      <c r="T17" s="194"/>
      <c r="U17" s="194">
        <v>0.25</v>
      </c>
      <c r="V17" s="194"/>
      <c r="W17" s="194"/>
      <c r="X17" s="163"/>
      <c r="Y17" s="206">
        <f t="shared" si="0"/>
        <v>-12697.49</v>
      </c>
      <c r="Z17" s="163"/>
    </row>
    <row r="18" spans="2:26" x14ac:dyDescent="0.25">
      <c r="B18" s="195"/>
      <c r="C18" s="241" t="s">
        <v>33</v>
      </c>
      <c r="D18" s="194">
        <v>-5.2000000000000011</v>
      </c>
      <c r="E18" s="194">
        <v>-13365.65</v>
      </c>
      <c r="F18" s="194">
        <v>-4126.8099999999959</v>
      </c>
      <c r="G18" s="194">
        <v>-1260.5300000000007</v>
      </c>
      <c r="H18" s="194">
        <v>-139.79000000000002</v>
      </c>
      <c r="I18" s="194">
        <v>-4686.5199999999941</v>
      </c>
      <c r="J18" s="204">
        <v>5529.7699999999986</v>
      </c>
      <c r="K18" s="206">
        <f t="shared" si="1"/>
        <v>-18054.729999999989</v>
      </c>
      <c r="L18" s="163"/>
      <c r="M18" s="194">
        <v>-36630.960000000006</v>
      </c>
      <c r="N18" s="194">
        <v>-20688.71999999999</v>
      </c>
      <c r="O18" s="194">
        <v>-5182.310000000004</v>
      </c>
      <c r="P18" s="206">
        <f t="shared" si="2"/>
        <v>-62501.99</v>
      </c>
      <c r="Q18" s="163"/>
      <c r="R18" s="194">
        <v>-16.350000000000009</v>
      </c>
      <c r="S18" s="194">
        <v>-15028.569999999996</v>
      </c>
      <c r="T18" s="194"/>
      <c r="U18" s="194">
        <v>183.49999999999966</v>
      </c>
      <c r="V18" s="194">
        <v>93.37</v>
      </c>
      <c r="W18" s="194">
        <v>894.74000000000035</v>
      </c>
      <c r="X18" s="163"/>
      <c r="Y18" s="206">
        <f t="shared" si="0"/>
        <v>-94430.029999999984</v>
      </c>
      <c r="Z18" s="163"/>
    </row>
    <row r="19" spans="2:26" x14ac:dyDescent="0.25">
      <c r="B19" s="195"/>
      <c r="C19" s="241" t="s">
        <v>34</v>
      </c>
      <c r="D19" s="194"/>
      <c r="E19" s="194">
        <v>25137.309999999998</v>
      </c>
      <c r="F19" s="194">
        <v>35485.950000000004</v>
      </c>
      <c r="G19" s="194">
        <v>1238.1500000000003</v>
      </c>
      <c r="H19" s="194">
        <v>-0.03</v>
      </c>
      <c r="I19" s="194">
        <v>-3.2399999999999984</v>
      </c>
      <c r="J19" s="204">
        <v>-2905.4700000000003</v>
      </c>
      <c r="K19" s="206">
        <f t="shared" si="1"/>
        <v>58952.670000000006</v>
      </c>
      <c r="L19" s="163"/>
      <c r="M19" s="194">
        <v>-704.44999999999982</v>
      </c>
      <c r="N19" s="194">
        <v>6217.5999999999985</v>
      </c>
      <c r="O19" s="194">
        <v>-4.1000000000000014</v>
      </c>
      <c r="P19" s="206">
        <f t="shared" si="2"/>
        <v>5509.0499999999984</v>
      </c>
      <c r="Q19" s="163"/>
      <c r="R19" s="194"/>
      <c r="S19" s="194">
        <v>-1.5300000000000007</v>
      </c>
      <c r="T19" s="194"/>
      <c r="U19" s="194"/>
      <c r="V19" s="194"/>
      <c r="W19" s="194"/>
      <c r="X19" s="163"/>
      <c r="Y19" s="206">
        <f t="shared" si="0"/>
        <v>64460.19</v>
      </c>
      <c r="Z19" s="163"/>
    </row>
    <row r="20" spans="2:26" x14ac:dyDescent="0.25">
      <c r="B20" s="195"/>
      <c r="C20" s="241" t="s">
        <v>35</v>
      </c>
      <c r="D20" s="194"/>
      <c r="E20" s="194">
        <v>33268.209999999992</v>
      </c>
      <c r="F20" s="194">
        <v>-129.28999999999934</v>
      </c>
      <c r="G20" s="194">
        <v>-172.73000000000002</v>
      </c>
      <c r="H20" s="194"/>
      <c r="I20" s="194"/>
      <c r="J20" s="204">
        <v>-5861.5900000000011</v>
      </c>
      <c r="K20" s="206">
        <f t="shared" si="1"/>
        <v>27104.599999999988</v>
      </c>
      <c r="L20" s="163"/>
      <c r="M20" s="194">
        <v>5874.2200000000012</v>
      </c>
      <c r="N20" s="194">
        <v>-3695.5899999999988</v>
      </c>
      <c r="O20" s="194"/>
      <c r="P20" s="206">
        <f t="shared" si="2"/>
        <v>2178.6300000000024</v>
      </c>
      <c r="Q20" s="163"/>
      <c r="R20" s="194"/>
      <c r="S20" s="194"/>
      <c r="T20" s="194"/>
      <c r="U20" s="194"/>
      <c r="V20" s="194"/>
      <c r="W20" s="194"/>
      <c r="X20" s="163"/>
      <c r="Y20" s="206">
        <f t="shared" si="0"/>
        <v>29283.229999999989</v>
      </c>
      <c r="Z20" s="163"/>
    </row>
    <row r="21" spans="2:26" x14ac:dyDescent="0.25">
      <c r="B21" s="195"/>
      <c r="C21" s="241" t="s">
        <v>36</v>
      </c>
      <c r="D21" s="194"/>
      <c r="E21" s="194">
        <v>-24800.770000000011</v>
      </c>
      <c r="F21" s="194">
        <v>2669.7900000000031</v>
      </c>
      <c r="G21" s="194">
        <v>4842.0000000000009</v>
      </c>
      <c r="H21" s="194">
        <v>0.36000000000000004</v>
      </c>
      <c r="I21" s="194">
        <v>34.47000000000002</v>
      </c>
      <c r="J21" s="204">
        <v>16919.010000000002</v>
      </c>
      <c r="K21" s="206">
        <f t="shared" si="1"/>
        <v>-335.14000000000306</v>
      </c>
      <c r="L21" s="163"/>
      <c r="M21" s="194">
        <v>14561.57</v>
      </c>
      <c r="N21" s="194">
        <v>880.03000000000634</v>
      </c>
      <c r="O21" s="194">
        <v>59.36</v>
      </c>
      <c r="P21" s="206">
        <f t="shared" si="2"/>
        <v>15500.960000000006</v>
      </c>
      <c r="Q21" s="163"/>
      <c r="R21" s="194"/>
      <c r="S21" s="194">
        <v>40.830000000000005</v>
      </c>
      <c r="T21" s="194"/>
      <c r="U21" s="194"/>
      <c r="V21" s="194"/>
      <c r="W21" s="194"/>
      <c r="X21" s="163"/>
      <c r="Y21" s="206">
        <f t="shared" si="0"/>
        <v>15206.650000000003</v>
      </c>
      <c r="Z21" s="163"/>
    </row>
    <row r="22" spans="2:26" x14ac:dyDescent="0.25">
      <c r="B22" s="195"/>
      <c r="C22" s="241" t="s">
        <v>37</v>
      </c>
      <c r="D22" s="194"/>
      <c r="E22" s="194">
        <v>14299.06000000001</v>
      </c>
      <c r="F22" s="194">
        <v>-21875.799999999996</v>
      </c>
      <c r="G22" s="248">
        <v>-112683</v>
      </c>
      <c r="H22" s="194">
        <v>-0.4299999999999996</v>
      </c>
      <c r="I22" s="194">
        <v>-48.31</v>
      </c>
      <c r="J22" s="204">
        <v>-31168.05</v>
      </c>
      <c r="K22" s="206">
        <f t="shared" si="1"/>
        <v>-151476.52999999997</v>
      </c>
      <c r="L22" s="163"/>
      <c r="M22" s="194">
        <v>-24019.24</v>
      </c>
      <c r="N22" s="194">
        <v>-7797.3900000000031</v>
      </c>
      <c r="O22" s="194">
        <v>-61.46</v>
      </c>
      <c r="P22" s="206">
        <f t="shared" si="2"/>
        <v>-31878.090000000004</v>
      </c>
      <c r="Q22" s="163"/>
      <c r="R22" s="194"/>
      <c r="S22" s="194">
        <v>-23.35</v>
      </c>
      <c r="T22" s="194"/>
      <c r="U22" s="194"/>
      <c r="V22" s="194"/>
      <c r="W22" s="194"/>
      <c r="X22" s="163"/>
      <c r="Y22" s="206">
        <f t="shared" si="0"/>
        <v>-183377.96999999997</v>
      </c>
      <c r="Z22" s="163"/>
    </row>
    <row r="23" spans="2:26" x14ac:dyDescent="0.25">
      <c r="B23" s="243"/>
      <c r="C23" s="244" t="s">
        <v>38</v>
      </c>
      <c r="D23" s="194"/>
      <c r="E23" s="194">
        <v>7980.9999999999973</v>
      </c>
      <c r="F23" s="194">
        <v>-1335.0399999999995</v>
      </c>
      <c r="G23" s="194">
        <v>3195.3900000000008</v>
      </c>
      <c r="H23" s="194">
        <v>-0.06</v>
      </c>
      <c r="I23" s="194">
        <v>-6.9300000000000006</v>
      </c>
      <c r="J23" s="204">
        <v>2648.9099999999994</v>
      </c>
      <c r="K23" s="206">
        <f t="shared" si="1"/>
        <v>12483.269999999999</v>
      </c>
      <c r="L23" s="163"/>
      <c r="M23" s="194">
        <v>-3110.65</v>
      </c>
      <c r="N23" s="194">
        <v>-18607.270000000004</v>
      </c>
      <c r="O23" s="194">
        <v>-8.77</v>
      </c>
      <c r="P23" s="206">
        <f t="shared" si="2"/>
        <v>-21726.690000000006</v>
      </c>
      <c r="Q23" s="163"/>
      <c r="R23" s="194"/>
      <c r="S23" s="194">
        <v>-3.31</v>
      </c>
      <c r="T23" s="194"/>
      <c r="U23" s="194">
        <v>-0.43000000000000027</v>
      </c>
      <c r="V23" s="194"/>
      <c r="W23" s="194"/>
      <c r="X23" s="163"/>
      <c r="Y23" s="206">
        <f t="shared" si="0"/>
        <v>-9247.1600000000071</v>
      </c>
      <c r="Z23" s="163"/>
    </row>
    <row r="24" spans="2:26" ht="13.8" thickBot="1" x14ac:dyDescent="0.3">
      <c r="B24" s="196" t="s">
        <v>218</v>
      </c>
      <c r="C24" s="197"/>
      <c r="D24" s="198">
        <v>588.31999999999994</v>
      </c>
      <c r="E24" s="198">
        <v>-654474.20000000019</v>
      </c>
      <c r="F24" s="198">
        <v>-388822.26000000007</v>
      </c>
      <c r="G24" s="198">
        <v>-180048.95</v>
      </c>
      <c r="H24" s="198">
        <v>142.83999999999989</v>
      </c>
      <c r="I24" s="198">
        <v>1688.5800000000038</v>
      </c>
      <c r="J24" s="219">
        <v>-177922.94</v>
      </c>
      <c r="K24" s="207">
        <f t="shared" si="1"/>
        <v>-1398848.61</v>
      </c>
      <c r="L24" s="163"/>
      <c r="M24" s="198">
        <v>-544613.89</v>
      </c>
      <c r="N24" s="198">
        <v>-637450.80999999971</v>
      </c>
      <c r="O24" s="198">
        <v>15185.04999999999</v>
      </c>
      <c r="P24" s="207">
        <f t="shared" si="2"/>
        <v>-1166879.6499999997</v>
      </c>
      <c r="Q24" s="163"/>
      <c r="R24" s="198">
        <v>-771.9</v>
      </c>
      <c r="S24" s="198">
        <v>-2920.0400000000077</v>
      </c>
      <c r="T24" s="198">
        <v>0.09</v>
      </c>
      <c r="U24" s="198">
        <v>427.10999999999871</v>
      </c>
      <c r="V24" s="198">
        <v>188.42000000000002</v>
      </c>
      <c r="W24" s="198">
        <v>1313.4700000000003</v>
      </c>
      <c r="X24" s="163"/>
      <c r="Y24" s="207">
        <f t="shared" si="0"/>
        <v>-2567491.11</v>
      </c>
      <c r="Z24" s="163"/>
    </row>
    <row r="25" spans="2:26" x14ac:dyDescent="0.25">
      <c r="B25" s="195" t="s">
        <v>39</v>
      </c>
      <c r="C25" s="241" t="s">
        <v>40</v>
      </c>
      <c r="D25" s="202">
        <v>-0.05</v>
      </c>
      <c r="E25" s="202">
        <v>-20.83</v>
      </c>
      <c r="F25" s="202">
        <v>1932.27</v>
      </c>
      <c r="G25" s="202">
        <v>-4.2799999999999994</v>
      </c>
      <c r="H25" s="202">
        <v>-0.62999999999999989</v>
      </c>
      <c r="I25" s="202">
        <v>-16.38</v>
      </c>
      <c r="J25" s="205">
        <v>-1.1800000000000002</v>
      </c>
      <c r="K25" s="208">
        <f t="shared" si="1"/>
        <v>1888.9199999999996</v>
      </c>
      <c r="L25" s="163"/>
      <c r="M25" s="202">
        <v>-7.79</v>
      </c>
      <c r="N25" s="202">
        <v>-11.56</v>
      </c>
      <c r="O25" s="202">
        <v>-14.229999999999999</v>
      </c>
      <c r="P25" s="208">
        <f t="shared" si="2"/>
        <v>-33.58</v>
      </c>
      <c r="Q25" s="163"/>
      <c r="R25" s="202">
        <v>-0.26</v>
      </c>
      <c r="S25" s="202">
        <v>-17.219999999999995</v>
      </c>
      <c r="T25" s="202"/>
      <c r="U25" s="202">
        <v>-0.13000000000000009</v>
      </c>
      <c r="V25" s="202"/>
      <c r="W25" s="202"/>
      <c r="X25" s="163"/>
      <c r="Y25" s="208">
        <f t="shared" si="0"/>
        <v>1837.7299999999996</v>
      </c>
      <c r="Z25" s="163"/>
    </row>
    <row r="26" spans="2:26" x14ac:dyDescent="0.25">
      <c r="B26" s="195"/>
      <c r="C26" s="241" t="s">
        <v>41</v>
      </c>
      <c r="D26" s="194">
        <v>-4.129999999999999</v>
      </c>
      <c r="E26" s="194">
        <v>-958.65000000000009</v>
      </c>
      <c r="F26" s="248">
        <v>-370249.86999999994</v>
      </c>
      <c r="G26" s="194">
        <v>-224.98000000000002</v>
      </c>
      <c r="H26" s="194">
        <v>-23.96</v>
      </c>
      <c r="I26" s="194">
        <v>-838.93999999999983</v>
      </c>
      <c r="J26" s="204">
        <v>-26.580000000000002</v>
      </c>
      <c r="K26" s="206">
        <f t="shared" si="1"/>
        <v>-372327.11</v>
      </c>
      <c r="L26" s="163"/>
      <c r="M26" s="194">
        <v>-435.33999999999986</v>
      </c>
      <c r="N26" s="194">
        <v>-591.32000000000005</v>
      </c>
      <c r="O26" s="194">
        <v>-830.70999999999992</v>
      </c>
      <c r="P26" s="206">
        <f t="shared" si="2"/>
        <v>-1857.37</v>
      </c>
      <c r="Q26" s="163"/>
      <c r="R26" s="194">
        <v>-13.479999999999999</v>
      </c>
      <c r="S26" s="194">
        <v>-640.99000000000012</v>
      </c>
      <c r="T26" s="194"/>
      <c r="U26" s="194">
        <v>-7.7700000000000005</v>
      </c>
      <c r="V26" s="194"/>
      <c r="W26" s="194"/>
      <c r="X26" s="163"/>
      <c r="Y26" s="206">
        <f t="shared" si="0"/>
        <v>-374846.71999999997</v>
      </c>
      <c r="Z26" s="163"/>
    </row>
    <row r="27" spans="2:26" x14ac:dyDescent="0.25">
      <c r="B27" s="195"/>
      <c r="C27" s="241" t="s">
        <v>42</v>
      </c>
      <c r="D27" s="194">
        <v>0.7</v>
      </c>
      <c r="E27" s="194">
        <v>-150.02000000000001</v>
      </c>
      <c r="F27" s="194">
        <v>-10.829999999999929</v>
      </c>
      <c r="G27" s="194">
        <v>24.540000000000013</v>
      </c>
      <c r="H27" s="194">
        <v>5.0699999999999994</v>
      </c>
      <c r="I27" s="194">
        <v>154.83999999999997</v>
      </c>
      <c r="J27" s="204">
        <v>-69.940000000000026</v>
      </c>
      <c r="K27" s="206">
        <f t="shared" si="1"/>
        <v>-45.639999999999986</v>
      </c>
      <c r="L27" s="163"/>
      <c r="M27" s="194">
        <v>-128.30999999999995</v>
      </c>
      <c r="N27" s="194">
        <v>-335.91999999999973</v>
      </c>
      <c r="O27" s="194">
        <v>136.30000000000001</v>
      </c>
      <c r="P27" s="206">
        <f t="shared" si="2"/>
        <v>-327.92999999999967</v>
      </c>
      <c r="Q27" s="163"/>
      <c r="R27" s="194">
        <v>3.84</v>
      </c>
      <c r="S27" s="194">
        <v>176.03000000000003</v>
      </c>
      <c r="T27" s="194"/>
      <c r="U27" s="194">
        <v>2.14</v>
      </c>
      <c r="V27" s="194"/>
      <c r="W27" s="194"/>
      <c r="X27" s="163"/>
      <c r="Y27" s="206">
        <f t="shared" si="0"/>
        <v>-191.55999999999966</v>
      </c>
      <c r="Z27" s="163"/>
    </row>
    <row r="28" spans="2:26" x14ac:dyDescent="0.25">
      <c r="B28" s="243"/>
      <c r="C28" s="244" t="s">
        <v>192</v>
      </c>
      <c r="D28" s="194">
        <v>-0.32999999999999968</v>
      </c>
      <c r="E28" s="194">
        <v>-3785.6099999999997</v>
      </c>
      <c r="F28" s="248">
        <v>-120155.74999999999</v>
      </c>
      <c r="G28" s="194">
        <v>-9673.5300000000007</v>
      </c>
      <c r="H28" s="194">
        <v>8.7499999999999982</v>
      </c>
      <c r="I28" s="194">
        <v>133.03</v>
      </c>
      <c r="J28" s="204">
        <v>8683.8599999999988</v>
      </c>
      <c r="K28" s="206">
        <f t="shared" si="1"/>
        <v>-124789.58</v>
      </c>
      <c r="L28" s="163"/>
      <c r="M28" s="194">
        <v>56.950000000000017</v>
      </c>
      <c r="N28" s="194">
        <v>86.160000000000011</v>
      </c>
      <c r="O28" s="194">
        <v>103.70000000000005</v>
      </c>
      <c r="P28" s="206">
        <f t="shared" si="2"/>
        <v>246.81000000000006</v>
      </c>
      <c r="Q28" s="163"/>
      <c r="R28" s="194">
        <v>-2.62</v>
      </c>
      <c r="S28" s="194">
        <v>92.07000000000005</v>
      </c>
      <c r="T28" s="194"/>
      <c r="U28" s="194">
        <v>-2.8400000000000003</v>
      </c>
      <c r="V28" s="194"/>
      <c r="W28" s="194">
        <v>-3.26</v>
      </c>
      <c r="X28" s="163"/>
      <c r="Y28" s="206">
        <f t="shared" si="0"/>
        <v>-124459.41999999998</v>
      </c>
      <c r="Z28" s="163"/>
    </row>
    <row r="29" spans="2:26" ht="13.8" thickBot="1" x14ac:dyDescent="0.3">
      <c r="B29" s="196" t="s">
        <v>219</v>
      </c>
      <c r="C29" s="197"/>
      <c r="D29" s="198">
        <v>-3.8099999999999983</v>
      </c>
      <c r="E29" s="198">
        <v>-4915.1099999999997</v>
      </c>
      <c r="F29" s="198">
        <v>-488484.17999999993</v>
      </c>
      <c r="G29" s="198">
        <v>-9878.25</v>
      </c>
      <c r="H29" s="198">
        <v>-10.770000000000001</v>
      </c>
      <c r="I29" s="198">
        <v>-567.44999999999982</v>
      </c>
      <c r="J29" s="219">
        <v>8586.159999999998</v>
      </c>
      <c r="K29" s="207">
        <f t="shared" si="1"/>
        <v>-495273.41</v>
      </c>
      <c r="L29" s="163"/>
      <c r="M29" s="198">
        <v>-514.48999999999978</v>
      </c>
      <c r="N29" s="198">
        <v>-852.63999999999976</v>
      </c>
      <c r="O29" s="198">
        <v>-604.93999999999983</v>
      </c>
      <c r="P29" s="207">
        <f t="shared" si="2"/>
        <v>-1972.0699999999995</v>
      </c>
      <c r="Q29" s="163"/>
      <c r="R29" s="198">
        <v>-12.52</v>
      </c>
      <c r="S29" s="198">
        <v>-390.11000000000007</v>
      </c>
      <c r="T29" s="198"/>
      <c r="U29" s="198">
        <v>-8.6</v>
      </c>
      <c r="V29" s="198"/>
      <c r="W29" s="198">
        <v>-3.26</v>
      </c>
      <c r="X29" s="163"/>
      <c r="Y29" s="207">
        <f t="shared" si="0"/>
        <v>-497659.97</v>
      </c>
      <c r="Z29" s="163"/>
    </row>
    <row r="30" spans="2:26" x14ac:dyDescent="0.25">
      <c r="B30" s="195" t="s">
        <v>43</v>
      </c>
      <c r="C30" s="241" t="s">
        <v>44</v>
      </c>
      <c r="D30" s="202"/>
      <c r="E30" s="202">
        <v>21633.44000000001</v>
      </c>
      <c r="F30" s="202">
        <v>-20855.369999999995</v>
      </c>
      <c r="G30" s="202">
        <v>123.95000000000003</v>
      </c>
      <c r="H30" s="202"/>
      <c r="I30" s="202"/>
      <c r="J30" s="205">
        <v>107.07000000000005</v>
      </c>
      <c r="K30" s="208">
        <f t="shared" si="1"/>
        <v>1009.0900000000144</v>
      </c>
      <c r="L30" s="163"/>
      <c r="M30" s="202">
        <v>309.41999999999962</v>
      </c>
      <c r="N30" s="202">
        <v>421.34000000000043</v>
      </c>
      <c r="O30" s="202"/>
      <c r="P30" s="208">
        <f t="shared" si="2"/>
        <v>730.76</v>
      </c>
      <c r="Q30" s="163"/>
      <c r="R30" s="202"/>
      <c r="S30" s="202"/>
      <c r="T30" s="202"/>
      <c r="U30" s="202"/>
      <c r="V30" s="202"/>
      <c r="W30" s="202"/>
      <c r="X30" s="163"/>
      <c r="Y30" s="208">
        <f t="shared" si="0"/>
        <v>1739.8500000000145</v>
      </c>
      <c r="Z30" s="163"/>
    </row>
    <row r="31" spans="2:26" x14ac:dyDescent="0.25">
      <c r="B31" s="195"/>
      <c r="C31" s="241" t="s">
        <v>45</v>
      </c>
      <c r="D31" s="194"/>
      <c r="E31" s="194">
        <v>-20395.89</v>
      </c>
      <c r="F31" s="194">
        <v>-7922.9000000000024</v>
      </c>
      <c r="G31" s="194">
        <v>-175.87</v>
      </c>
      <c r="H31" s="194"/>
      <c r="I31" s="194"/>
      <c r="J31" s="204">
        <v>-128.70999999999998</v>
      </c>
      <c r="K31" s="206">
        <f t="shared" si="1"/>
        <v>-28623.37</v>
      </c>
      <c r="L31" s="163"/>
      <c r="M31" s="194">
        <v>-637.07999999999993</v>
      </c>
      <c r="N31" s="194">
        <v>-857.0200000000001</v>
      </c>
      <c r="O31" s="194"/>
      <c r="P31" s="206">
        <f t="shared" si="2"/>
        <v>-1494.1</v>
      </c>
      <c r="Q31" s="163"/>
      <c r="R31" s="194"/>
      <c r="S31" s="194"/>
      <c r="T31" s="194"/>
      <c r="U31" s="194"/>
      <c r="V31" s="194"/>
      <c r="W31" s="194"/>
      <c r="X31" s="163"/>
      <c r="Y31" s="206">
        <f t="shared" si="0"/>
        <v>-30117.469999999998</v>
      </c>
      <c r="Z31" s="163"/>
    </row>
    <row r="32" spans="2:26" x14ac:dyDescent="0.25">
      <c r="B32" s="195"/>
      <c r="C32" s="241" t="s">
        <v>145</v>
      </c>
      <c r="D32" s="194"/>
      <c r="E32" s="194">
        <v>4868.0300000000007</v>
      </c>
      <c r="F32" s="194">
        <v>-1380.4499999999998</v>
      </c>
      <c r="G32" s="194"/>
      <c r="H32" s="194"/>
      <c r="I32" s="194"/>
      <c r="J32" s="204"/>
      <c r="K32" s="206">
        <f t="shared" si="1"/>
        <v>3487.5800000000008</v>
      </c>
      <c r="L32" s="163"/>
      <c r="M32" s="194"/>
      <c r="N32" s="194"/>
      <c r="O32" s="194"/>
      <c r="P32" s="206">
        <f t="shared" si="2"/>
        <v>0</v>
      </c>
      <c r="Q32" s="163"/>
      <c r="R32" s="194"/>
      <c r="S32" s="194"/>
      <c r="T32" s="194"/>
      <c r="U32" s="194"/>
      <c r="V32" s="194"/>
      <c r="W32" s="194"/>
      <c r="X32" s="163"/>
      <c r="Y32" s="206">
        <f t="shared" si="0"/>
        <v>3487.5800000000008</v>
      </c>
      <c r="Z32" s="163"/>
    </row>
    <row r="33" spans="2:26" x14ac:dyDescent="0.25">
      <c r="B33" s="195"/>
      <c r="C33" s="241" t="s">
        <v>46</v>
      </c>
      <c r="D33" s="194"/>
      <c r="E33" s="194">
        <v>-28793.610000000008</v>
      </c>
      <c r="F33" s="194">
        <v>-26314.150000000009</v>
      </c>
      <c r="G33" s="194">
        <v>-11.470000000000002</v>
      </c>
      <c r="H33" s="194">
        <v>-0.62000000000000011</v>
      </c>
      <c r="I33" s="194">
        <v>-80.010000000000005</v>
      </c>
      <c r="J33" s="204">
        <v>19.220000000000027</v>
      </c>
      <c r="K33" s="206">
        <f t="shared" si="1"/>
        <v>-55180.640000000021</v>
      </c>
      <c r="L33" s="163"/>
      <c r="M33" s="194">
        <v>-277.75</v>
      </c>
      <c r="N33" s="194">
        <v>-374.75999999999993</v>
      </c>
      <c r="O33" s="194">
        <v>-101.39000000000001</v>
      </c>
      <c r="P33" s="206">
        <f t="shared" si="2"/>
        <v>-753.9</v>
      </c>
      <c r="Q33" s="163"/>
      <c r="R33" s="194"/>
      <c r="S33" s="194">
        <v>-38.21</v>
      </c>
      <c r="T33" s="194"/>
      <c r="U33" s="194"/>
      <c r="V33" s="194"/>
      <c r="W33" s="194"/>
      <c r="X33" s="163"/>
      <c r="Y33" s="206">
        <f t="shared" si="0"/>
        <v>-55972.750000000022</v>
      </c>
      <c r="Z33" s="163"/>
    </row>
    <row r="34" spans="2:26" x14ac:dyDescent="0.25">
      <c r="B34" s="195"/>
      <c r="C34" s="241" t="s">
        <v>383</v>
      </c>
      <c r="D34" s="194"/>
      <c r="E34" s="194">
        <v>-25.68</v>
      </c>
      <c r="F34" s="194">
        <v>-10.23</v>
      </c>
      <c r="G34" s="194"/>
      <c r="H34" s="194"/>
      <c r="I34" s="194">
        <v>-418.9799999999999</v>
      </c>
      <c r="J34" s="204"/>
      <c r="K34" s="206">
        <f t="shared" si="1"/>
        <v>-454.88999999999987</v>
      </c>
      <c r="L34" s="163"/>
      <c r="M34" s="194"/>
      <c r="N34" s="194"/>
      <c r="O34" s="194"/>
      <c r="P34" s="206">
        <f t="shared" si="2"/>
        <v>0</v>
      </c>
      <c r="Q34" s="163"/>
      <c r="R34" s="194"/>
      <c r="S34" s="194"/>
      <c r="T34" s="194"/>
      <c r="U34" s="194"/>
      <c r="V34" s="194"/>
      <c r="W34" s="194"/>
      <c r="X34" s="163"/>
      <c r="Y34" s="206">
        <f t="shared" si="0"/>
        <v>-454.88999999999987</v>
      </c>
      <c r="Z34" s="163"/>
    </row>
    <row r="35" spans="2:26" x14ac:dyDescent="0.25">
      <c r="B35" s="195"/>
      <c r="C35" s="241" t="s">
        <v>47</v>
      </c>
      <c r="D35" s="194"/>
      <c r="E35" s="194">
        <v>6370.64</v>
      </c>
      <c r="F35" s="194">
        <v>-326.25000000000011</v>
      </c>
      <c r="G35" s="194"/>
      <c r="H35" s="194"/>
      <c r="I35" s="194"/>
      <c r="J35" s="204"/>
      <c r="K35" s="206">
        <f t="shared" si="1"/>
        <v>6044.39</v>
      </c>
      <c r="L35" s="163"/>
      <c r="M35" s="194"/>
      <c r="N35" s="194"/>
      <c r="O35" s="194"/>
      <c r="P35" s="206">
        <f t="shared" si="2"/>
        <v>0</v>
      </c>
      <c r="Q35" s="163"/>
      <c r="R35" s="194"/>
      <c r="S35" s="194"/>
      <c r="T35" s="194"/>
      <c r="U35" s="194"/>
      <c r="V35" s="194"/>
      <c r="W35" s="194"/>
      <c r="X35" s="163"/>
      <c r="Y35" s="206">
        <f t="shared" si="0"/>
        <v>6044.39</v>
      </c>
      <c r="Z35" s="163"/>
    </row>
    <row r="36" spans="2:26" x14ac:dyDescent="0.25">
      <c r="B36" s="195"/>
      <c r="C36" s="241" t="s">
        <v>48</v>
      </c>
      <c r="D36" s="194"/>
      <c r="E36" s="194">
        <v>-2544.8400000000011</v>
      </c>
      <c r="F36" s="194">
        <v>-4594.380000000001</v>
      </c>
      <c r="G36" s="194">
        <v>40.889999999999993</v>
      </c>
      <c r="H36" s="194"/>
      <c r="I36" s="194"/>
      <c r="J36" s="204">
        <v>43.319999999999993</v>
      </c>
      <c r="K36" s="206">
        <f t="shared" si="1"/>
        <v>-7055.010000000002</v>
      </c>
      <c r="L36" s="163"/>
      <c r="M36" s="194">
        <v>38.229999999999976</v>
      </c>
      <c r="N36" s="194">
        <v>51.46</v>
      </c>
      <c r="O36" s="194"/>
      <c r="P36" s="206">
        <f t="shared" si="2"/>
        <v>89.689999999999969</v>
      </c>
      <c r="Q36" s="163"/>
      <c r="R36" s="194"/>
      <c r="S36" s="194"/>
      <c r="T36" s="194"/>
      <c r="U36" s="194">
        <v>-27</v>
      </c>
      <c r="V36" s="194"/>
      <c r="W36" s="194"/>
      <c r="X36" s="163"/>
      <c r="Y36" s="206">
        <f t="shared" si="0"/>
        <v>-6992.3200000000024</v>
      </c>
      <c r="Z36" s="163"/>
    </row>
    <row r="37" spans="2:26" x14ac:dyDescent="0.25">
      <c r="B37" s="195"/>
      <c r="C37" s="241" t="s">
        <v>49</v>
      </c>
      <c r="D37" s="194"/>
      <c r="E37" s="194">
        <v>6469.329999999999</v>
      </c>
      <c r="F37" s="194">
        <v>-558.41</v>
      </c>
      <c r="G37" s="194">
        <v>900.13999999999987</v>
      </c>
      <c r="H37" s="194"/>
      <c r="I37" s="194"/>
      <c r="J37" s="204">
        <v>33.950000000000024</v>
      </c>
      <c r="K37" s="206">
        <f t="shared" si="1"/>
        <v>6845.0099999999993</v>
      </c>
      <c r="L37" s="163"/>
      <c r="M37" s="194">
        <v>103.55000000000001</v>
      </c>
      <c r="N37" s="194">
        <v>139.34</v>
      </c>
      <c r="O37" s="194"/>
      <c r="P37" s="206">
        <f t="shared" si="2"/>
        <v>242.89000000000001</v>
      </c>
      <c r="Q37" s="163"/>
      <c r="R37" s="194"/>
      <c r="S37" s="194"/>
      <c r="T37" s="194"/>
      <c r="U37" s="194"/>
      <c r="V37" s="194"/>
      <c r="W37" s="194"/>
      <c r="X37" s="163"/>
      <c r="Y37" s="206">
        <f t="shared" si="0"/>
        <v>7087.9</v>
      </c>
      <c r="Z37" s="163"/>
    </row>
    <row r="38" spans="2:26" x14ac:dyDescent="0.25">
      <c r="B38" s="195"/>
      <c r="C38" s="241" t="s">
        <v>50</v>
      </c>
      <c r="D38" s="194"/>
      <c r="E38" s="194">
        <v>-44401.849999999991</v>
      </c>
      <c r="F38" s="194">
        <v>12119.319999999998</v>
      </c>
      <c r="G38" s="194">
        <v>763.24999999999977</v>
      </c>
      <c r="H38" s="194">
        <v>-1.0600000000000003</v>
      </c>
      <c r="I38" s="194">
        <v>-130.34</v>
      </c>
      <c r="J38" s="204">
        <v>277.42</v>
      </c>
      <c r="K38" s="206">
        <f t="shared" si="1"/>
        <v>-31373.259999999995</v>
      </c>
      <c r="L38" s="163"/>
      <c r="M38" s="194">
        <v>-66.30999999999986</v>
      </c>
      <c r="N38" s="194">
        <v>-95.58000000000014</v>
      </c>
      <c r="O38" s="194">
        <v>-169.05999999999997</v>
      </c>
      <c r="P38" s="206">
        <f t="shared" si="2"/>
        <v>-330.94999999999993</v>
      </c>
      <c r="Q38" s="163"/>
      <c r="R38" s="194"/>
      <c r="S38" s="194">
        <v>-68.290000000000006</v>
      </c>
      <c r="T38" s="194"/>
      <c r="U38" s="194"/>
      <c r="V38" s="194"/>
      <c r="W38" s="194"/>
      <c r="X38" s="163"/>
      <c r="Y38" s="206">
        <f t="shared" si="0"/>
        <v>-31772.499999999996</v>
      </c>
      <c r="Z38" s="163"/>
    </row>
    <row r="39" spans="2:26" x14ac:dyDescent="0.25">
      <c r="B39" s="243"/>
      <c r="C39" s="244" t="s">
        <v>51</v>
      </c>
      <c r="D39" s="194">
        <v>-0.37999999999999995</v>
      </c>
      <c r="E39" s="194">
        <v>142.41999999999999</v>
      </c>
      <c r="F39" s="194">
        <v>-17.629999999999995</v>
      </c>
      <c r="G39" s="194">
        <v>-27.229999999999997</v>
      </c>
      <c r="H39" s="194">
        <v>-2.6400000000000006</v>
      </c>
      <c r="I39" s="194">
        <v>-82.840000000000018</v>
      </c>
      <c r="J39" s="204">
        <v>-1.5800000000000005</v>
      </c>
      <c r="K39" s="206">
        <f t="shared" si="1"/>
        <v>10.119999999999989</v>
      </c>
      <c r="L39" s="163"/>
      <c r="M39" s="194">
        <v>-2141.849999999999</v>
      </c>
      <c r="N39" s="194">
        <v>-59.620000000000005</v>
      </c>
      <c r="O39" s="194">
        <v>208.51000000000008</v>
      </c>
      <c r="P39" s="206">
        <f t="shared" si="2"/>
        <v>-1992.9599999999989</v>
      </c>
      <c r="Q39" s="163"/>
      <c r="R39" s="194">
        <v>-2.14</v>
      </c>
      <c r="S39" s="194">
        <v>-95.169999999999987</v>
      </c>
      <c r="T39" s="194"/>
      <c r="U39" s="194">
        <v>-1.23</v>
      </c>
      <c r="V39" s="194"/>
      <c r="W39" s="194"/>
      <c r="X39" s="163"/>
      <c r="Y39" s="206">
        <f t="shared" si="0"/>
        <v>-2081.3799999999992</v>
      </c>
      <c r="Z39" s="163"/>
    </row>
    <row r="40" spans="2:26" ht="13.8" thickBot="1" x14ac:dyDescent="0.3">
      <c r="B40" s="196" t="s">
        <v>220</v>
      </c>
      <c r="C40" s="197"/>
      <c r="D40" s="198">
        <v>-0.37999999999999995</v>
      </c>
      <c r="E40" s="198">
        <v>-56678.009999999995</v>
      </c>
      <c r="F40" s="198">
        <v>-49860.450000000012</v>
      </c>
      <c r="G40" s="198">
        <v>1613.6599999999996</v>
      </c>
      <c r="H40" s="198">
        <v>-4.3200000000000012</v>
      </c>
      <c r="I40" s="198">
        <v>-712.17</v>
      </c>
      <c r="J40" s="219">
        <v>350.69000000000011</v>
      </c>
      <c r="K40" s="207">
        <f t="shared" si="1"/>
        <v>-105290.98</v>
      </c>
      <c r="L40" s="163"/>
      <c r="M40" s="198">
        <v>-2671.7899999999991</v>
      </c>
      <c r="N40" s="198">
        <v>-774.83999999999969</v>
      </c>
      <c r="O40" s="198">
        <v>-61.939999999999912</v>
      </c>
      <c r="P40" s="207">
        <f t="shared" si="2"/>
        <v>-3508.5699999999988</v>
      </c>
      <c r="Q40" s="163"/>
      <c r="R40" s="198">
        <v>-2.14</v>
      </c>
      <c r="S40" s="198">
        <v>-201.67</v>
      </c>
      <c r="T40" s="198"/>
      <c r="U40" s="198">
        <v>-28.23</v>
      </c>
      <c r="V40" s="198"/>
      <c r="W40" s="198"/>
      <c r="X40" s="163"/>
      <c r="Y40" s="207">
        <f t="shared" si="0"/>
        <v>-109031.58999999998</v>
      </c>
      <c r="Z40" s="163"/>
    </row>
    <row r="41" spans="2:26" x14ac:dyDescent="0.25">
      <c r="B41" s="195" t="s">
        <v>52</v>
      </c>
      <c r="C41" s="241" t="s">
        <v>199</v>
      </c>
      <c r="D41" s="202"/>
      <c r="E41" s="202">
        <v>2412.0500000000006</v>
      </c>
      <c r="F41" s="202">
        <v>870.30000000000007</v>
      </c>
      <c r="G41" s="202">
        <v>350.96</v>
      </c>
      <c r="H41" s="202"/>
      <c r="I41" s="202"/>
      <c r="J41" s="205">
        <v>328.59000000000015</v>
      </c>
      <c r="K41" s="208">
        <f t="shared" si="1"/>
        <v>3961.900000000001</v>
      </c>
      <c r="L41" s="163"/>
      <c r="M41" s="202">
        <v>31082.550000000003</v>
      </c>
      <c r="N41" s="202">
        <v>2644.4300000000003</v>
      </c>
      <c r="O41" s="202"/>
      <c r="P41" s="208">
        <f t="shared" si="2"/>
        <v>33726.980000000003</v>
      </c>
      <c r="Q41" s="163"/>
      <c r="R41" s="202"/>
      <c r="S41" s="202"/>
      <c r="T41" s="202"/>
      <c r="U41" s="202">
        <v>15.199999999999996</v>
      </c>
      <c r="V41" s="202"/>
      <c r="W41" s="202"/>
      <c r="X41" s="163"/>
      <c r="Y41" s="208">
        <f t="shared" si="0"/>
        <v>37704.080000000002</v>
      </c>
      <c r="Z41" s="163"/>
    </row>
    <row r="42" spans="2:26" x14ac:dyDescent="0.25">
      <c r="B42" s="195"/>
      <c r="C42" s="241" t="s">
        <v>53</v>
      </c>
      <c r="D42" s="194"/>
      <c r="E42" s="194">
        <v>-1326.7999999999995</v>
      </c>
      <c r="F42" s="194"/>
      <c r="G42" s="194"/>
      <c r="H42" s="194"/>
      <c r="I42" s="194"/>
      <c r="J42" s="204"/>
      <c r="K42" s="206">
        <f t="shared" si="1"/>
        <v>-1326.7999999999995</v>
      </c>
      <c r="L42" s="163"/>
      <c r="M42" s="194">
        <v>-17.97000000000001</v>
      </c>
      <c r="N42" s="194">
        <v>-24.04000000000002</v>
      </c>
      <c r="O42" s="194"/>
      <c r="P42" s="206">
        <f t="shared" si="2"/>
        <v>-42.010000000000034</v>
      </c>
      <c r="Q42" s="163"/>
      <c r="R42" s="194"/>
      <c r="S42" s="194"/>
      <c r="T42" s="194"/>
      <c r="U42" s="194"/>
      <c r="V42" s="194"/>
      <c r="W42" s="194"/>
      <c r="X42" s="163"/>
      <c r="Y42" s="206">
        <f t="shared" si="0"/>
        <v>-1368.8099999999995</v>
      </c>
      <c r="Z42" s="163"/>
    </row>
    <row r="43" spans="2:26" x14ac:dyDescent="0.25">
      <c r="B43" s="195"/>
      <c r="C43" s="241" t="s">
        <v>216</v>
      </c>
      <c r="D43" s="194"/>
      <c r="E43" s="194">
        <v>433.44</v>
      </c>
      <c r="F43" s="194">
        <v>172</v>
      </c>
      <c r="G43" s="194">
        <v>120.1</v>
      </c>
      <c r="H43" s="194"/>
      <c r="I43" s="194"/>
      <c r="J43" s="204"/>
      <c r="K43" s="206">
        <f t="shared" si="1"/>
        <v>725.54000000000008</v>
      </c>
      <c r="L43" s="163"/>
      <c r="M43" s="194">
        <v>39.830000000000062</v>
      </c>
      <c r="N43" s="194">
        <v>338.72</v>
      </c>
      <c r="O43" s="194"/>
      <c r="P43" s="206">
        <f t="shared" si="2"/>
        <v>378.55000000000007</v>
      </c>
      <c r="Q43" s="163"/>
      <c r="R43" s="194"/>
      <c r="S43" s="194"/>
      <c r="T43" s="194"/>
      <c r="U43" s="194"/>
      <c r="V43" s="194"/>
      <c r="W43" s="194"/>
      <c r="X43" s="163"/>
      <c r="Y43" s="206">
        <f t="shared" si="0"/>
        <v>1104.0900000000001</v>
      </c>
      <c r="Z43" s="163"/>
    </row>
    <row r="44" spans="2:26" x14ac:dyDescent="0.25">
      <c r="B44" s="195"/>
      <c r="C44" s="241" t="s">
        <v>54</v>
      </c>
      <c r="D44" s="194"/>
      <c r="E44" s="194">
        <v>-1971.5399999999997</v>
      </c>
      <c r="F44" s="194">
        <v>-14908.340000000002</v>
      </c>
      <c r="G44" s="194">
        <v>-152.86999999999998</v>
      </c>
      <c r="H44" s="194"/>
      <c r="I44" s="194"/>
      <c r="J44" s="204">
        <v>-48.199999999999989</v>
      </c>
      <c r="K44" s="206">
        <f t="shared" si="1"/>
        <v>-17080.95</v>
      </c>
      <c r="L44" s="163"/>
      <c r="M44" s="194">
        <v>644.30999999999995</v>
      </c>
      <c r="N44" s="194">
        <v>-582.08999999999992</v>
      </c>
      <c r="O44" s="194"/>
      <c r="P44" s="206">
        <f t="shared" si="2"/>
        <v>62.220000000000027</v>
      </c>
      <c r="Q44" s="163"/>
      <c r="R44" s="194"/>
      <c r="S44" s="194"/>
      <c r="T44" s="194"/>
      <c r="U44" s="194">
        <v>2.19</v>
      </c>
      <c r="V44" s="194"/>
      <c r="W44" s="194"/>
      <c r="X44" s="163"/>
      <c r="Y44" s="206">
        <f t="shared" si="0"/>
        <v>-17016.54</v>
      </c>
      <c r="Z44" s="163"/>
    </row>
    <row r="45" spans="2:26" x14ac:dyDescent="0.25">
      <c r="B45" s="195"/>
      <c r="C45" s="241" t="s">
        <v>215</v>
      </c>
      <c r="D45" s="194">
        <v>-0.4600000000000003</v>
      </c>
      <c r="E45" s="194">
        <v>840.21000000000015</v>
      </c>
      <c r="F45" s="194">
        <v>-63.870000000000005</v>
      </c>
      <c r="G45" s="194">
        <v>-25.769999999999992</v>
      </c>
      <c r="H45" s="194">
        <v>-0.20000000000000018</v>
      </c>
      <c r="I45" s="194">
        <v>-44.11999999999999</v>
      </c>
      <c r="J45" s="204">
        <v>8.1500000000000021</v>
      </c>
      <c r="K45" s="206">
        <f t="shared" si="1"/>
        <v>713.94</v>
      </c>
      <c r="L45" s="163"/>
      <c r="M45" s="194">
        <v>-1081.7000000000003</v>
      </c>
      <c r="N45" s="194">
        <v>-33.799999999999997</v>
      </c>
      <c r="O45" s="194">
        <v>-40.950000000000003</v>
      </c>
      <c r="P45" s="206">
        <f t="shared" si="2"/>
        <v>-1156.4500000000003</v>
      </c>
      <c r="Q45" s="163"/>
      <c r="R45" s="194">
        <v>-2.76</v>
      </c>
      <c r="S45" s="194">
        <v>-66.520000000000039</v>
      </c>
      <c r="T45" s="194"/>
      <c r="U45" s="194">
        <v>-1.94</v>
      </c>
      <c r="V45" s="194"/>
      <c r="W45" s="194"/>
      <c r="X45" s="163"/>
      <c r="Y45" s="206">
        <f t="shared" si="0"/>
        <v>-513.73000000000025</v>
      </c>
      <c r="Z45" s="163"/>
    </row>
    <row r="46" spans="2:26" x14ac:dyDescent="0.25">
      <c r="B46" s="243"/>
      <c r="C46" s="244" t="s">
        <v>55</v>
      </c>
      <c r="D46" s="194"/>
      <c r="E46" s="194">
        <v>747.21000000000015</v>
      </c>
      <c r="F46" s="194">
        <v>8369.6099999999988</v>
      </c>
      <c r="G46" s="194">
        <v>138.01999999999998</v>
      </c>
      <c r="H46" s="194"/>
      <c r="I46" s="194"/>
      <c r="J46" s="204">
        <v>69.84</v>
      </c>
      <c r="K46" s="206">
        <f t="shared" si="1"/>
        <v>9324.68</v>
      </c>
      <c r="L46" s="163"/>
      <c r="M46" s="194">
        <v>-11664.52</v>
      </c>
      <c r="N46" s="194">
        <v>922.40000000000009</v>
      </c>
      <c r="O46" s="194"/>
      <c r="P46" s="206">
        <f t="shared" si="2"/>
        <v>-10742.12</v>
      </c>
      <c r="Q46" s="163"/>
      <c r="R46" s="194"/>
      <c r="S46" s="194"/>
      <c r="T46" s="194"/>
      <c r="U46" s="194">
        <v>0.99999999999999989</v>
      </c>
      <c r="V46" s="194"/>
      <c r="W46" s="194"/>
      <c r="X46" s="163"/>
      <c r="Y46" s="206">
        <f t="shared" si="0"/>
        <v>-1416.4400000000005</v>
      </c>
      <c r="Z46" s="163"/>
    </row>
    <row r="47" spans="2:26" ht="13.8" thickBot="1" x14ac:dyDescent="0.3">
      <c r="B47" s="196" t="s">
        <v>221</v>
      </c>
      <c r="C47" s="197"/>
      <c r="D47" s="198">
        <v>-0.4600000000000003</v>
      </c>
      <c r="E47" s="198">
        <v>1134.5700000000018</v>
      </c>
      <c r="F47" s="198">
        <v>-5560.3000000000029</v>
      </c>
      <c r="G47" s="198">
        <v>430.43999999999994</v>
      </c>
      <c r="H47" s="198">
        <v>-0.20000000000000018</v>
      </c>
      <c r="I47" s="198">
        <v>-44.11999999999999</v>
      </c>
      <c r="J47" s="219">
        <v>358.38000000000011</v>
      </c>
      <c r="K47" s="207">
        <f t="shared" si="1"/>
        <v>-3681.690000000001</v>
      </c>
      <c r="L47" s="163"/>
      <c r="M47" s="198">
        <v>19002.500000000004</v>
      </c>
      <c r="N47" s="198">
        <v>3265.6200000000003</v>
      </c>
      <c r="O47" s="198">
        <v>-40.950000000000003</v>
      </c>
      <c r="P47" s="207">
        <f t="shared" si="2"/>
        <v>22227.170000000002</v>
      </c>
      <c r="Q47" s="163"/>
      <c r="R47" s="198">
        <v>-2.76</v>
      </c>
      <c r="S47" s="198">
        <v>-66.520000000000039</v>
      </c>
      <c r="T47" s="198"/>
      <c r="U47" s="198">
        <v>16.449999999999996</v>
      </c>
      <c r="V47" s="198"/>
      <c r="W47" s="198"/>
      <c r="X47" s="163"/>
      <c r="Y47" s="207">
        <f t="shared" si="0"/>
        <v>18492.650000000001</v>
      </c>
      <c r="Z47" s="163"/>
    </row>
    <row r="48" spans="2:26" x14ac:dyDescent="0.25">
      <c r="B48" s="195" t="s">
        <v>56</v>
      </c>
      <c r="C48" s="241" t="s">
        <v>57</v>
      </c>
      <c r="D48" s="202"/>
      <c r="E48" s="202">
        <v>-7215.8499999999904</v>
      </c>
      <c r="F48" s="202">
        <v>-23723.57</v>
      </c>
      <c r="G48" s="202">
        <v>-1632.4900000000016</v>
      </c>
      <c r="H48" s="202">
        <v>3.0900000000000003</v>
      </c>
      <c r="I48" s="202">
        <v>95.12</v>
      </c>
      <c r="J48" s="205">
        <v>-2588.070000000002</v>
      </c>
      <c r="K48" s="208">
        <f t="shared" si="1"/>
        <v>-35061.769999999997</v>
      </c>
      <c r="L48" s="163"/>
      <c r="M48" s="202">
        <v>14025.399999999989</v>
      </c>
      <c r="N48" s="202">
        <v>-8274.9800000000105</v>
      </c>
      <c r="O48" s="202"/>
      <c r="P48" s="208">
        <f t="shared" si="2"/>
        <v>5750.4199999999782</v>
      </c>
      <c r="Q48" s="163"/>
      <c r="R48" s="202">
        <v>-1334.8799999999999</v>
      </c>
      <c r="S48" s="202">
        <v>-462.43</v>
      </c>
      <c r="T48" s="202"/>
      <c r="U48" s="202"/>
      <c r="V48" s="202">
        <v>-101.22999999999999</v>
      </c>
      <c r="W48" s="202"/>
      <c r="X48" s="163"/>
      <c r="Y48" s="208">
        <f t="shared" si="0"/>
        <v>-31209.890000000021</v>
      </c>
      <c r="Z48" s="163"/>
    </row>
    <row r="49" spans="2:26" x14ac:dyDescent="0.25">
      <c r="B49" s="243"/>
      <c r="C49" s="244" t="s">
        <v>58</v>
      </c>
      <c r="D49" s="194">
        <v>-9.76</v>
      </c>
      <c r="E49" s="194">
        <v>-87780.859999999986</v>
      </c>
      <c r="F49" s="194">
        <v>-32868.579999999973</v>
      </c>
      <c r="G49" s="194">
        <v>-10250.369999999994</v>
      </c>
      <c r="H49" s="194">
        <v>38.62999999999996</v>
      </c>
      <c r="I49" s="194">
        <v>-3445.2500000000014</v>
      </c>
      <c r="J49" s="204">
        <v>-14279.550000000001</v>
      </c>
      <c r="K49" s="206">
        <f t="shared" si="1"/>
        <v>-148595.73999999993</v>
      </c>
      <c r="L49" s="163"/>
      <c r="M49" s="194">
        <v>-33215.579999999958</v>
      </c>
      <c r="N49" s="194">
        <v>-60560.73000000001</v>
      </c>
      <c r="O49" s="194">
        <v>-2253.8599999999997</v>
      </c>
      <c r="P49" s="206">
        <f t="shared" si="2"/>
        <v>-96030.169999999969</v>
      </c>
      <c r="Q49" s="163"/>
      <c r="R49" s="194">
        <v>-22145.900000000009</v>
      </c>
      <c r="S49" s="194">
        <v>-5380.8000000000038</v>
      </c>
      <c r="T49" s="194">
        <v>-0.08</v>
      </c>
      <c r="U49" s="194">
        <v>2191.7099999999996</v>
      </c>
      <c r="V49" s="194">
        <v>-41.17</v>
      </c>
      <c r="W49" s="194">
        <v>84.039999999999992</v>
      </c>
      <c r="X49" s="163"/>
      <c r="Y49" s="206">
        <f t="shared" si="0"/>
        <v>-269918.10999999993</v>
      </c>
      <c r="Z49" s="163"/>
    </row>
    <row r="50" spans="2:26" ht="13.8" thickBot="1" x14ac:dyDescent="0.3">
      <c r="B50" s="196" t="s">
        <v>222</v>
      </c>
      <c r="C50" s="197"/>
      <c r="D50" s="198">
        <v>-9.76</v>
      </c>
      <c r="E50" s="198">
        <v>-94996.709999999977</v>
      </c>
      <c r="F50" s="198">
        <v>-56592.149999999972</v>
      </c>
      <c r="G50" s="198">
        <v>-11882.859999999995</v>
      </c>
      <c r="H50" s="198">
        <v>41.719999999999963</v>
      </c>
      <c r="I50" s="198">
        <v>-3350.1300000000015</v>
      </c>
      <c r="J50" s="219">
        <v>-16867.620000000003</v>
      </c>
      <c r="K50" s="207">
        <f t="shared" si="1"/>
        <v>-183657.50999999992</v>
      </c>
      <c r="L50" s="163"/>
      <c r="M50" s="198">
        <v>-19190.179999999971</v>
      </c>
      <c r="N50" s="198">
        <v>-68835.710000000021</v>
      </c>
      <c r="O50" s="198">
        <v>-2253.8599999999997</v>
      </c>
      <c r="P50" s="207">
        <f t="shared" si="2"/>
        <v>-90279.749999999985</v>
      </c>
      <c r="Q50" s="163"/>
      <c r="R50" s="198">
        <v>-23480.78000000001</v>
      </c>
      <c r="S50" s="198">
        <v>-5843.2300000000041</v>
      </c>
      <c r="T50" s="198">
        <v>-0.08</v>
      </c>
      <c r="U50" s="198">
        <v>2191.7099999999996</v>
      </c>
      <c r="V50" s="198">
        <v>-142.39999999999998</v>
      </c>
      <c r="W50" s="198">
        <v>84.039999999999992</v>
      </c>
      <c r="X50" s="163"/>
      <c r="Y50" s="207">
        <f t="shared" si="0"/>
        <v>-301127.99999999994</v>
      </c>
      <c r="Z50" s="163"/>
    </row>
    <row r="51" spans="2:26" x14ac:dyDescent="0.25">
      <c r="B51" s="195" t="s">
        <v>59</v>
      </c>
      <c r="C51" s="241" t="s">
        <v>60</v>
      </c>
      <c r="D51" s="202">
        <v>-462.70999999999992</v>
      </c>
      <c r="E51" s="249">
        <v>-407438.31</v>
      </c>
      <c r="F51" s="249">
        <v>-236265.23000000013</v>
      </c>
      <c r="G51" s="202">
        <v>-54262.06999999992</v>
      </c>
      <c r="H51" s="202">
        <v>-6714.4300000000021</v>
      </c>
      <c r="I51" s="249">
        <v>-390763.02999999968</v>
      </c>
      <c r="J51" s="205">
        <v>-17910.399999999987</v>
      </c>
      <c r="K51" s="208">
        <f t="shared" si="1"/>
        <v>-1113816.1799999997</v>
      </c>
      <c r="L51" s="163"/>
      <c r="M51" s="249">
        <v>-150577.37999999983</v>
      </c>
      <c r="N51" s="249">
        <v>-217080.88000000015</v>
      </c>
      <c r="O51" s="249">
        <v>-515678.26000000024</v>
      </c>
      <c r="P51" s="208">
        <f t="shared" si="2"/>
        <v>-883336.52000000025</v>
      </c>
      <c r="Q51" s="163"/>
      <c r="R51" s="202">
        <v>-1271.8600000000004</v>
      </c>
      <c r="S51" s="249">
        <v>-817520.73000000091</v>
      </c>
      <c r="T51" s="202">
        <v>-10.760000000000003</v>
      </c>
      <c r="U51" s="202">
        <v>54.809999999999988</v>
      </c>
      <c r="V51" s="202">
        <v>-21361.29</v>
      </c>
      <c r="W51" s="249">
        <v>-178944.94999999984</v>
      </c>
      <c r="X51" s="163"/>
      <c r="Y51" s="208">
        <f t="shared" si="0"/>
        <v>-3016207.4800000004</v>
      </c>
      <c r="Z51" s="163"/>
    </row>
    <row r="52" spans="2:26" x14ac:dyDescent="0.25">
      <c r="B52" s="195"/>
      <c r="C52" s="241" t="s">
        <v>61</v>
      </c>
      <c r="D52" s="194"/>
      <c r="E52" s="194">
        <v>360.67999999999591</v>
      </c>
      <c r="F52" s="194">
        <v>-6410.550000000012</v>
      </c>
      <c r="G52" s="194">
        <v>-734.3100000000079</v>
      </c>
      <c r="H52" s="194">
        <v>-224.56000000000009</v>
      </c>
      <c r="I52" s="194">
        <v>-11373.250000000025</v>
      </c>
      <c r="J52" s="204">
        <v>-556.67999999999893</v>
      </c>
      <c r="K52" s="206">
        <f t="shared" si="1"/>
        <v>-18938.670000000049</v>
      </c>
      <c r="L52" s="163"/>
      <c r="M52" s="194">
        <v>-2619.58</v>
      </c>
      <c r="N52" s="194">
        <v>-2401.0799999999995</v>
      </c>
      <c r="O52" s="194">
        <v>76050.179999999964</v>
      </c>
      <c r="P52" s="206">
        <f t="shared" si="2"/>
        <v>71029.51999999996</v>
      </c>
      <c r="Q52" s="163"/>
      <c r="R52" s="194"/>
      <c r="S52" s="194">
        <v>-10883.899999999987</v>
      </c>
      <c r="T52" s="194">
        <v>-0.16999999999999998</v>
      </c>
      <c r="U52" s="194">
        <v>9.3399999999999981</v>
      </c>
      <c r="V52" s="194">
        <v>-152.39999999999992</v>
      </c>
      <c r="W52" s="194">
        <v>33112.82999999998</v>
      </c>
      <c r="X52" s="163"/>
      <c r="Y52" s="206">
        <f t="shared" si="0"/>
        <v>74176.549999999901</v>
      </c>
      <c r="Z52" s="163"/>
    </row>
    <row r="53" spans="2:26" x14ac:dyDescent="0.25">
      <c r="B53" s="195"/>
      <c r="C53" s="241" t="s">
        <v>62</v>
      </c>
      <c r="D53" s="194"/>
      <c r="E53" s="194"/>
      <c r="F53" s="194"/>
      <c r="G53" s="194"/>
      <c r="H53" s="194"/>
      <c r="I53" s="194"/>
      <c r="J53" s="204"/>
      <c r="K53" s="206">
        <f t="shared" si="1"/>
        <v>0</v>
      </c>
      <c r="L53" s="163"/>
      <c r="M53" s="194">
        <v>180.60999999999996</v>
      </c>
      <c r="N53" s="194">
        <v>274.86999999999995</v>
      </c>
      <c r="O53" s="194">
        <v>560.38</v>
      </c>
      <c r="P53" s="206">
        <f t="shared" si="2"/>
        <v>1015.8599999999999</v>
      </c>
      <c r="Q53" s="163"/>
      <c r="R53" s="194"/>
      <c r="S53" s="194">
        <v>57.789999999999992</v>
      </c>
      <c r="T53" s="194"/>
      <c r="U53" s="194"/>
      <c r="V53" s="194">
        <v>11.09</v>
      </c>
      <c r="W53" s="194">
        <v>81.539999999999992</v>
      </c>
      <c r="X53" s="163"/>
      <c r="Y53" s="206">
        <f t="shared" si="0"/>
        <v>1166.2799999999997</v>
      </c>
      <c r="Z53" s="163"/>
    </row>
    <row r="54" spans="2:26" x14ac:dyDescent="0.25">
      <c r="B54" s="195"/>
      <c r="C54" s="241" t="s">
        <v>147</v>
      </c>
      <c r="D54" s="194"/>
      <c r="E54" s="194"/>
      <c r="F54" s="194"/>
      <c r="G54" s="194"/>
      <c r="H54" s="194"/>
      <c r="I54" s="194"/>
      <c r="J54" s="204"/>
      <c r="K54" s="206">
        <f t="shared" si="1"/>
        <v>0</v>
      </c>
      <c r="L54" s="163"/>
      <c r="M54" s="194"/>
      <c r="N54" s="194"/>
      <c r="O54" s="194">
        <v>-5022.8600000000006</v>
      </c>
      <c r="P54" s="206">
        <f t="shared" si="2"/>
        <v>-5022.8600000000006</v>
      </c>
      <c r="Q54" s="163"/>
      <c r="R54" s="194"/>
      <c r="S54" s="194"/>
      <c r="T54" s="194"/>
      <c r="U54" s="194"/>
      <c r="V54" s="194"/>
      <c r="W54" s="194"/>
      <c r="X54" s="163"/>
      <c r="Y54" s="206">
        <f t="shared" si="0"/>
        <v>-5022.8600000000006</v>
      </c>
      <c r="Z54" s="163"/>
    </row>
    <row r="55" spans="2:26" x14ac:dyDescent="0.25">
      <c r="B55" s="195"/>
      <c r="C55" s="241" t="s">
        <v>63</v>
      </c>
      <c r="D55" s="194">
        <v>-0.09</v>
      </c>
      <c r="E55" s="194">
        <v>-2946.4800000000005</v>
      </c>
      <c r="F55" s="194">
        <v>-960.1300000000017</v>
      </c>
      <c r="G55" s="194">
        <v>-579.41999999999859</v>
      </c>
      <c r="H55" s="194">
        <v>-6.05</v>
      </c>
      <c r="I55" s="194">
        <v>-71.939999999998463</v>
      </c>
      <c r="J55" s="204">
        <v>-75.140000000000697</v>
      </c>
      <c r="K55" s="206">
        <f t="shared" si="1"/>
        <v>-4639.25</v>
      </c>
      <c r="L55" s="163"/>
      <c r="M55" s="194">
        <v>-165.72000000000216</v>
      </c>
      <c r="N55" s="194">
        <v>763.82000000000119</v>
      </c>
      <c r="O55" s="194">
        <v>2396.0800000000067</v>
      </c>
      <c r="P55" s="206">
        <f t="shared" si="2"/>
        <v>2994.1800000000057</v>
      </c>
      <c r="Q55" s="163"/>
      <c r="R55" s="194">
        <v>-0.55000000000000004</v>
      </c>
      <c r="S55" s="194">
        <v>3744.9599999999996</v>
      </c>
      <c r="T55" s="194">
        <v>0.24</v>
      </c>
      <c r="U55" s="194">
        <v>-1.0300000000000158</v>
      </c>
      <c r="V55" s="194">
        <v>95.319999999999922</v>
      </c>
      <c r="W55" s="194">
        <v>-372.89000000000044</v>
      </c>
      <c r="X55" s="163"/>
      <c r="Y55" s="206">
        <f t="shared" si="0"/>
        <v>1820.9800000000046</v>
      </c>
      <c r="Z55" s="163"/>
    </row>
    <row r="56" spans="2:26" x14ac:dyDescent="0.25">
      <c r="B56" s="195"/>
      <c r="C56" s="241" t="s">
        <v>64</v>
      </c>
      <c r="D56" s="194">
        <v>4.9999999999999975E-2</v>
      </c>
      <c r="E56" s="194">
        <v>-34877.92000000002</v>
      </c>
      <c r="F56" s="194">
        <v>269.38999999999862</v>
      </c>
      <c r="G56" s="194">
        <v>-7961.6900000000014</v>
      </c>
      <c r="H56" s="194">
        <v>-4747.6000000000004</v>
      </c>
      <c r="I56" s="194">
        <v>-9674.6100000000133</v>
      </c>
      <c r="J56" s="204">
        <v>-953.26999999999975</v>
      </c>
      <c r="K56" s="206">
        <f t="shared" si="1"/>
        <v>-57945.650000000031</v>
      </c>
      <c r="L56" s="163"/>
      <c r="M56" s="194">
        <v>-1090.5700000000024</v>
      </c>
      <c r="N56" s="194">
        <v>233.289999999999</v>
      </c>
      <c r="O56" s="194">
        <v>-4275.5900000000101</v>
      </c>
      <c r="P56" s="206">
        <f t="shared" si="2"/>
        <v>-5132.8700000000135</v>
      </c>
      <c r="Q56" s="163"/>
      <c r="R56" s="194">
        <v>0.26999999999999996</v>
      </c>
      <c r="S56" s="194">
        <v>-24064.58999999996</v>
      </c>
      <c r="T56" s="194">
        <v>-0.01</v>
      </c>
      <c r="U56" s="194">
        <v>0.14000000000000007</v>
      </c>
      <c r="V56" s="194"/>
      <c r="W56" s="194">
        <v>-7176.0900000000011</v>
      </c>
      <c r="X56" s="163"/>
      <c r="Y56" s="206">
        <f t="shared" si="0"/>
        <v>-94318.8</v>
      </c>
      <c r="Z56" s="163"/>
    </row>
    <row r="57" spans="2:26" x14ac:dyDescent="0.25">
      <c r="B57" s="195"/>
      <c r="C57" s="241" t="s">
        <v>65</v>
      </c>
      <c r="D57" s="194">
        <v>-0.05</v>
      </c>
      <c r="E57" s="194">
        <v>-3427.7199999999984</v>
      </c>
      <c r="F57" s="194">
        <v>-3182.4900000000011</v>
      </c>
      <c r="G57" s="194">
        <v>260.05999999999995</v>
      </c>
      <c r="H57" s="194">
        <v>-31.540000000000006</v>
      </c>
      <c r="I57" s="194">
        <v>-3281.7999999999997</v>
      </c>
      <c r="J57" s="204">
        <v>-99.980000000000032</v>
      </c>
      <c r="K57" s="206">
        <f t="shared" si="1"/>
        <v>-9763.52</v>
      </c>
      <c r="L57" s="163"/>
      <c r="M57" s="194">
        <v>2843.4499999999994</v>
      </c>
      <c r="N57" s="194">
        <v>893.62999999999874</v>
      </c>
      <c r="O57" s="194">
        <v>-4068.72</v>
      </c>
      <c r="P57" s="206">
        <f t="shared" si="2"/>
        <v>-331.64000000000169</v>
      </c>
      <c r="Q57" s="163"/>
      <c r="R57" s="194">
        <v>-0.22999999999999993</v>
      </c>
      <c r="S57" s="194">
        <v>-15163.389999999992</v>
      </c>
      <c r="T57" s="194">
        <v>-0.15</v>
      </c>
      <c r="U57" s="194">
        <v>-0.20999999999999994</v>
      </c>
      <c r="V57" s="194">
        <v>-271.66999999999996</v>
      </c>
      <c r="W57" s="194">
        <v>-1923.870000000001</v>
      </c>
      <c r="X57" s="163"/>
      <c r="Y57" s="206">
        <f t="shared" si="0"/>
        <v>-27454.679999999993</v>
      </c>
      <c r="Z57" s="163"/>
    </row>
    <row r="58" spans="2:26" x14ac:dyDescent="0.25">
      <c r="B58" s="195"/>
      <c r="C58" s="241" t="s">
        <v>66</v>
      </c>
      <c r="D58" s="194">
        <v>467.4500000000001</v>
      </c>
      <c r="E58" s="248">
        <v>-103570.83999999995</v>
      </c>
      <c r="F58" s="194">
        <v>-46008.629999999968</v>
      </c>
      <c r="G58" s="194">
        <v>-4935.4400000000051</v>
      </c>
      <c r="H58" s="194">
        <v>-3874.8299999999986</v>
      </c>
      <c r="I58" s="248">
        <v>-104600.16000000005</v>
      </c>
      <c r="J58" s="204">
        <v>-2613.8699999999994</v>
      </c>
      <c r="K58" s="206">
        <f t="shared" si="1"/>
        <v>-265136.31999999995</v>
      </c>
      <c r="L58" s="163"/>
      <c r="M58" s="194">
        <v>-31472.140000000025</v>
      </c>
      <c r="N58" s="194">
        <v>-41241.290000000015</v>
      </c>
      <c r="O58" s="194">
        <v>-66763.829999999987</v>
      </c>
      <c r="P58" s="206">
        <f t="shared" si="2"/>
        <v>-139477.26</v>
      </c>
      <c r="Q58" s="163"/>
      <c r="R58" s="194">
        <v>-9.4599999999999866</v>
      </c>
      <c r="S58" s="194">
        <v>-78726.109999999884</v>
      </c>
      <c r="T58" s="194">
        <v>77.430000000000021</v>
      </c>
      <c r="U58" s="194">
        <v>18.050000000000004</v>
      </c>
      <c r="V58" s="194">
        <v>-34466.889999999978</v>
      </c>
      <c r="W58" s="194">
        <v>-51864.679999999986</v>
      </c>
      <c r="X58" s="163"/>
      <c r="Y58" s="206">
        <f t="shared" si="0"/>
        <v>-569585.23999999976</v>
      </c>
      <c r="Z58" s="163"/>
    </row>
    <row r="59" spans="2:26" x14ac:dyDescent="0.25">
      <c r="B59" s="195"/>
      <c r="C59" s="241" t="s">
        <v>140</v>
      </c>
      <c r="D59" s="194"/>
      <c r="E59" s="194">
        <v>14.020000000000014</v>
      </c>
      <c r="F59" s="194"/>
      <c r="G59" s="194"/>
      <c r="H59" s="194"/>
      <c r="I59" s="194"/>
      <c r="J59" s="204"/>
      <c r="K59" s="206">
        <f t="shared" si="1"/>
        <v>14.020000000000014</v>
      </c>
      <c r="L59" s="163"/>
      <c r="M59" s="194"/>
      <c r="N59" s="194"/>
      <c r="O59" s="194"/>
      <c r="P59" s="206">
        <f t="shared" si="2"/>
        <v>0</v>
      </c>
      <c r="Q59" s="163"/>
      <c r="R59" s="194"/>
      <c r="S59" s="194">
        <v>24.100000000000023</v>
      </c>
      <c r="T59" s="194"/>
      <c r="U59" s="194"/>
      <c r="V59" s="194"/>
      <c r="W59" s="194"/>
      <c r="X59" s="163"/>
      <c r="Y59" s="206">
        <f t="shared" si="0"/>
        <v>38.120000000000033</v>
      </c>
      <c r="Z59" s="163"/>
    </row>
    <row r="60" spans="2:26" x14ac:dyDescent="0.25">
      <c r="B60" s="195"/>
      <c r="C60" s="241" t="s">
        <v>67</v>
      </c>
      <c r="D60" s="194"/>
      <c r="E60" s="194">
        <v>-1314.7100000000012</v>
      </c>
      <c r="F60" s="194">
        <v>-2693.4099999999989</v>
      </c>
      <c r="G60" s="194">
        <v>-616.27999999999986</v>
      </c>
      <c r="H60" s="194">
        <v>-25.15</v>
      </c>
      <c r="I60" s="194">
        <v>-2255.1899999999996</v>
      </c>
      <c r="J60" s="204">
        <v>-38.660000000000011</v>
      </c>
      <c r="K60" s="206">
        <f t="shared" si="1"/>
        <v>-6943.3999999999987</v>
      </c>
      <c r="L60" s="163"/>
      <c r="M60" s="194">
        <v>10008.660000000002</v>
      </c>
      <c r="N60" s="194">
        <v>-701.35</v>
      </c>
      <c r="O60" s="194">
        <v>-6065.4700000000012</v>
      </c>
      <c r="P60" s="206">
        <f t="shared" si="2"/>
        <v>3241.84</v>
      </c>
      <c r="Q60" s="163"/>
      <c r="R60" s="194"/>
      <c r="S60" s="194">
        <v>-785.3099999999996</v>
      </c>
      <c r="T60" s="194"/>
      <c r="U60" s="194"/>
      <c r="V60" s="194">
        <v>-2.1300000000000003</v>
      </c>
      <c r="W60" s="194">
        <v>-2515.6799999999994</v>
      </c>
      <c r="X60" s="163"/>
      <c r="Y60" s="206">
        <f t="shared" si="0"/>
        <v>-7004.6799999999976</v>
      </c>
      <c r="Z60" s="163"/>
    </row>
    <row r="61" spans="2:26" x14ac:dyDescent="0.25">
      <c r="B61" s="195"/>
      <c r="C61" s="241" t="s">
        <v>68</v>
      </c>
      <c r="D61" s="194"/>
      <c r="E61" s="194">
        <v>2673.71</v>
      </c>
      <c r="F61" s="194">
        <v>-754.57000000000016</v>
      </c>
      <c r="G61" s="194">
        <v>-549.41000000000008</v>
      </c>
      <c r="H61" s="194">
        <v>-11.370000000000001</v>
      </c>
      <c r="I61" s="194">
        <v>-2374.5699999999997</v>
      </c>
      <c r="J61" s="204">
        <v>-231.16000000000003</v>
      </c>
      <c r="K61" s="206">
        <f t="shared" si="1"/>
        <v>-1247.3699999999999</v>
      </c>
      <c r="L61" s="163"/>
      <c r="M61" s="194">
        <v>-464.03</v>
      </c>
      <c r="N61" s="194">
        <v>-675.69999999999982</v>
      </c>
      <c r="O61" s="194">
        <v>-1408.27</v>
      </c>
      <c r="P61" s="206">
        <f t="shared" si="2"/>
        <v>-2548</v>
      </c>
      <c r="Q61" s="163"/>
      <c r="R61" s="194"/>
      <c r="S61" s="194">
        <v>-7524.2099999999991</v>
      </c>
      <c r="T61" s="194"/>
      <c r="U61" s="194"/>
      <c r="V61" s="194"/>
      <c r="W61" s="194">
        <v>-3670.9500000000003</v>
      </c>
      <c r="X61" s="163"/>
      <c r="Y61" s="206">
        <f t="shared" si="0"/>
        <v>-14990.529999999999</v>
      </c>
      <c r="Z61" s="163"/>
    </row>
    <row r="62" spans="2:26" x14ac:dyDescent="0.25">
      <c r="B62" s="195"/>
      <c r="C62" s="241" t="s">
        <v>69</v>
      </c>
      <c r="D62" s="194">
        <v>0.1399999999999999</v>
      </c>
      <c r="E62" s="194">
        <v>3318.6100000000006</v>
      </c>
      <c r="F62" s="194">
        <v>1207.9599999999998</v>
      </c>
      <c r="G62" s="194">
        <v>497.82999999999993</v>
      </c>
      <c r="H62" s="194">
        <v>48.56</v>
      </c>
      <c r="I62" s="194">
        <v>2353.8599999999997</v>
      </c>
      <c r="J62" s="204">
        <v>116.32</v>
      </c>
      <c r="K62" s="206">
        <f t="shared" si="1"/>
        <v>7543.28</v>
      </c>
      <c r="L62" s="163"/>
      <c r="M62" s="194">
        <v>-37.170000000000016</v>
      </c>
      <c r="N62" s="194">
        <v>-49.089999999999947</v>
      </c>
      <c r="O62" s="194">
        <v>-137.23999999999961</v>
      </c>
      <c r="P62" s="206">
        <f t="shared" si="2"/>
        <v>-223.49999999999957</v>
      </c>
      <c r="Q62" s="163"/>
      <c r="R62" s="194">
        <v>0.60999999999999799</v>
      </c>
      <c r="S62" s="194">
        <v>9496.2699999999822</v>
      </c>
      <c r="T62" s="194">
        <v>2.0000000000000007E-2</v>
      </c>
      <c r="U62" s="194">
        <v>3.0000000000000249E-2</v>
      </c>
      <c r="V62" s="194">
        <v>-2.930000000000001</v>
      </c>
      <c r="W62" s="194"/>
      <c r="X62" s="163"/>
      <c r="Y62" s="206">
        <f t="shared" si="0"/>
        <v>16813.779999999981</v>
      </c>
      <c r="Z62" s="163"/>
    </row>
    <row r="63" spans="2:26" x14ac:dyDescent="0.25">
      <c r="B63" s="195"/>
      <c r="C63" s="241" t="s">
        <v>70</v>
      </c>
      <c r="D63" s="194">
        <v>24.93</v>
      </c>
      <c r="E63" s="194">
        <v>24281.070000000011</v>
      </c>
      <c r="F63" s="194">
        <v>9668.5799999999981</v>
      </c>
      <c r="G63" s="194">
        <v>3651.04</v>
      </c>
      <c r="H63" s="194">
        <v>491.76999999999981</v>
      </c>
      <c r="I63" s="194">
        <v>20141.100000000002</v>
      </c>
      <c r="J63" s="204">
        <v>958.29000000000019</v>
      </c>
      <c r="K63" s="206">
        <f t="shared" si="1"/>
        <v>59216.780000000006</v>
      </c>
      <c r="L63" s="163"/>
      <c r="M63" s="194">
        <v>7882.22</v>
      </c>
      <c r="N63" s="194">
        <v>11030.33</v>
      </c>
      <c r="O63" s="194">
        <v>30770.839999999989</v>
      </c>
      <c r="P63" s="206">
        <f t="shared" si="2"/>
        <v>49683.389999999985</v>
      </c>
      <c r="Q63" s="163"/>
      <c r="R63" s="194">
        <v>-48.82</v>
      </c>
      <c r="S63" s="194">
        <v>57240.579999999994</v>
      </c>
      <c r="T63" s="194">
        <v>1.95</v>
      </c>
      <c r="U63" s="194">
        <v>-4.470000000000006</v>
      </c>
      <c r="V63" s="194">
        <v>1894.2099999999998</v>
      </c>
      <c r="W63" s="194">
        <v>13185.909999999996</v>
      </c>
      <c r="X63" s="163"/>
      <c r="Y63" s="206">
        <f t="shared" si="0"/>
        <v>181169.52999999997</v>
      </c>
      <c r="Z63" s="163"/>
    </row>
    <row r="64" spans="2:26" x14ac:dyDescent="0.25">
      <c r="B64" s="195"/>
      <c r="C64" s="241" t="s">
        <v>71</v>
      </c>
      <c r="D64" s="194">
        <v>-0.25999999999999995</v>
      </c>
      <c r="E64" s="248">
        <v>-140074.84</v>
      </c>
      <c r="F64" s="194">
        <v>-22030.560000000019</v>
      </c>
      <c r="G64" s="194">
        <v>29752.130000000008</v>
      </c>
      <c r="H64" s="194">
        <v>-872.81000000000006</v>
      </c>
      <c r="I64" s="248">
        <v>-201387.91</v>
      </c>
      <c r="J64" s="204">
        <v>-5269.5299999999979</v>
      </c>
      <c r="K64" s="206">
        <f t="shared" si="1"/>
        <v>-339883.77999999997</v>
      </c>
      <c r="L64" s="163"/>
      <c r="M64" s="194">
        <v>-29274.35</v>
      </c>
      <c r="N64" s="194">
        <v>-27031.589999999989</v>
      </c>
      <c r="O64" s="194">
        <v>-54464.349999999977</v>
      </c>
      <c r="P64" s="206">
        <f t="shared" si="2"/>
        <v>-110770.28999999996</v>
      </c>
      <c r="Q64" s="163"/>
      <c r="R64" s="194">
        <v>-1.5099999999999998</v>
      </c>
      <c r="S64" s="248">
        <v>-242495.33</v>
      </c>
      <c r="T64" s="194">
        <v>-9.9999999999999992E-2</v>
      </c>
      <c r="U64" s="194">
        <v>-1.3</v>
      </c>
      <c r="V64" s="194">
        <v>517.85999999999945</v>
      </c>
      <c r="W64" s="194">
        <v>-38236.989999999983</v>
      </c>
      <c r="X64" s="163"/>
      <c r="Y64" s="206">
        <f t="shared" si="0"/>
        <v>-730871.44</v>
      </c>
      <c r="Z64" s="163"/>
    </row>
    <row r="65" spans="2:26" x14ac:dyDescent="0.25">
      <c r="B65" s="195"/>
      <c r="C65" s="241" t="s">
        <v>72</v>
      </c>
      <c r="D65" s="194">
        <v>-0.25</v>
      </c>
      <c r="E65" s="194">
        <v>-32360.119999999984</v>
      </c>
      <c r="F65" s="194">
        <v>-11823.420000000004</v>
      </c>
      <c r="G65" s="194">
        <v>-86648.939999999988</v>
      </c>
      <c r="H65" s="194">
        <v>-29.670000000000023</v>
      </c>
      <c r="I65" s="194">
        <v>49603.369999999981</v>
      </c>
      <c r="J65" s="204">
        <v>-1298.5700000000008</v>
      </c>
      <c r="K65" s="206">
        <f t="shared" si="1"/>
        <v>-82557.600000000006</v>
      </c>
      <c r="L65" s="163"/>
      <c r="M65" s="194">
        <v>22065.01</v>
      </c>
      <c r="N65" s="194">
        <v>-1789.1999999999962</v>
      </c>
      <c r="O65" s="194">
        <v>39213.999999999985</v>
      </c>
      <c r="P65" s="206">
        <f t="shared" si="2"/>
        <v>59489.809999999983</v>
      </c>
      <c r="Q65" s="163"/>
      <c r="R65" s="194">
        <v>-1.44</v>
      </c>
      <c r="S65" s="194">
        <v>24624.980000000018</v>
      </c>
      <c r="T65" s="194">
        <v>-0.02</v>
      </c>
      <c r="U65" s="194">
        <v>-0.85</v>
      </c>
      <c r="V65" s="194">
        <v>-11.19</v>
      </c>
      <c r="W65" s="194">
        <v>4227.619999999999</v>
      </c>
      <c r="X65" s="163"/>
      <c r="Y65" s="206">
        <f t="shared" si="0"/>
        <v>5771.3099999999959</v>
      </c>
      <c r="Z65" s="163"/>
    </row>
    <row r="66" spans="2:26" x14ac:dyDescent="0.25">
      <c r="B66" s="195"/>
      <c r="C66" s="241" t="s">
        <v>73</v>
      </c>
      <c r="D66" s="194"/>
      <c r="E66" s="194">
        <v>-148.79000000000002</v>
      </c>
      <c r="F66" s="194">
        <v>-103.10999999999996</v>
      </c>
      <c r="G66" s="194">
        <v>-37.429999999999986</v>
      </c>
      <c r="H66" s="194">
        <v>-1.5500000000000007</v>
      </c>
      <c r="I66" s="194">
        <v>2683.6099999999997</v>
      </c>
      <c r="J66" s="204">
        <v>-5.6500000000000083</v>
      </c>
      <c r="K66" s="206">
        <f t="shared" si="1"/>
        <v>2387.0799999999995</v>
      </c>
      <c r="L66" s="163"/>
      <c r="M66" s="194">
        <v>-87.140000000000043</v>
      </c>
      <c r="N66" s="194">
        <v>-391.84000000000003</v>
      </c>
      <c r="O66" s="194">
        <v>-243.95999999999987</v>
      </c>
      <c r="P66" s="206">
        <f t="shared" si="2"/>
        <v>-722.93999999999994</v>
      </c>
      <c r="Q66" s="163"/>
      <c r="R66" s="194"/>
      <c r="S66" s="194">
        <v>4638.2799999999988</v>
      </c>
      <c r="T66" s="194"/>
      <c r="U66" s="194"/>
      <c r="V66" s="194"/>
      <c r="W66" s="194"/>
      <c r="X66" s="163"/>
      <c r="Y66" s="206">
        <f t="shared" si="0"/>
        <v>6302.4199999999983</v>
      </c>
      <c r="Z66" s="163"/>
    </row>
    <row r="67" spans="2:26" x14ac:dyDescent="0.25">
      <c r="B67" s="243"/>
      <c r="C67" s="244" t="s">
        <v>74</v>
      </c>
      <c r="D67" s="194">
        <v>-16.61</v>
      </c>
      <c r="E67" s="194">
        <v>-589.74</v>
      </c>
      <c r="F67" s="194">
        <v>-940.76999999999975</v>
      </c>
      <c r="G67" s="194">
        <v>-220.32999999999987</v>
      </c>
      <c r="H67" s="194">
        <v>-2624.8600000000006</v>
      </c>
      <c r="I67" s="194">
        <v>8440.8499999999967</v>
      </c>
      <c r="J67" s="204">
        <v>-97.999999999999972</v>
      </c>
      <c r="K67" s="206">
        <f t="shared" si="1"/>
        <v>3950.5399999999963</v>
      </c>
      <c r="L67" s="163"/>
      <c r="M67" s="194">
        <v>-1809.9100000000003</v>
      </c>
      <c r="N67" s="194">
        <v>-613.49000000000012</v>
      </c>
      <c r="O67" s="194">
        <v>-405.82000000000016</v>
      </c>
      <c r="P67" s="206">
        <f t="shared" si="2"/>
        <v>-2829.2200000000007</v>
      </c>
      <c r="Q67" s="163"/>
      <c r="R67" s="194"/>
      <c r="S67" s="194">
        <v>15573.62</v>
      </c>
      <c r="T67" s="194">
        <v>0.01</v>
      </c>
      <c r="U67" s="194"/>
      <c r="V67" s="194">
        <v>21.88999999999999</v>
      </c>
      <c r="W67" s="194">
        <v>151.6</v>
      </c>
      <c r="X67" s="163"/>
      <c r="Y67" s="206">
        <f t="shared" si="0"/>
        <v>16868.439999999991</v>
      </c>
      <c r="Z67" s="163"/>
    </row>
    <row r="68" spans="2:26" ht="13.8" thickBot="1" x14ac:dyDescent="0.3">
      <c r="B68" s="196" t="s">
        <v>223</v>
      </c>
      <c r="C68" s="197"/>
      <c r="D68" s="198">
        <v>12.600000000000204</v>
      </c>
      <c r="E68" s="198">
        <v>-696101.38</v>
      </c>
      <c r="F68" s="198">
        <v>-320026.94000000006</v>
      </c>
      <c r="G68" s="198">
        <v>-122384.25999999991</v>
      </c>
      <c r="H68" s="198">
        <v>-18624.090000000004</v>
      </c>
      <c r="I68" s="198">
        <v>-642559.66999999981</v>
      </c>
      <c r="J68" s="219">
        <v>-28076.299999999985</v>
      </c>
      <c r="K68" s="207">
        <f t="shared" si="1"/>
        <v>-1827760.0399999998</v>
      </c>
      <c r="L68" s="163"/>
      <c r="M68" s="198">
        <v>-174618.03999999986</v>
      </c>
      <c r="N68" s="198">
        <v>-278779.57000000018</v>
      </c>
      <c r="O68" s="198">
        <v>-509542.89000000025</v>
      </c>
      <c r="P68" s="207">
        <f t="shared" si="2"/>
        <v>-962940.50000000023</v>
      </c>
      <c r="Q68" s="163"/>
      <c r="R68" s="198">
        <v>-1332.9900000000005</v>
      </c>
      <c r="S68" s="198">
        <v>-1081762.9900000007</v>
      </c>
      <c r="T68" s="198">
        <v>68.440000000000026</v>
      </c>
      <c r="U68" s="198">
        <v>74.509999999999977</v>
      </c>
      <c r="V68" s="198">
        <v>-53728.129999999983</v>
      </c>
      <c r="W68" s="198">
        <v>-233946.59999999983</v>
      </c>
      <c r="X68" s="163"/>
      <c r="Y68" s="207">
        <f t="shared" si="0"/>
        <v>-4161328.3000000007</v>
      </c>
      <c r="Z68" s="163"/>
    </row>
    <row r="69" spans="2:26" x14ac:dyDescent="0.25">
      <c r="B69" s="195" t="s">
        <v>75</v>
      </c>
      <c r="C69" s="241" t="s">
        <v>76</v>
      </c>
      <c r="D69" s="202">
        <v>-7.6100000000000012</v>
      </c>
      <c r="E69" s="202">
        <v>-31470.079999999991</v>
      </c>
      <c r="F69" s="202">
        <v>-43719.170000000006</v>
      </c>
      <c r="G69" s="202">
        <v>-1982.7099999999994</v>
      </c>
      <c r="H69" s="202">
        <v>-1625.1400000000003</v>
      </c>
      <c r="I69" s="202">
        <v>-65512.56</v>
      </c>
      <c r="J69" s="205">
        <v>-2209.5199999999986</v>
      </c>
      <c r="K69" s="208">
        <f t="shared" si="1"/>
        <v>-146526.79</v>
      </c>
      <c r="L69" s="163"/>
      <c r="M69" s="202">
        <v>-28878.290000000008</v>
      </c>
      <c r="N69" s="202">
        <v>-29430.47</v>
      </c>
      <c r="O69" s="202">
        <v>-70407.45</v>
      </c>
      <c r="P69" s="208">
        <f t="shared" si="2"/>
        <v>-128716.21</v>
      </c>
      <c r="Q69" s="163"/>
      <c r="R69" s="202">
        <v>-41.49</v>
      </c>
      <c r="S69" s="202">
        <v>-11745.439999999995</v>
      </c>
      <c r="T69" s="202"/>
      <c r="U69" s="202">
        <v>-25.790000000000003</v>
      </c>
      <c r="V69" s="202">
        <v>-8.8499999999999979</v>
      </c>
      <c r="W69" s="202">
        <v>-58.819999999999958</v>
      </c>
      <c r="X69" s="163"/>
      <c r="Y69" s="208">
        <f t="shared" si="0"/>
        <v>-287123.38999999996</v>
      </c>
      <c r="Z69" s="163"/>
    </row>
    <row r="70" spans="2:26" x14ac:dyDescent="0.25">
      <c r="B70" s="195"/>
      <c r="C70" s="241" t="s">
        <v>376</v>
      </c>
      <c r="D70" s="194">
        <v>-0.15</v>
      </c>
      <c r="E70" s="194">
        <v>-67.249999999999986</v>
      </c>
      <c r="F70" s="194">
        <v>-33.520000000000003</v>
      </c>
      <c r="G70" s="194">
        <v>-12.009999999999996</v>
      </c>
      <c r="H70" s="194">
        <v>-2.4899999999999993</v>
      </c>
      <c r="I70" s="194">
        <v>-48.460000000000008</v>
      </c>
      <c r="J70" s="204">
        <v>-5.4100000000000019</v>
      </c>
      <c r="K70" s="206">
        <f t="shared" si="1"/>
        <v>-169.29</v>
      </c>
      <c r="L70" s="163"/>
      <c r="M70" s="194">
        <v>-23.25</v>
      </c>
      <c r="N70" s="194">
        <v>-211.42999999999992</v>
      </c>
      <c r="O70" s="194">
        <v>-36.369999999999997</v>
      </c>
      <c r="P70" s="206">
        <f t="shared" si="2"/>
        <v>-271.0499999999999</v>
      </c>
      <c r="Q70" s="163"/>
      <c r="R70" s="194">
        <v>-0.79</v>
      </c>
      <c r="S70" s="194">
        <v>-56.89</v>
      </c>
      <c r="T70" s="194"/>
      <c r="U70" s="194">
        <v>-0.26000000000000006</v>
      </c>
      <c r="V70" s="194"/>
      <c r="W70" s="194"/>
      <c r="X70" s="163"/>
      <c r="Y70" s="206">
        <f t="shared" si="0"/>
        <v>-498.27999999999992</v>
      </c>
      <c r="Z70" s="163"/>
    </row>
    <row r="71" spans="2:26" x14ac:dyDescent="0.25">
      <c r="B71" s="195"/>
      <c r="C71" s="241" t="s">
        <v>77</v>
      </c>
      <c r="D71" s="194">
        <v>1.0000000000000002E-2</v>
      </c>
      <c r="E71" s="194">
        <v>-22652.849999999984</v>
      </c>
      <c r="F71" s="194">
        <v>-11137.320000000003</v>
      </c>
      <c r="G71" s="194">
        <v>-8099.24</v>
      </c>
      <c r="H71" s="194">
        <v>1015.5399999999997</v>
      </c>
      <c r="I71" s="194">
        <v>-59817.290000000023</v>
      </c>
      <c r="J71" s="204">
        <v>-5179.5300000000007</v>
      </c>
      <c r="K71" s="206">
        <f t="shared" si="1"/>
        <v>-105870.68000000001</v>
      </c>
      <c r="L71" s="163"/>
      <c r="M71" s="194">
        <v>-9568.2200000000012</v>
      </c>
      <c r="N71" s="194">
        <v>-11783.560000000003</v>
      </c>
      <c r="O71" s="194">
        <v>-19658.960000000003</v>
      </c>
      <c r="P71" s="206">
        <f t="shared" si="2"/>
        <v>-41010.740000000005</v>
      </c>
      <c r="Q71" s="163"/>
      <c r="R71" s="194">
        <v>5.9999999999999984E-2</v>
      </c>
      <c r="S71" s="194">
        <v>-2166.7200000000003</v>
      </c>
      <c r="T71" s="194"/>
      <c r="U71" s="194">
        <v>3.0000000000000006E-2</v>
      </c>
      <c r="V71" s="194"/>
      <c r="W71" s="194">
        <v>8.75</v>
      </c>
      <c r="X71" s="163"/>
      <c r="Y71" s="206">
        <f t="shared" si="0"/>
        <v>-149039.30000000002</v>
      </c>
      <c r="Z71" s="163"/>
    </row>
    <row r="72" spans="2:26" x14ac:dyDescent="0.25">
      <c r="B72" s="195"/>
      <c r="C72" s="241" t="s">
        <v>78</v>
      </c>
      <c r="D72" s="194">
        <v>7.9999999999999988E-2</v>
      </c>
      <c r="E72" s="194">
        <v>71.989999999999995</v>
      </c>
      <c r="F72" s="194">
        <v>75.330000000000013</v>
      </c>
      <c r="G72" s="194">
        <v>18.469999999999992</v>
      </c>
      <c r="H72" s="194">
        <v>0.35000000000000031</v>
      </c>
      <c r="I72" s="194">
        <v>-389.31999999999994</v>
      </c>
      <c r="J72" s="204">
        <v>2.4600000000000009</v>
      </c>
      <c r="K72" s="206">
        <f t="shared" si="1"/>
        <v>-220.63999999999993</v>
      </c>
      <c r="L72" s="163"/>
      <c r="M72" s="194">
        <v>38.189999999999991</v>
      </c>
      <c r="N72" s="194">
        <v>57.559999999999988</v>
      </c>
      <c r="O72" s="194">
        <v>-1293.0400000000009</v>
      </c>
      <c r="P72" s="206">
        <f t="shared" si="2"/>
        <v>-1197.2900000000009</v>
      </c>
      <c r="Q72" s="163"/>
      <c r="R72" s="194">
        <v>0.4300000000000001</v>
      </c>
      <c r="S72" s="194">
        <v>4784.7600000000011</v>
      </c>
      <c r="T72" s="194"/>
      <c r="U72" s="194">
        <v>0.24</v>
      </c>
      <c r="V72" s="194"/>
      <c r="W72" s="194"/>
      <c r="X72" s="163"/>
      <c r="Y72" s="206">
        <f t="shared" ref="Y72:Y110" si="3">+K72+P72+R72+S72+T72+U72+V72+W72</f>
        <v>3367.5</v>
      </c>
      <c r="Z72" s="163"/>
    </row>
    <row r="73" spans="2:26" x14ac:dyDescent="0.25">
      <c r="B73" s="195"/>
      <c r="C73" s="241" t="s">
        <v>79</v>
      </c>
      <c r="D73" s="194"/>
      <c r="E73" s="194">
        <v>-4106.17</v>
      </c>
      <c r="F73" s="194">
        <v>-2151.9599999999991</v>
      </c>
      <c r="G73" s="194">
        <v>-750.53999999999985</v>
      </c>
      <c r="H73" s="194">
        <v>-172.99</v>
      </c>
      <c r="I73" s="194">
        <v>-5408.0300000000007</v>
      </c>
      <c r="J73" s="204">
        <v>-151.57999999999998</v>
      </c>
      <c r="K73" s="206">
        <f t="shared" ref="K73:K110" si="4">SUM(D73:J73)</f>
        <v>-12741.269999999999</v>
      </c>
      <c r="L73" s="163"/>
      <c r="M73" s="194">
        <v>-1951.059999999999</v>
      </c>
      <c r="N73" s="194">
        <v>-2110.3900000000012</v>
      </c>
      <c r="O73" s="194">
        <v>-4331.1400000000021</v>
      </c>
      <c r="P73" s="206">
        <f t="shared" ref="P73:P110" si="5">SUM(M73:O73)</f>
        <v>-8392.590000000002</v>
      </c>
      <c r="Q73" s="163"/>
      <c r="R73" s="194"/>
      <c r="S73" s="194">
        <v>-2968.1700000000005</v>
      </c>
      <c r="T73" s="194"/>
      <c r="U73" s="194"/>
      <c r="V73" s="194"/>
      <c r="W73" s="194"/>
      <c r="X73" s="163"/>
      <c r="Y73" s="206">
        <f t="shared" si="3"/>
        <v>-24102.030000000002</v>
      </c>
      <c r="Z73" s="163"/>
    </row>
    <row r="74" spans="2:26" x14ac:dyDescent="0.25">
      <c r="B74" s="195"/>
      <c r="C74" s="241" t="s">
        <v>80</v>
      </c>
      <c r="D74" s="194">
        <v>-0.16</v>
      </c>
      <c r="E74" s="194">
        <v>-693.32999999999765</v>
      </c>
      <c r="F74" s="194">
        <v>196.17000000000237</v>
      </c>
      <c r="G74" s="194">
        <v>-667.91000000000008</v>
      </c>
      <c r="H74" s="194">
        <v>9.179999999999982</v>
      </c>
      <c r="I74" s="194">
        <v>-1306.1599999999987</v>
      </c>
      <c r="J74" s="204">
        <v>-46.460000000000207</v>
      </c>
      <c r="K74" s="206">
        <f t="shared" si="4"/>
        <v>-2508.6699999999942</v>
      </c>
      <c r="L74" s="163"/>
      <c r="M74" s="194">
        <v>907.58999999999901</v>
      </c>
      <c r="N74" s="194">
        <v>620.21999999999764</v>
      </c>
      <c r="O74" s="194">
        <v>-8585.6499999999978</v>
      </c>
      <c r="P74" s="206">
        <f t="shared" si="5"/>
        <v>-7057.8400000000011</v>
      </c>
      <c r="Q74" s="163"/>
      <c r="R74" s="194">
        <v>-0.53999999999999937</v>
      </c>
      <c r="S74" s="194">
        <v>-533.81999999999994</v>
      </c>
      <c r="T74" s="194"/>
      <c r="U74" s="194">
        <v>0.20000000000000034</v>
      </c>
      <c r="V74" s="194"/>
      <c r="W74" s="194"/>
      <c r="X74" s="163"/>
      <c r="Y74" s="206">
        <f t="shared" si="3"/>
        <v>-10100.669999999995</v>
      </c>
      <c r="Z74" s="163"/>
    </row>
    <row r="75" spans="2:26" x14ac:dyDescent="0.25">
      <c r="B75" s="195"/>
      <c r="C75" s="241" t="s">
        <v>372</v>
      </c>
      <c r="D75" s="194"/>
      <c r="E75" s="194">
        <v>25280.029999999995</v>
      </c>
      <c r="F75" s="194">
        <v>7341.9400000000005</v>
      </c>
      <c r="G75" s="194">
        <v>-45.259999999999991</v>
      </c>
      <c r="H75" s="194">
        <v>23.859999999999992</v>
      </c>
      <c r="I75" s="194">
        <v>27737.490000000005</v>
      </c>
      <c r="J75" s="204">
        <v>7.439999999999988</v>
      </c>
      <c r="K75" s="206">
        <f t="shared" si="4"/>
        <v>60345.5</v>
      </c>
      <c r="L75" s="163"/>
      <c r="M75" s="194">
        <v>9884.9699999999993</v>
      </c>
      <c r="N75" s="194">
        <v>35202.810000000019</v>
      </c>
      <c r="O75" s="194">
        <v>40926.940000000017</v>
      </c>
      <c r="P75" s="206">
        <f t="shared" si="5"/>
        <v>86014.72000000003</v>
      </c>
      <c r="Q75" s="163"/>
      <c r="R75" s="194"/>
      <c r="S75" s="194">
        <v>-206.06999999999996</v>
      </c>
      <c r="T75" s="194"/>
      <c r="U75" s="194"/>
      <c r="V75" s="194">
        <v>-0.1</v>
      </c>
      <c r="W75" s="194"/>
      <c r="X75" s="163"/>
      <c r="Y75" s="206">
        <f t="shared" si="3"/>
        <v>146154.05000000002</v>
      </c>
      <c r="Z75" s="163"/>
    </row>
    <row r="76" spans="2:26" x14ac:dyDescent="0.25">
      <c r="B76" s="195"/>
      <c r="C76" s="241" t="s">
        <v>81</v>
      </c>
      <c r="D76" s="194">
        <v>-18.530000000000008</v>
      </c>
      <c r="E76" s="248">
        <v>-413275.55000000016</v>
      </c>
      <c r="F76" s="248">
        <v>-225004.32000000004</v>
      </c>
      <c r="G76" s="194">
        <v>-63904.189999999959</v>
      </c>
      <c r="H76" s="194">
        <v>-21678.74</v>
      </c>
      <c r="I76" s="248">
        <v>-575921.2200000002</v>
      </c>
      <c r="J76" s="204">
        <v>-15556.010000000004</v>
      </c>
      <c r="K76" s="206">
        <f t="shared" si="4"/>
        <v>-1315358.5600000003</v>
      </c>
      <c r="L76" s="163"/>
      <c r="M76" s="248">
        <v>-219261.34999999998</v>
      </c>
      <c r="N76" s="248">
        <v>-189809.79000000012</v>
      </c>
      <c r="O76" s="248">
        <v>-390774.08999999979</v>
      </c>
      <c r="P76" s="206">
        <f t="shared" si="5"/>
        <v>-799845.23</v>
      </c>
      <c r="Q76" s="163"/>
      <c r="R76" s="194">
        <v>-240.42</v>
      </c>
      <c r="S76" s="194">
        <v>10795.270000000004</v>
      </c>
      <c r="T76" s="194">
        <v>0.47</v>
      </c>
      <c r="U76" s="194">
        <v>-27.33000000000003</v>
      </c>
      <c r="V76" s="194">
        <v>492.48999999999978</v>
      </c>
      <c r="W76" s="194">
        <v>3467.920000000001</v>
      </c>
      <c r="X76" s="163"/>
      <c r="Y76" s="206">
        <f t="shared" si="3"/>
        <v>-2100715.3899999997</v>
      </c>
      <c r="Z76" s="163"/>
    </row>
    <row r="77" spans="2:26" x14ac:dyDescent="0.25">
      <c r="B77" s="195"/>
      <c r="C77" s="241" t="s">
        <v>82</v>
      </c>
      <c r="D77" s="194"/>
      <c r="E77" s="194">
        <v>-891.30000000000018</v>
      </c>
      <c r="F77" s="194">
        <v>-513.8499999999998</v>
      </c>
      <c r="G77" s="194">
        <v>-190.60999999999999</v>
      </c>
      <c r="H77" s="194">
        <v>-29.260000000000005</v>
      </c>
      <c r="I77" s="194">
        <v>-5159.7</v>
      </c>
      <c r="J77" s="204">
        <v>-25.84</v>
      </c>
      <c r="K77" s="206">
        <f t="shared" si="4"/>
        <v>-6810.5599999999995</v>
      </c>
      <c r="L77" s="163"/>
      <c r="M77" s="194">
        <v>-387.09000000000003</v>
      </c>
      <c r="N77" s="194">
        <v>-491.46999999999963</v>
      </c>
      <c r="O77" s="194">
        <v>-825.63000000000011</v>
      </c>
      <c r="P77" s="206">
        <f t="shared" si="5"/>
        <v>-1704.1899999999998</v>
      </c>
      <c r="Q77" s="163"/>
      <c r="R77" s="194"/>
      <c r="S77" s="194">
        <v>-753.9899999999999</v>
      </c>
      <c r="T77" s="194"/>
      <c r="U77" s="194"/>
      <c r="V77" s="194"/>
      <c r="W77" s="194"/>
      <c r="X77" s="163"/>
      <c r="Y77" s="206">
        <f t="shared" si="3"/>
        <v>-9268.74</v>
      </c>
      <c r="Z77" s="163"/>
    </row>
    <row r="78" spans="2:26" x14ac:dyDescent="0.25">
      <c r="B78" s="195"/>
      <c r="C78" s="241" t="s">
        <v>83</v>
      </c>
      <c r="D78" s="194"/>
      <c r="E78" s="194">
        <v>-1689.0600000000006</v>
      </c>
      <c r="F78" s="194">
        <v>40.999999999999986</v>
      </c>
      <c r="G78" s="194">
        <v>-892.0200000000001</v>
      </c>
      <c r="H78" s="194">
        <v>0.61999999999999988</v>
      </c>
      <c r="I78" s="194">
        <v>73.399999999999991</v>
      </c>
      <c r="J78" s="204">
        <v>-2633.65</v>
      </c>
      <c r="K78" s="206">
        <f t="shared" si="4"/>
        <v>-5099.7100000000009</v>
      </c>
      <c r="L78" s="163"/>
      <c r="M78" s="194">
        <v>28.36</v>
      </c>
      <c r="N78" s="194">
        <v>48.699999999999989</v>
      </c>
      <c r="O78" s="194">
        <v>100.66999999999999</v>
      </c>
      <c r="P78" s="206">
        <f t="shared" si="5"/>
        <v>177.72999999999996</v>
      </c>
      <c r="Q78" s="163"/>
      <c r="R78" s="194"/>
      <c r="S78" s="194">
        <v>46.969999999999992</v>
      </c>
      <c r="T78" s="194"/>
      <c r="U78" s="194"/>
      <c r="V78" s="194"/>
      <c r="W78" s="194"/>
      <c r="X78" s="163"/>
      <c r="Y78" s="206">
        <f t="shared" si="3"/>
        <v>-4875.0100000000011</v>
      </c>
      <c r="Z78" s="163"/>
    </row>
    <row r="79" spans="2:26" x14ac:dyDescent="0.25">
      <c r="B79" s="195"/>
      <c r="C79" s="241" t="s">
        <v>84</v>
      </c>
      <c r="D79" s="194">
        <v>-0.1</v>
      </c>
      <c r="E79" s="194">
        <v>28193.860000000019</v>
      </c>
      <c r="F79" s="194">
        <v>7654.3799999999974</v>
      </c>
      <c r="G79" s="194">
        <v>-34025.880000000019</v>
      </c>
      <c r="H79" s="194">
        <v>-1178.5999999999992</v>
      </c>
      <c r="I79" s="248">
        <v>-127875.44000000002</v>
      </c>
      <c r="J79" s="204">
        <v>12672.410000000005</v>
      </c>
      <c r="K79" s="206">
        <f t="shared" si="4"/>
        <v>-114559.37000000002</v>
      </c>
      <c r="L79" s="163"/>
      <c r="M79" s="194">
        <v>1199.6400000000035</v>
      </c>
      <c r="N79" s="194">
        <v>-7263.3399999999983</v>
      </c>
      <c r="O79" s="194">
        <v>-9135.010000000013</v>
      </c>
      <c r="P79" s="206">
        <f t="shared" si="5"/>
        <v>-15198.710000000008</v>
      </c>
      <c r="Q79" s="163"/>
      <c r="R79" s="194">
        <v>-0.58000000000000007</v>
      </c>
      <c r="S79" s="194">
        <v>-6908.4299999999985</v>
      </c>
      <c r="T79" s="194"/>
      <c r="U79" s="194">
        <v>-0.32</v>
      </c>
      <c r="V79" s="194"/>
      <c r="W79" s="194">
        <v>15.04000000000002</v>
      </c>
      <c r="X79" s="163"/>
      <c r="Y79" s="206">
        <f t="shared" si="3"/>
        <v>-136652.37000000002</v>
      </c>
      <c r="Z79" s="163"/>
    </row>
    <row r="80" spans="2:26" x14ac:dyDescent="0.25">
      <c r="B80" s="195"/>
      <c r="C80" s="241" t="s">
        <v>85</v>
      </c>
      <c r="D80" s="194">
        <v>3.8200000000000021</v>
      </c>
      <c r="E80" s="194">
        <v>34285.510000000009</v>
      </c>
      <c r="F80" s="194">
        <v>-6159.3200000000015</v>
      </c>
      <c r="G80" s="194">
        <v>-32775.880000000005</v>
      </c>
      <c r="H80" s="194">
        <v>141.02999999999997</v>
      </c>
      <c r="I80" s="194">
        <v>-54241.16</v>
      </c>
      <c r="J80" s="204">
        <v>-93.460000000000051</v>
      </c>
      <c r="K80" s="206">
        <f t="shared" si="4"/>
        <v>-58839.46</v>
      </c>
      <c r="L80" s="163"/>
      <c r="M80" s="194">
        <v>5472.6099999999988</v>
      </c>
      <c r="N80" s="194">
        <v>1483.1300000000015</v>
      </c>
      <c r="O80" s="194">
        <v>18662.36</v>
      </c>
      <c r="P80" s="206">
        <f t="shared" si="5"/>
        <v>25618.1</v>
      </c>
      <c r="Q80" s="163"/>
      <c r="R80" s="194">
        <v>22.220000000000006</v>
      </c>
      <c r="S80" s="194">
        <v>4935.5999999999995</v>
      </c>
      <c r="T80" s="194"/>
      <c r="U80" s="194">
        <v>14.460000000000004</v>
      </c>
      <c r="V80" s="194"/>
      <c r="W80" s="194"/>
      <c r="X80" s="163"/>
      <c r="Y80" s="206">
        <f t="shared" si="3"/>
        <v>-28249.08</v>
      </c>
      <c r="Z80" s="163"/>
    </row>
    <row r="81" spans="2:26" x14ac:dyDescent="0.25">
      <c r="B81" s="195"/>
      <c r="C81" s="244" t="s">
        <v>86</v>
      </c>
      <c r="D81" s="194">
        <v>-0.11000000000000001</v>
      </c>
      <c r="E81" s="194">
        <v>-48.269999999999996</v>
      </c>
      <c r="F81" s="194">
        <v>-31.660000000000004</v>
      </c>
      <c r="G81" s="194">
        <v>-11.8</v>
      </c>
      <c r="H81" s="194">
        <v>-0.95</v>
      </c>
      <c r="I81" s="194">
        <v>-478.59000000000003</v>
      </c>
      <c r="J81" s="204">
        <v>-1.2400000000000002</v>
      </c>
      <c r="K81" s="206">
        <f t="shared" si="4"/>
        <v>-572.62</v>
      </c>
      <c r="L81" s="163"/>
      <c r="M81" s="194">
        <v>-12997.689999999999</v>
      </c>
      <c r="N81" s="194">
        <v>-23995.069999999996</v>
      </c>
      <c r="O81" s="194">
        <v>-555.66999999999996</v>
      </c>
      <c r="P81" s="206">
        <f t="shared" si="5"/>
        <v>-37548.429999999993</v>
      </c>
      <c r="Q81" s="163"/>
      <c r="R81" s="194">
        <v>-0.58000000000000007</v>
      </c>
      <c r="S81" s="194">
        <v>-37.07</v>
      </c>
      <c r="T81" s="194"/>
      <c r="U81" s="194">
        <v>-0.33</v>
      </c>
      <c r="V81" s="194"/>
      <c r="W81" s="194"/>
      <c r="X81" s="163"/>
      <c r="Y81" s="206">
        <f t="shared" si="3"/>
        <v>-38159.03</v>
      </c>
      <c r="Z81" s="163"/>
    </row>
    <row r="82" spans="2:26" x14ac:dyDescent="0.25">
      <c r="B82" s="195"/>
      <c r="C82" t="s">
        <v>387</v>
      </c>
      <c r="D82" s="194"/>
      <c r="E82" s="194">
        <v>-3.49</v>
      </c>
      <c r="F82" s="194">
        <v>-2.4000000000000004</v>
      </c>
      <c r="G82" s="194">
        <v>-0.87999999999999989</v>
      </c>
      <c r="H82" s="194">
        <v>-0.03</v>
      </c>
      <c r="I82" s="194">
        <v>-64.039999999999992</v>
      </c>
      <c r="J82" s="204">
        <v>-0.13</v>
      </c>
      <c r="K82" s="206">
        <f t="shared" si="4"/>
        <v>-70.969999999999985</v>
      </c>
      <c r="L82" s="163"/>
      <c r="M82" s="194">
        <v>-2</v>
      </c>
      <c r="N82" s="194">
        <v>-2.75</v>
      </c>
      <c r="O82" s="194">
        <v>-5.7200000000000006</v>
      </c>
      <c r="P82" s="206">
        <f t="shared" si="5"/>
        <v>-10.47</v>
      </c>
      <c r="Q82" s="163"/>
      <c r="R82" s="194"/>
      <c r="S82" s="194">
        <v>-2.1600000000000006</v>
      </c>
      <c r="T82" s="194"/>
      <c r="U82" s="194"/>
      <c r="V82" s="194"/>
      <c r="W82" s="194"/>
      <c r="X82" s="163"/>
      <c r="Y82" s="206">
        <f t="shared" si="3"/>
        <v>-83.59999999999998</v>
      </c>
      <c r="Z82" s="163"/>
    </row>
    <row r="83" spans="2:26" x14ac:dyDescent="0.25">
      <c r="B83" s="195"/>
      <c r="C83" s="241" t="s">
        <v>87</v>
      </c>
      <c r="D83" s="194"/>
      <c r="E83" s="194">
        <v>9.5400000000000116</v>
      </c>
      <c r="F83" s="194">
        <v>6.3500000000000032</v>
      </c>
      <c r="G83" s="194">
        <v>1.8200000000000012</v>
      </c>
      <c r="H83" s="194">
        <v>0.38</v>
      </c>
      <c r="I83" s="194">
        <v>14.140000000000004</v>
      </c>
      <c r="J83" s="204">
        <v>0.40000000000000008</v>
      </c>
      <c r="K83" s="206">
        <f t="shared" si="4"/>
        <v>32.630000000000017</v>
      </c>
      <c r="L83" s="163"/>
      <c r="M83" s="194">
        <v>5.7199999999999962</v>
      </c>
      <c r="N83" s="194">
        <v>6.3900000000000006</v>
      </c>
      <c r="O83" s="194">
        <v>13.56</v>
      </c>
      <c r="P83" s="206">
        <f t="shared" si="5"/>
        <v>25.669999999999995</v>
      </c>
      <c r="Q83" s="163"/>
      <c r="R83" s="194"/>
      <c r="S83" s="194">
        <v>2.3100000000000005</v>
      </c>
      <c r="T83" s="194"/>
      <c r="U83" s="194"/>
      <c r="V83" s="194"/>
      <c r="W83" s="194"/>
      <c r="X83" s="163"/>
      <c r="Y83" s="206">
        <f t="shared" si="3"/>
        <v>60.610000000000014</v>
      </c>
      <c r="Z83" s="163"/>
    </row>
    <row r="84" spans="2:26" x14ac:dyDescent="0.25">
      <c r="B84" s="243"/>
      <c r="C84" s="244" t="s">
        <v>88</v>
      </c>
      <c r="D84" s="194"/>
      <c r="E84" s="194">
        <v>-253.98</v>
      </c>
      <c r="F84" s="194">
        <v>-1.7700000000000005</v>
      </c>
      <c r="G84" s="194">
        <v>-0.62999999999999989</v>
      </c>
      <c r="H84" s="194">
        <v>-2.0000000000000011E-2</v>
      </c>
      <c r="I84" s="194">
        <v>-3.3999999999999964</v>
      </c>
      <c r="J84" s="204">
        <v>-0.10000000000000002</v>
      </c>
      <c r="K84" s="206">
        <f t="shared" si="4"/>
        <v>-259.89999999999998</v>
      </c>
      <c r="L84" s="163"/>
      <c r="M84" s="194">
        <v>-1.6099999999999994</v>
      </c>
      <c r="N84" s="194">
        <v>-1.9599999999999964</v>
      </c>
      <c r="O84" s="194">
        <v>-4.1000000000000023</v>
      </c>
      <c r="P84" s="206">
        <f t="shared" si="5"/>
        <v>-7.6699999999999982</v>
      </c>
      <c r="Q84" s="163"/>
      <c r="R84" s="194"/>
      <c r="S84" s="194">
        <v>-1.3</v>
      </c>
      <c r="T84" s="194"/>
      <c r="U84" s="194"/>
      <c r="V84" s="194"/>
      <c r="W84" s="194"/>
      <c r="X84" s="163"/>
      <c r="Y84" s="206">
        <f t="shared" si="3"/>
        <v>-268.87</v>
      </c>
      <c r="Z84" s="163"/>
    </row>
    <row r="85" spans="2:26" ht="13.8" thickBot="1" x14ac:dyDescent="0.3">
      <c r="B85" s="196" t="s">
        <v>224</v>
      </c>
      <c r="C85" s="197"/>
      <c r="D85" s="198">
        <v>-22.750000000000007</v>
      </c>
      <c r="E85" s="198">
        <v>-387310.40000000008</v>
      </c>
      <c r="F85" s="198">
        <v>-273440.12000000005</v>
      </c>
      <c r="G85" s="198">
        <v>-143339.26999999996</v>
      </c>
      <c r="H85" s="198">
        <v>-23497.260000000002</v>
      </c>
      <c r="I85" s="198">
        <v>-868400.34000000032</v>
      </c>
      <c r="J85" s="219">
        <v>-13220.220000000001</v>
      </c>
      <c r="K85" s="207">
        <f t="shared" si="4"/>
        <v>-1709230.3600000003</v>
      </c>
      <c r="L85" s="163"/>
      <c r="M85" s="198">
        <v>-255533.47999999998</v>
      </c>
      <c r="N85" s="198">
        <v>-227681.42000000007</v>
      </c>
      <c r="O85" s="198">
        <v>-445909.29999999976</v>
      </c>
      <c r="P85" s="207">
        <f t="shared" si="5"/>
        <v>-929124.19999999972</v>
      </c>
      <c r="Q85" s="163"/>
      <c r="R85" s="198">
        <v>-261.68999999999994</v>
      </c>
      <c r="S85" s="198">
        <v>-4815.1499999999878</v>
      </c>
      <c r="T85" s="198">
        <v>0.47</v>
      </c>
      <c r="U85" s="198">
        <v>-39.100000000000037</v>
      </c>
      <c r="V85" s="198">
        <v>483.53999999999979</v>
      </c>
      <c r="W85" s="198">
        <v>3432.8900000000008</v>
      </c>
      <c r="X85" s="163"/>
      <c r="Y85" s="207">
        <f t="shared" si="3"/>
        <v>-2639553.5999999996</v>
      </c>
      <c r="Z85" s="163"/>
    </row>
    <row r="86" spans="2:26" x14ac:dyDescent="0.25">
      <c r="B86" s="195" t="s">
        <v>89</v>
      </c>
      <c r="C86" s="241" t="s">
        <v>90</v>
      </c>
      <c r="D86" s="202">
        <v>-0.73</v>
      </c>
      <c r="E86" s="202">
        <v>-3437.69</v>
      </c>
      <c r="F86" s="202">
        <v>-1812.4500000000005</v>
      </c>
      <c r="G86" s="202">
        <v>-591.37000000000012</v>
      </c>
      <c r="H86" s="202">
        <v>-166.85999999999999</v>
      </c>
      <c r="I86" s="202">
        <v>-8266.5500000000029</v>
      </c>
      <c r="J86" s="205">
        <v>-145.74</v>
      </c>
      <c r="K86" s="208">
        <f t="shared" si="4"/>
        <v>-14421.390000000003</v>
      </c>
      <c r="L86" s="163"/>
      <c r="M86" s="202">
        <v>-2282.7800000000016</v>
      </c>
      <c r="N86" s="202">
        <v>-2264.2199999999989</v>
      </c>
      <c r="O86" s="202">
        <v>-3682.4800000000014</v>
      </c>
      <c r="P86" s="208">
        <f t="shared" si="5"/>
        <v>-8229.4800000000014</v>
      </c>
      <c r="Q86" s="163"/>
      <c r="R86" s="202">
        <v>-4.1399999999999997</v>
      </c>
      <c r="S86" s="202">
        <v>-194.42000000000004</v>
      </c>
      <c r="T86" s="202"/>
      <c r="U86" s="202">
        <v>-2.2599999999999998</v>
      </c>
      <c r="V86" s="202"/>
      <c r="W86" s="202"/>
      <c r="X86" s="163"/>
      <c r="Y86" s="208">
        <f t="shared" si="3"/>
        <v>-22851.69</v>
      </c>
      <c r="Z86" s="163"/>
    </row>
    <row r="87" spans="2:26" x14ac:dyDescent="0.25">
      <c r="B87" s="195"/>
      <c r="C87" s="241" t="s">
        <v>91</v>
      </c>
      <c r="D87" s="194">
        <v>-0.31</v>
      </c>
      <c r="E87" s="194">
        <v>825.42999999999734</v>
      </c>
      <c r="F87" s="194">
        <v>9498.6500000000015</v>
      </c>
      <c r="G87" s="194">
        <v>2336.08</v>
      </c>
      <c r="H87" s="194">
        <v>39.719999999999921</v>
      </c>
      <c r="I87" s="194">
        <v>-5066.3900000000003</v>
      </c>
      <c r="J87" s="204">
        <v>-1328.7900000000002</v>
      </c>
      <c r="K87" s="206">
        <f t="shared" si="4"/>
        <v>6304.3899999999976</v>
      </c>
      <c r="L87" s="163"/>
      <c r="M87" s="194">
        <v>332.18999999999949</v>
      </c>
      <c r="N87" s="194">
        <v>5853.9100000000008</v>
      </c>
      <c r="O87" s="194">
        <v>7722.0399999999991</v>
      </c>
      <c r="P87" s="206">
        <f t="shared" si="5"/>
        <v>13908.14</v>
      </c>
      <c r="Q87" s="163"/>
      <c r="R87" s="194">
        <v>-13.969999999999999</v>
      </c>
      <c r="S87" s="194">
        <v>-180.75000000000003</v>
      </c>
      <c r="T87" s="194"/>
      <c r="U87" s="194">
        <v>-5.78</v>
      </c>
      <c r="V87" s="194">
        <v>-0.18</v>
      </c>
      <c r="W87" s="194"/>
      <c r="X87" s="163"/>
      <c r="Y87" s="206">
        <f t="shared" si="3"/>
        <v>20011.849999999999</v>
      </c>
      <c r="Z87" s="163"/>
    </row>
    <row r="88" spans="2:26" x14ac:dyDescent="0.25">
      <c r="B88" s="195"/>
      <c r="C88" s="241" t="s">
        <v>92</v>
      </c>
      <c r="D88" s="194">
        <v>-1.31</v>
      </c>
      <c r="E88" s="194">
        <v>11808.259999999917</v>
      </c>
      <c r="F88" s="194">
        <v>-62747.240000000049</v>
      </c>
      <c r="G88" s="194">
        <v>-49800.320000000022</v>
      </c>
      <c r="H88" s="194">
        <v>-2234.8100000000081</v>
      </c>
      <c r="I88" s="194">
        <v>77790.389999999767</v>
      </c>
      <c r="J88" s="204">
        <v>-3879.63</v>
      </c>
      <c r="K88" s="206">
        <f t="shared" si="4"/>
        <v>-29064.660000000407</v>
      </c>
      <c r="L88" s="163"/>
      <c r="M88" s="194">
        <v>-12488.199999999944</v>
      </c>
      <c r="N88" s="248">
        <v>-164267.62999999963</v>
      </c>
      <c r="O88" s="194">
        <v>-20053.58000000006</v>
      </c>
      <c r="P88" s="206">
        <f t="shared" si="5"/>
        <v>-196809.40999999963</v>
      </c>
      <c r="Q88" s="163"/>
      <c r="R88" s="194">
        <v>2.880000000000003</v>
      </c>
      <c r="S88" s="194">
        <v>142.25000000000011</v>
      </c>
      <c r="T88" s="194">
        <v>1.75</v>
      </c>
      <c r="U88" s="194">
        <v>-4.5499999999999989</v>
      </c>
      <c r="V88" s="194">
        <v>-8.7000000000000046</v>
      </c>
      <c r="W88" s="194">
        <v>277.40999999999997</v>
      </c>
      <c r="X88" s="163"/>
      <c r="Y88" s="206">
        <f t="shared" si="3"/>
        <v>-225463.03000000003</v>
      </c>
      <c r="Z88" s="163"/>
    </row>
    <row r="89" spans="2:26" x14ac:dyDescent="0.25">
      <c r="B89" s="243"/>
      <c r="C89" s="244" t="s">
        <v>93</v>
      </c>
      <c r="D89" s="194"/>
      <c r="E89" s="194">
        <v>670.86</v>
      </c>
      <c r="F89" s="194">
        <v>584.9600000000006</v>
      </c>
      <c r="G89" s="194">
        <v>126.30000000000005</v>
      </c>
      <c r="H89" s="194">
        <v>27.949999999999953</v>
      </c>
      <c r="I89" s="194">
        <v>1217.6000000000006</v>
      </c>
      <c r="J89" s="204">
        <v>-4.9399999999999906</v>
      </c>
      <c r="K89" s="206">
        <f t="shared" si="4"/>
        <v>2622.7300000000009</v>
      </c>
      <c r="L89" s="163"/>
      <c r="M89" s="194">
        <v>576.50000000000011</v>
      </c>
      <c r="N89" s="194">
        <v>509.50000000000028</v>
      </c>
      <c r="O89" s="194">
        <v>1024.75</v>
      </c>
      <c r="P89" s="206">
        <f t="shared" si="5"/>
        <v>2110.7500000000005</v>
      </c>
      <c r="Q89" s="163"/>
      <c r="R89" s="194"/>
      <c r="S89" s="194"/>
      <c r="T89" s="194"/>
      <c r="U89" s="194"/>
      <c r="V89" s="194"/>
      <c r="W89" s="194"/>
      <c r="X89" s="163"/>
      <c r="Y89" s="206">
        <f t="shared" si="3"/>
        <v>4733.4800000000014</v>
      </c>
      <c r="Z89" s="163"/>
    </row>
    <row r="90" spans="2:26" ht="13.8" thickBot="1" x14ac:dyDescent="0.3">
      <c r="B90" s="196" t="s">
        <v>225</v>
      </c>
      <c r="C90" s="197"/>
      <c r="D90" s="198">
        <v>-2.35</v>
      </c>
      <c r="E90" s="198">
        <v>9866.8599999999133</v>
      </c>
      <c r="F90" s="198">
        <v>-54476.080000000053</v>
      </c>
      <c r="G90" s="198">
        <v>-47929.310000000019</v>
      </c>
      <c r="H90" s="198">
        <v>-2334.0000000000082</v>
      </c>
      <c r="I90" s="198">
        <v>65675.04999999977</v>
      </c>
      <c r="J90" s="219">
        <v>-5359.0999999999995</v>
      </c>
      <c r="K90" s="207">
        <f t="shared" si="4"/>
        <v>-34558.930000000393</v>
      </c>
      <c r="L90" s="163"/>
      <c r="M90" s="198">
        <v>-13862.289999999946</v>
      </c>
      <c r="N90" s="198">
        <v>-160168.43999999962</v>
      </c>
      <c r="O90" s="198">
        <v>-14989.270000000062</v>
      </c>
      <c r="P90" s="207">
        <f t="shared" si="5"/>
        <v>-189019.99999999965</v>
      </c>
      <c r="Q90" s="163"/>
      <c r="R90" s="198">
        <v>-15.229999999999997</v>
      </c>
      <c r="S90" s="198">
        <v>-232.91999999999996</v>
      </c>
      <c r="T90" s="198">
        <v>1.75</v>
      </c>
      <c r="U90" s="198">
        <v>-12.589999999999998</v>
      </c>
      <c r="V90" s="198">
        <v>-8.8800000000000043</v>
      </c>
      <c r="W90" s="198">
        <v>277.40999999999997</v>
      </c>
      <c r="X90" s="163"/>
      <c r="Y90" s="207">
        <f t="shared" si="3"/>
        <v>-223569.39000000007</v>
      </c>
      <c r="Z90" s="163"/>
    </row>
    <row r="91" spans="2:26" x14ac:dyDescent="0.25">
      <c r="B91" s="195" t="s">
        <v>94</v>
      </c>
      <c r="C91" s="241" t="s">
        <v>95</v>
      </c>
      <c r="D91" s="202">
        <v>0.27</v>
      </c>
      <c r="E91" s="202">
        <v>1164.0300000000002</v>
      </c>
      <c r="F91" s="202">
        <v>-5268.92</v>
      </c>
      <c r="G91" s="202">
        <v>-10.030000000000044</v>
      </c>
      <c r="H91" s="202">
        <v>-6.0300000000000056</v>
      </c>
      <c r="I91" s="202">
        <v>-964.77999999999872</v>
      </c>
      <c r="J91" s="205">
        <v>-4.1000000000000014</v>
      </c>
      <c r="K91" s="208">
        <f t="shared" si="4"/>
        <v>-5089.5599999999986</v>
      </c>
      <c r="L91" s="163"/>
      <c r="M91" s="202">
        <v>-638.20999999999992</v>
      </c>
      <c r="N91" s="202">
        <v>40.760000000000105</v>
      </c>
      <c r="O91" s="202">
        <v>41.919999999999163</v>
      </c>
      <c r="P91" s="208">
        <f t="shared" si="5"/>
        <v>-555.53000000000065</v>
      </c>
      <c r="Q91" s="163"/>
      <c r="R91" s="202">
        <v>1.4</v>
      </c>
      <c r="S91" s="202">
        <v>152.89999999999992</v>
      </c>
      <c r="T91" s="202"/>
      <c r="U91" s="202">
        <v>0.67000000000000015</v>
      </c>
      <c r="V91" s="202"/>
      <c r="W91" s="202"/>
      <c r="X91" s="163"/>
      <c r="Y91" s="208">
        <f t="shared" si="3"/>
        <v>-5490.12</v>
      </c>
      <c r="Z91" s="163"/>
    </row>
    <row r="92" spans="2:26" x14ac:dyDescent="0.25">
      <c r="B92" s="195"/>
      <c r="C92" s="241" t="s">
        <v>96</v>
      </c>
      <c r="D92" s="194"/>
      <c r="E92" s="194">
        <v>-2158.6299999999983</v>
      </c>
      <c r="F92" s="194">
        <v>-2101.1799999999998</v>
      </c>
      <c r="G92" s="194">
        <v>-468.52000000000004</v>
      </c>
      <c r="H92" s="194">
        <v>-91.15000000000002</v>
      </c>
      <c r="I92" s="194">
        <v>-2938.6600000000003</v>
      </c>
      <c r="J92" s="204">
        <v>-70.63000000000001</v>
      </c>
      <c r="K92" s="206">
        <f t="shared" si="4"/>
        <v>-7828.7699999999977</v>
      </c>
      <c r="L92" s="163"/>
      <c r="M92" s="194">
        <v>-6894.6499999999987</v>
      </c>
      <c r="N92" s="194">
        <v>-1204.1800000000005</v>
      </c>
      <c r="O92" s="194">
        <v>-669.29000000000008</v>
      </c>
      <c r="P92" s="206">
        <f t="shared" si="5"/>
        <v>-8768.119999999999</v>
      </c>
      <c r="Q92" s="163"/>
      <c r="R92" s="194"/>
      <c r="S92" s="194">
        <v>-376.68999999999994</v>
      </c>
      <c r="T92" s="194"/>
      <c r="U92" s="194"/>
      <c r="V92" s="194"/>
      <c r="W92" s="194"/>
      <c r="X92" s="163"/>
      <c r="Y92" s="206">
        <f t="shared" si="3"/>
        <v>-16973.579999999994</v>
      </c>
      <c r="Z92" s="163"/>
    </row>
    <row r="93" spans="2:26" x14ac:dyDescent="0.25">
      <c r="B93" s="243"/>
      <c r="C93" s="244" t="s">
        <v>97</v>
      </c>
      <c r="D93" s="194">
        <v>-8.5500000000000007</v>
      </c>
      <c r="E93" s="194">
        <v>-2280.65</v>
      </c>
      <c r="F93" s="194">
        <v>-1719.4800000000009</v>
      </c>
      <c r="G93" s="194">
        <v>-366.19999999999993</v>
      </c>
      <c r="H93" s="194">
        <v>-33.11</v>
      </c>
      <c r="I93" s="194">
        <v>-1134.2200000000003</v>
      </c>
      <c r="J93" s="204">
        <v>-279.0299999999998</v>
      </c>
      <c r="K93" s="206">
        <f t="shared" si="4"/>
        <v>-5821.2400000000007</v>
      </c>
      <c r="L93" s="163"/>
      <c r="M93" s="194">
        <v>-1307.68</v>
      </c>
      <c r="N93" s="194">
        <v>-1801.4899999999998</v>
      </c>
      <c r="O93" s="194">
        <v>-1168.0899999999999</v>
      </c>
      <c r="P93" s="206">
        <f t="shared" si="5"/>
        <v>-4277.26</v>
      </c>
      <c r="Q93" s="163"/>
      <c r="R93" s="194">
        <v>-131.48000000000002</v>
      </c>
      <c r="S93" s="194">
        <v>-1111.2100000000005</v>
      </c>
      <c r="T93" s="194"/>
      <c r="U93" s="194">
        <v>-40.409999999999989</v>
      </c>
      <c r="V93" s="194">
        <v>-2.46</v>
      </c>
      <c r="W93" s="194"/>
      <c r="X93" s="163"/>
      <c r="Y93" s="206">
        <f t="shared" si="3"/>
        <v>-11384.06</v>
      </c>
      <c r="Z93" s="163"/>
    </row>
    <row r="94" spans="2:26" ht="13.8" thickBot="1" x14ac:dyDescent="0.3">
      <c r="B94" s="196" t="s">
        <v>226</v>
      </c>
      <c r="C94" s="197"/>
      <c r="D94" s="198">
        <v>-8.2800000000000011</v>
      </c>
      <c r="E94" s="198">
        <v>-3275.2499999999982</v>
      </c>
      <c r="F94" s="198">
        <v>-9089.5800000000017</v>
      </c>
      <c r="G94" s="198">
        <v>-844.75</v>
      </c>
      <c r="H94" s="198">
        <v>-130.29000000000002</v>
      </c>
      <c r="I94" s="198">
        <v>-5037.66</v>
      </c>
      <c r="J94" s="219">
        <v>-353.75999999999982</v>
      </c>
      <c r="K94" s="207">
        <f t="shared" si="4"/>
        <v>-18739.57</v>
      </c>
      <c r="L94" s="163"/>
      <c r="M94" s="198">
        <v>-8840.5399999999991</v>
      </c>
      <c r="N94" s="198">
        <v>-2964.9100000000003</v>
      </c>
      <c r="O94" s="198">
        <v>-1795.4600000000009</v>
      </c>
      <c r="P94" s="207">
        <f t="shared" si="5"/>
        <v>-13600.91</v>
      </c>
      <c r="Q94" s="163"/>
      <c r="R94" s="198">
        <v>-130.08000000000001</v>
      </c>
      <c r="S94" s="198">
        <v>-1335.0000000000005</v>
      </c>
      <c r="T94" s="198"/>
      <c r="U94" s="198">
        <v>-39.739999999999988</v>
      </c>
      <c r="V94" s="198">
        <v>-2.46</v>
      </c>
      <c r="W94" s="198"/>
      <c r="X94" s="163"/>
      <c r="Y94" s="207">
        <f t="shared" si="3"/>
        <v>-33847.760000000002</v>
      </c>
      <c r="Z94" s="163"/>
    </row>
    <row r="95" spans="2:26" x14ac:dyDescent="0.25">
      <c r="B95" s="243" t="s">
        <v>98</v>
      </c>
      <c r="C95" s="244" t="s">
        <v>214</v>
      </c>
      <c r="D95" s="202">
        <v>0.02</v>
      </c>
      <c r="E95" s="202">
        <v>-1272.2499999999995</v>
      </c>
      <c r="F95" s="202">
        <v>-714.57000000000039</v>
      </c>
      <c r="G95" s="202">
        <v>-268.29999999999995</v>
      </c>
      <c r="H95" s="202">
        <v>-56.649999999999942</v>
      </c>
      <c r="I95" s="202">
        <v>-1824.5499999999995</v>
      </c>
      <c r="J95" s="205">
        <v>-59.219999999999949</v>
      </c>
      <c r="K95" s="208">
        <f t="shared" si="4"/>
        <v>-4195.5199999999995</v>
      </c>
      <c r="L95" s="163"/>
      <c r="M95" s="202">
        <v>-651.11</v>
      </c>
      <c r="N95" s="202">
        <v>-676.2600000000001</v>
      </c>
      <c r="O95" s="202">
        <v>-1306.19</v>
      </c>
      <c r="P95" s="208">
        <f t="shared" si="5"/>
        <v>-2633.5600000000004</v>
      </c>
      <c r="Q95" s="163"/>
      <c r="R95" s="202">
        <v>6.9999999999999993E-2</v>
      </c>
      <c r="S95" s="202">
        <v>4.66</v>
      </c>
      <c r="T95" s="202"/>
      <c r="U95" s="202">
        <v>0.03</v>
      </c>
      <c r="V95" s="202"/>
      <c r="W95" s="202"/>
      <c r="X95" s="163"/>
      <c r="Y95" s="208">
        <f t="shared" si="3"/>
        <v>-6824.3200000000006</v>
      </c>
      <c r="Z95" s="163"/>
    </row>
    <row r="96" spans="2:26" ht="13.8" thickBot="1" x14ac:dyDescent="0.3">
      <c r="B96" s="196" t="s">
        <v>227</v>
      </c>
      <c r="C96" s="197"/>
      <c r="D96" s="198">
        <v>0.02</v>
      </c>
      <c r="E96" s="198">
        <v>-1272.2499999999995</v>
      </c>
      <c r="F96" s="198">
        <v>-714.57000000000039</v>
      </c>
      <c r="G96" s="198">
        <v>-268.29999999999995</v>
      </c>
      <c r="H96" s="198">
        <v>-56.649999999999942</v>
      </c>
      <c r="I96" s="198">
        <v>-1824.5499999999995</v>
      </c>
      <c r="J96" s="219">
        <v>-59.219999999999949</v>
      </c>
      <c r="K96" s="207">
        <f t="shared" si="4"/>
        <v>-4195.5199999999995</v>
      </c>
      <c r="L96" s="163"/>
      <c r="M96" s="198">
        <v>-651.11</v>
      </c>
      <c r="N96" s="198">
        <v>-676.2600000000001</v>
      </c>
      <c r="O96" s="198">
        <v>-1306.19</v>
      </c>
      <c r="P96" s="207">
        <f t="shared" si="5"/>
        <v>-2633.5600000000004</v>
      </c>
      <c r="Q96" s="163"/>
      <c r="R96" s="198">
        <v>6.9999999999999993E-2</v>
      </c>
      <c r="S96" s="198">
        <v>4.66</v>
      </c>
      <c r="T96" s="198"/>
      <c r="U96" s="198">
        <v>0.03</v>
      </c>
      <c r="V96" s="198"/>
      <c r="W96" s="198"/>
      <c r="X96" s="163"/>
      <c r="Y96" s="207">
        <f t="shared" si="3"/>
        <v>-6824.3200000000006</v>
      </c>
      <c r="Z96" s="163"/>
    </row>
    <row r="97" spans="2:26" x14ac:dyDescent="0.25">
      <c r="B97" s="195" t="s">
        <v>99</v>
      </c>
      <c r="C97" s="241" t="s">
        <v>100</v>
      </c>
      <c r="D97" s="202">
        <v>34571.189999999988</v>
      </c>
      <c r="E97" s="249">
        <v>-627114.60000000021</v>
      </c>
      <c r="F97" s="249">
        <v>-523375.70999999979</v>
      </c>
      <c r="G97" s="202">
        <v>-71981.759999999907</v>
      </c>
      <c r="H97" s="202">
        <v>30974.899999999987</v>
      </c>
      <c r="I97" s="249">
        <v>-310837.1399999999</v>
      </c>
      <c r="J97" s="205">
        <v>11968.96000000001</v>
      </c>
      <c r="K97" s="208">
        <f t="shared" si="4"/>
        <v>-1455794.1600000001</v>
      </c>
      <c r="L97" s="163"/>
      <c r="M97" s="249">
        <v>-313025.96000000002</v>
      </c>
      <c r="N97" s="249">
        <v>-418445.98999999958</v>
      </c>
      <c r="O97" s="249">
        <v>-338021.92000000004</v>
      </c>
      <c r="P97" s="208">
        <f t="shared" si="5"/>
        <v>-1069493.8699999996</v>
      </c>
      <c r="Q97" s="163"/>
      <c r="R97" s="202">
        <v>-13208.100000000015</v>
      </c>
      <c r="S97" s="249">
        <v>-542666.52999999945</v>
      </c>
      <c r="T97" s="202">
        <v>-22510.120000000006</v>
      </c>
      <c r="U97" s="202">
        <v>-34668.159999999996</v>
      </c>
      <c r="V97" s="202">
        <v>-30294.639999999999</v>
      </c>
      <c r="W97" s="202">
        <v>-962.34000000000719</v>
      </c>
      <c r="X97" s="163"/>
      <c r="Y97" s="208">
        <f t="shared" si="3"/>
        <v>-3169597.9199999995</v>
      </c>
      <c r="Z97" s="163"/>
    </row>
    <row r="98" spans="2:26" x14ac:dyDescent="0.25">
      <c r="B98" s="195"/>
      <c r="C98" s="241" t="s">
        <v>101</v>
      </c>
      <c r="D98" s="194">
        <v>-932.80000000000041</v>
      </c>
      <c r="E98" s="248">
        <v>-559669.75999999954</v>
      </c>
      <c r="F98" s="248">
        <v>-192873.24000000005</v>
      </c>
      <c r="G98" s="194">
        <v>-37831.78</v>
      </c>
      <c r="H98" s="194">
        <v>-19861.16</v>
      </c>
      <c r="I98" s="248">
        <v>-180080.18000000008</v>
      </c>
      <c r="J98" s="204">
        <v>-35938.400000000016</v>
      </c>
      <c r="K98" s="206">
        <f t="shared" si="4"/>
        <v>-1027187.3199999997</v>
      </c>
      <c r="L98" s="163"/>
      <c r="M98" s="248">
        <v>-156240.03999999983</v>
      </c>
      <c r="N98" s="248">
        <v>-167688.85000000003</v>
      </c>
      <c r="O98" s="248">
        <v>-198386.46999999986</v>
      </c>
      <c r="P98" s="206">
        <f t="shared" si="5"/>
        <v>-522315.35999999975</v>
      </c>
      <c r="Q98" s="163"/>
      <c r="R98" s="194">
        <v>-5748.6200000000008</v>
      </c>
      <c r="S98" s="248">
        <v>-207300.24000000008</v>
      </c>
      <c r="T98" s="194">
        <v>-7.6999999999999984</v>
      </c>
      <c r="U98" s="194">
        <v>-1890.7999999999997</v>
      </c>
      <c r="V98" s="194">
        <v>-4115.6400000000003</v>
      </c>
      <c r="W98" s="194">
        <v>-35947.19</v>
      </c>
      <c r="X98" s="163"/>
      <c r="Y98" s="206">
        <f t="shared" si="3"/>
        <v>-1804512.8699999994</v>
      </c>
      <c r="Z98" s="163"/>
    </row>
    <row r="99" spans="2:26" x14ac:dyDescent="0.25">
      <c r="B99" s="195"/>
      <c r="C99" t="s">
        <v>388</v>
      </c>
      <c r="D99" s="194"/>
      <c r="E99" s="194">
        <v>0.01</v>
      </c>
      <c r="F99" s="194">
        <v>-0.03</v>
      </c>
      <c r="G99" s="194">
        <v>-0.01</v>
      </c>
      <c r="H99" s="194"/>
      <c r="I99" s="194"/>
      <c r="J99" s="204">
        <v>-0.01</v>
      </c>
      <c r="K99" s="206">
        <f t="shared" si="4"/>
        <v>-0.04</v>
      </c>
      <c r="L99" s="163"/>
      <c r="M99" s="194">
        <v>0</v>
      </c>
      <c r="N99" s="194"/>
      <c r="O99" s="194"/>
      <c r="P99" s="206">
        <f t="shared" si="5"/>
        <v>0</v>
      </c>
      <c r="Q99" s="163"/>
      <c r="R99" s="194"/>
      <c r="S99" s="194"/>
      <c r="T99" s="194"/>
      <c r="U99" s="194"/>
      <c r="V99" s="194"/>
      <c r="W99" s="194"/>
      <c r="X99" s="163"/>
      <c r="Y99" s="206">
        <f t="shared" si="3"/>
        <v>-0.04</v>
      </c>
      <c r="Z99" s="163"/>
    </row>
    <row r="100" spans="2:26" x14ac:dyDescent="0.25">
      <c r="B100" s="195"/>
      <c r="C100" s="241" t="s">
        <v>102</v>
      </c>
      <c r="D100" s="194">
        <v>-2386.52</v>
      </c>
      <c r="E100" s="248">
        <v>-711995.2300000001</v>
      </c>
      <c r="F100" s="248">
        <v>-208509.03000000006</v>
      </c>
      <c r="G100" s="248">
        <v>-210793.87000000017</v>
      </c>
      <c r="H100" s="194">
        <v>-17149.71</v>
      </c>
      <c r="I100" s="248">
        <v>-277631.19000000064</v>
      </c>
      <c r="J100" s="251">
        <v>-129868.81</v>
      </c>
      <c r="K100" s="206">
        <f t="shared" si="4"/>
        <v>-1558334.360000001</v>
      </c>
      <c r="L100" s="163"/>
      <c r="M100" s="248">
        <v>-490850.94999999984</v>
      </c>
      <c r="N100" s="194">
        <v>-193779.04999999996</v>
      </c>
      <c r="O100" s="194">
        <v>-266674.0099999996</v>
      </c>
      <c r="P100" s="206">
        <f t="shared" si="5"/>
        <v>-951304.00999999931</v>
      </c>
      <c r="Q100" s="163"/>
      <c r="R100" s="248">
        <v>-2435725.7499999995</v>
      </c>
      <c r="S100" s="248">
        <v>-580038.51000000082</v>
      </c>
      <c r="T100" s="194">
        <v>-3004.2600000000025</v>
      </c>
      <c r="U100" s="194">
        <v>-75413.84</v>
      </c>
      <c r="V100" s="194">
        <v>57146.400000000096</v>
      </c>
      <c r="W100" s="194">
        <v>-44161.350000000028</v>
      </c>
      <c r="X100" s="163"/>
      <c r="Y100" s="206">
        <f t="shared" si="3"/>
        <v>-5590835.6799999988</v>
      </c>
      <c r="Z100" s="163"/>
    </row>
    <row r="101" spans="2:26" x14ac:dyDescent="0.25">
      <c r="B101" s="195"/>
      <c r="C101" s="241" t="s">
        <v>103</v>
      </c>
      <c r="D101" s="194">
        <v>0.39</v>
      </c>
      <c r="E101" s="194">
        <v>-117.99000000000005</v>
      </c>
      <c r="F101" s="194">
        <v>-150.89000000000004</v>
      </c>
      <c r="G101" s="194">
        <v>17.98</v>
      </c>
      <c r="H101" s="194">
        <v>2.7099999999999991</v>
      </c>
      <c r="I101" s="194">
        <v>-864.13</v>
      </c>
      <c r="J101" s="204">
        <v>-68.160000000000025</v>
      </c>
      <c r="K101" s="206">
        <f t="shared" si="4"/>
        <v>-1180.0900000000001</v>
      </c>
      <c r="L101" s="163"/>
      <c r="M101" s="194">
        <v>-328.88000000000011</v>
      </c>
      <c r="N101" s="194">
        <v>-1972.4599999999994</v>
      </c>
      <c r="O101" s="194">
        <v>-780.50000000000068</v>
      </c>
      <c r="P101" s="206">
        <f t="shared" si="5"/>
        <v>-3081.84</v>
      </c>
      <c r="Q101" s="163"/>
      <c r="R101" s="194">
        <v>2.0800000000000005</v>
      </c>
      <c r="S101" s="194">
        <v>94.4</v>
      </c>
      <c r="T101" s="194">
        <v>-17504.240000000002</v>
      </c>
      <c r="U101" s="194">
        <v>-1.1399999999999992</v>
      </c>
      <c r="V101" s="194"/>
      <c r="W101" s="194"/>
      <c r="X101" s="163"/>
      <c r="Y101" s="206">
        <f t="shared" si="3"/>
        <v>-21670.83</v>
      </c>
      <c r="Z101" s="163"/>
    </row>
    <row r="102" spans="2:26" x14ac:dyDescent="0.25">
      <c r="B102" s="195"/>
      <c r="C102" s="241" t="s">
        <v>104</v>
      </c>
      <c r="D102" s="194">
        <v>-82.57999999999997</v>
      </c>
      <c r="E102" s="194">
        <v>-2171.0899999999997</v>
      </c>
      <c r="F102" s="194">
        <v>-1977.2800000000013</v>
      </c>
      <c r="G102" s="194">
        <v>-517.98000000000013</v>
      </c>
      <c r="H102" s="194">
        <v>-379.69999999999993</v>
      </c>
      <c r="I102" s="194">
        <v>291.95000000000005</v>
      </c>
      <c r="J102" s="204">
        <v>-447.44999999999976</v>
      </c>
      <c r="K102" s="206">
        <f t="shared" si="4"/>
        <v>-5284.130000000001</v>
      </c>
      <c r="L102" s="163"/>
      <c r="M102" s="194">
        <v>-1580.2299999999991</v>
      </c>
      <c r="N102" s="194">
        <v>-1641.9100000000003</v>
      </c>
      <c r="O102" s="194">
        <v>-4958.5699999999988</v>
      </c>
      <c r="P102" s="206">
        <f t="shared" si="5"/>
        <v>-8180.7099999999982</v>
      </c>
      <c r="Q102" s="163"/>
      <c r="R102" s="194">
        <v>-308.67000000000007</v>
      </c>
      <c r="S102" s="194">
        <v>-796.83999999999924</v>
      </c>
      <c r="T102" s="194">
        <v>-2.5499999999999998</v>
      </c>
      <c r="U102" s="194">
        <v>-73.779999999999987</v>
      </c>
      <c r="V102" s="194">
        <v>-86.130000000000024</v>
      </c>
      <c r="W102" s="194">
        <v>-122.02000000000001</v>
      </c>
      <c r="X102" s="163"/>
      <c r="Y102" s="206">
        <f t="shared" si="3"/>
        <v>-14854.829999999998</v>
      </c>
      <c r="Z102" s="163"/>
    </row>
    <row r="103" spans="2:26" x14ac:dyDescent="0.25">
      <c r="B103" s="195"/>
      <c r="C103" s="241" t="s">
        <v>105</v>
      </c>
      <c r="D103" s="194">
        <v>7.0900000000000034</v>
      </c>
      <c r="E103" s="194">
        <v>-58973.429999999971</v>
      </c>
      <c r="F103" s="248">
        <v>175649.83000000005</v>
      </c>
      <c r="G103" s="248">
        <v>162009.24999999991</v>
      </c>
      <c r="H103" s="194">
        <v>-24653.679999999989</v>
      </c>
      <c r="I103" s="194">
        <v>-29486.170000000002</v>
      </c>
      <c r="J103" s="204">
        <v>-1386.2300000000005</v>
      </c>
      <c r="K103" s="206">
        <f t="shared" si="4"/>
        <v>223166.65999999997</v>
      </c>
      <c r="L103" s="163"/>
      <c r="M103" s="248">
        <v>-183827.09000000014</v>
      </c>
      <c r="N103" s="248">
        <v>-259880.72000000009</v>
      </c>
      <c r="O103" s="194">
        <v>92163.249999999927</v>
      </c>
      <c r="P103" s="206">
        <f t="shared" si="5"/>
        <v>-351544.56000000029</v>
      </c>
      <c r="Q103" s="163"/>
      <c r="R103" s="194">
        <v>34.390000000000022</v>
      </c>
      <c r="S103" s="194">
        <v>-19892.689999999988</v>
      </c>
      <c r="T103" s="194">
        <v>-0.05</v>
      </c>
      <c r="U103" s="194">
        <v>1.4899999999999922</v>
      </c>
      <c r="V103" s="194">
        <v>-4056.94</v>
      </c>
      <c r="W103" s="248">
        <v>-127818.05000000002</v>
      </c>
      <c r="X103" s="163"/>
      <c r="Y103" s="206">
        <f t="shared" si="3"/>
        <v>-280109.75000000035</v>
      </c>
      <c r="Z103" s="163"/>
    </row>
    <row r="104" spans="2:26" x14ac:dyDescent="0.25">
      <c r="B104" s="195"/>
      <c r="C104" s="241" t="s">
        <v>106</v>
      </c>
      <c r="D104" s="194">
        <v>0.62</v>
      </c>
      <c r="E104" s="194">
        <v>-1904.81</v>
      </c>
      <c r="F104" s="194">
        <v>-1009.3499999999999</v>
      </c>
      <c r="G104" s="194">
        <v>-195.49999999999997</v>
      </c>
      <c r="H104" s="194">
        <v>-21.219999999999992</v>
      </c>
      <c r="I104" s="194">
        <v>-872.02</v>
      </c>
      <c r="J104" s="204">
        <v>-146.32000000000005</v>
      </c>
      <c r="K104" s="206">
        <f t="shared" si="4"/>
        <v>-4148.5999999999995</v>
      </c>
      <c r="L104" s="163"/>
      <c r="M104" s="194">
        <v>-667.91999999999985</v>
      </c>
      <c r="N104" s="194">
        <v>-699.88000000000011</v>
      </c>
      <c r="O104" s="194">
        <v>-889.68999999999994</v>
      </c>
      <c r="P104" s="206">
        <f t="shared" si="5"/>
        <v>-2257.4899999999998</v>
      </c>
      <c r="Q104" s="163"/>
      <c r="R104" s="194">
        <v>-74.52</v>
      </c>
      <c r="S104" s="194">
        <v>-1091.5999999999999</v>
      </c>
      <c r="T104" s="194"/>
      <c r="U104" s="194">
        <v>-33.96</v>
      </c>
      <c r="V104" s="194">
        <v>-1.05</v>
      </c>
      <c r="W104" s="194"/>
      <c r="X104" s="163"/>
      <c r="Y104" s="206">
        <f t="shared" si="3"/>
        <v>-7607.2199999999993</v>
      </c>
      <c r="Z104" s="163"/>
    </row>
    <row r="105" spans="2:26" x14ac:dyDescent="0.25">
      <c r="B105" s="195"/>
      <c r="C105" s="241" t="s">
        <v>107</v>
      </c>
      <c r="D105" s="194">
        <v>-4.5100000000000042</v>
      </c>
      <c r="E105" s="194">
        <v>33741.689999999799</v>
      </c>
      <c r="F105" s="194">
        <v>29022.830000000027</v>
      </c>
      <c r="G105" s="194">
        <v>10270.799999999972</v>
      </c>
      <c r="H105" s="194">
        <v>-1049.4799999999962</v>
      </c>
      <c r="I105" s="194">
        <v>19446.05</v>
      </c>
      <c r="J105" s="204">
        <v>-7656.6199999999862</v>
      </c>
      <c r="K105" s="206">
        <f t="shared" si="4"/>
        <v>83770.75999999982</v>
      </c>
      <c r="L105" s="163"/>
      <c r="M105" s="194">
        <v>-7601.9499999999789</v>
      </c>
      <c r="N105" s="194">
        <v>16155.760000000057</v>
      </c>
      <c r="O105" s="194">
        <v>22115.229999999989</v>
      </c>
      <c r="P105" s="206">
        <f t="shared" si="5"/>
        <v>30669.040000000066</v>
      </c>
      <c r="Q105" s="163"/>
      <c r="R105" s="194">
        <v>802.9899999999999</v>
      </c>
      <c r="S105" s="194">
        <v>39526.439999999995</v>
      </c>
      <c r="T105" s="194">
        <v>3.9999999999999994E-2</v>
      </c>
      <c r="U105" s="194">
        <v>1292.4599999999994</v>
      </c>
      <c r="V105" s="194">
        <v>-70.419999999999987</v>
      </c>
      <c r="W105" s="194">
        <v>-272.04999999999995</v>
      </c>
      <c r="X105" s="163"/>
      <c r="Y105" s="206">
        <f t="shared" si="3"/>
        <v>155719.25999999989</v>
      </c>
      <c r="Z105" s="163"/>
    </row>
    <row r="106" spans="2:26" x14ac:dyDescent="0.25">
      <c r="B106" s="195"/>
      <c r="C106" s="241" t="s">
        <v>108</v>
      </c>
      <c r="D106" s="194">
        <v>5.52</v>
      </c>
      <c r="E106" s="194">
        <v>7456.619999999999</v>
      </c>
      <c r="F106" s="194">
        <v>4585.66</v>
      </c>
      <c r="G106" s="194">
        <v>1237.78</v>
      </c>
      <c r="H106" s="194">
        <v>383.4</v>
      </c>
      <c r="I106" s="194">
        <v>11923.89</v>
      </c>
      <c r="J106" s="204">
        <v>327.32000000000005</v>
      </c>
      <c r="K106" s="206">
        <f t="shared" si="4"/>
        <v>25920.19</v>
      </c>
      <c r="L106" s="163"/>
      <c r="M106" s="194">
        <v>4370.4600000000009</v>
      </c>
      <c r="N106" s="194">
        <v>4178.92</v>
      </c>
      <c r="O106" s="194">
        <v>8620.76</v>
      </c>
      <c r="P106" s="206">
        <f t="shared" si="5"/>
        <v>17170.14</v>
      </c>
      <c r="Q106" s="163"/>
      <c r="R106" s="194">
        <v>-67.44</v>
      </c>
      <c r="S106" s="194">
        <v>-54.67999999999995</v>
      </c>
      <c r="T106" s="194"/>
      <c r="U106" s="194">
        <v>-12.080000000000005</v>
      </c>
      <c r="V106" s="194">
        <v>-1.68</v>
      </c>
      <c r="W106" s="194"/>
      <c r="X106" s="163"/>
      <c r="Y106" s="206">
        <f t="shared" si="3"/>
        <v>42954.45</v>
      </c>
      <c r="Z106" s="163"/>
    </row>
    <row r="107" spans="2:26" ht="13.8" thickBot="1" x14ac:dyDescent="0.3">
      <c r="B107" s="197" t="s">
        <v>228</v>
      </c>
      <c r="C107" s="199"/>
      <c r="D107" s="198">
        <v>31178.399999999983</v>
      </c>
      <c r="E107" s="198">
        <v>-1920748.5900000003</v>
      </c>
      <c r="F107" s="198">
        <v>-718637.20999999973</v>
      </c>
      <c r="G107" s="198">
        <v>-147785.09000000017</v>
      </c>
      <c r="H107" s="198">
        <v>-31753.939999999995</v>
      </c>
      <c r="I107" s="198">
        <v>-768108.94000000064</v>
      </c>
      <c r="J107" s="219">
        <v>-163215.72000000003</v>
      </c>
      <c r="K107" s="207">
        <f t="shared" si="4"/>
        <v>-3719071.0900000012</v>
      </c>
      <c r="L107" s="163"/>
      <c r="M107" s="198">
        <v>-1149752.5599999998</v>
      </c>
      <c r="N107" s="198">
        <v>-1023774.1799999996</v>
      </c>
      <c r="O107" s="198">
        <v>-686811.91999999946</v>
      </c>
      <c r="P107" s="207">
        <f t="shared" si="5"/>
        <v>-2860338.6599999988</v>
      </c>
      <c r="Q107" s="163"/>
      <c r="R107" s="198">
        <v>-2454293.6399999992</v>
      </c>
      <c r="S107" s="198">
        <v>-1312220.2500000005</v>
      </c>
      <c r="T107" s="198">
        <v>-43028.880000000012</v>
      </c>
      <c r="U107" s="198">
        <v>-110799.80999999998</v>
      </c>
      <c r="V107" s="198">
        <v>18519.9000000001</v>
      </c>
      <c r="W107" s="198">
        <v>-209283.00000000006</v>
      </c>
      <c r="X107" s="163"/>
      <c r="Y107" s="207">
        <f t="shared" si="3"/>
        <v>-10690515.43</v>
      </c>
      <c r="Z107" s="163"/>
    </row>
    <row r="108" spans="2:26" x14ac:dyDescent="0.25">
      <c r="B108" s="200" t="s">
        <v>109</v>
      </c>
      <c r="C108" s="201" t="s">
        <v>110</v>
      </c>
      <c r="D108" s="202">
        <v>859.85999999999956</v>
      </c>
      <c r="E108" s="202">
        <v>100025.60999999996</v>
      </c>
      <c r="F108" s="202">
        <v>80521.640000000072</v>
      </c>
      <c r="G108" s="202">
        <v>-1158.9400000000016</v>
      </c>
      <c r="H108" s="202">
        <v>8796.0099999999948</v>
      </c>
      <c r="I108" s="249">
        <v>130885.97999999984</v>
      </c>
      <c r="J108" s="205">
        <v>8128.2399999999934</v>
      </c>
      <c r="K108" s="208">
        <f t="shared" si="4"/>
        <v>328058.39999999991</v>
      </c>
      <c r="L108" s="163"/>
      <c r="M108" s="202">
        <v>34319.300000000003</v>
      </c>
      <c r="N108" s="202">
        <v>52163.76999999996</v>
      </c>
      <c r="O108" s="202">
        <v>86502.099999999962</v>
      </c>
      <c r="P108" s="208">
        <f t="shared" si="5"/>
        <v>172985.16999999993</v>
      </c>
      <c r="Q108" s="163"/>
      <c r="R108" s="202">
        <v>1520.1799999999998</v>
      </c>
      <c r="S108" s="202">
        <v>64928.459999999992</v>
      </c>
      <c r="T108" s="202">
        <v>1.4300000000000004</v>
      </c>
      <c r="U108" s="202">
        <v>-16121.830000000002</v>
      </c>
      <c r="V108" s="202">
        <v>1471.799999999999</v>
      </c>
      <c r="W108" s="202">
        <v>10867.329999999996</v>
      </c>
      <c r="X108" s="163"/>
      <c r="Y108" s="208">
        <f t="shared" si="3"/>
        <v>563710.93999999994</v>
      </c>
      <c r="Z108" s="163"/>
    </row>
    <row r="109" spans="2:26" ht="13.8" thickBot="1" x14ac:dyDescent="0.3">
      <c r="B109" s="197" t="s">
        <v>229</v>
      </c>
      <c r="C109" s="199"/>
      <c r="D109" s="198">
        <v>859.85999999999956</v>
      </c>
      <c r="E109" s="198">
        <v>100025.60999999996</v>
      </c>
      <c r="F109" s="198">
        <v>80521.640000000072</v>
      </c>
      <c r="G109" s="198">
        <v>-1158.9400000000016</v>
      </c>
      <c r="H109" s="198">
        <v>8796.0099999999948</v>
      </c>
      <c r="I109" s="198">
        <v>130885.97999999984</v>
      </c>
      <c r="J109" s="219">
        <v>8128.2399999999934</v>
      </c>
      <c r="K109" s="207">
        <f t="shared" si="4"/>
        <v>328058.39999999991</v>
      </c>
      <c r="L109" s="163"/>
      <c r="M109" s="198">
        <v>34319.300000000003</v>
      </c>
      <c r="N109" s="198">
        <v>52163.76999999996</v>
      </c>
      <c r="O109" s="198">
        <v>86502.099999999962</v>
      </c>
      <c r="P109" s="207">
        <f t="shared" si="5"/>
        <v>172985.16999999993</v>
      </c>
      <c r="Q109" s="163"/>
      <c r="R109" s="198">
        <v>1520.1799999999998</v>
      </c>
      <c r="S109" s="198">
        <v>64928.459999999992</v>
      </c>
      <c r="T109" s="198">
        <v>1.4300000000000004</v>
      </c>
      <c r="U109" s="198">
        <v>-16121.830000000002</v>
      </c>
      <c r="V109" s="198">
        <v>1471.799999999999</v>
      </c>
      <c r="W109" s="198">
        <v>10867.329999999996</v>
      </c>
      <c r="X109" s="163"/>
      <c r="Y109" s="207">
        <f t="shared" si="3"/>
        <v>563710.93999999994</v>
      </c>
      <c r="Z109" s="163"/>
    </row>
    <row r="110" spans="2:26" ht="13.8" thickBot="1" x14ac:dyDescent="0.3">
      <c r="B110" s="174"/>
      <c r="C110" s="174" t="s">
        <v>174</v>
      </c>
      <c r="D110" s="203">
        <v>31297.129999999986</v>
      </c>
      <c r="E110" s="203">
        <v>-3811495.8699999996</v>
      </c>
      <c r="F110" s="203">
        <v>-2385360.29</v>
      </c>
      <c r="G110" s="203">
        <v>-680131.01</v>
      </c>
      <c r="H110" s="203">
        <v>-69224.920000000013</v>
      </c>
      <c r="I110" s="203">
        <v>-2161174.1100000008</v>
      </c>
      <c r="J110" s="203">
        <v>-412377.40999999992</v>
      </c>
      <c r="K110" s="209">
        <f t="shared" si="4"/>
        <v>-9488466.4800000004</v>
      </c>
      <c r="L110" s="163"/>
      <c r="M110" s="203">
        <v>-2014966.5799999994</v>
      </c>
      <c r="N110" s="203">
        <v>-2404983.9999999991</v>
      </c>
      <c r="O110" s="203">
        <v>-1632351.2399999993</v>
      </c>
      <c r="P110" s="209">
        <f t="shared" si="5"/>
        <v>-6052301.8199999975</v>
      </c>
      <c r="Q110" s="163"/>
      <c r="R110" s="203">
        <v>-2485657.879999999</v>
      </c>
      <c r="S110" s="203">
        <v>-2423785.3600000013</v>
      </c>
      <c r="T110" s="203">
        <v>-42956.780000000013</v>
      </c>
      <c r="U110" s="203">
        <v>-126438.93</v>
      </c>
      <c r="V110" s="203">
        <v>-33318.109999999891</v>
      </c>
      <c r="W110" s="203">
        <v>-242376.6099999999</v>
      </c>
      <c r="X110" s="163"/>
      <c r="Y110" s="209">
        <f t="shared" si="3"/>
        <v>-20895301.969999999</v>
      </c>
      <c r="Z110" s="163"/>
    </row>
    <row r="111" spans="2:26" ht="13.8" thickTop="1" x14ac:dyDescent="0.25">
      <c r="L111" s="163"/>
    </row>
    <row r="112" spans="2:26" x14ac:dyDescent="0.25">
      <c r="L112" s="163"/>
    </row>
    <row r="113" spans="3:25" x14ac:dyDescent="0.25">
      <c r="C113" s="102" t="s">
        <v>176</v>
      </c>
      <c r="D113" s="152">
        <f>+'Tab 1'!B82</f>
        <v>31297.129999999939</v>
      </c>
      <c r="E113" s="152">
        <f>+'Tab 1'!C82</f>
        <v>-3811495.8699999861</v>
      </c>
      <c r="F113" s="152">
        <f>+'Tab 1'!D82</f>
        <v>-2385360.2899999861</v>
      </c>
      <c r="G113" s="152">
        <f>+'Tab 1'!E82</f>
        <v>-680131.00999999407</v>
      </c>
      <c r="H113" s="152">
        <f>+'Tab 1'!F82</f>
        <v>-69224.920000000726</v>
      </c>
      <c r="I113" s="152">
        <f>+'Tab 1'!G82</f>
        <v>-2161174.109999985</v>
      </c>
      <c r="J113" s="152">
        <f>+'Tab 1'!H82</f>
        <v>-412377.41000000009</v>
      </c>
      <c r="K113" s="152">
        <f>+'Tab 1'!I82</f>
        <v>-9488466.479999952</v>
      </c>
      <c r="L113" s="163"/>
      <c r="M113" s="152">
        <f>+'Tab 1'!J82</f>
        <v>-2014966.5800000208</v>
      </c>
      <c r="N113" s="152">
        <f>+'Tab 1'!K82</f>
        <v>-2404983.9999999898</v>
      </c>
      <c r="O113" s="152">
        <f>+'Tab 1'!L82</f>
        <v>-1632351.2399999911</v>
      </c>
      <c r="P113" s="152">
        <f>+'Tab 1'!M82</f>
        <v>-6052301.8200000012</v>
      </c>
      <c r="R113" s="152">
        <f>+'Tab 1'!N82</f>
        <v>-2485657.8799999859</v>
      </c>
      <c r="S113" s="152">
        <f>+'Tab 1'!O82</f>
        <v>-2423785.3599999598</v>
      </c>
      <c r="T113" s="152">
        <f>+'Tab 1'!P82</f>
        <v>-42956.779999999984</v>
      </c>
      <c r="U113" s="152">
        <f>+'Tab 1'!Q82</f>
        <v>-126438.93000000004</v>
      </c>
      <c r="V113" s="152">
        <f>+'Tab 1'!R82</f>
        <v>-33318.109999999579</v>
      </c>
      <c r="W113" s="152">
        <f>+'Tab 1'!S82</f>
        <v>-242376.61000000077</v>
      </c>
      <c r="Y113" s="152">
        <f>+'Tab 1'!T82</f>
        <v>-20895301.969999898</v>
      </c>
    </row>
    <row r="114" spans="3:25" x14ac:dyDescent="0.25">
      <c r="C114" s="102" t="s">
        <v>173</v>
      </c>
      <c r="D114" s="140">
        <f t="shared" ref="D114:K114" si="6">ROUND(SUMIF($C:$C,"Total Variance Sum:",D:D)-D113,2)</f>
        <v>0</v>
      </c>
      <c r="E114" s="140">
        <f t="shared" si="6"/>
        <v>0</v>
      </c>
      <c r="F114" s="140">
        <f t="shared" si="6"/>
        <v>0</v>
      </c>
      <c r="G114" s="140">
        <f t="shared" si="6"/>
        <v>0</v>
      </c>
      <c r="H114" s="140">
        <f t="shared" si="6"/>
        <v>0</v>
      </c>
      <c r="I114" s="140">
        <f t="shared" si="6"/>
        <v>0</v>
      </c>
      <c r="J114" s="140">
        <f t="shared" si="6"/>
        <v>0</v>
      </c>
      <c r="K114" s="171">
        <f t="shared" si="6"/>
        <v>0</v>
      </c>
      <c r="L114" s="163"/>
      <c r="M114" s="140">
        <f>ROUND(SUMIF($C:$C,"Total Variance Sum:",M:M)-M113,2)</f>
        <v>0</v>
      </c>
      <c r="N114" s="140">
        <f>ROUND(SUMIF($C:$C,"Total Variance Sum:",N:N)-N113,2)</f>
        <v>0</v>
      </c>
      <c r="O114" s="140">
        <f>ROUND(SUMIF($C:$C,"Total Variance Sum:",O:O)-O113,2)</f>
        <v>0</v>
      </c>
      <c r="P114" s="171">
        <f>ROUND(SUMIF($C:$C,"Total Variance Sum:",P:P)-P113,2)</f>
        <v>0</v>
      </c>
      <c r="R114" s="140">
        <f t="shared" ref="R114:W114" si="7">ROUND(SUMIF($C:$C,"Total Variance Sum:",R:R)-R113,2)</f>
        <v>0</v>
      </c>
      <c r="S114" s="140">
        <f t="shared" si="7"/>
        <v>0</v>
      </c>
      <c r="T114" s="140">
        <f t="shared" si="7"/>
        <v>0</v>
      </c>
      <c r="U114" s="140">
        <f t="shared" si="7"/>
        <v>0</v>
      </c>
      <c r="V114" s="140">
        <f t="shared" si="7"/>
        <v>0</v>
      </c>
      <c r="W114" s="140">
        <f t="shared" si="7"/>
        <v>0</v>
      </c>
      <c r="Y114" s="171">
        <f>ROUND(SUMIF($C:$C,"Total Variance Sum:",Y:Y)-Y113,2)</f>
        <v>0</v>
      </c>
    </row>
  </sheetData>
  <autoFilter ref="B7:Y110" xr:uid="{00000000-0001-0000-0300-000000000000}"/>
  <mergeCells count="1">
    <mergeCell ref="B2:H2"/>
  </mergeCells>
  <conditionalFormatting sqref="D8:J13 D15:J23 D25:J28 D30:J39 D41:J46 D48:J49 D51:J67 D69:J84 D86:J89 D91:J93 D95:J95 D97:J106 D108:J108">
    <cfRule type="cellIs" dxfId="11" priority="12" operator="greaterThan">
      <formula>100000</formula>
    </cfRule>
  </conditionalFormatting>
  <conditionalFormatting sqref="D8:J13 D15:J23 D25:J28 D30:J39 D41:J46 D48:J49 D51:J67 D69:J84 D86:J89 D91:J93 D95:J95 D97:J106 D108:J108">
    <cfRule type="cellIs" dxfId="10" priority="11" operator="lessThan">
      <formula>-100000</formula>
    </cfRule>
  </conditionalFormatting>
  <conditionalFormatting sqref="M8:O13 M15:O23 M25:O28 M30:O39 M41:O46 M48:O49 M51:O67 M69:O84 M86:O89 M91:O93 M95:O95 M97:O106 M108:O108">
    <cfRule type="cellIs" dxfId="9" priority="8" operator="greaterThan">
      <formula>100000</formula>
    </cfRule>
  </conditionalFormatting>
  <conditionalFormatting sqref="M8:O13 M15:O23 M25:O28 M30:O39 M41:O46 M48:O49 M51:O67 M69:O84 M86:O89 M91:O93 M95:O95 M97:O106 M108:O108">
    <cfRule type="cellIs" dxfId="8" priority="7" operator="lessThan">
      <formula>-100000</formula>
    </cfRule>
  </conditionalFormatting>
  <conditionalFormatting sqref="R8:W13 R15:W23 R25:W28 R30:W39 R41:W46 R48:W49 R51:W67 R69:W84 R86:W89 R91:W93 R95:W95 R97:W106 R108:W108">
    <cfRule type="cellIs" dxfId="7" priority="2" operator="greaterThan">
      <formula>100000</formula>
    </cfRule>
  </conditionalFormatting>
  <conditionalFormatting sqref="R8:W13 R15:W23 R25:W28 R30:W39 R41:W46 R48:W49 R51:W67 R69:W84 R86:W89 R91:W93 R95:W95 R97:W106 R108:W108">
    <cfRule type="cellIs" dxfId="6" priority="1" operator="lessThan">
      <formula>-100000</formula>
    </cfRule>
  </conditionalFormatting>
  <printOptions horizontalCentered="1"/>
  <pageMargins left="0.5" right="0.5" top="0.5" bottom="0.5" header="0.5" footer="0.5"/>
  <pageSetup scale="31" orientation="landscape" r:id="rId1"/>
  <headerFooter>
    <oddHeader>&amp;RDocket No. 56165
Exhibit BJF-5
Page &amp;P of &amp;N</oddHeader>
  </headerFooter>
  <rowBreaks count="1" manualBreakCount="1">
    <brk id="76" max="30" man="1"/>
  </rowBreaks>
  <colBreaks count="2" manualBreakCount="2">
    <brk id="9" max="127" man="1"/>
    <brk id="14" max="127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N26"/>
  <sheetViews>
    <sheetView tabSelected="1" zoomScaleNormal="100" workbookViewId="0">
      <pane ySplit="5" topLeftCell="A6" activePane="bottomLeft" state="frozen"/>
      <selection sqref="A1:XFD1"/>
      <selection pane="bottomLeft" sqref="A1:XFD1"/>
    </sheetView>
  </sheetViews>
  <sheetFormatPr defaultColWidth="8.88671875" defaultRowHeight="13.2" x14ac:dyDescent="0.25"/>
  <cols>
    <col min="1" max="1" width="15.44140625" style="14" customWidth="1"/>
    <col min="2" max="2" width="8.88671875" style="14" customWidth="1"/>
    <col min="3" max="3" width="8.88671875" style="14"/>
    <col min="4" max="4" width="9.44140625" style="14" bestFit="1" customWidth="1"/>
    <col min="5" max="5" width="4.33203125" style="14" customWidth="1"/>
    <col min="6" max="7" width="15.33203125" style="14" customWidth="1"/>
    <col min="8" max="8" width="14" style="14" customWidth="1"/>
    <col min="9" max="9" width="3.109375" style="14" bestFit="1" customWidth="1"/>
    <col min="10" max="16384" width="8.88671875" style="14"/>
  </cols>
  <sheetData>
    <row r="1" spans="1:14" ht="14.4" x14ac:dyDescent="0.3">
      <c r="A1" s="123" t="s">
        <v>0</v>
      </c>
      <c r="B1" s="2"/>
      <c r="C1" s="2"/>
      <c r="D1" s="2"/>
      <c r="E1" s="2"/>
      <c r="F1" s="2"/>
    </row>
    <row r="2" spans="1:14" ht="14.4" x14ac:dyDescent="0.3">
      <c r="A2" s="123" t="s">
        <v>169</v>
      </c>
      <c r="B2" s="2"/>
      <c r="C2" s="2"/>
      <c r="D2" s="2"/>
      <c r="E2" s="2"/>
      <c r="F2" s="2"/>
    </row>
    <row r="3" spans="1:14" ht="14.4" x14ac:dyDescent="0.3">
      <c r="A3" s="124" t="str">
        <f>+Index!A3</f>
        <v>September 2023</v>
      </c>
      <c r="B3" s="2"/>
      <c r="C3" s="2"/>
      <c r="D3" s="2"/>
      <c r="E3" s="2"/>
      <c r="F3" s="277"/>
      <c r="G3" s="277"/>
    </row>
    <row r="4" spans="1:14" ht="14.4" x14ac:dyDescent="0.3">
      <c r="A4" s="2"/>
      <c r="B4" s="2"/>
      <c r="C4" s="2"/>
      <c r="D4" s="2"/>
      <c r="E4" s="2"/>
      <c r="F4" s="278" t="s">
        <v>168</v>
      </c>
      <c r="G4" s="278"/>
    </row>
    <row r="5" spans="1:14" ht="14.4" x14ac:dyDescent="0.3">
      <c r="A5" s="15" t="s">
        <v>154</v>
      </c>
      <c r="B5" s="16" t="str">
        <f>RIGHT(A3,5)</f>
        <v xml:space="preserve"> 2023</v>
      </c>
      <c r="C5" s="16">
        <f>+B5-1</f>
        <v>2022</v>
      </c>
      <c r="D5" s="15" t="s">
        <v>19</v>
      </c>
      <c r="E5" s="2"/>
      <c r="F5" s="16" t="str">
        <f>+B5</f>
        <v xml:space="preserve"> 2023</v>
      </c>
      <c r="G5" s="17">
        <f>+C5</f>
        <v>2022</v>
      </c>
      <c r="H5" s="17" t="s">
        <v>19</v>
      </c>
    </row>
    <row r="6" spans="1:14" ht="14.4" x14ac:dyDescent="0.3">
      <c r="A6" s="15"/>
      <c r="B6" s="15"/>
      <c r="C6" s="15"/>
      <c r="D6" s="15" t="s">
        <v>155</v>
      </c>
      <c r="E6" s="2"/>
      <c r="F6" s="15"/>
      <c r="G6" s="15"/>
      <c r="H6" s="15"/>
    </row>
    <row r="7" spans="1:14" ht="14.4" x14ac:dyDescent="0.3">
      <c r="A7" s="187" t="s">
        <v>156</v>
      </c>
      <c r="B7" s="178">
        <v>0.30259999999999998</v>
      </c>
      <c r="C7" s="178">
        <v>0.32840000000000003</v>
      </c>
      <c r="D7" s="178">
        <f t="shared" ref="D7:D18" si="0">B7-C7</f>
        <v>-2.5800000000000045E-2</v>
      </c>
      <c r="E7" s="2"/>
      <c r="F7" s="188">
        <v>1169844.71</v>
      </c>
      <c r="G7" s="188">
        <v>212128.31</v>
      </c>
      <c r="H7" s="188">
        <f>+F7-G7</f>
        <v>957716.39999999991</v>
      </c>
      <c r="I7" s="89"/>
      <c r="L7" s="89"/>
      <c r="M7" s="89"/>
      <c r="N7" s="89"/>
    </row>
    <row r="8" spans="1:14" ht="14.4" x14ac:dyDescent="0.3">
      <c r="A8" s="187" t="s">
        <v>157</v>
      </c>
      <c r="B8" s="178">
        <v>0.30259999999999998</v>
      </c>
      <c r="C8" s="178">
        <v>0.32840000000000003</v>
      </c>
      <c r="D8" s="178">
        <f t="shared" si="0"/>
        <v>-2.5800000000000045E-2</v>
      </c>
      <c r="E8" s="2"/>
      <c r="F8" s="191">
        <v>2926077.9</v>
      </c>
      <c r="G8" s="188">
        <v>823771.54</v>
      </c>
      <c r="H8" s="188">
        <f t="shared" ref="H8:H18" si="1">+F8-G8</f>
        <v>2102306.36</v>
      </c>
      <c r="I8" s="89"/>
      <c r="L8" s="89"/>
      <c r="M8" s="89"/>
      <c r="N8" s="89"/>
    </row>
    <row r="9" spans="1:14" ht="14.4" x14ac:dyDescent="0.3">
      <c r="A9" s="187" t="s">
        <v>158</v>
      </c>
      <c r="B9" s="178">
        <v>0.30259999999999998</v>
      </c>
      <c r="C9" s="178">
        <v>0.32840000000000003</v>
      </c>
      <c r="D9" s="178">
        <f t="shared" si="0"/>
        <v>-2.5800000000000045E-2</v>
      </c>
      <c r="E9" s="2"/>
      <c r="F9" s="192">
        <v>1451912.1</v>
      </c>
      <c r="G9" s="188">
        <v>-3612806.56</v>
      </c>
      <c r="H9" s="188">
        <f>+F9-G9</f>
        <v>5064718.66</v>
      </c>
      <c r="I9" s="89"/>
      <c r="L9" s="89"/>
      <c r="M9" s="89"/>
      <c r="N9" s="89"/>
    </row>
    <row r="10" spans="1:14" ht="14.4" x14ac:dyDescent="0.3">
      <c r="A10" s="187" t="s">
        <v>159</v>
      </c>
      <c r="B10" s="178">
        <v>0.30259999999999998</v>
      </c>
      <c r="C10" s="178">
        <v>0.32840000000000003</v>
      </c>
      <c r="D10" s="178">
        <f t="shared" si="0"/>
        <v>-2.5800000000000045E-2</v>
      </c>
      <c r="E10" s="2"/>
      <c r="F10" s="193">
        <v>886927.93</v>
      </c>
      <c r="G10" s="188">
        <v>2883953.74</v>
      </c>
      <c r="H10" s="188">
        <f t="shared" si="1"/>
        <v>-1997025.81</v>
      </c>
      <c r="I10" s="89"/>
      <c r="L10" s="89"/>
      <c r="M10" s="89"/>
      <c r="N10" s="89"/>
    </row>
    <row r="11" spans="1:14" ht="14.4" x14ac:dyDescent="0.3">
      <c r="A11" s="187" t="s">
        <v>160</v>
      </c>
      <c r="B11" s="178">
        <v>0.30259999999999998</v>
      </c>
      <c r="C11" s="178">
        <v>0.32500000000000001</v>
      </c>
      <c r="D11" s="178">
        <f t="shared" si="0"/>
        <v>-2.2400000000000031E-2</v>
      </c>
      <c r="E11" s="2"/>
      <c r="F11" s="210">
        <v>-1349468.29</v>
      </c>
      <c r="G11" s="188">
        <v>-3913449.09</v>
      </c>
      <c r="H11" s="188">
        <f t="shared" si="1"/>
        <v>2563980.7999999998</v>
      </c>
      <c r="I11" s="89"/>
      <c r="L11" s="89"/>
      <c r="M11" s="89"/>
      <c r="N11" s="89"/>
    </row>
    <row r="12" spans="1:14" ht="14.4" x14ac:dyDescent="0.3">
      <c r="A12" s="187" t="s">
        <v>161</v>
      </c>
      <c r="B12" s="178">
        <v>0.28000000000000003</v>
      </c>
      <c r="C12" s="178">
        <v>0.29699999999999999</v>
      </c>
      <c r="D12" s="178">
        <f t="shared" si="0"/>
        <v>-1.699999999999996E-2</v>
      </c>
      <c r="E12" s="2"/>
      <c r="F12" s="218">
        <v>2345064.63</v>
      </c>
      <c r="G12" s="189">
        <v>-3151710.55</v>
      </c>
      <c r="H12" s="188">
        <f t="shared" si="1"/>
        <v>5496775.1799999997</v>
      </c>
      <c r="I12" s="179" t="s">
        <v>369</v>
      </c>
      <c r="L12" s="89"/>
      <c r="M12" s="89"/>
      <c r="N12" s="89"/>
    </row>
    <row r="13" spans="1:14" ht="14.4" x14ac:dyDescent="0.3">
      <c r="A13" s="187" t="s">
        <v>162</v>
      </c>
      <c r="B13" s="178">
        <v>0.33500000000000002</v>
      </c>
      <c r="C13" s="178">
        <v>0.26700000000000002</v>
      </c>
      <c r="D13" s="178">
        <f t="shared" si="0"/>
        <v>6.8000000000000005E-2</v>
      </c>
      <c r="E13" s="2"/>
      <c r="F13" s="220">
        <v>-555121.19999999995</v>
      </c>
      <c r="G13" s="188">
        <v>-2340753.19</v>
      </c>
      <c r="H13" s="188">
        <f t="shared" si="1"/>
        <v>1785631.99</v>
      </c>
      <c r="I13" s="89"/>
      <c r="L13" s="89"/>
      <c r="M13" s="89"/>
      <c r="N13" s="89"/>
    </row>
    <row r="14" spans="1:14" ht="14.4" x14ac:dyDescent="0.3">
      <c r="A14" s="187" t="s">
        <v>163</v>
      </c>
      <c r="B14" s="178">
        <v>0.32</v>
      </c>
      <c r="C14" s="178">
        <v>0.27200000000000002</v>
      </c>
      <c r="D14" s="178">
        <f t="shared" si="0"/>
        <v>4.7999999999999987E-2</v>
      </c>
      <c r="E14" s="2"/>
      <c r="F14" s="224">
        <v>-4634706.99</v>
      </c>
      <c r="G14" s="188">
        <v>-2724875.12</v>
      </c>
      <c r="H14" s="188">
        <f t="shared" si="1"/>
        <v>-1909831.87</v>
      </c>
      <c r="I14" s="136"/>
      <c r="L14" s="89"/>
      <c r="M14" s="89"/>
      <c r="N14" s="89"/>
    </row>
    <row r="15" spans="1:14" ht="14.4" x14ac:dyDescent="0.3">
      <c r="A15" s="187" t="s">
        <v>164</v>
      </c>
      <c r="B15" s="178">
        <v>0.26500000000000001</v>
      </c>
      <c r="C15" s="178">
        <v>0.28799999999999998</v>
      </c>
      <c r="D15" s="178">
        <f t="shared" si="0"/>
        <v>-2.2999999999999965E-2</v>
      </c>
      <c r="E15" s="2"/>
      <c r="F15" s="237">
        <v>-3601591.7</v>
      </c>
      <c r="G15" s="188">
        <v>-5487995.46</v>
      </c>
      <c r="H15" s="188">
        <f t="shared" si="1"/>
        <v>1886403.7599999998</v>
      </c>
      <c r="I15" s="136"/>
      <c r="L15" s="89"/>
      <c r="M15" s="89"/>
      <c r="N15" s="89"/>
    </row>
    <row r="16" spans="1:14" ht="14.4" x14ac:dyDescent="0.3">
      <c r="A16" s="187" t="s">
        <v>165</v>
      </c>
      <c r="B16" s="178"/>
      <c r="C16" s="178">
        <v>0.3</v>
      </c>
      <c r="D16" s="178">
        <f t="shared" si="0"/>
        <v>-0.3</v>
      </c>
      <c r="E16" s="2"/>
      <c r="F16" s="188">
        <v>0</v>
      </c>
      <c r="G16" s="188">
        <v>-6435296.9900000002</v>
      </c>
      <c r="H16" s="188">
        <f t="shared" si="1"/>
        <v>6435296.9900000002</v>
      </c>
      <c r="I16" s="136"/>
      <c r="L16" s="89"/>
      <c r="M16" s="89"/>
      <c r="N16" s="89"/>
    </row>
    <row r="17" spans="1:14" ht="14.4" x14ac:dyDescent="0.3">
      <c r="A17" s="187" t="s">
        <v>166</v>
      </c>
      <c r="B17" s="178"/>
      <c r="C17" s="178">
        <v>0.29399999999999998</v>
      </c>
      <c r="D17" s="178">
        <f t="shared" si="0"/>
        <v>-0.29399999999999998</v>
      </c>
      <c r="E17" s="2"/>
      <c r="F17" s="188">
        <v>0</v>
      </c>
      <c r="G17" s="188">
        <v>-5581342.79</v>
      </c>
      <c r="H17" s="188">
        <f t="shared" si="1"/>
        <v>5581342.79</v>
      </c>
      <c r="I17" s="136"/>
      <c r="L17" s="89"/>
      <c r="M17" s="89"/>
      <c r="N17" s="89"/>
    </row>
    <row r="18" spans="1:14" ht="14.4" x14ac:dyDescent="0.3">
      <c r="A18" s="187" t="s">
        <v>167</v>
      </c>
      <c r="B18" s="178"/>
      <c r="C18" s="178">
        <v>0.28199999999999997</v>
      </c>
      <c r="D18" s="178">
        <f t="shared" si="0"/>
        <v>-0.28199999999999997</v>
      </c>
      <c r="E18" s="2"/>
      <c r="F18" s="190">
        <v>0</v>
      </c>
      <c r="G18" s="190">
        <v>0</v>
      </c>
      <c r="H18" s="188">
        <f t="shared" si="1"/>
        <v>0</v>
      </c>
    </row>
    <row r="19" spans="1:14" ht="14.4" x14ac:dyDescent="0.3">
      <c r="A19" s="2"/>
      <c r="B19" s="2"/>
      <c r="C19" s="2"/>
      <c r="D19" s="18"/>
      <c r="E19" s="2"/>
      <c r="G19" s="90"/>
    </row>
    <row r="20" spans="1:14" ht="14.4" x14ac:dyDescent="0.3">
      <c r="A20" s="279" t="s">
        <v>178</v>
      </c>
      <c r="B20" s="279"/>
      <c r="C20" s="279"/>
      <c r="D20" s="279"/>
      <c r="E20" s="2"/>
      <c r="F20" s="280" t="s">
        <v>377</v>
      </c>
      <c r="G20" s="280">
        <v>1909741.04</v>
      </c>
      <c r="H20" s="275" t="e">
        <f t="shared" ref="H20:H21" si="2">+F20-G20</f>
        <v>#VALUE!</v>
      </c>
    </row>
    <row r="21" spans="1:14" ht="19.5" customHeight="1" x14ac:dyDescent="0.25">
      <c r="A21" s="279"/>
      <c r="B21" s="279"/>
      <c r="C21" s="279"/>
      <c r="D21" s="279"/>
      <c r="F21" s="281"/>
      <c r="G21" s="281"/>
      <c r="H21" s="276">
        <f t="shared" si="2"/>
        <v>0</v>
      </c>
    </row>
    <row r="24" spans="1:14" x14ac:dyDescent="0.25">
      <c r="A24" s="274" t="s">
        <v>370</v>
      </c>
      <c r="B24" s="274"/>
      <c r="C24" s="274"/>
      <c r="D24" s="274"/>
      <c r="E24" s="274"/>
      <c r="F24" s="274"/>
      <c r="G24" s="274"/>
      <c r="H24" s="274"/>
    </row>
    <row r="25" spans="1:14" x14ac:dyDescent="0.25">
      <c r="A25" s="274"/>
      <c r="B25" s="274"/>
      <c r="C25" s="274"/>
      <c r="D25" s="274"/>
      <c r="E25" s="274"/>
      <c r="F25" s="274"/>
      <c r="G25" s="274"/>
      <c r="H25" s="274"/>
    </row>
    <row r="26" spans="1:14" x14ac:dyDescent="0.25">
      <c r="A26" s="274"/>
      <c r="B26" s="274"/>
      <c r="C26" s="274"/>
      <c r="D26" s="274"/>
      <c r="E26" s="274"/>
      <c r="F26" s="274"/>
      <c r="G26" s="274"/>
      <c r="H26" s="274"/>
    </row>
  </sheetData>
  <mergeCells count="7">
    <mergeCell ref="A24:H26"/>
    <mergeCell ref="H20:H21"/>
    <mergeCell ref="F3:G3"/>
    <mergeCell ref="F4:G4"/>
    <mergeCell ref="A20:D21"/>
    <mergeCell ref="F20:F21"/>
    <mergeCell ref="G20:G21"/>
  </mergeCells>
  <printOptions horizontalCentered="1"/>
  <pageMargins left="0.5" right="0.5" top="0.5" bottom="0.5" header="0.5" footer="0.5"/>
  <pageSetup orientation="landscape" r:id="rId1"/>
  <headerFooter>
    <oddHeader>&amp;RDocket No. 56165
Exhibit BJF-5
Page &amp;P of &amp;N</oddHeader>
  </headerFooter>
  <ignoredErrors>
    <ignoredError sqref="H20" evalError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B1:I136"/>
  <sheetViews>
    <sheetView showGridLines="0" tabSelected="1" zoomScale="85" zoomScaleNormal="85" workbookViewId="0">
      <pane xSplit="4" ySplit="3" topLeftCell="E4" activePane="bottomRight" state="frozen"/>
      <selection sqref="A1:XFD1"/>
      <selection pane="topRight" sqref="A1:XFD1"/>
      <selection pane="bottomLeft" sqref="A1:XFD1"/>
      <selection pane="bottomRight" sqref="A1:XFD1"/>
    </sheetView>
  </sheetViews>
  <sheetFormatPr defaultColWidth="9.109375" defaultRowHeight="13.2" x14ac:dyDescent="0.25"/>
  <cols>
    <col min="1" max="1" width="1" style="1" customWidth="1"/>
    <col min="2" max="2" width="19.109375" style="1" bestFit="1" customWidth="1"/>
    <col min="3" max="3" width="20.88671875" style="1" bestFit="1" customWidth="1"/>
    <col min="4" max="4" width="34.88671875" style="1" bestFit="1" customWidth="1"/>
    <col min="5" max="8" width="15.6640625" style="1" customWidth="1"/>
    <col min="9" max="9" width="6.44140625" style="1" bestFit="1" customWidth="1"/>
    <col min="10" max="16384" width="9.109375" style="1"/>
  </cols>
  <sheetData>
    <row r="1" spans="2:8" x14ac:dyDescent="0.25">
      <c r="B1" s="101" t="str">
        <f>+'Tab 1'!$A$4</f>
        <v>Biiled + Manuals</v>
      </c>
      <c r="C1" s="23"/>
      <c r="D1" s="23"/>
      <c r="E1" s="23"/>
      <c r="F1" s="26" t="s">
        <v>175</v>
      </c>
      <c r="G1" s="103">
        <f>'Tab 1'!T30+'Tab 1'!T56+'Tab 1'!T82</f>
        <v>-41658639.399999887</v>
      </c>
      <c r="H1" s="104">
        <f>ROUND(+G1-SUMIF(B:B,"Grand Total",G:G),2)</f>
        <v>0</v>
      </c>
    </row>
    <row r="2" spans="2:8" ht="42.15" customHeight="1" x14ac:dyDescent="0.25">
      <c r="B2" s="282" t="s">
        <v>111</v>
      </c>
      <c r="C2" s="283"/>
      <c r="D2" s="283"/>
      <c r="E2" s="283"/>
      <c r="F2" s="283"/>
      <c r="G2" s="283"/>
      <c r="H2" s="23"/>
    </row>
    <row r="3" spans="2:8" customFormat="1" ht="34.5" customHeight="1" x14ac:dyDescent="0.25">
      <c r="B3" s="165" t="s">
        <v>112</v>
      </c>
      <c r="C3" s="165" t="s">
        <v>113</v>
      </c>
      <c r="D3" s="165" t="s">
        <v>114</v>
      </c>
      <c r="E3" s="66">
        <f>+'Tab 1'!A12</f>
        <v>44834</v>
      </c>
      <c r="F3" s="66">
        <f>+'Tab 1'!A13</f>
        <v>45199</v>
      </c>
      <c r="G3" s="66" t="s">
        <v>19</v>
      </c>
      <c r="H3" s="185" t="s">
        <v>115</v>
      </c>
    </row>
    <row r="4" spans="2:8" customFormat="1" ht="15" customHeight="1" x14ac:dyDescent="0.25">
      <c r="B4" s="225" t="s">
        <v>230</v>
      </c>
      <c r="C4" s="225" t="s">
        <v>231</v>
      </c>
      <c r="D4" s="223" t="s">
        <v>232</v>
      </c>
      <c r="E4" s="226">
        <v>2379.73</v>
      </c>
      <c r="F4" s="226">
        <v>730.42000000000007</v>
      </c>
      <c r="G4" s="213">
        <f>+F4-E4</f>
        <v>-1649.31</v>
      </c>
      <c r="H4" s="214">
        <f>IF(OR(E4="",F4=""),100%,+G4/E4)</f>
        <v>-0.69306602009471663</v>
      </c>
    </row>
    <row r="5" spans="2:8" customFormat="1" ht="15" customHeight="1" x14ac:dyDescent="0.25">
      <c r="B5" s="225"/>
      <c r="C5" s="225"/>
      <c r="D5" s="223" t="s">
        <v>233</v>
      </c>
      <c r="E5" s="226">
        <v>76705.410000000076</v>
      </c>
      <c r="F5" s="226">
        <v>78380.019999999873</v>
      </c>
      <c r="G5" s="213">
        <f t="shared" ref="G5:G68" si="0">+F5-E5</f>
        <v>1674.6099999997969</v>
      </c>
      <c r="H5" s="214">
        <f t="shared" ref="H5:H68" si="1">IF(OR(E5="",F5=""),100%,+G5/E5)</f>
        <v>2.1831706524999935E-2</v>
      </c>
    </row>
    <row r="6" spans="2:8" customFormat="1" ht="15" customHeight="1" x14ac:dyDescent="0.25">
      <c r="B6" s="225"/>
      <c r="C6" s="238" t="s">
        <v>234</v>
      </c>
      <c r="D6" s="238"/>
      <c r="E6" s="239">
        <v>79085.140000000072</v>
      </c>
      <c r="F6" s="239">
        <v>79110.439999999871</v>
      </c>
      <c r="G6" s="221">
        <f t="shared" si="0"/>
        <v>25.299999999799184</v>
      </c>
      <c r="H6" s="222">
        <f t="shared" si="1"/>
        <v>3.1990839239583012E-4</v>
      </c>
    </row>
    <row r="7" spans="2:8" customFormat="1" ht="15" customHeight="1" x14ac:dyDescent="0.25">
      <c r="B7" s="225"/>
      <c r="C7" s="225" t="s">
        <v>235</v>
      </c>
      <c r="D7" s="223" t="s">
        <v>236</v>
      </c>
      <c r="E7" s="226">
        <v>11354697.400000023</v>
      </c>
      <c r="F7" s="226">
        <v>9518491.7600000016</v>
      </c>
      <c r="G7" s="213">
        <f t="shared" si="0"/>
        <v>-1836205.6400000211</v>
      </c>
      <c r="H7" s="214">
        <f t="shared" si="1"/>
        <v>-0.16171330466279246</v>
      </c>
    </row>
    <row r="8" spans="2:8" customFormat="1" ht="15" customHeight="1" x14ac:dyDescent="0.25">
      <c r="B8" s="225"/>
      <c r="C8" s="225"/>
      <c r="D8" s="223" t="s">
        <v>237</v>
      </c>
      <c r="E8" s="226">
        <v>10195117.399999971</v>
      </c>
      <c r="F8" s="226">
        <v>7546613.8899999857</v>
      </c>
      <c r="G8" s="213">
        <f t="shared" si="0"/>
        <v>-2648503.5099999849</v>
      </c>
      <c r="H8" s="214">
        <f t="shared" si="1"/>
        <v>-0.25978156073023667</v>
      </c>
    </row>
    <row r="9" spans="2:8" customFormat="1" ht="15" customHeight="1" x14ac:dyDescent="0.25">
      <c r="B9" s="225"/>
      <c r="C9" s="225"/>
      <c r="D9" s="223" t="s">
        <v>238</v>
      </c>
      <c r="E9" s="226">
        <v>11465349.999999996</v>
      </c>
      <c r="F9" s="226">
        <v>7910707.7699999837</v>
      </c>
      <c r="G9" s="213">
        <f t="shared" si="0"/>
        <v>-3554642.2300000126</v>
      </c>
      <c r="H9" s="214">
        <f t="shared" si="1"/>
        <v>-0.31003346866864195</v>
      </c>
    </row>
    <row r="10" spans="2:8" customFormat="1" ht="15" customHeight="1" x14ac:dyDescent="0.25">
      <c r="B10" s="225"/>
      <c r="C10" s="225"/>
      <c r="D10" s="223" t="s">
        <v>371</v>
      </c>
      <c r="E10" s="226">
        <v>215963.08000000002</v>
      </c>
      <c r="F10" s="226">
        <v>1143.1300000000001</v>
      </c>
      <c r="G10" s="213">
        <f t="shared" si="0"/>
        <v>-214819.95</v>
      </c>
      <c r="H10" s="214">
        <f t="shared" si="1"/>
        <v>-0.99470682674094102</v>
      </c>
    </row>
    <row r="11" spans="2:8" customFormat="1" ht="15" customHeight="1" x14ac:dyDescent="0.25">
      <c r="B11" s="225"/>
      <c r="C11" s="238" t="s">
        <v>239</v>
      </c>
      <c r="D11" s="238"/>
      <c r="E11" s="239">
        <v>33231127.879999988</v>
      </c>
      <c r="F11" s="239">
        <v>24976956.549999971</v>
      </c>
      <c r="G11" s="221">
        <f t="shared" si="0"/>
        <v>-8254171.3300000168</v>
      </c>
      <c r="H11" s="222">
        <f t="shared" si="1"/>
        <v>-0.24838673426332167</v>
      </c>
    </row>
    <row r="12" spans="2:8" customFormat="1" ht="15" customHeight="1" x14ac:dyDescent="0.25">
      <c r="B12" s="225"/>
      <c r="C12" s="225" t="s">
        <v>240</v>
      </c>
      <c r="D12" s="223" t="s">
        <v>241</v>
      </c>
      <c r="E12" s="226">
        <v>3453475.820000004</v>
      </c>
      <c r="F12" s="226">
        <v>2229093.6200000006</v>
      </c>
      <c r="G12" s="213">
        <f t="shared" si="0"/>
        <v>-1224382.2000000034</v>
      </c>
      <c r="H12" s="214">
        <f t="shared" si="1"/>
        <v>-0.35453620173312866</v>
      </c>
    </row>
    <row r="13" spans="2:8" customFormat="1" ht="15" customHeight="1" x14ac:dyDescent="0.25">
      <c r="B13" s="225"/>
      <c r="C13" s="225"/>
      <c r="D13" s="223" t="s">
        <v>242</v>
      </c>
      <c r="E13" s="226">
        <v>3832806.5500000045</v>
      </c>
      <c r="F13" s="226">
        <v>2738283.8899999969</v>
      </c>
      <c r="G13" s="213">
        <f t="shared" si="0"/>
        <v>-1094522.6600000076</v>
      </c>
      <c r="H13" s="214">
        <f t="shared" si="1"/>
        <v>-0.28556689353393178</v>
      </c>
    </row>
    <row r="14" spans="2:8" customFormat="1" ht="15" customHeight="1" x14ac:dyDescent="0.25">
      <c r="B14" s="225"/>
      <c r="C14" s="225"/>
      <c r="D14" s="223" t="s">
        <v>243</v>
      </c>
      <c r="E14" s="226">
        <v>6734471.6199999889</v>
      </c>
      <c r="F14" s="226">
        <v>5673590.5600000015</v>
      </c>
      <c r="G14" s="213">
        <f t="shared" si="0"/>
        <v>-1060881.0599999875</v>
      </c>
      <c r="H14" s="214">
        <f t="shared" si="1"/>
        <v>-0.15752996223926313</v>
      </c>
    </row>
    <row r="15" spans="2:8" customFormat="1" ht="15" customHeight="1" x14ac:dyDescent="0.25">
      <c r="B15" s="225"/>
      <c r="C15" s="225"/>
      <c r="D15" s="223" t="s">
        <v>244</v>
      </c>
      <c r="E15" s="226">
        <v>6050665.7000000104</v>
      </c>
      <c r="F15" s="226">
        <v>3658501.4299999969</v>
      </c>
      <c r="G15" s="213">
        <f t="shared" si="0"/>
        <v>-2392164.2700000135</v>
      </c>
      <c r="H15" s="214">
        <f t="shared" si="1"/>
        <v>-0.39535555071238021</v>
      </c>
    </row>
    <row r="16" spans="2:8" customFormat="1" ht="15" customHeight="1" x14ac:dyDescent="0.25">
      <c r="B16" s="225"/>
      <c r="C16" s="225"/>
      <c r="D16" s="223" t="s">
        <v>245</v>
      </c>
      <c r="E16" s="226">
        <v>158592.2099999999</v>
      </c>
      <c r="F16" s="226">
        <v>103878.62999999998</v>
      </c>
      <c r="G16" s="213">
        <f t="shared" si="0"/>
        <v>-54713.579999999929</v>
      </c>
      <c r="H16" s="214">
        <f t="shared" si="1"/>
        <v>-0.34499538155121212</v>
      </c>
    </row>
    <row r="17" spans="2:8" customFormat="1" ht="15" customHeight="1" x14ac:dyDescent="0.25">
      <c r="B17" s="225"/>
      <c r="C17" s="238" t="s">
        <v>246</v>
      </c>
      <c r="D17" s="238"/>
      <c r="E17" s="239">
        <v>20230011.90000001</v>
      </c>
      <c r="F17" s="239">
        <v>14403348.129999997</v>
      </c>
      <c r="G17" s="221">
        <f t="shared" si="0"/>
        <v>-5826663.7700000126</v>
      </c>
      <c r="H17" s="222">
        <f t="shared" si="1"/>
        <v>-0.28802077817858374</v>
      </c>
    </row>
    <row r="18" spans="2:8" customFormat="1" ht="15" customHeight="1" x14ac:dyDescent="0.25">
      <c r="B18" s="225"/>
      <c r="C18" s="225" t="s">
        <v>247</v>
      </c>
      <c r="D18" s="223" t="s">
        <v>248</v>
      </c>
      <c r="E18" s="226">
        <v>2528841.5300000012</v>
      </c>
      <c r="F18" s="226">
        <v>1719974.7799999998</v>
      </c>
      <c r="G18" s="213">
        <f t="shared" si="0"/>
        <v>-808866.7500000014</v>
      </c>
      <c r="H18" s="214">
        <f t="shared" si="1"/>
        <v>-0.31985663807095144</v>
      </c>
    </row>
    <row r="19" spans="2:8" customFormat="1" ht="15" customHeight="1" x14ac:dyDescent="0.25">
      <c r="B19" s="225"/>
      <c r="C19" s="225"/>
      <c r="D19" s="223" t="s">
        <v>249</v>
      </c>
      <c r="E19" s="226">
        <v>1112092.8700000001</v>
      </c>
      <c r="F19" s="226">
        <v>646371.47000000009</v>
      </c>
      <c r="G19" s="213">
        <f t="shared" si="0"/>
        <v>-465721.4</v>
      </c>
      <c r="H19" s="214">
        <f t="shared" si="1"/>
        <v>-0.41877923378827164</v>
      </c>
    </row>
    <row r="20" spans="2:8" customFormat="1" ht="15" customHeight="1" x14ac:dyDescent="0.25">
      <c r="B20" s="225"/>
      <c r="C20" s="225"/>
      <c r="D20" s="223" t="s">
        <v>250</v>
      </c>
      <c r="E20" s="226">
        <v>1734009.3600000017</v>
      </c>
      <c r="F20" s="226">
        <v>1435411.1800000002</v>
      </c>
      <c r="G20" s="213">
        <f t="shared" si="0"/>
        <v>-298598.18000000156</v>
      </c>
      <c r="H20" s="214">
        <f t="shared" si="1"/>
        <v>-0.17220101972229335</v>
      </c>
    </row>
    <row r="21" spans="2:8" customFormat="1" ht="15" customHeight="1" x14ac:dyDescent="0.25">
      <c r="B21" s="225"/>
      <c r="C21" s="238" t="s">
        <v>251</v>
      </c>
      <c r="D21" s="238"/>
      <c r="E21" s="239">
        <v>5374943.7600000035</v>
      </c>
      <c r="F21" s="239">
        <v>3801757.43</v>
      </c>
      <c r="G21" s="221">
        <f t="shared" si="0"/>
        <v>-1573186.3300000033</v>
      </c>
      <c r="H21" s="222">
        <f t="shared" si="1"/>
        <v>-0.29268889131595349</v>
      </c>
    </row>
    <row r="22" spans="2:8" customFormat="1" ht="15" customHeight="1" x14ac:dyDescent="0.25">
      <c r="B22" s="225"/>
      <c r="C22" s="225" t="s">
        <v>252</v>
      </c>
      <c r="D22" s="223" t="s">
        <v>253</v>
      </c>
      <c r="E22" s="226">
        <v>709133.85999999917</v>
      </c>
      <c r="F22" s="226">
        <v>667794.22000000067</v>
      </c>
      <c r="G22" s="213">
        <f t="shared" si="0"/>
        <v>-41339.639999998501</v>
      </c>
      <c r="H22" s="214">
        <f t="shared" si="1"/>
        <v>-5.8295961216685593E-2</v>
      </c>
    </row>
    <row r="23" spans="2:8" customFormat="1" ht="15" customHeight="1" x14ac:dyDescent="0.25">
      <c r="B23" s="225"/>
      <c r="C23" s="225"/>
      <c r="D23" s="223" t="s">
        <v>254</v>
      </c>
      <c r="E23" s="226">
        <v>325974.0500000004</v>
      </c>
      <c r="F23" s="226">
        <v>182716.43000000008</v>
      </c>
      <c r="G23" s="213">
        <f t="shared" si="0"/>
        <v>-143257.62000000032</v>
      </c>
      <c r="H23" s="214">
        <f t="shared" si="1"/>
        <v>-0.43947553493905461</v>
      </c>
    </row>
    <row r="24" spans="2:8" customFormat="1" ht="15" customHeight="1" x14ac:dyDescent="0.25">
      <c r="B24" s="225"/>
      <c r="C24" s="238" t="s">
        <v>255</v>
      </c>
      <c r="D24" s="238"/>
      <c r="E24" s="239">
        <v>1035107.9099999996</v>
      </c>
      <c r="F24" s="239">
        <v>850510.65000000072</v>
      </c>
      <c r="G24" s="221">
        <f t="shared" si="0"/>
        <v>-184597.25999999885</v>
      </c>
      <c r="H24" s="222">
        <f t="shared" si="1"/>
        <v>-0.17833624708751275</v>
      </c>
    </row>
    <row r="25" spans="2:8" customFormat="1" ht="15" customHeight="1" x14ac:dyDescent="0.25">
      <c r="B25" s="225"/>
      <c r="C25" s="225" t="s">
        <v>256</v>
      </c>
      <c r="D25" s="223" t="s">
        <v>257</v>
      </c>
      <c r="E25" s="226">
        <v>8628467.070000004</v>
      </c>
      <c r="F25" s="226">
        <v>7552059.9599999879</v>
      </c>
      <c r="G25" s="213">
        <f t="shared" si="0"/>
        <v>-1076407.1100000162</v>
      </c>
      <c r="H25" s="214">
        <f t="shared" si="1"/>
        <v>-0.1247506771790943</v>
      </c>
    </row>
    <row r="26" spans="2:8" customFormat="1" ht="15" customHeight="1" x14ac:dyDescent="0.25">
      <c r="B26" s="225"/>
      <c r="C26" s="225"/>
      <c r="D26" s="223" t="s">
        <v>258</v>
      </c>
      <c r="E26" s="226">
        <v>17177006.330000002</v>
      </c>
      <c r="F26" s="226">
        <v>14449714.209999997</v>
      </c>
      <c r="G26" s="213">
        <f t="shared" si="0"/>
        <v>-2727292.1200000048</v>
      </c>
      <c r="H26" s="214">
        <f t="shared" si="1"/>
        <v>-0.1587757533300044</v>
      </c>
    </row>
    <row r="27" spans="2:8" customFormat="1" ht="15" customHeight="1" x14ac:dyDescent="0.25">
      <c r="B27" s="225"/>
      <c r="C27" s="238" t="s">
        <v>259</v>
      </c>
      <c r="D27" s="238"/>
      <c r="E27" s="239">
        <v>25805473.400000006</v>
      </c>
      <c r="F27" s="239">
        <v>22001774.169999987</v>
      </c>
      <c r="G27" s="221">
        <f t="shared" si="0"/>
        <v>-3803699.2300000191</v>
      </c>
      <c r="H27" s="222">
        <f t="shared" si="1"/>
        <v>-0.14739893242958366</v>
      </c>
    </row>
    <row r="28" spans="2:8" customFormat="1" ht="15" customHeight="1" x14ac:dyDescent="0.25">
      <c r="B28" s="225"/>
      <c r="C28" s="225" t="s">
        <v>260</v>
      </c>
      <c r="D28" s="223" t="s">
        <v>261</v>
      </c>
      <c r="E28" s="226">
        <v>232126.43000000005</v>
      </c>
      <c r="F28" s="226">
        <v>304714.48000000016</v>
      </c>
      <c r="G28" s="213">
        <f t="shared" si="0"/>
        <v>72588.050000000105</v>
      </c>
      <c r="H28" s="214">
        <f t="shared" si="1"/>
        <v>0.3127091128743939</v>
      </c>
    </row>
    <row r="29" spans="2:8" customFormat="1" ht="15" customHeight="1" x14ac:dyDescent="0.25">
      <c r="B29" s="225"/>
      <c r="C29" s="225"/>
      <c r="D29" s="223" t="s">
        <v>262</v>
      </c>
      <c r="E29" s="226">
        <v>482267.59999999939</v>
      </c>
      <c r="F29" s="226">
        <v>469996.43999999925</v>
      </c>
      <c r="G29" s="213">
        <f t="shared" si="0"/>
        <v>-12271.160000000149</v>
      </c>
      <c r="H29" s="214">
        <f t="shared" si="1"/>
        <v>-2.5444711608244394E-2</v>
      </c>
    </row>
    <row r="30" spans="2:8" customFormat="1" ht="15" customHeight="1" x14ac:dyDescent="0.25">
      <c r="B30" s="225"/>
      <c r="C30" s="225"/>
      <c r="D30" s="223" t="s">
        <v>263</v>
      </c>
      <c r="E30" s="226">
        <v>2999398.5399999982</v>
      </c>
      <c r="F30" s="226">
        <v>2563772.8899999941</v>
      </c>
      <c r="G30" s="213">
        <f t="shared" si="0"/>
        <v>-435625.6500000041</v>
      </c>
      <c r="H30" s="214">
        <f t="shared" si="1"/>
        <v>-0.1452376682159765</v>
      </c>
    </row>
    <row r="31" spans="2:8" customFormat="1" ht="15" customHeight="1" x14ac:dyDescent="0.25">
      <c r="B31" s="228"/>
      <c r="C31" s="238" t="s">
        <v>264</v>
      </c>
      <c r="D31" s="238"/>
      <c r="E31" s="239">
        <v>3713792.5699999975</v>
      </c>
      <c r="F31" s="239">
        <v>3338483.8099999935</v>
      </c>
      <c r="G31" s="221">
        <f t="shared" si="0"/>
        <v>-375308.76000000397</v>
      </c>
      <c r="H31" s="222">
        <f t="shared" si="1"/>
        <v>-0.10105808359673793</v>
      </c>
    </row>
    <row r="32" spans="2:8" customFormat="1" ht="15" customHeight="1" thickBot="1" x14ac:dyDescent="0.3">
      <c r="B32" s="229" t="s">
        <v>265</v>
      </c>
      <c r="C32" s="229"/>
      <c r="D32" s="229"/>
      <c r="E32" s="230">
        <v>89469542.559999987</v>
      </c>
      <c r="F32" s="230">
        <v>69451941.179999948</v>
      </c>
      <c r="G32" s="211">
        <f t="shared" si="0"/>
        <v>-20017601.38000004</v>
      </c>
      <c r="H32" s="212">
        <f t="shared" si="1"/>
        <v>-0.22373648961685316</v>
      </c>
    </row>
    <row r="33" spans="2:8" customFormat="1" ht="15" customHeight="1" x14ac:dyDescent="0.25">
      <c r="B33" s="225" t="s">
        <v>266</v>
      </c>
      <c r="C33" s="225" t="s">
        <v>267</v>
      </c>
      <c r="D33" s="223" t="s">
        <v>268</v>
      </c>
      <c r="E33" s="226">
        <v>2690590.7199999983</v>
      </c>
      <c r="F33" s="226">
        <v>2149731.7499999991</v>
      </c>
      <c r="G33" s="213">
        <f t="shared" si="0"/>
        <v>-540858.96999999927</v>
      </c>
      <c r="H33" s="214">
        <f t="shared" si="1"/>
        <v>-0.20101867072521518</v>
      </c>
    </row>
    <row r="34" spans="2:8" customFormat="1" ht="15" customHeight="1" x14ac:dyDescent="0.25">
      <c r="B34" s="225"/>
      <c r="C34" s="225"/>
      <c r="D34" s="223" t="s">
        <v>269</v>
      </c>
      <c r="E34" s="226">
        <v>6472940.9299999988</v>
      </c>
      <c r="F34" s="226">
        <v>5209597.8599999966</v>
      </c>
      <c r="G34" s="213">
        <f t="shared" si="0"/>
        <v>-1263343.0700000022</v>
      </c>
      <c r="H34" s="214">
        <f t="shared" si="1"/>
        <v>-0.1951729644472443</v>
      </c>
    </row>
    <row r="35" spans="2:8" customFormat="1" ht="15" customHeight="1" x14ac:dyDescent="0.25">
      <c r="B35" s="225"/>
      <c r="C35" s="225"/>
      <c r="D35" s="223" t="s">
        <v>270</v>
      </c>
      <c r="E35" s="226">
        <v>4412970.1999999871</v>
      </c>
      <c r="F35" s="226">
        <v>3009678.8599999952</v>
      </c>
      <c r="G35" s="213">
        <f t="shared" si="0"/>
        <v>-1403291.3399999919</v>
      </c>
      <c r="H35" s="214">
        <f t="shared" si="1"/>
        <v>-0.31799248043868411</v>
      </c>
    </row>
    <row r="36" spans="2:8" customFormat="1" ht="15" customHeight="1" x14ac:dyDescent="0.25">
      <c r="B36" s="225"/>
      <c r="C36" s="225"/>
      <c r="D36" s="223" t="s">
        <v>271</v>
      </c>
      <c r="E36" s="226">
        <v>1441868.149999999</v>
      </c>
      <c r="F36" s="226">
        <v>1116363.8900000011</v>
      </c>
      <c r="G36" s="213">
        <f t="shared" si="0"/>
        <v>-325504.25999999791</v>
      </c>
      <c r="H36" s="214">
        <f t="shared" si="1"/>
        <v>-0.22575175129570491</v>
      </c>
    </row>
    <row r="37" spans="2:8" customFormat="1" ht="15" customHeight="1" x14ac:dyDescent="0.25">
      <c r="B37" s="225"/>
      <c r="C37" s="238" t="s">
        <v>272</v>
      </c>
      <c r="D37" s="238"/>
      <c r="E37" s="239">
        <v>15018369.999999981</v>
      </c>
      <c r="F37" s="239">
        <v>11485372.359999992</v>
      </c>
      <c r="G37" s="221">
        <f t="shared" si="0"/>
        <v>-3532997.6399999894</v>
      </c>
      <c r="H37" s="222">
        <f t="shared" si="1"/>
        <v>-0.23524507919301454</v>
      </c>
    </row>
    <row r="38" spans="2:8" customFormat="1" ht="15" customHeight="1" x14ac:dyDescent="0.25">
      <c r="B38" s="225"/>
      <c r="C38" s="225" t="s">
        <v>273</v>
      </c>
      <c r="D38" s="223" t="s">
        <v>274</v>
      </c>
      <c r="E38" s="226">
        <v>6253771.5700000031</v>
      </c>
      <c r="F38" s="226">
        <v>4870237.0399999991</v>
      </c>
      <c r="G38" s="213">
        <f t="shared" si="0"/>
        <v>-1383534.530000004</v>
      </c>
      <c r="H38" s="214">
        <f t="shared" si="1"/>
        <v>-0.22123202207080347</v>
      </c>
    </row>
    <row r="39" spans="2:8" customFormat="1" ht="15" customHeight="1" x14ac:dyDescent="0.25">
      <c r="B39" s="225"/>
      <c r="C39" s="225"/>
      <c r="D39" s="223" t="s">
        <v>275</v>
      </c>
      <c r="E39" s="226">
        <v>335783.39</v>
      </c>
      <c r="F39" s="226">
        <v>404802.80999999988</v>
      </c>
      <c r="G39" s="213">
        <f t="shared" si="0"/>
        <v>69019.419999999867</v>
      </c>
      <c r="H39" s="214">
        <f t="shared" si="1"/>
        <v>0.20554745128995172</v>
      </c>
    </row>
    <row r="40" spans="2:8" customFormat="1" ht="15" customHeight="1" x14ac:dyDescent="0.25">
      <c r="B40" s="225"/>
      <c r="C40" s="225"/>
      <c r="D40" s="223" t="s">
        <v>276</v>
      </c>
      <c r="E40" s="226">
        <v>6989707.2999999952</v>
      </c>
      <c r="F40" s="226">
        <v>4546202.8499999968</v>
      </c>
      <c r="G40" s="213">
        <f t="shared" si="0"/>
        <v>-2443504.4499999983</v>
      </c>
      <c r="H40" s="214">
        <f t="shared" si="1"/>
        <v>-0.34958609067936219</v>
      </c>
    </row>
    <row r="41" spans="2:8" customFormat="1" ht="15" customHeight="1" x14ac:dyDescent="0.25">
      <c r="B41" s="225"/>
      <c r="C41" s="225"/>
      <c r="D41" s="223" t="s">
        <v>277</v>
      </c>
      <c r="E41" s="226">
        <v>4720613.7299999874</v>
      </c>
      <c r="F41" s="226">
        <v>4786235.5800000029</v>
      </c>
      <c r="G41" s="213">
        <f t="shared" si="0"/>
        <v>65621.85000001546</v>
      </c>
      <c r="H41" s="214">
        <f t="shared" si="1"/>
        <v>1.3901126792684144E-2</v>
      </c>
    </row>
    <row r="42" spans="2:8" customFormat="1" ht="15" customHeight="1" x14ac:dyDescent="0.25">
      <c r="B42" s="225"/>
      <c r="C42" s="238" t="s">
        <v>278</v>
      </c>
      <c r="D42" s="238"/>
      <c r="E42" s="239">
        <v>18299875.989999987</v>
      </c>
      <c r="F42" s="239">
        <v>14607478.279999997</v>
      </c>
      <c r="G42" s="221">
        <f t="shared" si="0"/>
        <v>-3692397.7099999897</v>
      </c>
      <c r="H42" s="222">
        <f t="shared" si="1"/>
        <v>-0.20177173397337281</v>
      </c>
    </row>
    <row r="43" spans="2:8" customFormat="1" ht="15" customHeight="1" x14ac:dyDescent="0.25">
      <c r="B43" s="225"/>
      <c r="C43" s="225" t="s">
        <v>279</v>
      </c>
      <c r="D43" s="223" t="s">
        <v>280</v>
      </c>
      <c r="E43" s="226">
        <v>3185.5099999999998</v>
      </c>
      <c r="F43" s="226">
        <v>3511.16</v>
      </c>
      <c r="G43" s="213">
        <f t="shared" si="0"/>
        <v>325.65000000000009</v>
      </c>
      <c r="H43" s="214">
        <f t="shared" si="1"/>
        <v>0.10222852855586707</v>
      </c>
    </row>
    <row r="44" spans="2:8" customFormat="1" ht="15" customHeight="1" x14ac:dyDescent="0.25">
      <c r="B44" s="225"/>
      <c r="C44" s="225"/>
      <c r="D44" s="223" t="s">
        <v>281</v>
      </c>
      <c r="E44" s="226">
        <v>2240333.1099999971</v>
      </c>
      <c r="F44" s="226">
        <v>1766114.569999998</v>
      </c>
      <c r="G44" s="213">
        <f t="shared" si="0"/>
        <v>-474218.53999999911</v>
      </c>
      <c r="H44" s="214">
        <f t="shared" si="1"/>
        <v>-0.21167322746928457</v>
      </c>
    </row>
    <row r="45" spans="2:8" customFormat="1" ht="15" customHeight="1" x14ac:dyDescent="0.25">
      <c r="B45" s="225"/>
      <c r="C45" s="225"/>
      <c r="D45" s="223" t="s">
        <v>380</v>
      </c>
      <c r="E45" s="226">
        <v>185.28000000000003</v>
      </c>
      <c r="F45" s="226">
        <v>193.49</v>
      </c>
      <c r="G45" s="213">
        <f t="shared" si="0"/>
        <v>8.2099999999999795</v>
      </c>
      <c r="H45" s="214">
        <f t="shared" si="1"/>
        <v>4.4311312607944617E-2</v>
      </c>
    </row>
    <row r="46" spans="2:8" customFormat="1" ht="15" customHeight="1" x14ac:dyDescent="0.25">
      <c r="B46" s="225"/>
      <c r="C46" s="225"/>
      <c r="D46" s="223" t="s">
        <v>282</v>
      </c>
      <c r="E46" s="226">
        <v>7969404.2300000088</v>
      </c>
      <c r="F46" s="226">
        <v>7166722.8100000015</v>
      </c>
      <c r="G46" s="213">
        <f t="shared" si="0"/>
        <v>-802681.42000000738</v>
      </c>
      <c r="H46" s="214">
        <f t="shared" si="1"/>
        <v>-0.10072037969643892</v>
      </c>
    </row>
    <row r="47" spans="2:8" customFormat="1" ht="15" customHeight="1" x14ac:dyDescent="0.25">
      <c r="B47" s="225"/>
      <c r="C47" s="225"/>
      <c r="D47" s="223" t="s">
        <v>283</v>
      </c>
      <c r="E47" s="226">
        <v>4618194.4799999883</v>
      </c>
      <c r="F47" s="226">
        <v>3796883.1599999997</v>
      </c>
      <c r="G47" s="213">
        <f t="shared" si="0"/>
        <v>-821311.31999998866</v>
      </c>
      <c r="H47" s="214">
        <f t="shared" si="1"/>
        <v>-0.17784251476563862</v>
      </c>
    </row>
    <row r="48" spans="2:8" customFormat="1" ht="15" customHeight="1" x14ac:dyDescent="0.25">
      <c r="B48" s="225"/>
      <c r="C48" s="225"/>
      <c r="D48" s="223" t="s">
        <v>284</v>
      </c>
      <c r="E48" s="226">
        <v>7858559.5999999847</v>
      </c>
      <c r="F48" s="226">
        <v>6693798.1399999987</v>
      </c>
      <c r="G48" s="213">
        <f t="shared" si="0"/>
        <v>-1164761.459999986</v>
      </c>
      <c r="H48" s="214">
        <f t="shared" si="1"/>
        <v>-0.14821564246964397</v>
      </c>
    </row>
    <row r="49" spans="2:8" customFormat="1" ht="15" customHeight="1" x14ac:dyDescent="0.25">
      <c r="B49" s="225"/>
      <c r="C49" s="225"/>
      <c r="D49" s="223" t="s">
        <v>374</v>
      </c>
      <c r="E49" s="226">
        <v>1797.6999999999998</v>
      </c>
      <c r="F49" s="226">
        <v>60.56</v>
      </c>
      <c r="G49" s="213">
        <f t="shared" si="0"/>
        <v>-1737.1399999999999</v>
      </c>
      <c r="H49" s="214">
        <f t="shared" si="1"/>
        <v>-0.96631251042999389</v>
      </c>
    </row>
    <row r="50" spans="2:8" customFormat="1" ht="15" customHeight="1" x14ac:dyDescent="0.25">
      <c r="B50" s="228"/>
      <c r="C50" s="238" t="s">
        <v>285</v>
      </c>
      <c r="D50" s="238"/>
      <c r="E50" s="239">
        <v>22691659.909999978</v>
      </c>
      <c r="F50" s="239">
        <v>19427283.889999997</v>
      </c>
      <c r="G50" s="221">
        <f t="shared" si="0"/>
        <v>-3264376.0199999809</v>
      </c>
      <c r="H50" s="222">
        <f t="shared" si="1"/>
        <v>-0.14385796512671178</v>
      </c>
    </row>
    <row r="51" spans="2:8" customFormat="1" ht="15" customHeight="1" thickBot="1" x14ac:dyDescent="0.3">
      <c r="B51" s="229" t="s">
        <v>286</v>
      </c>
      <c r="C51" s="229"/>
      <c r="D51" s="229"/>
      <c r="E51" s="230">
        <v>56009905.899999961</v>
      </c>
      <c r="F51" s="230">
        <v>45520134.529999986</v>
      </c>
      <c r="G51" s="211">
        <f t="shared" si="0"/>
        <v>-10489771.369999975</v>
      </c>
      <c r="H51" s="212">
        <f t="shared" si="1"/>
        <v>-0.18728421698705233</v>
      </c>
    </row>
    <row r="52" spans="2:8" customFormat="1" ht="15" customHeight="1" x14ac:dyDescent="0.25">
      <c r="B52" s="225" t="s">
        <v>287</v>
      </c>
      <c r="C52" s="225" t="s">
        <v>288</v>
      </c>
      <c r="D52" s="223" t="s">
        <v>289</v>
      </c>
      <c r="E52" s="226">
        <v>3668645.9999999991</v>
      </c>
      <c r="F52" s="226">
        <v>1915962.3200000003</v>
      </c>
      <c r="G52" s="213">
        <f t="shared" si="0"/>
        <v>-1752683.6799999988</v>
      </c>
      <c r="H52" s="214">
        <f t="shared" si="1"/>
        <v>-0.4777467436214885</v>
      </c>
    </row>
    <row r="53" spans="2:8" customFormat="1" ht="15" customHeight="1" x14ac:dyDescent="0.25">
      <c r="B53" s="225"/>
      <c r="C53" s="225"/>
      <c r="D53" s="223" t="s">
        <v>290</v>
      </c>
      <c r="E53" s="226">
        <v>27000.85</v>
      </c>
      <c r="F53" s="226">
        <v>114423.52999999998</v>
      </c>
      <c r="G53" s="213">
        <f t="shared" si="0"/>
        <v>87422.68</v>
      </c>
      <c r="H53" s="214">
        <f t="shared" si="1"/>
        <v>3.2377751070799623</v>
      </c>
    </row>
    <row r="54" spans="2:8" customFormat="1" ht="15" customHeight="1" x14ac:dyDescent="0.25">
      <c r="B54" s="225"/>
      <c r="C54" s="225"/>
      <c r="D54" s="223" t="s">
        <v>382</v>
      </c>
      <c r="E54" s="226">
        <v>198.84</v>
      </c>
      <c r="F54" s="226">
        <v>2793.5699999999997</v>
      </c>
      <c r="G54" s="213">
        <f t="shared" si="0"/>
        <v>2594.7299999999996</v>
      </c>
      <c r="H54" s="214">
        <f t="shared" si="1"/>
        <v>13.049336149668072</v>
      </c>
    </row>
    <row r="55" spans="2:8" customFormat="1" ht="15" customHeight="1" x14ac:dyDescent="0.25">
      <c r="B55" s="225"/>
      <c r="C55" s="225"/>
      <c r="D55" s="223" t="s">
        <v>291</v>
      </c>
      <c r="E55" s="226">
        <v>43444.320000000007</v>
      </c>
      <c r="F55" s="226">
        <v>21162.249999999996</v>
      </c>
      <c r="G55" s="213">
        <f t="shared" si="0"/>
        <v>-22282.070000000011</v>
      </c>
      <c r="H55" s="214">
        <f t="shared" si="1"/>
        <v>-0.51288799088120163</v>
      </c>
    </row>
    <row r="56" spans="2:8" customFormat="1" ht="15" customHeight="1" x14ac:dyDescent="0.25">
      <c r="B56" s="225"/>
      <c r="C56" s="225"/>
      <c r="D56" s="223" t="s">
        <v>292</v>
      </c>
      <c r="E56" s="226">
        <v>37345.71</v>
      </c>
      <c r="F56" s="226">
        <v>74621.749999999985</v>
      </c>
      <c r="G56" s="213">
        <f t="shared" si="0"/>
        <v>37276.039999999986</v>
      </c>
      <c r="H56" s="214">
        <f t="shared" si="1"/>
        <v>0.99813445774628429</v>
      </c>
    </row>
    <row r="57" spans="2:8" customFormat="1" ht="15" customHeight="1" x14ac:dyDescent="0.25">
      <c r="B57" s="225"/>
      <c r="C57" s="225"/>
      <c r="D57" s="223" t="s">
        <v>293</v>
      </c>
      <c r="E57" s="226">
        <v>7617.54</v>
      </c>
      <c r="F57" s="226">
        <v>3439.9700000000007</v>
      </c>
      <c r="G57" s="213">
        <f t="shared" si="0"/>
        <v>-4177.57</v>
      </c>
      <c r="H57" s="214">
        <f t="shared" si="1"/>
        <v>-0.54841458003502441</v>
      </c>
    </row>
    <row r="58" spans="2:8" customFormat="1" ht="15" customHeight="1" x14ac:dyDescent="0.25">
      <c r="B58" s="225"/>
      <c r="C58" s="225"/>
      <c r="D58" s="223" t="s">
        <v>294</v>
      </c>
      <c r="E58" s="226">
        <v>413983.06000000041</v>
      </c>
      <c r="F58" s="226">
        <v>254976.30000000005</v>
      </c>
      <c r="G58" s="213">
        <f t="shared" si="0"/>
        <v>-159006.76000000036</v>
      </c>
      <c r="H58" s="214">
        <f t="shared" si="1"/>
        <v>-0.38409001566392648</v>
      </c>
    </row>
    <row r="59" spans="2:8" customFormat="1" ht="15" customHeight="1" x14ac:dyDescent="0.25">
      <c r="B59" s="225"/>
      <c r="C59" s="225"/>
      <c r="D59" s="223" t="s">
        <v>295</v>
      </c>
      <c r="E59" s="226">
        <v>33628.03</v>
      </c>
      <c r="F59" s="226">
        <v>20997.160000000003</v>
      </c>
      <c r="G59" s="213">
        <f t="shared" si="0"/>
        <v>-12630.869999999995</v>
      </c>
      <c r="H59" s="214">
        <f t="shared" si="1"/>
        <v>-0.3756054101295852</v>
      </c>
    </row>
    <row r="60" spans="2:8" customFormat="1" ht="15" customHeight="1" x14ac:dyDescent="0.25">
      <c r="B60" s="225"/>
      <c r="C60" s="225"/>
      <c r="D60" s="223" t="s">
        <v>296</v>
      </c>
      <c r="E60" s="226">
        <v>-380229.01999999984</v>
      </c>
      <c r="F60" s="226">
        <v>-466454.11999999982</v>
      </c>
      <c r="G60" s="213">
        <f t="shared" si="0"/>
        <v>-86225.099999999977</v>
      </c>
      <c r="H60" s="214">
        <f t="shared" si="1"/>
        <v>0.22677148630054594</v>
      </c>
    </row>
    <row r="61" spans="2:8" customFormat="1" ht="15" customHeight="1" x14ac:dyDescent="0.25">
      <c r="B61" s="225"/>
      <c r="C61" s="225"/>
      <c r="D61" s="223" t="s">
        <v>297</v>
      </c>
      <c r="E61" s="226">
        <v>92732.140000000058</v>
      </c>
      <c r="F61" s="226">
        <v>98585.169999999955</v>
      </c>
      <c r="G61" s="213">
        <f t="shared" si="0"/>
        <v>5853.029999999897</v>
      </c>
      <c r="H61" s="214">
        <f t="shared" si="1"/>
        <v>6.3117598709572467E-2</v>
      </c>
    </row>
    <row r="62" spans="2:8" customFormat="1" ht="15" customHeight="1" x14ac:dyDescent="0.25">
      <c r="B62" s="225"/>
      <c r="C62" s="225"/>
      <c r="D62" s="223" t="s">
        <v>298</v>
      </c>
      <c r="E62" s="226">
        <v>46069.330000000009</v>
      </c>
      <c r="F62" s="226">
        <v>28287.209999999995</v>
      </c>
      <c r="G62" s="213">
        <f t="shared" si="0"/>
        <v>-17782.120000000014</v>
      </c>
      <c r="H62" s="214">
        <f t="shared" si="1"/>
        <v>-0.38598607793948836</v>
      </c>
    </row>
    <row r="63" spans="2:8" customFormat="1" ht="15" customHeight="1" x14ac:dyDescent="0.25">
      <c r="B63" s="225"/>
      <c r="C63" s="225"/>
      <c r="D63" s="223" t="s">
        <v>381</v>
      </c>
      <c r="E63" s="226"/>
      <c r="F63" s="226">
        <v>93.72</v>
      </c>
      <c r="G63" s="213">
        <f t="shared" si="0"/>
        <v>93.72</v>
      </c>
      <c r="H63" s="214">
        <f t="shared" si="1"/>
        <v>1</v>
      </c>
    </row>
    <row r="64" spans="2:8" customFormat="1" ht="15" customHeight="1" x14ac:dyDescent="0.25">
      <c r="B64" s="225"/>
      <c r="C64" s="225"/>
      <c r="D64" s="223" t="s">
        <v>299</v>
      </c>
      <c r="E64" s="226">
        <v>4498.0599999999995</v>
      </c>
      <c r="F64" s="226">
        <v>2493.63</v>
      </c>
      <c r="G64" s="213">
        <f t="shared" si="0"/>
        <v>-2004.4299999999994</v>
      </c>
      <c r="H64" s="214">
        <f t="shared" si="1"/>
        <v>-0.44562100105378755</v>
      </c>
    </row>
    <row r="65" spans="2:8" customFormat="1" ht="15" customHeight="1" x14ac:dyDescent="0.25">
      <c r="B65" s="225"/>
      <c r="C65" s="225"/>
      <c r="D65" s="223" t="s">
        <v>386</v>
      </c>
      <c r="E65" s="226">
        <v>724.21</v>
      </c>
      <c r="F65" s="226"/>
      <c r="G65" s="213">
        <f t="shared" si="0"/>
        <v>-724.21</v>
      </c>
      <c r="H65" s="214">
        <f t="shared" si="1"/>
        <v>1</v>
      </c>
    </row>
    <row r="66" spans="2:8" customFormat="1" ht="15" customHeight="1" x14ac:dyDescent="0.25">
      <c r="B66" s="225"/>
      <c r="C66" s="225"/>
      <c r="D66" s="223" t="s">
        <v>300</v>
      </c>
      <c r="E66" s="226">
        <v>76.510000000000005</v>
      </c>
      <c r="F66" s="226"/>
      <c r="G66" s="213">
        <f t="shared" si="0"/>
        <v>-76.510000000000005</v>
      </c>
      <c r="H66" s="214">
        <f t="shared" si="1"/>
        <v>1</v>
      </c>
    </row>
    <row r="67" spans="2:8" customFormat="1" ht="15" customHeight="1" x14ac:dyDescent="0.25">
      <c r="B67" s="225"/>
      <c r="C67" s="225"/>
      <c r="D67" s="223" t="s">
        <v>301</v>
      </c>
      <c r="E67" s="226">
        <v>16823.219999999994</v>
      </c>
      <c r="F67" s="226">
        <v>7522.6799999999994</v>
      </c>
      <c r="G67" s="213">
        <f t="shared" si="0"/>
        <v>-9300.5399999999936</v>
      </c>
      <c r="H67" s="214">
        <f t="shared" si="1"/>
        <v>-0.55283946830630504</v>
      </c>
    </row>
    <row r="68" spans="2:8" customFormat="1" ht="15" customHeight="1" x14ac:dyDescent="0.25">
      <c r="B68" s="225"/>
      <c r="C68" s="225"/>
      <c r="D68" s="223" t="s">
        <v>302</v>
      </c>
      <c r="E68" s="226">
        <v>1799.61</v>
      </c>
      <c r="F68" s="226">
        <v>1552.599999999999</v>
      </c>
      <c r="G68" s="213">
        <f t="shared" si="0"/>
        <v>-247.0100000000009</v>
      </c>
      <c r="H68" s="214">
        <f t="shared" si="1"/>
        <v>-0.13725751690644133</v>
      </c>
    </row>
    <row r="69" spans="2:8" customFormat="1" ht="15" customHeight="1" x14ac:dyDescent="0.25">
      <c r="B69" s="225"/>
      <c r="C69" s="225"/>
      <c r="D69" s="223" t="s">
        <v>303</v>
      </c>
      <c r="E69" s="226">
        <v>5310.2300000000005</v>
      </c>
      <c r="F69" s="226">
        <v>9705.489999999998</v>
      </c>
      <c r="G69" s="213">
        <f t="shared" ref="G69:G122" si="2">+F69-E69</f>
        <v>4395.2599999999975</v>
      </c>
      <c r="H69" s="214">
        <f t="shared" ref="H69:H122" si="3">IF(OR(E69="",F69=""),100%,+G69/E69)</f>
        <v>0.82769672876692668</v>
      </c>
    </row>
    <row r="70" spans="2:8" customFormat="1" ht="15" customHeight="1" x14ac:dyDescent="0.25">
      <c r="B70" s="225"/>
      <c r="C70" s="225"/>
      <c r="D70" s="223" t="s">
        <v>304</v>
      </c>
      <c r="E70" s="226">
        <v>453.18999999999983</v>
      </c>
      <c r="F70" s="226">
        <v>420.52999999999986</v>
      </c>
      <c r="G70" s="213">
        <f t="shared" si="2"/>
        <v>-32.659999999999968</v>
      </c>
      <c r="H70" s="214">
        <f t="shared" si="3"/>
        <v>-7.2066903506255608E-2</v>
      </c>
    </row>
    <row r="71" spans="2:8" customFormat="1" ht="15" customHeight="1" x14ac:dyDescent="0.25">
      <c r="B71" s="225"/>
      <c r="C71" s="225"/>
      <c r="D71" s="223" t="s">
        <v>305</v>
      </c>
      <c r="E71" s="226">
        <v>1000272.5500000003</v>
      </c>
      <c r="F71" s="226">
        <v>459514.57999999984</v>
      </c>
      <c r="G71" s="213">
        <f t="shared" si="2"/>
        <v>-540757.97000000044</v>
      </c>
      <c r="H71" s="214">
        <f t="shared" si="3"/>
        <v>-0.5406106265737276</v>
      </c>
    </row>
    <row r="72" spans="2:8" customFormat="1" ht="15" customHeight="1" x14ac:dyDescent="0.25">
      <c r="B72" s="225"/>
      <c r="C72" s="225"/>
      <c r="D72" s="223" t="s">
        <v>306</v>
      </c>
      <c r="E72" s="226">
        <v>55654.899999999994</v>
      </c>
      <c r="F72" s="226">
        <v>39197.14</v>
      </c>
      <c r="G72" s="213">
        <f t="shared" si="2"/>
        <v>-16457.759999999995</v>
      </c>
      <c r="H72" s="214">
        <f t="shared" si="3"/>
        <v>-0.29571088978688304</v>
      </c>
    </row>
    <row r="73" spans="2:8" customFormat="1" ht="15" customHeight="1" x14ac:dyDescent="0.25">
      <c r="B73" s="225"/>
      <c r="C73" s="225"/>
      <c r="D73" s="223" t="s">
        <v>307</v>
      </c>
      <c r="E73" s="226">
        <v>2851.5200000000004</v>
      </c>
      <c r="F73" s="226">
        <v>370.88</v>
      </c>
      <c r="G73" s="213">
        <f t="shared" si="2"/>
        <v>-2480.6400000000003</v>
      </c>
      <c r="H73" s="214">
        <f t="shared" si="3"/>
        <v>-0.86993603411513853</v>
      </c>
    </row>
    <row r="74" spans="2:8" customFormat="1" ht="15" customHeight="1" x14ac:dyDescent="0.25">
      <c r="B74" s="225"/>
      <c r="C74" s="225"/>
      <c r="D74" s="223" t="s">
        <v>308</v>
      </c>
      <c r="E74" s="226">
        <v>337321.10000000009</v>
      </c>
      <c r="F74" s="226">
        <v>136403.40999999997</v>
      </c>
      <c r="G74" s="213">
        <f t="shared" si="2"/>
        <v>-200917.69000000012</v>
      </c>
      <c r="H74" s="214">
        <f t="shared" si="3"/>
        <v>-0.59562740071700249</v>
      </c>
    </row>
    <row r="75" spans="2:8" customFormat="1" ht="15" customHeight="1" x14ac:dyDescent="0.25">
      <c r="B75" s="225"/>
      <c r="C75" s="225"/>
      <c r="D75" s="223" t="s">
        <v>309</v>
      </c>
      <c r="E75" s="226">
        <v>142901.26000000004</v>
      </c>
      <c r="F75" s="226">
        <v>5427.81</v>
      </c>
      <c r="G75" s="213">
        <f t="shared" si="2"/>
        <v>-137473.45000000004</v>
      </c>
      <c r="H75" s="214">
        <f t="shared" si="3"/>
        <v>-0.96201705989156427</v>
      </c>
    </row>
    <row r="76" spans="2:8" customFormat="1" ht="15" customHeight="1" x14ac:dyDescent="0.25">
      <c r="B76" s="225"/>
      <c r="C76" s="225"/>
      <c r="D76" s="223" t="s">
        <v>310</v>
      </c>
      <c r="E76" s="226">
        <v>4637.9399999999996</v>
      </c>
      <c r="F76" s="226">
        <v>877.24</v>
      </c>
      <c r="G76" s="213">
        <f t="shared" si="2"/>
        <v>-3760.7</v>
      </c>
      <c r="H76" s="214">
        <f t="shared" si="3"/>
        <v>-0.81085568161726973</v>
      </c>
    </row>
    <row r="77" spans="2:8" customFormat="1" ht="15" customHeight="1" x14ac:dyDescent="0.25">
      <c r="B77" s="225"/>
      <c r="C77" s="225"/>
      <c r="D77" s="223" t="s">
        <v>311</v>
      </c>
      <c r="E77" s="226">
        <v>42550.69000000001</v>
      </c>
      <c r="F77" s="226">
        <v>677.21</v>
      </c>
      <c r="G77" s="213">
        <f t="shared" si="2"/>
        <v>-41873.48000000001</v>
      </c>
      <c r="H77" s="214">
        <f t="shared" si="3"/>
        <v>-0.98408462941494013</v>
      </c>
    </row>
    <row r="78" spans="2:8" customFormat="1" ht="15" customHeight="1" x14ac:dyDescent="0.25">
      <c r="B78" s="225"/>
      <c r="C78" s="225"/>
      <c r="D78" s="223" t="s">
        <v>312</v>
      </c>
      <c r="E78" s="226">
        <v>54956.400000000031</v>
      </c>
      <c r="F78" s="226">
        <v>700.61999999999989</v>
      </c>
      <c r="G78" s="213">
        <f t="shared" si="2"/>
        <v>-54255.780000000028</v>
      </c>
      <c r="H78" s="214">
        <f t="shared" si="3"/>
        <v>-0.98725134834159434</v>
      </c>
    </row>
    <row r="79" spans="2:8" customFormat="1" ht="15" customHeight="1" x14ac:dyDescent="0.25">
      <c r="B79" s="225"/>
      <c r="C79" s="225"/>
      <c r="D79" s="223" t="s">
        <v>313</v>
      </c>
      <c r="E79" s="226">
        <v>41027.430000000008</v>
      </c>
      <c r="F79" s="226">
        <v>22009.23</v>
      </c>
      <c r="G79" s="213">
        <f t="shared" si="2"/>
        <v>-19018.200000000008</v>
      </c>
      <c r="H79" s="214">
        <f t="shared" si="3"/>
        <v>-0.46354841139208586</v>
      </c>
    </row>
    <row r="80" spans="2:8" customFormat="1" ht="15" customHeight="1" x14ac:dyDescent="0.25">
      <c r="B80" s="225"/>
      <c r="C80" s="225"/>
      <c r="D80" s="223" t="s">
        <v>314</v>
      </c>
      <c r="E80" s="226">
        <v>146485.72999999998</v>
      </c>
      <c r="F80" s="226">
        <v>2105.02</v>
      </c>
      <c r="G80" s="213">
        <f t="shared" si="2"/>
        <v>-144380.71</v>
      </c>
      <c r="H80" s="214">
        <f t="shared" si="3"/>
        <v>-0.98562986305901612</v>
      </c>
    </row>
    <row r="81" spans="2:8" customFormat="1" ht="15" customHeight="1" x14ac:dyDescent="0.25">
      <c r="B81" s="225"/>
      <c r="C81" s="225"/>
      <c r="D81" s="223" t="s">
        <v>378</v>
      </c>
      <c r="E81" s="226">
        <v>569.16000000000008</v>
      </c>
      <c r="F81" s="226">
        <v>2247.65</v>
      </c>
      <c r="G81" s="213">
        <f t="shared" si="2"/>
        <v>1678.49</v>
      </c>
      <c r="H81" s="214">
        <f t="shared" si="3"/>
        <v>2.9490652891981162</v>
      </c>
    </row>
    <row r="82" spans="2:8" customFormat="1" ht="15" customHeight="1" x14ac:dyDescent="0.25">
      <c r="B82" s="225"/>
      <c r="C82" s="225"/>
      <c r="D82" s="223" t="s">
        <v>375</v>
      </c>
      <c r="E82" s="226"/>
      <c r="F82" s="226">
        <v>106.84</v>
      </c>
      <c r="G82" s="213">
        <f t="shared" si="2"/>
        <v>106.84</v>
      </c>
      <c r="H82" s="214">
        <f t="shared" si="3"/>
        <v>1</v>
      </c>
    </row>
    <row r="83" spans="2:8" customFormat="1" ht="15" customHeight="1" x14ac:dyDescent="0.25">
      <c r="B83" s="225"/>
      <c r="C83" s="225"/>
      <c r="D83" s="223" t="s">
        <v>315</v>
      </c>
      <c r="E83" s="226">
        <v>1916.37</v>
      </c>
      <c r="F83" s="226">
        <v>1382.8400000000001</v>
      </c>
      <c r="G83" s="213">
        <f t="shared" si="2"/>
        <v>-533.52999999999975</v>
      </c>
      <c r="H83" s="214">
        <f t="shared" si="3"/>
        <v>-0.27840657075616909</v>
      </c>
    </row>
    <row r="84" spans="2:8" customFormat="1" ht="15" customHeight="1" x14ac:dyDescent="0.25">
      <c r="B84" s="225"/>
      <c r="C84" s="225"/>
      <c r="D84" s="223" t="s">
        <v>384</v>
      </c>
      <c r="E84" s="226"/>
      <c r="F84" s="226">
        <v>106.84</v>
      </c>
      <c r="G84" s="213">
        <f t="shared" si="2"/>
        <v>106.84</v>
      </c>
      <c r="H84" s="214">
        <f t="shared" si="3"/>
        <v>1</v>
      </c>
    </row>
    <row r="85" spans="2:8" customFormat="1" ht="15" customHeight="1" x14ac:dyDescent="0.25">
      <c r="B85" s="225"/>
      <c r="C85" s="225"/>
      <c r="D85" s="223" t="s">
        <v>316</v>
      </c>
      <c r="E85" s="226">
        <v>34816.150000000009</v>
      </c>
      <c r="F85" s="226">
        <v>7834.6599999999989</v>
      </c>
      <c r="G85" s="213">
        <f t="shared" si="2"/>
        <v>-26981.490000000009</v>
      </c>
      <c r="H85" s="214">
        <f t="shared" si="3"/>
        <v>-0.77497052373682906</v>
      </c>
    </row>
    <row r="86" spans="2:8" customFormat="1" ht="15" customHeight="1" x14ac:dyDescent="0.25">
      <c r="B86" s="225"/>
      <c r="C86" s="225"/>
      <c r="D86" s="223" t="s">
        <v>317</v>
      </c>
      <c r="E86" s="226">
        <v>2031.98</v>
      </c>
      <c r="F86" s="226"/>
      <c r="G86" s="213">
        <f t="shared" si="2"/>
        <v>-2031.98</v>
      </c>
      <c r="H86" s="214">
        <f t="shared" si="3"/>
        <v>1</v>
      </c>
    </row>
    <row r="87" spans="2:8" customFormat="1" ht="15" customHeight="1" x14ac:dyDescent="0.25">
      <c r="B87" s="225"/>
      <c r="C87" s="225"/>
      <c r="D87" s="223" t="s">
        <v>363</v>
      </c>
      <c r="E87" s="226">
        <v>100.82999999999998</v>
      </c>
      <c r="F87" s="226"/>
      <c r="G87" s="213">
        <f t="shared" si="2"/>
        <v>-100.82999999999998</v>
      </c>
      <c r="H87" s="214">
        <f t="shared" si="3"/>
        <v>1</v>
      </c>
    </row>
    <row r="88" spans="2:8" customFormat="1" ht="15" customHeight="1" x14ac:dyDescent="0.25">
      <c r="B88" s="225"/>
      <c r="C88" s="225"/>
      <c r="D88" s="223" t="s">
        <v>379</v>
      </c>
      <c r="E88" s="226">
        <v>533.14</v>
      </c>
      <c r="F88" s="226"/>
      <c r="G88" s="213">
        <f t="shared" si="2"/>
        <v>-533.14</v>
      </c>
      <c r="H88" s="214">
        <f t="shared" si="3"/>
        <v>1</v>
      </c>
    </row>
    <row r="89" spans="2:8" customFormat="1" ht="15" customHeight="1" x14ac:dyDescent="0.25">
      <c r="B89" s="228"/>
      <c r="C89" s="238" t="s">
        <v>318</v>
      </c>
      <c r="D89" s="238"/>
      <c r="E89" s="239">
        <v>5888748.9800000023</v>
      </c>
      <c r="F89" s="239">
        <v>2769545.7300000004</v>
      </c>
      <c r="G89" s="221">
        <f t="shared" si="2"/>
        <v>-3119203.2500000019</v>
      </c>
      <c r="H89" s="222">
        <f t="shared" si="3"/>
        <v>-0.52968860798681905</v>
      </c>
    </row>
    <row r="90" spans="2:8" customFormat="1" ht="15" customHeight="1" thickBot="1" x14ac:dyDescent="0.3">
      <c r="B90" s="229" t="s">
        <v>319</v>
      </c>
      <c r="C90" s="229"/>
      <c r="D90" s="229"/>
      <c r="E90" s="230">
        <v>5888748.9800000023</v>
      </c>
      <c r="F90" s="230">
        <v>2769545.7300000004</v>
      </c>
      <c r="G90" s="211">
        <f t="shared" si="2"/>
        <v>-3119203.2500000019</v>
      </c>
      <c r="H90" s="212">
        <f t="shared" si="3"/>
        <v>-0.52968860798681905</v>
      </c>
    </row>
    <row r="91" spans="2:8" customFormat="1" ht="15" customHeight="1" x14ac:dyDescent="0.25">
      <c r="B91" s="225" t="s">
        <v>320</v>
      </c>
      <c r="C91" s="225" t="s">
        <v>321</v>
      </c>
      <c r="D91" s="223" t="s">
        <v>322</v>
      </c>
      <c r="E91" s="226">
        <v>132637.22</v>
      </c>
      <c r="F91" s="226">
        <v>23129.540000000005</v>
      </c>
      <c r="G91" s="213">
        <f t="shared" si="2"/>
        <v>-109507.68</v>
      </c>
      <c r="H91" s="214">
        <f t="shared" si="3"/>
        <v>-0.82561802788086169</v>
      </c>
    </row>
    <row r="92" spans="2:8" customFormat="1" ht="15" customHeight="1" x14ac:dyDescent="0.25">
      <c r="B92" s="225"/>
      <c r="C92" s="225"/>
      <c r="D92" s="223" t="s">
        <v>323</v>
      </c>
      <c r="E92" s="226">
        <v>4263.88</v>
      </c>
      <c r="F92" s="226">
        <v>7352.4600000000009</v>
      </c>
      <c r="G92" s="213">
        <f t="shared" si="2"/>
        <v>3088.5800000000008</v>
      </c>
      <c r="H92" s="214">
        <f t="shared" si="3"/>
        <v>0.72435903449440431</v>
      </c>
    </row>
    <row r="93" spans="2:8" customFormat="1" ht="15" customHeight="1" x14ac:dyDescent="0.25">
      <c r="B93" s="225"/>
      <c r="C93" s="225"/>
      <c r="D93" s="223" t="s">
        <v>324</v>
      </c>
      <c r="E93" s="226">
        <v>11087377.870000025</v>
      </c>
      <c r="F93" s="226">
        <v>8216608.570000004</v>
      </c>
      <c r="G93" s="213">
        <f t="shared" si="2"/>
        <v>-2870769.3000000212</v>
      </c>
      <c r="H93" s="214">
        <f t="shared" si="3"/>
        <v>-0.25892229286851343</v>
      </c>
    </row>
    <row r="94" spans="2:8" customFormat="1" ht="15" customHeight="1" x14ac:dyDescent="0.25">
      <c r="B94" s="225"/>
      <c r="C94" s="225"/>
      <c r="D94" s="223" t="s">
        <v>325</v>
      </c>
      <c r="E94" s="226">
        <v>261702.71000000017</v>
      </c>
      <c r="F94" s="226">
        <v>397231.52000000066</v>
      </c>
      <c r="G94" s="213">
        <f t="shared" si="2"/>
        <v>135528.81000000049</v>
      </c>
      <c r="H94" s="214">
        <f t="shared" si="3"/>
        <v>0.51787316226110314</v>
      </c>
    </row>
    <row r="95" spans="2:8" customFormat="1" ht="15" customHeight="1" x14ac:dyDescent="0.25">
      <c r="B95" s="225"/>
      <c r="C95" s="225"/>
      <c r="D95" s="223" t="s">
        <v>326</v>
      </c>
      <c r="E95" s="226">
        <v>5948832.0099999979</v>
      </c>
      <c r="F95" s="226">
        <v>4516301.5900000073</v>
      </c>
      <c r="G95" s="213">
        <f t="shared" si="2"/>
        <v>-1432530.4199999906</v>
      </c>
      <c r="H95" s="214">
        <f t="shared" si="3"/>
        <v>-0.24080868607348541</v>
      </c>
    </row>
    <row r="96" spans="2:8" customFormat="1" ht="15" customHeight="1" x14ac:dyDescent="0.25">
      <c r="B96" s="225"/>
      <c r="C96" s="225"/>
      <c r="D96" s="223" t="s">
        <v>327</v>
      </c>
      <c r="E96" s="226">
        <v>216935.90999999997</v>
      </c>
      <c r="F96" s="226">
        <v>140886.91999999958</v>
      </c>
      <c r="G96" s="213">
        <f t="shared" si="2"/>
        <v>-76048.990000000398</v>
      </c>
      <c r="H96" s="214">
        <f t="shared" si="3"/>
        <v>-0.35055971139126024</v>
      </c>
    </row>
    <row r="97" spans="2:8" customFormat="1" ht="15" customHeight="1" x14ac:dyDescent="0.25">
      <c r="B97" s="225"/>
      <c r="C97" s="225"/>
      <c r="D97" s="223" t="s">
        <v>328</v>
      </c>
      <c r="E97" s="226">
        <v>5497137.7599999998</v>
      </c>
      <c r="F97" s="226">
        <v>4795545.7299999995</v>
      </c>
      <c r="G97" s="213">
        <f t="shared" si="2"/>
        <v>-701592.03000000026</v>
      </c>
      <c r="H97" s="214">
        <f t="shared" si="3"/>
        <v>-0.12762860612756416</v>
      </c>
    </row>
    <row r="98" spans="2:8" customFormat="1" ht="15" customHeight="1" x14ac:dyDescent="0.25">
      <c r="B98" s="225"/>
      <c r="C98" s="225"/>
      <c r="D98" s="223" t="s">
        <v>329</v>
      </c>
      <c r="E98" s="226">
        <v>2693069.4099999974</v>
      </c>
      <c r="F98" s="226">
        <v>2641047.5700000022</v>
      </c>
      <c r="G98" s="213">
        <f t="shared" si="2"/>
        <v>-52021.839999995194</v>
      </c>
      <c r="H98" s="214">
        <f t="shared" si="3"/>
        <v>-1.9316932495993575E-2</v>
      </c>
    </row>
    <row r="99" spans="2:8" customFormat="1" ht="15" customHeight="1" x14ac:dyDescent="0.25">
      <c r="B99" s="225"/>
      <c r="C99" s="225"/>
      <c r="D99" s="223" t="s">
        <v>330</v>
      </c>
      <c r="E99" s="226">
        <v>7132.1300000000065</v>
      </c>
      <c r="F99" s="226">
        <v>6568.7400000000071</v>
      </c>
      <c r="G99" s="213">
        <f t="shared" si="2"/>
        <v>-563.38999999999942</v>
      </c>
      <c r="H99" s="214">
        <f t="shared" si="3"/>
        <v>-7.8993232035871316E-2</v>
      </c>
    </row>
    <row r="100" spans="2:8" customFormat="1" ht="15" customHeight="1" x14ac:dyDescent="0.25">
      <c r="B100" s="228"/>
      <c r="C100" s="238" t="s">
        <v>331</v>
      </c>
      <c r="D100" s="238"/>
      <c r="E100" s="239">
        <v>25849088.900000017</v>
      </c>
      <c r="F100" s="239">
        <v>20744672.640000012</v>
      </c>
      <c r="G100" s="221">
        <f t="shared" si="2"/>
        <v>-5104416.2600000054</v>
      </c>
      <c r="H100" s="222">
        <f t="shared" si="3"/>
        <v>-0.19746987136556299</v>
      </c>
    </row>
    <row r="101" spans="2:8" customFormat="1" ht="15" customHeight="1" thickBot="1" x14ac:dyDescent="0.3">
      <c r="B101" s="229" t="s">
        <v>332</v>
      </c>
      <c r="C101" s="229"/>
      <c r="D101" s="229"/>
      <c r="E101" s="230">
        <v>25849088.900000017</v>
      </c>
      <c r="F101" s="230">
        <v>20744672.640000012</v>
      </c>
      <c r="G101" s="211">
        <f t="shared" si="2"/>
        <v>-5104416.2600000054</v>
      </c>
      <c r="H101" s="212">
        <f t="shared" si="3"/>
        <v>-0.19746987136556299</v>
      </c>
    </row>
    <row r="102" spans="2:8" customFormat="1" ht="15" customHeight="1" x14ac:dyDescent="0.25">
      <c r="B102" s="225" t="s">
        <v>333</v>
      </c>
      <c r="C102" s="225" t="s">
        <v>334</v>
      </c>
      <c r="D102" s="223" t="s">
        <v>335</v>
      </c>
      <c r="E102" s="226">
        <v>374.13999999999993</v>
      </c>
      <c r="F102" s="226">
        <v>865.70999999999992</v>
      </c>
      <c r="G102" s="213">
        <f t="shared" si="2"/>
        <v>491.57</v>
      </c>
      <c r="H102" s="214">
        <f t="shared" si="3"/>
        <v>1.3138664670978781</v>
      </c>
    </row>
    <row r="103" spans="2:8" customFormat="1" ht="15" customHeight="1" x14ac:dyDescent="0.25">
      <c r="B103" s="225"/>
      <c r="C103" s="225"/>
      <c r="D103" s="223" t="s">
        <v>336</v>
      </c>
      <c r="E103" s="226">
        <v>1169.0599999999993</v>
      </c>
      <c r="F103" s="226">
        <v>1224.1399999999985</v>
      </c>
      <c r="G103" s="213">
        <f t="shared" si="2"/>
        <v>55.079999999999245</v>
      </c>
      <c r="H103" s="214">
        <f t="shared" si="3"/>
        <v>4.7114775973858727E-2</v>
      </c>
    </row>
    <row r="104" spans="2:8" customFormat="1" ht="15" customHeight="1" x14ac:dyDescent="0.25">
      <c r="B104" s="225"/>
      <c r="C104" s="225"/>
      <c r="D104" s="223" t="s">
        <v>337</v>
      </c>
      <c r="E104" s="226">
        <v>108287.03999999995</v>
      </c>
      <c r="F104" s="226">
        <v>75695.349999999991</v>
      </c>
      <c r="G104" s="213">
        <f t="shared" si="2"/>
        <v>-32591.689999999959</v>
      </c>
      <c r="H104" s="214">
        <f t="shared" si="3"/>
        <v>-0.30097498278649021</v>
      </c>
    </row>
    <row r="105" spans="2:8" customFormat="1" ht="15" customHeight="1" x14ac:dyDescent="0.25">
      <c r="B105" s="228"/>
      <c r="C105" s="238" t="s">
        <v>338</v>
      </c>
      <c r="D105" s="238"/>
      <c r="E105" s="239">
        <v>109830.23999999995</v>
      </c>
      <c r="F105" s="239">
        <v>77785.199999999983</v>
      </c>
      <c r="G105" s="221">
        <f t="shared" si="2"/>
        <v>-32045.039999999964</v>
      </c>
      <c r="H105" s="222">
        <f t="shared" si="3"/>
        <v>-0.29176882432379259</v>
      </c>
    </row>
    <row r="106" spans="2:8" customFormat="1" ht="15" customHeight="1" thickBot="1" x14ac:dyDescent="0.3">
      <c r="B106" s="229" t="s">
        <v>339</v>
      </c>
      <c r="C106" s="229"/>
      <c r="D106" s="229"/>
      <c r="E106" s="230">
        <v>109830.23999999995</v>
      </c>
      <c r="F106" s="230">
        <v>77785.199999999983</v>
      </c>
      <c r="G106" s="211">
        <f t="shared" si="2"/>
        <v>-32045.039999999964</v>
      </c>
      <c r="H106" s="212">
        <f t="shared" si="3"/>
        <v>-0.29176882432379259</v>
      </c>
    </row>
    <row r="107" spans="2:8" customFormat="1" ht="15" customHeight="1" x14ac:dyDescent="0.25">
      <c r="B107" s="225" t="s">
        <v>340</v>
      </c>
      <c r="C107" s="225" t="s">
        <v>341</v>
      </c>
      <c r="D107" s="223" t="s">
        <v>342</v>
      </c>
      <c r="E107" s="226">
        <v>201074.17999999996</v>
      </c>
      <c r="F107" s="226">
        <v>82649.709999999948</v>
      </c>
      <c r="G107" s="213">
        <f t="shared" si="2"/>
        <v>-118424.47000000002</v>
      </c>
      <c r="H107" s="214">
        <f t="shared" si="3"/>
        <v>-0.58895910951868624</v>
      </c>
    </row>
    <row r="108" spans="2:8" customFormat="1" ht="15" customHeight="1" x14ac:dyDescent="0.25">
      <c r="B108" s="225"/>
      <c r="C108" s="225"/>
      <c r="D108" s="223" t="s">
        <v>343</v>
      </c>
      <c r="E108" s="226">
        <v>-723393.95999999985</v>
      </c>
      <c r="F108" s="226">
        <v>-3334167.57</v>
      </c>
      <c r="G108" s="213">
        <f t="shared" si="2"/>
        <v>-2610773.61</v>
      </c>
      <c r="H108" s="214">
        <f t="shared" si="3"/>
        <v>3.6090619418497778</v>
      </c>
    </row>
    <row r="109" spans="2:8" customFormat="1" ht="15" customHeight="1" x14ac:dyDescent="0.25">
      <c r="B109" s="228"/>
      <c r="C109" s="238" t="s">
        <v>344</v>
      </c>
      <c r="D109" s="238"/>
      <c r="E109" s="239">
        <v>-522319.77999999991</v>
      </c>
      <c r="F109" s="239">
        <v>-3251517.86</v>
      </c>
      <c r="G109" s="221">
        <f t="shared" si="2"/>
        <v>-2729198.08</v>
      </c>
      <c r="H109" s="222">
        <f t="shared" si="3"/>
        <v>5.2251478586547124</v>
      </c>
    </row>
    <row r="110" spans="2:8" customFormat="1" ht="15" customHeight="1" thickBot="1" x14ac:dyDescent="0.3">
      <c r="B110" s="229" t="s">
        <v>345</v>
      </c>
      <c r="C110" s="229"/>
      <c r="D110" s="229"/>
      <c r="E110" s="230">
        <v>-522319.77999999991</v>
      </c>
      <c r="F110" s="230">
        <v>-3251517.86</v>
      </c>
      <c r="G110" s="211">
        <f t="shared" si="2"/>
        <v>-2729198.08</v>
      </c>
      <c r="H110" s="212">
        <f t="shared" si="3"/>
        <v>5.2251478586547124</v>
      </c>
    </row>
    <row r="111" spans="2:8" customFormat="1" ht="15" customHeight="1" x14ac:dyDescent="0.25">
      <c r="B111" s="225" t="s">
        <v>346</v>
      </c>
      <c r="C111" s="225" t="s">
        <v>347</v>
      </c>
      <c r="D111" s="223" t="s">
        <v>348</v>
      </c>
      <c r="E111" s="226">
        <v>141402.48000000001</v>
      </c>
      <c r="F111" s="226">
        <v>203695.21000000005</v>
      </c>
      <c r="G111" s="213">
        <f t="shared" si="2"/>
        <v>62292.73000000004</v>
      </c>
      <c r="H111" s="214">
        <f t="shared" si="3"/>
        <v>0.44053491848233522</v>
      </c>
    </row>
    <row r="112" spans="2:8" customFormat="1" ht="15" customHeight="1" x14ac:dyDescent="0.25">
      <c r="B112" s="225"/>
      <c r="C112" s="225"/>
      <c r="D112" s="223" t="s">
        <v>349</v>
      </c>
      <c r="E112" s="226">
        <v>215417.3899999999</v>
      </c>
      <c r="F112" s="226">
        <v>97976.319999999963</v>
      </c>
      <c r="G112" s="213">
        <f t="shared" si="2"/>
        <v>-117441.06999999993</v>
      </c>
      <c r="H112" s="214">
        <f t="shared" si="3"/>
        <v>-0.54517915197097133</v>
      </c>
    </row>
    <row r="113" spans="2:9" customFormat="1" ht="15" customHeight="1" x14ac:dyDescent="0.25">
      <c r="B113" s="225"/>
      <c r="C113" s="225"/>
      <c r="D113" s="223" t="s">
        <v>350</v>
      </c>
      <c r="E113" s="226">
        <v>45377.68</v>
      </c>
      <c r="F113" s="226">
        <v>33886.959999999985</v>
      </c>
      <c r="G113" s="213">
        <f t="shared" si="2"/>
        <v>-11490.720000000016</v>
      </c>
      <c r="H113" s="214">
        <f t="shared" si="3"/>
        <v>-0.25322405200089593</v>
      </c>
    </row>
    <row r="114" spans="2:9" customFormat="1" ht="15" customHeight="1" x14ac:dyDescent="0.25">
      <c r="B114" s="225"/>
      <c r="C114" s="225"/>
      <c r="D114" s="223" t="s">
        <v>351</v>
      </c>
      <c r="E114" s="226">
        <v>49036.719999999928</v>
      </c>
      <c r="F114" s="226">
        <v>48114.449999999946</v>
      </c>
      <c r="G114" s="213">
        <f t="shared" si="2"/>
        <v>-922.26999999998225</v>
      </c>
      <c r="H114" s="214">
        <f t="shared" si="3"/>
        <v>-1.8807742442805791E-2</v>
      </c>
    </row>
    <row r="115" spans="2:9" customFormat="1" ht="15" customHeight="1" x14ac:dyDescent="0.25">
      <c r="B115" s="225"/>
      <c r="C115" s="225"/>
      <c r="D115" s="223" t="s">
        <v>352</v>
      </c>
      <c r="E115" s="226">
        <v>15926.920000000015</v>
      </c>
      <c r="F115" s="226">
        <v>12646.900000000011</v>
      </c>
      <c r="G115" s="213">
        <f t="shared" si="2"/>
        <v>-3280.0200000000041</v>
      </c>
      <c r="H115" s="214">
        <f t="shared" si="3"/>
        <v>-0.20594188958065973</v>
      </c>
    </row>
    <row r="116" spans="2:9" customFormat="1" ht="15" customHeight="1" x14ac:dyDescent="0.25">
      <c r="B116" s="225"/>
      <c r="C116" s="225"/>
      <c r="D116" s="223" t="s">
        <v>353</v>
      </c>
      <c r="E116" s="226">
        <v>26071.179999999928</v>
      </c>
      <c r="F116" s="226">
        <v>37027.879999999954</v>
      </c>
      <c r="G116" s="213">
        <f t="shared" si="2"/>
        <v>10956.700000000026</v>
      </c>
      <c r="H116" s="214">
        <f t="shared" si="3"/>
        <v>0.42026099317330695</v>
      </c>
    </row>
    <row r="117" spans="2:9" customFormat="1" ht="15" customHeight="1" x14ac:dyDescent="0.25">
      <c r="B117" s="228"/>
      <c r="C117" s="238" t="s">
        <v>354</v>
      </c>
      <c r="D117" s="238"/>
      <c r="E117" s="239">
        <v>493232.36999999976</v>
      </c>
      <c r="F117" s="239">
        <v>433347.71999999991</v>
      </c>
      <c r="G117" s="221">
        <f t="shared" si="2"/>
        <v>-59884.649999999849</v>
      </c>
      <c r="H117" s="222">
        <f t="shared" si="3"/>
        <v>-0.12141265180953123</v>
      </c>
    </row>
    <row r="118" spans="2:9" customFormat="1" ht="15" customHeight="1" thickBot="1" x14ac:dyDescent="0.3">
      <c r="B118" s="229" t="s">
        <v>355</v>
      </c>
      <c r="C118" s="229"/>
      <c r="D118" s="229"/>
      <c r="E118" s="230">
        <v>493232.36999999976</v>
      </c>
      <c r="F118" s="230">
        <v>433347.71999999991</v>
      </c>
      <c r="G118" s="211">
        <f t="shared" si="2"/>
        <v>-59884.649999999849</v>
      </c>
      <c r="H118" s="212">
        <f t="shared" si="3"/>
        <v>-0.12141265180953123</v>
      </c>
    </row>
    <row r="119" spans="2:9" customFormat="1" ht="15" customHeight="1" x14ac:dyDescent="0.25">
      <c r="B119" s="225" t="s">
        <v>356</v>
      </c>
      <c r="C119" s="225" t="s">
        <v>357</v>
      </c>
      <c r="D119" s="223" t="s">
        <v>358</v>
      </c>
      <c r="E119" s="226">
        <v>3458356.7900000024</v>
      </c>
      <c r="F119" s="226">
        <v>3351837.4199999976</v>
      </c>
      <c r="G119" s="213">
        <f t="shared" si="2"/>
        <v>-106519.37000000477</v>
      </c>
      <c r="H119" s="214">
        <f t="shared" si="3"/>
        <v>-3.0800572777224845E-2</v>
      </c>
    </row>
    <row r="120" spans="2:9" customFormat="1" ht="15" customHeight="1" x14ac:dyDescent="0.25">
      <c r="B120" s="228"/>
      <c r="C120" s="238" t="s">
        <v>359</v>
      </c>
      <c r="D120" s="238"/>
      <c r="E120" s="239">
        <v>3458356.7900000024</v>
      </c>
      <c r="F120" s="239">
        <v>3351837.4199999976</v>
      </c>
      <c r="G120" s="221">
        <f t="shared" si="2"/>
        <v>-106519.37000000477</v>
      </c>
      <c r="H120" s="222">
        <f t="shared" si="3"/>
        <v>-3.0800572777224845E-2</v>
      </c>
    </row>
    <row r="121" spans="2:9" customFormat="1" ht="15" customHeight="1" thickBot="1" x14ac:dyDescent="0.3">
      <c r="B121" s="229" t="s">
        <v>360</v>
      </c>
      <c r="C121" s="229"/>
      <c r="D121" s="229"/>
      <c r="E121" s="230">
        <v>3458356.7900000024</v>
      </c>
      <c r="F121" s="230">
        <v>3351837.4199999976</v>
      </c>
      <c r="G121" s="211">
        <f t="shared" si="2"/>
        <v>-106519.37000000477</v>
      </c>
      <c r="H121" s="212">
        <f t="shared" si="3"/>
        <v>-3.0800572777224845E-2</v>
      </c>
    </row>
    <row r="122" spans="2:9" customFormat="1" ht="15" customHeight="1" thickTop="1" thickBot="1" x14ac:dyDescent="0.3">
      <c r="B122" s="231" t="s">
        <v>361</v>
      </c>
      <c r="C122" s="231"/>
      <c r="D122" s="231"/>
      <c r="E122" s="232">
        <v>180756385.95999989</v>
      </c>
      <c r="F122" s="232">
        <v>139097746.55999991</v>
      </c>
      <c r="G122" s="215">
        <f t="shared" si="2"/>
        <v>-41658639.399999976</v>
      </c>
      <c r="H122" s="216">
        <f t="shared" si="3"/>
        <v>-0.2304684239992425</v>
      </c>
    </row>
    <row r="123" spans="2:9" customFormat="1" ht="15" customHeight="1" thickTop="1" x14ac:dyDescent="0.25"/>
    <row r="124" spans="2:9" customFormat="1" ht="15" customHeight="1" x14ac:dyDescent="0.25"/>
    <row r="125" spans="2:9" customFormat="1" x14ac:dyDescent="0.25"/>
    <row r="126" spans="2:9" x14ac:dyDescent="0.25">
      <c r="B126"/>
      <c r="C126"/>
      <c r="D126"/>
      <c r="E126"/>
      <c r="F126"/>
      <c r="G126"/>
      <c r="H126" s="217"/>
      <c r="I126"/>
    </row>
    <row r="127" spans="2:9" x14ac:dyDescent="0.25">
      <c r="B127"/>
      <c r="C127"/>
      <c r="D127"/>
      <c r="E127"/>
      <c r="F127"/>
      <c r="G127"/>
      <c r="H127" s="217"/>
      <c r="I127"/>
    </row>
    <row r="128" spans="2:9" x14ac:dyDescent="0.25">
      <c r="B128"/>
      <c r="C128"/>
      <c r="D128"/>
      <c r="E128"/>
      <c r="F128"/>
      <c r="G128"/>
      <c r="H128" s="217"/>
      <c r="I128"/>
    </row>
    <row r="129" spans="2:9" x14ac:dyDescent="0.25">
      <c r="B129"/>
      <c r="C129"/>
      <c r="D129"/>
      <c r="E129" s="213"/>
      <c r="F129" s="213"/>
      <c r="G129" s="213"/>
      <c r="H129" s="217"/>
      <c r="I129"/>
    </row>
    <row r="130" spans="2:9" x14ac:dyDescent="0.25">
      <c r="B130"/>
      <c r="C130"/>
      <c r="D130"/>
      <c r="E130" s="213"/>
      <c r="F130" s="213"/>
      <c r="G130" s="213"/>
      <c r="H130" s="217"/>
      <c r="I130"/>
    </row>
    <row r="131" spans="2:9" x14ac:dyDescent="0.25">
      <c r="B131"/>
      <c r="C131"/>
      <c r="D131"/>
      <c r="E131" s="213"/>
      <c r="F131" s="213"/>
      <c r="G131" s="213"/>
      <c r="H131" s="217"/>
      <c r="I131"/>
    </row>
    <row r="132" spans="2:9" x14ac:dyDescent="0.25">
      <c r="B132"/>
      <c r="C132"/>
      <c r="D132"/>
      <c r="E132" s="213"/>
      <c r="F132" s="213"/>
      <c r="G132" s="213"/>
      <c r="H132" s="217"/>
      <c r="I132"/>
    </row>
    <row r="133" spans="2:9" x14ac:dyDescent="0.25">
      <c r="B133"/>
      <c r="C133"/>
      <c r="D133"/>
      <c r="E133" s="213"/>
      <c r="F133" s="213"/>
      <c r="G133" s="213"/>
      <c r="H133" s="217"/>
      <c r="I133"/>
    </row>
    <row r="134" spans="2:9" x14ac:dyDescent="0.25">
      <c r="B134"/>
      <c r="C134"/>
      <c r="D134"/>
      <c r="E134"/>
      <c r="F134"/>
      <c r="G134"/>
      <c r="H134"/>
      <c r="I134"/>
    </row>
    <row r="135" spans="2:9" x14ac:dyDescent="0.25">
      <c r="B135"/>
      <c r="C135"/>
      <c r="D135"/>
      <c r="E135"/>
      <c r="F135"/>
      <c r="G135"/>
      <c r="H135"/>
      <c r="I135"/>
    </row>
    <row r="136" spans="2:9" x14ac:dyDescent="0.25">
      <c r="B136"/>
      <c r="C136"/>
      <c r="D136"/>
      <c r="E136"/>
      <c r="F136"/>
      <c r="G136"/>
      <c r="H136"/>
      <c r="I136"/>
    </row>
  </sheetData>
  <mergeCells count="1">
    <mergeCell ref="B2:G2"/>
  </mergeCells>
  <printOptions horizontalCentered="1"/>
  <pageMargins left="0.5" right="0.5" top="0.5" bottom="0.5" header="0.5" footer="0.5"/>
  <pageSetup scale="29" orientation="landscape" r:id="rId1"/>
  <headerFooter>
    <oddHeader>&amp;RDocket No. 56165
Exhibit BJF-5
Page &amp;P of &amp;N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B1:I137"/>
  <sheetViews>
    <sheetView showGridLines="0" tabSelected="1" zoomScale="85" zoomScaleNormal="85" workbookViewId="0">
      <pane xSplit="4" ySplit="3" topLeftCell="E4" activePane="bottomRight" state="frozen"/>
      <selection sqref="A1:XFD1"/>
      <selection pane="topRight" sqref="A1:XFD1"/>
      <selection pane="bottomLeft" sqref="A1:XFD1"/>
      <selection pane="bottomRight" sqref="A1:XFD1"/>
    </sheetView>
  </sheetViews>
  <sheetFormatPr defaultColWidth="9.109375" defaultRowHeight="13.2" x14ac:dyDescent="0.25"/>
  <cols>
    <col min="1" max="1" width="1" style="1" customWidth="1"/>
    <col min="2" max="2" width="19.109375" style="1" bestFit="1" customWidth="1"/>
    <col min="3" max="3" width="20.109375" style="1" bestFit="1" customWidth="1"/>
    <col min="4" max="4" width="34.88671875" style="1" bestFit="1" customWidth="1"/>
    <col min="5" max="8" width="15.6640625" style="1" customWidth="1"/>
    <col min="9" max="9" width="6.44140625" style="1" bestFit="1" customWidth="1"/>
    <col min="10" max="16384" width="9.109375" style="1"/>
  </cols>
  <sheetData>
    <row r="1" spans="2:8" x14ac:dyDescent="0.25">
      <c r="B1" s="101" t="str">
        <f>+'Tab 1'!$A$4</f>
        <v>Biiled + Manuals</v>
      </c>
      <c r="C1" s="23"/>
      <c r="D1" s="23"/>
      <c r="E1" s="23"/>
      <c r="F1" s="26" t="s">
        <v>175</v>
      </c>
      <c r="G1" s="103">
        <f>+'Tab 1'!T82</f>
        <v>-20895301.969999898</v>
      </c>
      <c r="H1" s="104">
        <f>ROUND(G1-SUMIF(B:B,"Grand Total",G:G),2)</f>
        <v>0</v>
      </c>
    </row>
    <row r="2" spans="2:8" ht="42" customHeight="1" x14ac:dyDescent="0.25">
      <c r="B2" s="282" t="s">
        <v>362</v>
      </c>
      <c r="C2" s="283"/>
      <c r="D2" s="283"/>
      <c r="E2" s="283"/>
      <c r="F2" s="283"/>
      <c r="G2" s="283"/>
      <c r="H2" s="283"/>
    </row>
    <row r="3" spans="2:8" customFormat="1" ht="35.1" customHeight="1" x14ac:dyDescent="0.25">
      <c r="B3" s="165" t="s">
        <v>112</v>
      </c>
      <c r="C3" s="165" t="s">
        <v>113</v>
      </c>
      <c r="D3" s="165" t="s">
        <v>114</v>
      </c>
      <c r="E3" s="66">
        <f>+'Tab 1'!A12</f>
        <v>44834</v>
      </c>
      <c r="F3" s="66">
        <f>+'Tab 1'!A13</f>
        <v>45199</v>
      </c>
      <c r="G3" s="165" t="s">
        <v>19</v>
      </c>
      <c r="H3" s="105" t="s">
        <v>115</v>
      </c>
    </row>
    <row r="4" spans="2:8" customFormat="1" x14ac:dyDescent="0.25">
      <c r="B4" s="225" t="s">
        <v>230</v>
      </c>
      <c r="C4" s="225" t="s">
        <v>231</v>
      </c>
      <c r="D4" s="223" t="s">
        <v>232</v>
      </c>
      <c r="E4" s="226">
        <v>2379.73</v>
      </c>
      <c r="F4" s="226">
        <v>730.42000000000007</v>
      </c>
      <c r="G4" s="226">
        <f>+F4-E4</f>
        <v>-1649.31</v>
      </c>
      <c r="H4" s="233">
        <f>IF(OR(E4="",F4=""),100%,+G4/E4)</f>
        <v>-0.69306602009471663</v>
      </c>
    </row>
    <row r="5" spans="2:8" customFormat="1" x14ac:dyDescent="0.25">
      <c r="B5" s="225"/>
      <c r="C5" s="225"/>
      <c r="D5" s="223" t="s">
        <v>233</v>
      </c>
      <c r="E5" s="226">
        <v>33754.760000000017</v>
      </c>
      <c r="F5" s="226">
        <v>66701.199999999983</v>
      </c>
      <c r="G5" s="226">
        <f t="shared" ref="G5:G68" si="0">+F5-E5</f>
        <v>32946.439999999966</v>
      </c>
      <c r="H5" s="233">
        <f t="shared" ref="H5:H68" si="1">IF(OR(E5="",F5=""),100%,+G5/E5)</f>
        <v>0.9760531551698175</v>
      </c>
    </row>
    <row r="6" spans="2:8" customFormat="1" x14ac:dyDescent="0.25">
      <c r="B6" s="225"/>
      <c r="C6" s="238" t="s">
        <v>234</v>
      </c>
      <c r="D6" s="238"/>
      <c r="E6" s="239">
        <v>36134.49000000002</v>
      </c>
      <c r="F6" s="239">
        <v>67431.619999999981</v>
      </c>
      <c r="G6" s="227">
        <f t="shared" si="0"/>
        <v>31297.129999999961</v>
      </c>
      <c r="H6" s="234">
        <f t="shared" si="1"/>
        <v>0.86612900860092235</v>
      </c>
    </row>
    <row r="7" spans="2:8" customFormat="1" x14ac:dyDescent="0.25">
      <c r="B7" s="225"/>
      <c r="C7" s="225" t="s">
        <v>235</v>
      </c>
      <c r="D7" s="223" t="s">
        <v>236</v>
      </c>
      <c r="E7" s="226">
        <v>5402400.2899999972</v>
      </c>
      <c r="F7" s="226">
        <v>4554309.3599999985</v>
      </c>
      <c r="G7" s="226">
        <f t="shared" si="0"/>
        <v>-848090.92999999877</v>
      </c>
      <c r="H7" s="233">
        <f t="shared" si="1"/>
        <v>-0.15698409678561587</v>
      </c>
    </row>
    <row r="8" spans="2:8" customFormat="1" x14ac:dyDescent="0.25">
      <c r="B8" s="225"/>
      <c r="C8" s="225"/>
      <c r="D8" s="223" t="s">
        <v>237</v>
      </c>
      <c r="E8" s="226">
        <v>3966262.0399999972</v>
      </c>
      <c r="F8" s="226">
        <v>2771541.95</v>
      </c>
      <c r="G8" s="226">
        <f t="shared" si="0"/>
        <v>-1194720.0899999971</v>
      </c>
      <c r="H8" s="233">
        <f t="shared" si="1"/>
        <v>-0.30122066518832374</v>
      </c>
    </row>
    <row r="9" spans="2:8" customFormat="1" x14ac:dyDescent="0.25">
      <c r="B9" s="225"/>
      <c r="C9" s="225"/>
      <c r="D9" s="223" t="s">
        <v>238</v>
      </c>
      <c r="E9" s="226">
        <v>6317561.8899999969</v>
      </c>
      <c r="F9" s="226">
        <v>4548877.0399999991</v>
      </c>
      <c r="G9" s="226">
        <f t="shared" si="0"/>
        <v>-1768684.8499999978</v>
      </c>
      <c r="H9" s="233">
        <f t="shared" si="1"/>
        <v>-0.27996320112029777</v>
      </c>
    </row>
    <row r="10" spans="2:8" customFormat="1" x14ac:dyDescent="0.25">
      <c r="B10" s="225"/>
      <c r="C10" s="238" t="s">
        <v>239</v>
      </c>
      <c r="D10" s="238"/>
      <c r="E10" s="239">
        <v>15686224.219999991</v>
      </c>
      <c r="F10" s="239">
        <v>11874728.349999998</v>
      </c>
      <c r="G10" s="227">
        <f t="shared" si="0"/>
        <v>-3811495.8699999936</v>
      </c>
      <c r="H10" s="234">
        <f t="shared" si="1"/>
        <v>-0.24298364071197726</v>
      </c>
    </row>
    <row r="11" spans="2:8" customFormat="1" x14ac:dyDescent="0.25">
      <c r="B11" s="225"/>
      <c r="C11" s="225" t="s">
        <v>240</v>
      </c>
      <c r="D11" s="223" t="s">
        <v>241</v>
      </c>
      <c r="E11" s="226">
        <v>1396054.870000001</v>
      </c>
      <c r="F11" s="226">
        <v>954009.55999999924</v>
      </c>
      <c r="G11" s="226">
        <f t="shared" si="0"/>
        <v>-442045.3100000018</v>
      </c>
      <c r="H11" s="233">
        <f t="shared" si="1"/>
        <v>-0.31663892265208848</v>
      </c>
    </row>
    <row r="12" spans="2:8" customFormat="1" x14ac:dyDescent="0.25">
      <c r="B12" s="225"/>
      <c r="C12" s="225"/>
      <c r="D12" s="223" t="s">
        <v>242</v>
      </c>
      <c r="E12" s="226">
        <v>2057360.37</v>
      </c>
      <c r="F12" s="226">
        <v>1373021.850000001</v>
      </c>
      <c r="G12" s="226">
        <f t="shared" si="0"/>
        <v>-684338.51999999909</v>
      </c>
      <c r="H12" s="233">
        <f t="shared" si="1"/>
        <v>-0.33262938762643662</v>
      </c>
    </row>
    <row r="13" spans="2:8" customFormat="1" x14ac:dyDescent="0.25">
      <c r="B13" s="225"/>
      <c r="C13" s="225"/>
      <c r="D13" s="223" t="s">
        <v>243</v>
      </c>
      <c r="E13" s="226">
        <v>3028202.7799999979</v>
      </c>
      <c r="F13" s="226">
        <v>2580961.6999999965</v>
      </c>
      <c r="G13" s="226">
        <f t="shared" si="0"/>
        <v>-447241.08000000147</v>
      </c>
      <c r="H13" s="233">
        <f t="shared" si="1"/>
        <v>-0.14769191909928892</v>
      </c>
    </row>
    <row r="14" spans="2:8" customFormat="1" x14ac:dyDescent="0.25">
      <c r="B14" s="225"/>
      <c r="C14" s="225"/>
      <c r="D14" s="223" t="s">
        <v>244</v>
      </c>
      <c r="E14" s="226">
        <v>3229073.4400000004</v>
      </c>
      <c r="F14" s="226">
        <v>2433197.4500000007</v>
      </c>
      <c r="G14" s="226">
        <f t="shared" si="0"/>
        <v>-795875.98999999976</v>
      </c>
      <c r="H14" s="233">
        <f t="shared" si="1"/>
        <v>-0.24647193840224324</v>
      </c>
    </row>
    <row r="15" spans="2:8" customFormat="1" x14ac:dyDescent="0.25">
      <c r="B15" s="225"/>
      <c r="C15" s="225"/>
      <c r="D15" s="223" t="s">
        <v>245</v>
      </c>
      <c r="E15" s="226">
        <v>107099.27999999998</v>
      </c>
      <c r="F15" s="226">
        <v>91239.889999999985</v>
      </c>
      <c r="G15" s="226">
        <f t="shared" si="0"/>
        <v>-15859.39</v>
      </c>
      <c r="H15" s="233">
        <f t="shared" si="1"/>
        <v>-0.14808120091937127</v>
      </c>
    </row>
    <row r="16" spans="2:8" customFormat="1" x14ac:dyDescent="0.25">
      <c r="B16" s="225"/>
      <c r="C16" s="238" t="s">
        <v>246</v>
      </c>
      <c r="D16" s="238"/>
      <c r="E16" s="239">
        <v>9817790.7400000002</v>
      </c>
      <c r="F16" s="239">
        <v>7432430.4499999965</v>
      </c>
      <c r="G16" s="227">
        <f t="shared" si="0"/>
        <v>-2385360.2900000038</v>
      </c>
      <c r="H16" s="234">
        <f t="shared" si="1"/>
        <v>-0.24296304058320189</v>
      </c>
    </row>
    <row r="17" spans="2:8" customFormat="1" x14ac:dyDescent="0.25">
      <c r="B17" s="225"/>
      <c r="C17" s="225" t="s">
        <v>247</v>
      </c>
      <c r="D17" s="223" t="s">
        <v>248</v>
      </c>
      <c r="E17" s="226">
        <v>1228391.3400000012</v>
      </c>
      <c r="F17" s="226">
        <v>1019154.6999999993</v>
      </c>
      <c r="G17" s="226">
        <f t="shared" si="0"/>
        <v>-209236.64000000199</v>
      </c>
      <c r="H17" s="233">
        <f t="shared" si="1"/>
        <v>-0.17033386119443156</v>
      </c>
    </row>
    <row r="18" spans="2:8" customFormat="1" x14ac:dyDescent="0.25">
      <c r="B18" s="225"/>
      <c r="C18" s="225"/>
      <c r="D18" s="223" t="s">
        <v>249</v>
      </c>
      <c r="E18" s="226">
        <v>701812.11999999988</v>
      </c>
      <c r="F18" s="226">
        <v>349600.47999999981</v>
      </c>
      <c r="G18" s="226">
        <f t="shared" si="0"/>
        <v>-352211.64000000007</v>
      </c>
      <c r="H18" s="233">
        <f t="shared" si="1"/>
        <v>-0.50186029845138624</v>
      </c>
    </row>
    <row r="19" spans="2:8" customFormat="1" x14ac:dyDescent="0.25">
      <c r="B19" s="225"/>
      <c r="C19" s="225"/>
      <c r="D19" s="223" t="s">
        <v>250</v>
      </c>
      <c r="E19" s="226">
        <v>685927.9300000004</v>
      </c>
      <c r="F19" s="226">
        <v>567245.20000000042</v>
      </c>
      <c r="G19" s="226">
        <f t="shared" si="0"/>
        <v>-118682.72999999998</v>
      </c>
      <c r="H19" s="233">
        <f t="shared" si="1"/>
        <v>-0.17302507276529752</v>
      </c>
    </row>
    <row r="20" spans="2:8" customFormat="1" x14ac:dyDescent="0.25">
      <c r="B20" s="225"/>
      <c r="C20" s="238" t="s">
        <v>251</v>
      </c>
      <c r="D20" s="238"/>
      <c r="E20" s="239">
        <v>2616131.3900000015</v>
      </c>
      <c r="F20" s="239">
        <v>1936000.3799999994</v>
      </c>
      <c r="G20" s="227">
        <f t="shared" si="0"/>
        <v>-680131.0100000021</v>
      </c>
      <c r="H20" s="234">
        <f t="shared" si="1"/>
        <v>-0.25997586076898138</v>
      </c>
    </row>
    <row r="21" spans="2:8" customFormat="1" x14ac:dyDescent="0.25">
      <c r="B21" s="225"/>
      <c r="C21" s="225" t="s">
        <v>252</v>
      </c>
      <c r="D21" s="223" t="s">
        <v>253</v>
      </c>
      <c r="E21" s="226">
        <v>300171.39000000031</v>
      </c>
      <c r="F21" s="226">
        <v>261838.85999999993</v>
      </c>
      <c r="G21" s="226">
        <f t="shared" si="0"/>
        <v>-38332.530000000377</v>
      </c>
      <c r="H21" s="233">
        <f t="shared" si="1"/>
        <v>-0.12770214376526803</v>
      </c>
    </row>
    <row r="22" spans="2:8" customFormat="1" x14ac:dyDescent="0.25">
      <c r="B22" s="225"/>
      <c r="C22" s="225"/>
      <c r="D22" s="223" t="s">
        <v>254</v>
      </c>
      <c r="E22" s="226">
        <v>74298.279999999926</v>
      </c>
      <c r="F22" s="226">
        <v>43405.889999999978</v>
      </c>
      <c r="G22" s="226">
        <f t="shared" si="0"/>
        <v>-30892.389999999948</v>
      </c>
      <c r="H22" s="233">
        <f t="shared" si="1"/>
        <v>-0.4157887638852471</v>
      </c>
    </row>
    <row r="23" spans="2:8" customFormat="1" x14ac:dyDescent="0.25">
      <c r="B23" s="225"/>
      <c r="C23" s="238" t="s">
        <v>255</v>
      </c>
      <c r="D23" s="238"/>
      <c r="E23" s="239">
        <v>374469.67000000022</v>
      </c>
      <c r="F23" s="239">
        <v>305244.74999999988</v>
      </c>
      <c r="G23" s="227">
        <f t="shared" si="0"/>
        <v>-69224.920000000333</v>
      </c>
      <c r="H23" s="234">
        <f t="shared" si="1"/>
        <v>-0.18486121986862192</v>
      </c>
    </row>
    <row r="24" spans="2:8" customFormat="1" x14ac:dyDescent="0.25">
      <c r="B24" s="225"/>
      <c r="C24" s="225" t="s">
        <v>256</v>
      </c>
      <c r="D24" s="223" t="s">
        <v>257</v>
      </c>
      <c r="E24" s="226">
        <v>3195459.1099999952</v>
      </c>
      <c r="F24" s="226">
        <v>2268086.2900000047</v>
      </c>
      <c r="G24" s="226">
        <f t="shared" si="0"/>
        <v>-927372.81999999052</v>
      </c>
      <c r="H24" s="233">
        <f t="shared" si="1"/>
        <v>-0.290215830676047</v>
      </c>
    </row>
    <row r="25" spans="2:8" customFormat="1" x14ac:dyDescent="0.25">
      <c r="B25" s="225"/>
      <c r="C25" s="225"/>
      <c r="D25" s="223" t="s">
        <v>258</v>
      </c>
      <c r="E25" s="226">
        <v>8560140.5499999896</v>
      </c>
      <c r="F25" s="226">
        <v>7326339.2599999914</v>
      </c>
      <c r="G25" s="226">
        <f t="shared" si="0"/>
        <v>-1233801.2899999982</v>
      </c>
      <c r="H25" s="233">
        <f t="shared" si="1"/>
        <v>-0.14413329813842832</v>
      </c>
    </row>
    <row r="26" spans="2:8" customFormat="1" x14ac:dyDescent="0.25">
      <c r="B26" s="225"/>
      <c r="C26" s="238" t="s">
        <v>259</v>
      </c>
      <c r="D26" s="238"/>
      <c r="E26" s="239">
        <v>11755599.659999985</v>
      </c>
      <c r="F26" s="239">
        <v>9594425.549999997</v>
      </c>
      <c r="G26" s="227">
        <f t="shared" si="0"/>
        <v>-2161174.1099999882</v>
      </c>
      <c r="H26" s="234">
        <f t="shared" si="1"/>
        <v>-0.18384209844723404</v>
      </c>
    </row>
    <row r="27" spans="2:8" customFormat="1" x14ac:dyDescent="0.25">
      <c r="B27" s="225"/>
      <c r="C27" s="225" t="s">
        <v>260</v>
      </c>
      <c r="D27" s="223" t="s">
        <v>261</v>
      </c>
      <c r="E27" s="226">
        <v>101592.40999999981</v>
      </c>
      <c r="F27" s="226">
        <v>83627.48</v>
      </c>
      <c r="G27" s="226">
        <f t="shared" si="0"/>
        <v>-17964.929999999818</v>
      </c>
      <c r="H27" s="233">
        <f t="shared" si="1"/>
        <v>-0.17683338745482907</v>
      </c>
    </row>
    <row r="28" spans="2:8" customFormat="1" x14ac:dyDescent="0.25">
      <c r="B28" s="225"/>
      <c r="C28" s="225"/>
      <c r="D28" s="223" t="s">
        <v>262</v>
      </c>
      <c r="E28" s="226">
        <v>242752.19000000006</v>
      </c>
      <c r="F28" s="226">
        <v>214163.49999999983</v>
      </c>
      <c r="G28" s="226">
        <f t="shared" si="0"/>
        <v>-28588.690000000235</v>
      </c>
      <c r="H28" s="233">
        <f t="shared" si="1"/>
        <v>-0.11776903021966652</v>
      </c>
    </row>
    <row r="29" spans="2:8" customFormat="1" x14ac:dyDescent="0.25">
      <c r="B29" s="225"/>
      <c r="C29" s="225"/>
      <c r="D29" s="223" t="s">
        <v>263</v>
      </c>
      <c r="E29" s="226">
        <v>1332935.48</v>
      </c>
      <c r="F29" s="226">
        <v>967111.68999999843</v>
      </c>
      <c r="G29" s="226">
        <f t="shared" si="0"/>
        <v>-365823.79000000155</v>
      </c>
      <c r="H29" s="233">
        <f t="shared" si="1"/>
        <v>-0.27444973555659391</v>
      </c>
    </row>
    <row r="30" spans="2:8" customFormat="1" x14ac:dyDescent="0.25">
      <c r="B30" s="228"/>
      <c r="C30" s="238" t="s">
        <v>264</v>
      </c>
      <c r="D30" s="238"/>
      <c r="E30" s="239">
        <v>1677280.0799999998</v>
      </c>
      <c r="F30" s="239">
        <v>1264902.6699999983</v>
      </c>
      <c r="G30" s="227">
        <f t="shared" si="0"/>
        <v>-412377.41000000155</v>
      </c>
      <c r="H30" s="234">
        <f t="shared" si="1"/>
        <v>-0.24586079267095426</v>
      </c>
    </row>
    <row r="31" spans="2:8" customFormat="1" ht="13.8" thickBot="1" x14ac:dyDescent="0.3">
      <c r="B31" s="229" t="s">
        <v>265</v>
      </c>
      <c r="C31" s="229"/>
      <c r="D31" s="229"/>
      <c r="E31" s="230">
        <v>41963630.24999997</v>
      </c>
      <c r="F31" s="230">
        <v>32475163.769999985</v>
      </c>
      <c r="G31" s="230">
        <f t="shared" si="0"/>
        <v>-9488466.4799999855</v>
      </c>
      <c r="H31" s="235">
        <f t="shared" si="1"/>
        <v>-0.2261116691637991</v>
      </c>
    </row>
    <row r="32" spans="2:8" customFormat="1" x14ac:dyDescent="0.25">
      <c r="B32" s="225" t="s">
        <v>266</v>
      </c>
      <c r="C32" s="225" t="s">
        <v>267</v>
      </c>
      <c r="D32" s="223" t="s">
        <v>268</v>
      </c>
      <c r="E32" s="226">
        <v>1108054.6499999992</v>
      </c>
      <c r="F32" s="226">
        <v>832792.85000000009</v>
      </c>
      <c r="G32" s="226">
        <f t="shared" si="0"/>
        <v>-275261.79999999912</v>
      </c>
      <c r="H32" s="233">
        <f t="shared" si="1"/>
        <v>-0.24841897464172846</v>
      </c>
    </row>
    <row r="33" spans="2:8" customFormat="1" x14ac:dyDescent="0.25">
      <c r="B33" s="225"/>
      <c r="C33" s="225"/>
      <c r="D33" s="223" t="s">
        <v>269</v>
      </c>
      <c r="E33" s="226">
        <v>3311712.2099999986</v>
      </c>
      <c r="F33" s="226">
        <v>2819865.8499999978</v>
      </c>
      <c r="G33" s="226">
        <f t="shared" si="0"/>
        <v>-491846.3600000008</v>
      </c>
      <c r="H33" s="233">
        <f t="shared" si="1"/>
        <v>-0.14851724087462329</v>
      </c>
    </row>
    <row r="34" spans="2:8" customFormat="1" x14ac:dyDescent="0.25">
      <c r="B34" s="225"/>
      <c r="C34" s="225"/>
      <c r="D34" s="223" t="s">
        <v>270</v>
      </c>
      <c r="E34" s="226">
        <v>2849601.6799999992</v>
      </c>
      <c r="F34" s="226">
        <v>1733895.3499999994</v>
      </c>
      <c r="G34" s="226">
        <f t="shared" si="0"/>
        <v>-1115706.3299999998</v>
      </c>
      <c r="H34" s="233">
        <f t="shared" si="1"/>
        <v>-0.39153062613298295</v>
      </c>
    </row>
    <row r="35" spans="2:8" customFormat="1" x14ac:dyDescent="0.25">
      <c r="B35" s="225"/>
      <c r="C35" s="225"/>
      <c r="D35" s="223" t="s">
        <v>271</v>
      </c>
      <c r="E35" s="226">
        <v>918840.60999999929</v>
      </c>
      <c r="F35" s="226">
        <v>786688.51999999967</v>
      </c>
      <c r="G35" s="226">
        <f t="shared" si="0"/>
        <v>-132152.08999999962</v>
      </c>
      <c r="H35" s="233">
        <f t="shared" si="1"/>
        <v>-0.14382482506949679</v>
      </c>
    </row>
    <row r="36" spans="2:8" customFormat="1" x14ac:dyDescent="0.25">
      <c r="B36" s="225"/>
      <c r="C36" s="238" t="s">
        <v>272</v>
      </c>
      <c r="D36" s="238"/>
      <c r="E36" s="239">
        <v>8188209.1499999966</v>
      </c>
      <c r="F36" s="239">
        <v>6173242.5699999966</v>
      </c>
      <c r="G36" s="227">
        <f t="shared" si="0"/>
        <v>-2014966.58</v>
      </c>
      <c r="H36" s="234">
        <f t="shared" si="1"/>
        <v>-0.24608147435999495</v>
      </c>
    </row>
    <row r="37" spans="2:8" customFormat="1" x14ac:dyDescent="0.25">
      <c r="B37" s="225"/>
      <c r="C37" s="225" t="s">
        <v>273</v>
      </c>
      <c r="D37" s="223" t="s">
        <v>274</v>
      </c>
      <c r="E37" s="226">
        <v>3207357.4400000009</v>
      </c>
      <c r="F37" s="226">
        <v>2650492.9599999967</v>
      </c>
      <c r="G37" s="226">
        <f t="shared" si="0"/>
        <v>-556864.48000000417</v>
      </c>
      <c r="H37" s="233">
        <f t="shared" si="1"/>
        <v>-0.17362096068718927</v>
      </c>
    </row>
    <row r="38" spans="2:8" customFormat="1" x14ac:dyDescent="0.25">
      <c r="B38" s="225"/>
      <c r="C38" s="225"/>
      <c r="D38" s="223" t="s">
        <v>275</v>
      </c>
      <c r="E38" s="226">
        <v>209535.31999999998</v>
      </c>
      <c r="F38" s="226">
        <v>203449.43000000002</v>
      </c>
      <c r="G38" s="226">
        <f t="shared" si="0"/>
        <v>-6085.8899999999558</v>
      </c>
      <c r="H38" s="233">
        <f t="shared" si="1"/>
        <v>-2.9044697571750464E-2</v>
      </c>
    </row>
    <row r="39" spans="2:8" customFormat="1" x14ac:dyDescent="0.25">
      <c r="B39" s="225"/>
      <c r="C39" s="225"/>
      <c r="D39" s="223" t="s">
        <v>276</v>
      </c>
      <c r="E39" s="226">
        <v>4117775.1600000029</v>
      </c>
      <c r="F39" s="226">
        <v>2671873.4900000026</v>
      </c>
      <c r="G39" s="226">
        <f t="shared" si="0"/>
        <v>-1445901.6700000004</v>
      </c>
      <c r="H39" s="233">
        <f t="shared" si="1"/>
        <v>-0.35113662446785932</v>
      </c>
    </row>
    <row r="40" spans="2:8" customFormat="1" x14ac:dyDescent="0.25">
      <c r="B40" s="225"/>
      <c r="C40" s="225"/>
      <c r="D40" s="223" t="s">
        <v>277</v>
      </c>
      <c r="E40" s="226">
        <v>2022387.3800000006</v>
      </c>
      <c r="F40" s="226">
        <v>1626255.4200000016</v>
      </c>
      <c r="G40" s="226">
        <f t="shared" si="0"/>
        <v>-396131.95999999903</v>
      </c>
      <c r="H40" s="233">
        <f t="shared" si="1"/>
        <v>-0.19587343350609659</v>
      </c>
    </row>
    <row r="41" spans="2:8" customFormat="1" x14ac:dyDescent="0.25">
      <c r="B41" s="225"/>
      <c r="C41" s="238" t="s">
        <v>278</v>
      </c>
      <c r="D41" s="238"/>
      <c r="E41" s="239">
        <v>9557055.3000000045</v>
      </c>
      <c r="F41" s="239">
        <v>7152071.3000000007</v>
      </c>
      <c r="G41" s="227">
        <f t="shared" si="0"/>
        <v>-2404984.0000000037</v>
      </c>
      <c r="H41" s="234">
        <f t="shared" si="1"/>
        <v>-0.25164487642966787</v>
      </c>
    </row>
    <row r="42" spans="2:8" customFormat="1" x14ac:dyDescent="0.25">
      <c r="B42" s="225"/>
      <c r="C42" s="225" t="s">
        <v>279</v>
      </c>
      <c r="D42" s="223" t="s">
        <v>280</v>
      </c>
      <c r="E42" s="226">
        <v>3185.5099999999998</v>
      </c>
      <c r="F42" s="226">
        <v>3511.16</v>
      </c>
      <c r="G42" s="226">
        <f t="shared" si="0"/>
        <v>325.65000000000009</v>
      </c>
      <c r="H42" s="233">
        <f t="shared" si="1"/>
        <v>0.10222852855586707</v>
      </c>
    </row>
    <row r="43" spans="2:8" customFormat="1" x14ac:dyDescent="0.25">
      <c r="B43" s="225"/>
      <c r="C43" s="225"/>
      <c r="D43" s="223" t="s">
        <v>281</v>
      </c>
      <c r="E43" s="226">
        <v>902097.48000000126</v>
      </c>
      <c r="F43" s="226">
        <v>788302.04999999981</v>
      </c>
      <c r="G43" s="226">
        <f t="shared" si="0"/>
        <v>-113795.43000000145</v>
      </c>
      <c r="H43" s="233">
        <f t="shared" si="1"/>
        <v>-0.12614538065221209</v>
      </c>
    </row>
    <row r="44" spans="2:8" customFormat="1" x14ac:dyDescent="0.25">
      <c r="B44" s="225"/>
      <c r="C44" s="225"/>
      <c r="D44" s="223" t="s">
        <v>282</v>
      </c>
      <c r="E44" s="226">
        <v>2923751.67</v>
      </c>
      <c r="F44" s="226">
        <v>2340337.2300000018</v>
      </c>
      <c r="G44" s="226">
        <f t="shared" si="0"/>
        <v>-583414.43999999808</v>
      </c>
      <c r="H44" s="233">
        <f t="shared" si="1"/>
        <v>-0.19954308910236487</v>
      </c>
    </row>
    <row r="45" spans="2:8" customFormat="1" x14ac:dyDescent="0.25">
      <c r="B45" s="225"/>
      <c r="C45" s="225"/>
      <c r="D45" s="223" t="s">
        <v>283</v>
      </c>
      <c r="E45" s="226">
        <v>1778578.6099999985</v>
      </c>
      <c r="F45" s="226">
        <v>1375220.0699999977</v>
      </c>
      <c r="G45" s="226">
        <f t="shared" si="0"/>
        <v>-403358.54000000074</v>
      </c>
      <c r="H45" s="233">
        <f t="shared" si="1"/>
        <v>-0.22678701842703544</v>
      </c>
    </row>
    <row r="46" spans="2:8" customFormat="1" x14ac:dyDescent="0.25">
      <c r="B46" s="225"/>
      <c r="C46" s="225"/>
      <c r="D46" s="223" t="s">
        <v>284</v>
      </c>
      <c r="E46" s="226">
        <v>3420845.5999999992</v>
      </c>
      <c r="F46" s="226">
        <v>2890474.2599999993</v>
      </c>
      <c r="G46" s="226">
        <f t="shared" si="0"/>
        <v>-530371.33999999985</v>
      </c>
      <c r="H46" s="233">
        <f t="shared" si="1"/>
        <v>-0.15504100506611582</v>
      </c>
    </row>
    <row r="47" spans="2:8" customFormat="1" x14ac:dyDescent="0.25">
      <c r="B47" s="225"/>
      <c r="C47" s="225"/>
      <c r="D47" s="223" t="s">
        <v>374</v>
      </c>
      <c r="E47" s="226">
        <v>1797.6999999999998</v>
      </c>
      <c r="F47" s="226">
        <v>60.56</v>
      </c>
      <c r="G47" s="226">
        <f t="shared" si="0"/>
        <v>-1737.1399999999999</v>
      </c>
      <c r="H47" s="233">
        <f t="shared" si="1"/>
        <v>-0.96631251042999389</v>
      </c>
    </row>
    <row r="48" spans="2:8" customFormat="1" x14ac:dyDescent="0.25">
      <c r="B48" s="228"/>
      <c r="C48" s="238" t="s">
        <v>285</v>
      </c>
      <c r="D48" s="238"/>
      <c r="E48" s="239">
        <v>9030256.5699999984</v>
      </c>
      <c r="F48" s="239">
        <v>7397905.3299999991</v>
      </c>
      <c r="G48" s="227">
        <f t="shared" si="0"/>
        <v>-1632351.2399999993</v>
      </c>
      <c r="H48" s="234">
        <f t="shared" si="1"/>
        <v>-0.18076465794149629</v>
      </c>
    </row>
    <row r="49" spans="2:8" customFormat="1" ht="13.8" thickBot="1" x14ac:dyDescent="0.3">
      <c r="B49" s="229" t="s">
        <v>286</v>
      </c>
      <c r="C49" s="229"/>
      <c r="D49" s="229"/>
      <c r="E49" s="230">
        <v>26775521.019999996</v>
      </c>
      <c r="F49" s="230">
        <v>20723219.199999996</v>
      </c>
      <c r="G49" s="230">
        <f t="shared" si="0"/>
        <v>-6052301.8200000003</v>
      </c>
      <c r="H49" s="235">
        <f t="shared" si="1"/>
        <v>-0.22603861995735691</v>
      </c>
    </row>
    <row r="50" spans="2:8" customFormat="1" x14ac:dyDescent="0.25">
      <c r="B50" s="225" t="s">
        <v>287</v>
      </c>
      <c r="C50" s="225" t="s">
        <v>288</v>
      </c>
      <c r="D50" s="223" t="s">
        <v>289</v>
      </c>
      <c r="E50" s="226">
        <v>3549930.0299999989</v>
      </c>
      <c r="F50" s="226">
        <v>1867730.1600000001</v>
      </c>
      <c r="G50" s="226">
        <f t="shared" si="0"/>
        <v>-1682199.8699999987</v>
      </c>
      <c r="H50" s="233">
        <f t="shared" si="1"/>
        <v>-0.47386845819042783</v>
      </c>
    </row>
    <row r="51" spans="2:8" customFormat="1" x14ac:dyDescent="0.25">
      <c r="B51" s="225"/>
      <c r="C51" s="225"/>
      <c r="D51" s="223" t="s">
        <v>290</v>
      </c>
      <c r="E51" s="226">
        <v>27000.22</v>
      </c>
      <c r="F51" s="226">
        <v>113982.75999999998</v>
      </c>
      <c r="G51" s="226">
        <f t="shared" si="0"/>
        <v>86982.539999999979</v>
      </c>
      <c r="H51" s="233">
        <f t="shared" si="1"/>
        <v>3.2215493058945435</v>
      </c>
    </row>
    <row r="52" spans="2:8" customFormat="1" x14ac:dyDescent="0.25">
      <c r="B52" s="225"/>
      <c r="C52" s="225"/>
      <c r="D52" s="223" t="s">
        <v>382</v>
      </c>
      <c r="E52" s="226">
        <v>198.84</v>
      </c>
      <c r="F52" s="226">
        <v>2793.5699999999997</v>
      </c>
      <c r="G52" s="226">
        <f t="shared" si="0"/>
        <v>2594.7299999999996</v>
      </c>
      <c r="H52" s="233">
        <f t="shared" si="1"/>
        <v>13.049336149668072</v>
      </c>
    </row>
    <row r="53" spans="2:8" customFormat="1" x14ac:dyDescent="0.25">
      <c r="B53" s="225"/>
      <c r="C53" s="225"/>
      <c r="D53" s="223" t="s">
        <v>291</v>
      </c>
      <c r="E53" s="226">
        <v>42431.03</v>
      </c>
      <c r="F53" s="226">
        <v>20810.259999999995</v>
      </c>
      <c r="G53" s="226">
        <f t="shared" si="0"/>
        <v>-21620.770000000004</v>
      </c>
      <c r="H53" s="233">
        <f t="shared" si="1"/>
        <v>-0.50955091120814189</v>
      </c>
    </row>
    <row r="54" spans="2:8" customFormat="1" x14ac:dyDescent="0.25">
      <c r="B54" s="225"/>
      <c r="C54" s="225"/>
      <c r="D54" s="223" t="s">
        <v>292</v>
      </c>
      <c r="E54" s="226">
        <v>37345.71</v>
      </c>
      <c r="F54" s="226">
        <v>74621.749999999985</v>
      </c>
      <c r="G54" s="226">
        <f t="shared" si="0"/>
        <v>37276.039999999986</v>
      </c>
      <c r="H54" s="233">
        <f t="shared" si="1"/>
        <v>0.99813445774628429</v>
      </c>
    </row>
    <row r="55" spans="2:8" customFormat="1" x14ac:dyDescent="0.25">
      <c r="B55" s="225"/>
      <c r="C55" s="225"/>
      <c r="D55" s="223" t="s">
        <v>293</v>
      </c>
      <c r="E55" s="226">
        <v>2595.8000000000006</v>
      </c>
      <c r="F55" s="226">
        <v>2988.5900000000011</v>
      </c>
      <c r="G55" s="226">
        <f t="shared" si="0"/>
        <v>392.79000000000042</v>
      </c>
      <c r="H55" s="233">
        <f t="shared" si="1"/>
        <v>0.1513175129054628</v>
      </c>
    </row>
    <row r="56" spans="2:8" customFormat="1" x14ac:dyDescent="0.25">
      <c r="B56" s="225"/>
      <c r="C56" s="225"/>
      <c r="D56" s="223" t="s">
        <v>294</v>
      </c>
      <c r="E56" s="226">
        <v>291542.37999999977</v>
      </c>
      <c r="F56" s="226">
        <v>234419.46000000005</v>
      </c>
      <c r="G56" s="226">
        <f t="shared" si="0"/>
        <v>-57122.919999999722</v>
      </c>
      <c r="H56" s="233">
        <f t="shared" si="1"/>
        <v>-0.19593350373280127</v>
      </c>
    </row>
    <row r="57" spans="2:8" customFormat="1" x14ac:dyDescent="0.25">
      <c r="B57" s="225"/>
      <c r="C57" s="225"/>
      <c r="D57" s="223" t="s">
        <v>295</v>
      </c>
      <c r="E57" s="226">
        <v>32862.810000000005</v>
      </c>
      <c r="F57" s="226">
        <v>20677.230000000007</v>
      </c>
      <c r="G57" s="226">
        <f t="shared" si="0"/>
        <v>-12185.579999999998</v>
      </c>
      <c r="H57" s="233">
        <f t="shared" si="1"/>
        <v>-0.37080152305904446</v>
      </c>
    </row>
    <row r="58" spans="2:8" customFormat="1" x14ac:dyDescent="0.25">
      <c r="B58" s="225"/>
      <c r="C58" s="225"/>
      <c r="D58" s="223" t="s">
        <v>296</v>
      </c>
      <c r="E58" s="226">
        <v>-380230.44999999995</v>
      </c>
      <c r="F58" s="226">
        <v>-466454.33999999985</v>
      </c>
      <c r="G58" s="226">
        <f t="shared" si="0"/>
        <v>-86223.889999999898</v>
      </c>
      <c r="H58" s="233">
        <f t="shared" si="1"/>
        <v>0.22676745116021063</v>
      </c>
    </row>
    <row r="59" spans="2:8" customFormat="1" x14ac:dyDescent="0.25">
      <c r="B59" s="225"/>
      <c r="C59" s="225"/>
      <c r="D59" s="223" t="s">
        <v>297</v>
      </c>
      <c r="E59" s="226">
        <v>89969.870000000039</v>
      </c>
      <c r="F59" s="226">
        <v>90703.669999999984</v>
      </c>
      <c r="G59" s="226">
        <f t="shared" si="0"/>
        <v>733.7999999999447</v>
      </c>
      <c r="H59" s="233">
        <f t="shared" si="1"/>
        <v>8.1560638022478461E-3</v>
      </c>
    </row>
    <row r="60" spans="2:8" customFormat="1" x14ac:dyDescent="0.25">
      <c r="B60" s="225"/>
      <c r="C60" s="225"/>
      <c r="D60" s="223" t="s">
        <v>298</v>
      </c>
      <c r="E60" s="226">
        <v>31674.870000000003</v>
      </c>
      <c r="F60" s="226">
        <v>21800.67</v>
      </c>
      <c r="G60" s="226">
        <f t="shared" si="0"/>
        <v>-9874.2000000000044</v>
      </c>
      <c r="H60" s="233">
        <f t="shared" si="1"/>
        <v>-0.31173608605181341</v>
      </c>
    </row>
    <row r="61" spans="2:8" customFormat="1" x14ac:dyDescent="0.25">
      <c r="B61" s="225"/>
      <c r="C61" s="225"/>
      <c r="D61" s="223" t="s">
        <v>381</v>
      </c>
      <c r="E61" s="226"/>
      <c r="F61" s="226">
        <v>93.72</v>
      </c>
      <c r="G61" s="226">
        <f t="shared" si="0"/>
        <v>93.72</v>
      </c>
      <c r="H61" s="233">
        <f t="shared" si="1"/>
        <v>1</v>
      </c>
    </row>
    <row r="62" spans="2:8" customFormat="1" x14ac:dyDescent="0.25">
      <c r="B62" s="225"/>
      <c r="C62" s="225"/>
      <c r="D62" s="223" t="s">
        <v>299</v>
      </c>
      <c r="E62" s="226">
        <v>125.24</v>
      </c>
      <c r="F62" s="226"/>
      <c r="G62" s="226">
        <f t="shared" si="0"/>
        <v>-125.24</v>
      </c>
      <c r="H62" s="233">
        <f t="shared" si="1"/>
        <v>1</v>
      </c>
    </row>
    <row r="63" spans="2:8" customFormat="1" x14ac:dyDescent="0.25">
      <c r="B63" s="225"/>
      <c r="C63" s="225"/>
      <c r="D63" s="223" t="s">
        <v>386</v>
      </c>
      <c r="E63" s="226">
        <v>724.21</v>
      </c>
      <c r="F63" s="226"/>
      <c r="G63" s="226">
        <f t="shared" si="0"/>
        <v>-724.21</v>
      </c>
      <c r="H63" s="233">
        <f t="shared" si="1"/>
        <v>1</v>
      </c>
    </row>
    <row r="64" spans="2:8" customFormat="1" x14ac:dyDescent="0.25">
      <c r="B64" s="225"/>
      <c r="C64" s="225"/>
      <c r="D64" s="223" t="s">
        <v>300</v>
      </c>
      <c r="E64" s="226">
        <v>76.510000000000005</v>
      </c>
      <c r="F64" s="226"/>
      <c r="G64" s="226">
        <f t="shared" si="0"/>
        <v>-76.510000000000005</v>
      </c>
      <c r="H64" s="233">
        <f t="shared" si="1"/>
        <v>1</v>
      </c>
    </row>
    <row r="65" spans="2:8" customFormat="1" x14ac:dyDescent="0.25">
      <c r="B65" s="225"/>
      <c r="C65" s="225"/>
      <c r="D65" s="223" t="s">
        <v>301</v>
      </c>
      <c r="E65" s="226">
        <v>16820.259999999998</v>
      </c>
      <c r="F65" s="226">
        <v>7515.53</v>
      </c>
      <c r="G65" s="226">
        <f t="shared" si="0"/>
        <v>-9304.73</v>
      </c>
      <c r="H65" s="233">
        <f t="shared" si="1"/>
        <v>-0.5531858603850357</v>
      </c>
    </row>
    <row r="66" spans="2:8" customFormat="1" x14ac:dyDescent="0.25">
      <c r="B66" s="225"/>
      <c r="C66" s="225"/>
      <c r="D66" s="223" t="s">
        <v>302</v>
      </c>
      <c r="E66" s="226">
        <v>1799.53</v>
      </c>
      <c r="F66" s="226">
        <v>1552.2599999999991</v>
      </c>
      <c r="G66" s="226">
        <f t="shared" si="0"/>
        <v>-247.27000000000089</v>
      </c>
      <c r="H66" s="233">
        <f t="shared" si="1"/>
        <v>-0.13740810100415157</v>
      </c>
    </row>
    <row r="67" spans="2:8" customFormat="1" x14ac:dyDescent="0.25">
      <c r="B67" s="225"/>
      <c r="C67" s="225"/>
      <c r="D67" s="223" t="s">
        <v>303</v>
      </c>
      <c r="E67" s="226">
        <v>5310.2300000000005</v>
      </c>
      <c r="F67" s="226">
        <v>9705.489999999998</v>
      </c>
      <c r="G67" s="226">
        <f t="shared" si="0"/>
        <v>4395.2599999999975</v>
      </c>
      <c r="H67" s="233">
        <f t="shared" si="1"/>
        <v>0.82769672876692668</v>
      </c>
    </row>
    <row r="68" spans="2:8" customFormat="1" x14ac:dyDescent="0.25">
      <c r="B68" s="225"/>
      <c r="C68" s="225"/>
      <c r="D68" s="223" t="s">
        <v>304</v>
      </c>
      <c r="E68" s="226">
        <v>453.19000000000005</v>
      </c>
      <c r="F68" s="226">
        <v>420.52</v>
      </c>
      <c r="G68" s="226">
        <f t="shared" si="0"/>
        <v>-32.670000000000073</v>
      </c>
      <c r="H68" s="233">
        <f t="shared" si="1"/>
        <v>-7.2088969306472045E-2</v>
      </c>
    </row>
    <row r="69" spans="2:8" customFormat="1" x14ac:dyDescent="0.25">
      <c r="B69" s="225"/>
      <c r="C69" s="225"/>
      <c r="D69" s="223" t="s">
        <v>305</v>
      </c>
      <c r="E69" s="226">
        <v>542819.77999999968</v>
      </c>
      <c r="F69" s="226">
        <v>353406.41</v>
      </c>
      <c r="G69" s="226">
        <f t="shared" ref="G69:G120" si="2">+F69-E69</f>
        <v>-189413.3699999997</v>
      </c>
      <c r="H69" s="233">
        <f t="shared" ref="H69:H120" si="3">IF(OR(E69="",F69=""),100%,+G69/E69)</f>
        <v>-0.34894338227689459</v>
      </c>
    </row>
    <row r="70" spans="2:8" customFormat="1" x14ac:dyDescent="0.25">
      <c r="B70" s="225"/>
      <c r="C70" s="225"/>
      <c r="D70" s="223" t="s">
        <v>306</v>
      </c>
      <c r="E70" s="226">
        <v>52999.910000000011</v>
      </c>
      <c r="F70" s="226">
        <v>30224.239999999998</v>
      </c>
      <c r="G70" s="226">
        <f t="shared" si="2"/>
        <v>-22775.670000000013</v>
      </c>
      <c r="H70" s="233">
        <f t="shared" si="3"/>
        <v>-0.42973035237229662</v>
      </c>
    </row>
    <row r="71" spans="2:8" customFormat="1" x14ac:dyDescent="0.25">
      <c r="B71" s="225"/>
      <c r="C71" s="225"/>
      <c r="D71" s="223" t="s">
        <v>307</v>
      </c>
      <c r="E71" s="226">
        <v>2851.52</v>
      </c>
      <c r="F71" s="226">
        <v>370.88</v>
      </c>
      <c r="G71" s="226">
        <f t="shared" si="2"/>
        <v>-2480.64</v>
      </c>
      <c r="H71" s="233">
        <f t="shared" si="3"/>
        <v>-0.86993603411513853</v>
      </c>
    </row>
    <row r="72" spans="2:8" customFormat="1" x14ac:dyDescent="0.25">
      <c r="B72" s="225"/>
      <c r="C72" s="225"/>
      <c r="D72" s="223" t="s">
        <v>308</v>
      </c>
      <c r="E72" s="226">
        <v>334092.66999999975</v>
      </c>
      <c r="F72" s="226">
        <v>132571.29000000004</v>
      </c>
      <c r="G72" s="226">
        <f t="shared" si="2"/>
        <v>-201521.37999999971</v>
      </c>
      <c r="H72" s="233">
        <f t="shared" si="3"/>
        <v>-0.60319006699548317</v>
      </c>
    </row>
    <row r="73" spans="2:8" customFormat="1" x14ac:dyDescent="0.25">
      <c r="B73" s="225"/>
      <c r="C73" s="225"/>
      <c r="D73" s="223" t="s">
        <v>309</v>
      </c>
      <c r="E73" s="226">
        <v>141251.94000000003</v>
      </c>
      <c r="F73" s="226">
        <v>5427.8099999999995</v>
      </c>
      <c r="G73" s="226">
        <f t="shared" si="2"/>
        <v>-135824.13000000003</v>
      </c>
      <c r="H73" s="233">
        <f t="shared" si="3"/>
        <v>-0.96157355431720093</v>
      </c>
    </row>
    <row r="74" spans="2:8" customFormat="1" x14ac:dyDescent="0.25">
      <c r="B74" s="225"/>
      <c r="C74" s="225"/>
      <c r="D74" s="223" t="s">
        <v>310</v>
      </c>
      <c r="E74" s="226">
        <v>4637.9399999999996</v>
      </c>
      <c r="F74" s="226">
        <v>877.24</v>
      </c>
      <c r="G74" s="226">
        <f t="shared" si="2"/>
        <v>-3760.7</v>
      </c>
      <c r="H74" s="233">
        <f t="shared" si="3"/>
        <v>-0.81085568161726973</v>
      </c>
    </row>
    <row r="75" spans="2:8" customFormat="1" x14ac:dyDescent="0.25">
      <c r="B75" s="225"/>
      <c r="C75" s="225"/>
      <c r="D75" s="223" t="s">
        <v>311</v>
      </c>
      <c r="E75" s="226">
        <v>31808.409999999996</v>
      </c>
      <c r="F75" s="226">
        <v>677.21</v>
      </c>
      <c r="G75" s="226">
        <f t="shared" si="2"/>
        <v>-31131.199999999997</v>
      </c>
      <c r="H75" s="233">
        <f t="shared" si="3"/>
        <v>-0.97870971859329026</v>
      </c>
    </row>
    <row r="76" spans="2:8" customFormat="1" x14ac:dyDescent="0.25">
      <c r="B76" s="225"/>
      <c r="C76" s="225"/>
      <c r="D76" s="223" t="s">
        <v>312</v>
      </c>
      <c r="E76" s="226">
        <v>42084.79</v>
      </c>
      <c r="F76" s="226">
        <v>700.62000000000012</v>
      </c>
      <c r="G76" s="226">
        <f t="shared" si="2"/>
        <v>-41384.17</v>
      </c>
      <c r="H76" s="233">
        <f t="shared" si="3"/>
        <v>-0.98335218020572268</v>
      </c>
    </row>
    <row r="77" spans="2:8" customFormat="1" x14ac:dyDescent="0.25">
      <c r="B77" s="225"/>
      <c r="C77" s="225"/>
      <c r="D77" s="223" t="s">
        <v>313</v>
      </c>
      <c r="E77" s="226">
        <v>37059.800000000003</v>
      </c>
      <c r="F77" s="226">
        <v>22009.230000000003</v>
      </c>
      <c r="G77" s="226">
        <f t="shared" si="2"/>
        <v>-15050.57</v>
      </c>
      <c r="H77" s="233">
        <f t="shared" si="3"/>
        <v>-0.40611579123470709</v>
      </c>
    </row>
    <row r="78" spans="2:8" customFormat="1" x14ac:dyDescent="0.25">
      <c r="B78" s="225"/>
      <c r="C78" s="225"/>
      <c r="D78" s="223" t="s">
        <v>314</v>
      </c>
      <c r="E78" s="226">
        <v>95631.71</v>
      </c>
      <c r="F78" s="226">
        <v>2105.02</v>
      </c>
      <c r="G78" s="226">
        <f t="shared" si="2"/>
        <v>-93526.69</v>
      </c>
      <c r="H78" s="233">
        <f t="shared" si="3"/>
        <v>-0.9779882635163587</v>
      </c>
    </row>
    <row r="79" spans="2:8" customFormat="1" x14ac:dyDescent="0.25">
      <c r="B79" s="225"/>
      <c r="C79" s="225"/>
      <c r="D79" s="223" t="s">
        <v>378</v>
      </c>
      <c r="E79" s="226">
        <v>569.16000000000008</v>
      </c>
      <c r="F79" s="226">
        <v>2247.6499999999996</v>
      </c>
      <c r="G79" s="226">
        <f t="shared" si="2"/>
        <v>1678.4899999999996</v>
      </c>
      <c r="H79" s="233">
        <f t="shared" si="3"/>
        <v>2.9490652891981153</v>
      </c>
    </row>
    <row r="80" spans="2:8" customFormat="1" x14ac:dyDescent="0.25">
      <c r="B80" s="225"/>
      <c r="C80" s="225"/>
      <c r="D80" s="223" t="s">
        <v>375</v>
      </c>
      <c r="E80" s="226"/>
      <c r="F80" s="226">
        <v>106.84</v>
      </c>
      <c r="G80" s="226">
        <f t="shared" si="2"/>
        <v>106.84</v>
      </c>
      <c r="H80" s="233">
        <f t="shared" si="3"/>
        <v>1</v>
      </c>
    </row>
    <row r="81" spans="2:8" customFormat="1" x14ac:dyDescent="0.25">
      <c r="B81" s="225"/>
      <c r="C81" s="225"/>
      <c r="D81" s="223" t="s">
        <v>315</v>
      </c>
      <c r="E81" s="226">
        <v>1412.4699999999998</v>
      </c>
      <c r="F81" s="226">
        <v>1382.84</v>
      </c>
      <c r="G81" s="226">
        <f t="shared" si="2"/>
        <v>-29.629999999999882</v>
      </c>
      <c r="H81" s="233">
        <f t="shared" si="3"/>
        <v>-2.0977436688920745E-2</v>
      </c>
    </row>
    <row r="82" spans="2:8" customFormat="1" x14ac:dyDescent="0.25">
      <c r="B82" s="225"/>
      <c r="C82" s="225"/>
      <c r="D82" s="223" t="s">
        <v>384</v>
      </c>
      <c r="E82" s="226"/>
      <c r="F82" s="226">
        <v>106.84</v>
      </c>
      <c r="G82" s="226">
        <f t="shared" si="2"/>
        <v>106.84</v>
      </c>
      <c r="H82" s="233">
        <f t="shared" si="3"/>
        <v>1</v>
      </c>
    </row>
    <row r="83" spans="2:8" customFormat="1" x14ac:dyDescent="0.25">
      <c r="B83" s="225"/>
      <c r="C83" s="225"/>
      <c r="D83" s="223" t="s">
        <v>316</v>
      </c>
      <c r="E83" s="226">
        <v>8551.6299999999992</v>
      </c>
      <c r="F83" s="226">
        <v>7834.66</v>
      </c>
      <c r="G83" s="226">
        <f t="shared" si="2"/>
        <v>-716.96999999999935</v>
      </c>
      <c r="H83" s="233">
        <f t="shared" si="3"/>
        <v>-8.3840156788822645E-2</v>
      </c>
    </row>
    <row r="84" spans="2:8" customFormat="1" x14ac:dyDescent="0.25">
      <c r="B84" s="225"/>
      <c r="C84" s="225"/>
      <c r="D84" s="223" t="s">
        <v>317</v>
      </c>
      <c r="E84" s="226">
        <v>2031.98</v>
      </c>
      <c r="F84" s="226"/>
      <c r="G84" s="226">
        <f t="shared" si="2"/>
        <v>-2031.98</v>
      </c>
      <c r="H84" s="233">
        <f t="shared" si="3"/>
        <v>1</v>
      </c>
    </row>
    <row r="85" spans="2:8" customFormat="1" x14ac:dyDescent="0.25">
      <c r="B85" s="225"/>
      <c r="C85" s="225"/>
      <c r="D85" s="223" t="s">
        <v>363</v>
      </c>
      <c r="E85" s="226">
        <v>100.83</v>
      </c>
      <c r="F85" s="226"/>
      <c r="G85" s="226">
        <f t="shared" si="2"/>
        <v>-100.83</v>
      </c>
      <c r="H85" s="233">
        <f t="shared" si="3"/>
        <v>1</v>
      </c>
    </row>
    <row r="86" spans="2:8" customFormat="1" x14ac:dyDescent="0.25">
      <c r="B86" s="225"/>
      <c r="C86" s="225"/>
      <c r="D86" s="223" t="s">
        <v>379</v>
      </c>
      <c r="E86" s="226">
        <v>533.14</v>
      </c>
      <c r="F86" s="226"/>
      <c r="G86" s="226">
        <f t="shared" si="2"/>
        <v>-533.14</v>
      </c>
      <c r="H86" s="233">
        <f t="shared" si="3"/>
        <v>1</v>
      </c>
    </row>
    <row r="87" spans="2:8" customFormat="1" x14ac:dyDescent="0.25">
      <c r="B87" s="228"/>
      <c r="C87" s="238" t="s">
        <v>318</v>
      </c>
      <c r="D87" s="238"/>
      <c r="E87" s="239">
        <v>5049067.9599999981</v>
      </c>
      <c r="F87" s="239">
        <v>2563410.0800000005</v>
      </c>
      <c r="G87" s="227">
        <f t="shared" si="2"/>
        <v>-2485657.8799999976</v>
      </c>
      <c r="H87" s="234">
        <f t="shared" si="3"/>
        <v>-0.49230034130893308</v>
      </c>
    </row>
    <row r="88" spans="2:8" customFormat="1" ht="13.8" thickBot="1" x14ac:dyDescent="0.3">
      <c r="B88" s="229" t="s">
        <v>319</v>
      </c>
      <c r="C88" s="229"/>
      <c r="D88" s="229"/>
      <c r="E88" s="230">
        <v>5049067.9599999981</v>
      </c>
      <c r="F88" s="230">
        <v>2563410.0800000005</v>
      </c>
      <c r="G88" s="230">
        <f t="shared" si="2"/>
        <v>-2485657.8799999976</v>
      </c>
      <c r="H88" s="235">
        <f t="shared" si="3"/>
        <v>-0.49230034130893308</v>
      </c>
    </row>
    <row r="89" spans="2:8" customFormat="1" x14ac:dyDescent="0.25">
      <c r="B89" s="225" t="s">
        <v>320</v>
      </c>
      <c r="C89" s="225" t="s">
        <v>321</v>
      </c>
      <c r="D89" s="223" t="s">
        <v>322</v>
      </c>
      <c r="E89" s="226">
        <v>132630.85999999996</v>
      </c>
      <c r="F89" s="226">
        <v>23112.050000000003</v>
      </c>
      <c r="G89" s="226">
        <f t="shared" si="2"/>
        <v>-109518.80999999995</v>
      </c>
      <c r="H89" s="233">
        <f t="shared" si="3"/>
        <v>-0.82574153556721253</v>
      </c>
    </row>
    <row r="90" spans="2:8" customFormat="1" x14ac:dyDescent="0.25">
      <c r="B90" s="225"/>
      <c r="C90" s="225"/>
      <c r="D90" s="223" t="s">
        <v>323</v>
      </c>
      <c r="E90" s="226">
        <v>4263.8900000000003</v>
      </c>
      <c r="F90" s="226">
        <v>7346.9400000000005</v>
      </c>
      <c r="G90" s="226">
        <f t="shared" si="2"/>
        <v>3083.05</v>
      </c>
      <c r="H90" s="233">
        <f t="shared" si="3"/>
        <v>0.72306039789957055</v>
      </c>
    </row>
    <row r="91" spans="2:8" customFormat="1" x14ac:dyDescent="0.25">
      <c r="B91" s="225"/>
      <c r="C91" s="225"/>
      <c r="D91" s="223" t="s">
        <v>324</v>
      </c>
      <c r="E91" s="226">
        <v>4040196.14</v>
      </c>
      <c r="F91" s="226">
        <v>2886060.8500000024</v>
      </c>
      <c r="G91" s="226">
        <f t="shared" si="2"/>
        <v>-1154135.2899999977</v>
      </c>
      <c r="H91" s="233">
        <f t="shared" si="3"/>
        <v>-0.28566318317407174</v>
      </c>
    </row>
    <row r="92" spans="2:8" customFormat="1" x14ac:dyDescent="0.25">
      <c r="B92" s="225"/>
      <c r="C92" s="225"/>
      <c r="D92" s="223" t="s">
        <v>325</v>
      </c>
      <c r="E92" s="226">
        <v>81055.689999999959</v>
      </c>
      <c r="F92" s="226">
        <v>77504.020000000048</v>
      </c>
      <c r="G92" s="226">
        <f t="shared" si="2"/>
        <v>-3551.6699999999109</v>
      </c>
      <c r="H92" s="233">
        <f t="shared" si="3"/>
        <v>-4.3817651789774571E-2</v>
      </c>
    </row>
    <row r="93" spans="2:8" customFormat="1" x14ac:dyDescent="0.25">
      <c r="B93" s="225"/>
      <c r="C93" s="225"/>
      <c r="D93" s="223" t="s">
        <v>326</v>
      </c>
      <c r="E93" s="226">
        <v>1713087.8299999996</v>
      </c>
      <c r="F93" s="226">
        <v>1325945.6799999997</v>
      </c>
      <c r="G93" s="226">
        <f t="shared" si="2"/>
        <v>-387142.14999999991</v>
      </c>
      <c r="H93" s="233">
        <f t="shared" si="3"/>
        <v>-0.22599083550783267</v>
      </c>
    </row>
    <row r="94" spans="2:8" customFormat="1" x14ac:dyDescent="0.25">
      <c r="B94" s="225"/>
      <c r="C94" s="225"/>
      <c r="D94" s="223" t="s">
        <v>327</v>
      </c>
      <c r="E94" s="226">
        <v>112138.94999999998</v>
      </c>
      <c r="F94" s="226">
        <v>99960.0199999998</v>
      </c>
      <c r="G94" s="226">
        <f t="shared" si="2"/>
        <v>-12178.930000000182</v>
      </c>
      <c r="H94" s="233">
        <f t="shared" si="3"/>
        <v>-0.1086057074727397</v>
      </c>
    </row>
    <row r="95" spans="2:8" customFormat="1" x14ac:dyDescent="0.25">
      <c r="B95" s="225"/>
      <c r="C95" s="225"/>
      <c r="D95" s="223" t="s">
        <v>328</v>
      </c>
      <c r="E95" s="226">
        <v>2084119.2099999965</v>
      </c>
      <c r="F95" s="226">
        <v>1549006.0900000008</v>
      </c>
      <c r="G95" s="226">
        <f t="shared" si="2"/>
        <v>-535113.11999999569</v>
      </c>
      <c r="H95" s="233">
        <f t="shared" si="3"/>
        <v>-0.25675744335181122</v>
      </c>
    </row>
    <row r="96" spans="2:8" customFormat="1" x14ac:dyDescent="0.25">
      <c r="B96" s="225"/>
      <c r="C96" s="225"/>
      <c r="D96" s="223" t="s">
        <v>329</v>
      </c>
      <c r="E96" s="226">
        <v>1014131.9800000009</v>
      </c>
      <c r="F96" s="226">
        <v>789459.77000000014</v>
      </c>
      <c r="G96" s="226">
        <f t="shared" si="2"/>
        <v>-224672.21000000078</v>
      </c>
      <c r="H96" s="233">
        <f t="shared" si="3"/>
        <v>-0.22154139148634339</v>
      </c>
    </row>
    <row r="97" spans="2:8" customFormat="1" x14ac:dyDescent="0.25">
      <c r="B97" s="225"/>
      <c r="C97" s="225"/>
      <c r="D97" s="223" t="s">
        <v>330</v>
      </c>
      <c r="E97" s="226">
        <v>7122.8400000000202</v>
      </c>
      <c r="F97" s="226">
        <v>6566.6100000000115</v>
      </c>
      <c r="G97" s="226">
        <f t="shared" si="2"/>
        <v>-556.23000000000866</v>
      </c>
      <c r="H97" s="233">
        <f t="shared" si="3"/>
        <v>-7.8091042337046335E-2</v>
      </c>
    </row>
    <row r="98" spans="2:8" customFormat="1" x14ac:dyDescent="0.25">
      <c r="B98" s="228"/>
      <c r="C98" s="238" t="s">
        <v>331</v>
      </c>
      <c r="D98" s="238"/>
      <c r="E98" s="239">
        <v>9188747.3899999969</v>
      </c>
      <c r="F98" s="239">
        <v>6764962.030000004</v>
      </c>
      <c r="G98" s="227">
        <f t="shared" si="2"/>
        <v>-2423785.3599999929</v>
      </c>
      <c r="H98" s="234">
        <f t="shared" si="3"/>
        <v>-0.26377755934805319</v>
      </c>
    </row>
    <row r="99" spans="2:8" customFormat="1" ht="13.8" thickBot="1" x14ac:dyDescent="0.3">
      <c r="B99" s="229" t="s">
        <v>332</v>
      </c>
      <c r="C99" s="229"/>
      <c r="D99" s="229"/>
      <c r="E99" s="230">
        <v>9188747.3899999969</v>
      </c>
      <c r="F99" s="230">
        <v>6764962.030000004</v>
      </c>
      <c r="G99" s="230">
        <f t="shared" si="2"/>
        <v>-2423785.3599999929</v>
      </c>
      <c r="H99" s="235">
        <f t="shared" si="3"/>
        <v>-0.26377755934805319</v>
      </c>
    </row>
    <row r="100" spans="2:8" customFormat="1" x14ac:dyDescent="0.25">
      <c r="B100" s="225" t="s">
        <v>333</v>
      </c>
      <c r="C100" s="225" t="s">
        <v>334</v>
      </c>
      <c r="D100" s="223" t="s">
        <v>335</v>
      </c>
      <c r="E100" s="226">
        <v>374.13999999999993</v>
      </c>
      <c r="F100" s="226">
        <v>865.70999999999992</v>
      </c>
      <c r="G100" s="226">
        <f t="shared" si="2"/>
        <v>491.57</v>
      </c>
      <c r="H100" s="233">
        <f t="shared" si="3"/>
        <v>1.3138664670978781</v>
      </c>
    </row>
    <row r="101" spans="2:8" customFormat="1" x14ac:dyDescent="0.25">
      <c r="B101" s="225"/>
      <c r="C101" s="225"/>
      <c r="D101" s="223" t="s">
        <v>336</v>
      </c>
      <c r="E101" s="226">
        <v>1167.6199999999958</v>
      </c>
      <c r="F101" s="226">
        <v>1223.3199999999983</v>
      </c>
      <c r="G101" s="226">
        <f t="shared" si="2"/>
        <v>55.700000000002547</v>
      </c>
      <c r="H101" s="233">
        <f t="shared" si="3"/>
        <v>4.7703876261114699E-2</v>
      </c>
    </row>
    <row r="102" spans="2:8" customFormat="1" x14ac:dyDescent="0.25">
      <c r="B102" s="225"/>
      <c r="C102" s="225"/>
      <c r="D102" s="223" t="s">
        <v>337</v>
      </c>
      <c r="E102" s="226">
        <v>93419.39</v>
      </c>
      <c r="F102" s="226">
        <v>49915.340000000011</v>
      </c>
      <c r="G102" s="226">
        <f t="shared" si="2"/>
        <v>-43504.049999999988</v>
      </c>
      <c r="H102" s="233">
        <f t="shared" si="3"/>
        <v>-0.46568544281866953</v>
      </c>
    </row>
    <row r="103" spans="2:8" customFormat="1" x14ac:dyDescent="0.25">
      <c r="B103" s="228"/>
      <c r="C103" s="238" t="s">
        <v>338</v>
      </c>
      <c r="D103" s="238"/>
      <c r="E103" s="239">
        <v>94961.15</v>
      </c>
      <c r="F103" s="239">
        <v>52004.37000000001</v>
      </c>
      <c r="G103" s="227">
        <f t="shared" si="2"/>
        <v>-42956.779999999984</v>
      </c>
      <c r="H103" s="234">
        <f t="shared" si="3"/>
        <v>-0.45236162367452359</v>
      </c>
    </row>
    <row r="104" spans="2:8" customFormat="1" ht="13.8" thickBot="1" x14ac:dyDescent="0.3">
      <c r="B104" s="229" t="s">
        <v>339</v>
      </c>
      <c r="C104" s="229"/>
      <c r="D104" s="229"/>
      <c r="E104" s="230">
        <v>94961.15</v>
      </c>
      <c r="F104" s="230">
        <v>52004.37000000001</v>
      </c>
      <c r="G104" s="230">
        <f t="shared" si="2"/>
        <v>-42956.779999999984</v>
      </c>
      <c r="H104" s="235">
        <f t="shared" si="3"/>
        <v>-0.45236162367452359</v>
      </c>
    </row>
    <row r="105" spans="2:8" customFormat="1" x14ac:dyDescent="0.25">
      <c r="B105" s="225" t="s">
        <v>340</v>
      </c>
      <c r="C105" s="225" t="s">
        <v>341</v>
      </c>
      <c r="D105" s="223" t="s">
        <v>342</v>
      </c>
      <c r="E105" s="226">
        <v>206210.81000000003</v>
      </c>
      <c r="F105" s="226">
        <v>79756.099999999977</v>
      </c>
      <c r="G105" s="226">
        <f t="shared" si="2"/>
        <v>-126454.71000000005</v>
      </c>
      <c r="H105" s="233">
        <f t="shared" si="3"/>
        <v>-0.61323026663830105</v>
      </c>
    </row>
    <row r="106" spans="2:8" customFormat="1" x14ac:dyDescent="0.25">
      <c r="B106" s="225"/>
      <c r="C106" s="225"/>
      <c r="D106" s="223" t="s">
        <v>343</v>
      </c>
      <c r="E106" s="226"/>
      <c r="F106" s="226">
        <v>15.780000000000001</v>
      </c>
      <c r="G106" s="226">
        <f t="shared" si="2"/>
        <v>15.780000000000001</v>
      </c>
      <c r="H106" s="233">
        <f t="shared" si="3"/>
        <v>1</v>
      </c>
    </row>
    <row r="107" spans="2:8" customFormat="1" x14ac:dyDescent="0.25">
      <c r="B107" s="228"/>
      <c r="C107" s="238" t="s">
        <v>344</v>
      </c>
      <c r="D107" s="238"/>
      <c r="E107" s="239">
        <v>206210.81000000003</v>
      </c>
      <c r="F107" s="239">
        <v>79771.879999999976</v>
      </c>
      <c r="G107" s="227">
        <f t="shared" si="2"/>
        <v>-126438.93000000005</v>
      </c>
      <c r="H107" s="234">
        <f t="shared" si="3"/>
        <v>-0.61315374300697445</v>
      </c>
    </row>
    <row r="108" spans="2:8" customFormat="1" ht="13.8" thickBot="1" x14ac:dyDescent="0.3">
      <c r="B108" s="229" t="s">
        <v>345</v>
      </c>
      <c r="C108" s="229"/>
      <c r="D108" s="229"/>
      <c r="E108" s="230">
        <v>206210.81000000003</v>
      </c>
      <c r="F108" s="230">
        <v>79771.879999999976</v>
      </c>
      <c r="G108" s="230">
        <f t="shared" si="2"/>
        <v>-126438.93000000005</v>
      </c>
      <c r="H108" s="235">
        <f t="shared" si="3"/>
        <v>-0.61315374300697445</v>
      </c>
    </row>
    <row r="109" spans="2:8" customFormat="1" x14ac:dyDescent="0.25">
      <c r="B109" s="225" t="s">
        <v>346</v>
      </c>
      <c r="C109" s="225" t="s">
        <v>347</v>
      </c>
      <c r="D109" s="223" t="s">
        <v>348</v>
      </c>
      <c r="E109" s="226">
        <v>141401.53</v>
      </c>
      <c r="F109" s="226">
        <v>203694.99</v>
      </c>
      <c r="G109" s="226">
        <f t="shared" si="2"/>
        <v>62293.459999999992</v>
      </c>
      <c r="H109" s="233">
        <f t="shared" si="3"/>
        <v>0.44054304080019496</v>
      </c>
    </row>
    <row r="110" spans="2:8" customFormat="1" x14ac:dyDescent="0.25">
      <c r="B110" s="225"/>
      <c r="C110" s="225"/>
      <c r="D110" s="223" t="s">
        <v>349</v>
      </c>
      <c r="E110" s="226">
        <v>151461.99999999997</v>
      </c>
      <c r="F110" s="226">
        <v>57121.97</v>
      </c>
      <c r="G110" s="226">
        <f t="shared" si="2"/>
        <v>-94340.02999999997</v>
      </c>
      <c r="H110" s="233">
        <f t="shared" si="3"/>
        <v>-0.62286269823454055</v>
      </c>
    </row>
    <row r="111" spans="2:8" customFormat="1" x14ac:dyDescent="0.25">
      <c r="B111" s="225"/>
      <c r="C111" s="225"/>
      <c r="D111" s="223" t="s">
        <v>350</v>
      </c>
      <c r="E111" s="226">
        <v>29023.140000000014</v>
      </c>
      <c r="F111" s="226">
        <v>21995.859999999993</v>
      </c>
      <c r="G111" s="226">
        <f t="shared" si="2"/>
        <v>-7027.2800000000207</v>
      </c>
      <c r="H111" s="233">
        <f t="shared" si="3"/>
        <v>-0.24212679951238966</v>
      </c>
    </row>
    <row r="112" spans="2:8" customFormat="1" x14ac:dyDescent="0.25">
      <c r="B112" s="225"/>
      <c r="C112" s="225"/>
      <c r="D112" s="223" t="s">
        <v>351</v>
      </c>
      <c r="E112" s="226">
        <v>25664.31</v>
      </c>
      <c r="F112" s="226">
        <v>30580.049999999996</v>
      </c>
      <c r="G112" s="226">
        <f t="shared" si="2"/>
        <v>4915.7399999999943</v>
      </c>
      <c r="H112" s="233">
        <f t="shared" si="3"/>
        <v>0.19153992450995153</v>
      </c>
    </row>
    <row r="113" spans="2:9" customFormat="1" x14ac:dyDescent="0.25">
      <c r="B113" s="225"/>
      <c r="C113" s="225"/>
      <c r="D113" s="223" t="s">
        <v>352</v>
      </c>
      <c r="E113" s="226">
        <v>9850.6300000000047</v>
      </c>
      <c r="F113" s="226">
        <v>9149.2100000000046</v>
      </c>
      <c r="G113" s="226">
        <f t="shared" si="2"/>
        <v>-701.42000000000007</v>
      </c>
      <c r="H113" s="233">
        <f t="shared" si="3"/>
        <v>-7.1205598017588703E-2</v>
      </c>
    </row>
    <row r="114" spans="2:9" customFormat="1" x14ac:dyDescent="0.25">
      <c r="B114" s="225"/>
      <c r="C114" s="225"/>
      <c r="D114" s="223" t="s">
        <v>353</v>
      </c>
      <c r="E114" s="226">
        <v>10553.160000000016</v>
      </c>
      <c r="F114" s="226">
        <v>12094.580000000002</v>
      </c>
      <c r="G114" s="226">
        <f t="shared" si="2"/>
        <v>1541.4199999999855</v>
      </c>
      <c r="H114" s="233">
        <f t="shared" si="3"/>
        <v>0.14606241163783959</v>
      </c>
    </row>
    <row r="115" spans="2:9" customFormat="1" x14ac:dyDescent="0.25">
      <c r="B115" s="228"/>
      <c r="C115" s="238" t="s">
        <v>354</v>
      </c>
      <c r="D115" s="238"/>
      <c r="E115" s="239">
        <v>367954.77</v>
      </c>
      <c r="F115" s="239">
        <v>334636.66000000003</v>
      </c>
      <c r="G115" s="227">
        <f t="shared" si="2"/>
        <v>-33318.109999999986</v>
      </c>
      <c r="H115" s="234">
        <f t="shared" si="3"/>
        <v>-9.0549471610328586E-2</v>
      </c>
    </row>
    <row r="116" spans="2:9" customFormat="1" ht="13.8" thickBot="1" x14ac:dyDescent="0.3">
      <c r="B116" s="229" t="s">
        <v>355</v>
      </c>
      <c r="C116" s="229"/>
      <c r="D116" s="229"/>
      <c r="E116" s="230">
        <v>367954.77</v>
      </c>
      <c r="F116" s="230">
        <v>334636.66000000003</v>
      </c>
      <c r="G116" s="230">
        <f t="shared" si="2"/>
        <v>-33318.109999999986</v>
      </c>
      <c r="H116" s="235">
        <f t="shared" si="3"/>
        <v>-9.0549471610328586E-2</v>
      </c>
    </row>
    <row r="117" spans="2:9" customFormat="1" x14ac:dyDescent="0.25">
      <c r="B117" s="225" t="s">
        <v>356</v>
      </c>
      <c r="C117" s="225" t="s">
        <v>357</v>
      </c>
      <c r="D117" s="223" t="s">
        <v>358</v>
      </c>
      <c r="E117" s="226">
        <v>1812777.6999999995</v>
      </c>
      <c r="F117" s="226">
        <v>1570401.0899999989</v>
      </c>
      <c r="G117" s="226">
        <f t="shared" si="2"/>
        <v>-242376.61000000057</v>
      </c>
      <c r="H117" s="233">
        <f t="shared" si="3"/>
        <v>-0.13370454082704164</v>
      </c>
    </row>
    <row r="118" spans="2:9" customFormat="1" x14ac:dyDescent="0.25">
      <c r="B118" s="228"/>
      <c r="C118" s="238" t="s">
        <v>359</v>
      </c>
      <c r="D118" s="238"/>
      <c r="E118" s="239">
        <v>1812777.6999999995</v>
      </c>
      <c r="F118" s="239">
        <v>1570401.0899999989</v>
      </c>
      <c r="G118" s="227">
        <f t="shared" si="2"/>
        <v>-242376.61000000057</v>
      </c>
      <c r="H118" s="234">
        <f t="shared" si="3"/>
        <v>-0.13370454082704164</v>
      </c>
    </row>
    <row r="119" spans="2:9" customFormat="1" ht="13.8" thickBot="1" x14ac:dyDescent="0.3">
      <c r="B119" s="229" t="s">
        <v>360</v>
      </c>
      <c r="C119" s="229"/>
      <c r="D119" s="229"/>
      <c r="E119" s="230">
        <v>1812777.6999999995</v>
      </c>
      <c r="F119" s="230">
        <v>1570401.0899999989</v>
      </c>
      <c r="G119" s="230">
        <f t="shared" si="2"/>
        <v>-242376.61000000057</v>
      </c>
      <c r="H119" s="235">
        <f t="shared" si="3"/>
        <v>-0.13370454082704164</v>
      </c>
    </row>
    <row r="120" spans="2:9" customFormat="1" ht="14.4" thickTop="1" thickBot="1" x14ac:dyDescent="0.3">
      <c r="B120" s="231" t="s">
        <v>361</v>
      </c>
      <c r="C120" s="231"/>
      <c r="D120" s="231"/>
      <c r="E120" s="232">
        <v>85458871.049999967</v>
      </c>
      <c r="F120" s="232">
        <v>64563569.080000006</v>
      </c>
      <c r="G120" s="232">
        <f t="shared" si="2"/>
        <v>-20895301.969999962</v>
      </c>
      <c r="H120" s="236">
        <f t="shared" si="3"/>
        <v>-0.24450711451330329</v>
      </c>
    </row>
    <row r="121" spans="2:9" customFormat="1" ht="13.8" thickTop="1" x14ac:dyDescent="0.25">
      <c r="H121" s="214"/>
    </row>
    <row r="122" spans="2:9" customFormat="1" x14ac:dyDescent="0.25">
      <c r="H122" s="214"/>
    </row>
    <row r="123" spans="2:9" customFormat="1" x14ac:dyDescent="0.25">
      <c r="H123" s="214"/>
    </row>
    <row r="124" spans="2:9" customFormat="1" x14ac:dyDescent="0.25">
      <c r="H124" s="214"/>
    </row>
    <row r="125" spans="2:9" customFormat="1" x14ac:dyDescent="0.25"/>
    <row r="126" spans="2:9" customFormat="1" x14ac:dyDescent="0.25"/>
    <row r="127" spans="2:9" x14ac:dyDescent="0.25">
      <c r="B127"/>
      <c r="C127"/>
      <c r="D127"/>
      <c r="E127"/>
      <c r="F127"/>
      <c r="G127"/>
      <c r="H127" s="214"/>
      <c r="I127"/>
    </row>
    <row r="128" spans="2:9" x14ac:dyDescent="0.25">
      <c r="B128"/>
      <c r="C128"/>
      <c r="D128"/>
      <c r="E128"/>
      <c r="F128"/>
      <c r="G128"/>
      <c r="H128" s="214"/>
      <c r="I128"/>
    </row>
    <row r="129" spans="2:9" x14ac:dyDescent="0.25">
      <c r="B129"/>
      <c r="C129"/>
      <c r="D129"/>
      <c r="E129"/>
      <c r="F129"/>
      <c r="G129"/>
      <c r="H129" s="214"/>
      <c r="I129"/>
    </row>
    <row r="130" spans="2:9" x14ac:dyDescent="0.25">
      <c r="B130"/>
      <c r="C130"/>
      <c r="D130"/>
      <c r="E130"/>
      <c r="F130"/>
      <c r="G130"/>
      <c r="H130" s="214"/>
      <c r="I130"/>
    </row>
    <row r="131" spans="2:9" x14ac:dyDescent="0.25">
      <c r="B131"/>
      <c r="C131"/>
      <c r="D131"/>
      <c r="E131" s="213"/>
      <c r="F131" s="213"/>
      <c r="G131" s="213"/>
      <c r="H131" s="214"/>
      <c r="I131"/>
    </row>
    <row r="132" spans="2:9" x14ac:dyDescent="0.25">
      <c r="B132"/>
      <c r="C132"/>
      <c r="D132"/>
      <c r="E132" s="213"/>
      <c r="F132" s="213"/>
      <c r="G132" s="213"/>
      <c r="H132" s="214"/>
      <c r="I132"/>
    </row>
    <row r="133" spans="2:9" x14ac:dyDescent="0.25">
      <c r="B133"/>
      <c r="C133"/>
      <c r="D133"/>
      <c r="E133" s="213"/>
      <c r="F133" s="213"/>
      <c r="G133" s="213"/>
      <c r="H133" s="214"/>
      <c r="I133"/>
    </row>
    <row r="134" spans="2:9" x14ac:dyDescent="0.25">
      <c r="B134"/>
      <c r="C134"/>
      <c r="D134"/>
      <c r="E134" s="213"/>
      <c r="F134" s="213"/>
      <c r="G134" s="213"/>
      <c r="H134" s="214"/>
      <c r="I134"/>
    </row>
    <row r="135" spans="2:9" x14ac:dyDescent="0.25">
      <c r="B135"/>
      <c r="C135"/>
      <c r="D135"/>
      <c r="E135" s="213"/>
      <c r="F135" s="213"/>
      <c r="G135" s="213"/>
      <c r="H135" s="214"/>
      <c r="I135"/>
    </row>
    <row r="136" spans="2:9" x14ac:dyDescent="0.25">
      <c r="B136"/>
      <c r="C136"/>
      <c r="D136"/>
      <c r="E136" s="213"/>
      <c r="F136" s="213"/>
      <c r="G136" s="213"/>
      <c r="H136" s="214"/>
      <c r="I136"/>
    </row>
    <row r="137" spans="2:9" x14ac:dyDescent="0.25">
      <c r="B137"/>
      <c r="C137"/>
      <c r="D137"/>
      <c r="E137"/>
      <c r="F137"/>
      <c r="G137"/>
      <c r="H137"/>
      <c r="I137"/>
    </row>
  </sheetData>
  <autoFilter ref="B3:H137" xr:uid="{00000000-0001-0000-0600-000000000000}"/>
  <mergeCells count="1">
    <mergeCell ref="B2:H2"/>
  </mergeCells>
  <printOptions horizontalCentered="1"/>
  <pageMargins left="0.5" right="0.5" top="0.5" bottom="0.5" header="0.5" footer="0.5"/>
  <pageSetup scale="31" orientation="landscape" r:id="rId1"/>
  <headerFooter>
    <oddHeader>&amp;RDocket No. 56165
Exhibit BJF-5
Page &amp;P of &amp;N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4:F10"/>
  <sheetViews>
    <sheetView tabSelected="1" workbookViewId="0">
      <selection sqref="A1:XFD1"/>
    </sheetView>
  </sheetViews>
  <sheetFormatPr defaultRowHeight="13.2" x14ac:dyDescent="0.25"/>
  <cols>
    <col min="1" max="1" width="18.109375" bestFit="1" customWidth="1"/>
    <col min="2" max="2" width="21.88671875" bestFit="1" customWidth="1"/>
    <col min="3" max="3" width="16" bestFit="1" customWidth="1"/>
    <col min="4" max="4" width="12.33203125" bestFit="1" customWidth="1"/>
    <col min="5" max="5" width="25.88671875" bestFit="1" customWidth="1"/>
    <col min="6" max="6" width="30.6640625" bestFit="1" customWidth="1"/>
  </cols>
  <sheetData>
    <row r="4" spans="1:6" x14ac:dyDescent="0.25">
      <c r="A4" s="164" t="s">
        <v>200</v>
      </c>
      <c r="B4" s="164" t="s">
        <v>201</v>
      </c>
      <c r="C4" s="164" t="s">
        <v>202</v>
      </c>
      <c r="D4" s="164" t="s">
        <v>203</v>
      </c>
      <c r="E4" s="164" t="s">
        <v>204</v>
      </c>
      <c r="F4" s="164" t="s">
        <v>205</v>
      </c>
    </row>
    <row r="5" spans="1:6" x14ac:dyDescent="0.25">
      <c r="A5" s="164" t="s">
        <v>206</v>
      </c>
      <c r="B5" s="164" t="s">
        <v>207</v>
      </c>
      <c r="C5" s="164">
        <v>2022</v>
      </c>
      <c r="D5" s="164" t="s">
        <v>208</v>
      </c>
      <c r="E5" s="164" t="s">
        <v>209</v>
      </c>
      <c r="F5" s="164">
        <v>-157128883.66</v>
      </c>
    </row>
    <row r="6" spans="1:6" x14ac:dyDescent="0.25">
      <c r="A6" s="164" t="s">
        <v>206</v>
      </c>
      <c r="B6" s="164" t="s">
        <v>207</v>
      </c>
      <c r="C6" s="164">
        <v>2022</v>
      </c>
      <c r="D6" s="164" t="s">
        <v>210</v>
      </c>
      <c r="E6" s="164" t="s">
        <v>211</v>
      </c>
      <c r="F6" s="164">
        <v>-25022084.859999999</v>
      </c>
    </row>
    <row r="7" spans="1:6" x14ac:dyDescent="0.25">
      <c r="A7" s="164" t="s">
        <v>206</v>
      </c>
      <c r="B7" s="164" t="s">
        <v>207</v>
      </c>
      <c r="C7" s="164">
        <v>2022</v>
      </c>
      <c r="D7" s="164" t="s">
        <v>212</v>
      </c>
      <c r="E7" s="164" t="s">
        <v>213</v>
      </c>
      <c r="F7" s="164">
        <v>1394582.56</v>
      </c>
    </row>
    <row r="8" spans="1:6" x14ac:dyDescent="0.25">
      <c r="A8" s="164" t="s">
        <v>206</v>
      </c>
      <c r="B8" s="164" t="s">
        <v>207</v>
      </c>
      <c r="C8" s="164">
        <v>2023</v>
      </c>
      <c r="D8" s="164" t="s">
        <v>208</v>
      </c>
      <c r="E8" s="164" t="s">
        <v>209</v>
      </c>
      <c r="F8" s="164">
        <v>-111775403.98999999</v>
      </c>
    </row>
    <row r="9" spans="1:6" x14ac:dyDescent="0.25">
      <c r="A9" s="164" t="s">
        <v>206</v>
      </c>
      <c r="B9" s="164" t="s">
        <v>207</v>
      </c>
      <c r="C9" s="164">
        <v>2023</v>
      </c>
      <c r="D9" s="164" t="s">
        <v>210</v>
      </c>
      <c r="E9" s="164" t="s">
        <v>211</v>
      </c>
      <c r="F9" s="164">
        <v>-24843495.75</v>
      </c>
    </row>
    <row r="10" spans="1:6" x14ac:dyDescent="0.25">
      <c r="A10" s="164" t="s">
        <v>206</v>
      </c>
      <c r="B10" s="164" t="s">
        <v>207</v>
      </c>
      <c r="C10" s="164">
        <v>2023</v>
      </c>
      <c r="D10" s="164" t="s">
        <v>212</v>
      </c>
      <c r="E10" s="164" t="s">
        <v>213</v>
      </c>
      <c r="F10" s="164">
        <v>-2478846.8199999998</v>
      </c>
    </row>
  </sheetData>
  <printOptions horizontalCentered="1"/>
  <pageMargins left="0.5" right="0.5" top="0.5" bottom="0.5" header="0.5" footer="0.5"/>
  <pageSetup orientation="landscape" r:id="rId1"/>
  <headerFooter>
    <oddHeader>&amp;RDocket No. 56165
Exhibit BJF-5
Page &amp;P of &amp;N</oddHead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136CE24ED5F449BD16740FFC7FAF6F" ma:contentTypeVersion="34" ma:contentTypeDescription="Create a new document." ma:contentTypeScope="" ma:versionID="0a99a1cdd4ca07724118b4aa0f80c874">
  <xsd:schema xmlns:xsd="http://www.w3.org/2001/XMLSchema" xmlns:xs="http://www.w3.org/2001/XMLSchema" xmlns:p="http://schemas.microsoft.com/office/2006/metadata/properties" xmlns:ns1="http://schemas.microsoft.com/sharepoint/v3" xmlns:ns2="a1040523-5304-4b09-b6d4-64a124c994e2" xmlns:ns3="5b640fb8-5a34-41c1-9307-1b790ff29a8b" xmlns:ns4="51831b8d-857f-44dd-949b-652450d1a5df" targetNamespace="http://schemas.microsoft.com/office/2006/metadata/properties" ma:root="true" ma:fieldsID="0bd3e32b2c584a0e837a10f45775a766" ns1:_="" ns2:_="" ns3:_="" ns4:_="">
    <xsd:import namespace="http://schemas.microsoft.com/sharepoint/v3"/>
    <xsd:import namespace="a1040523-5304-4b09-b6d4-64a124c994e2"/>
    <xsd:import namespace="5b640fb8-5a34-41c1-9307-1b790ff29a8b"/>
    <xsd:import namespace="51831b8d-857f-44dd-949b-652450d1a5df"/>
    <xsd:element name="properties">
      <xsd:complexType>
        <xsd:sequence>
          <xsd:element name="documentManagement">
            <xsd:complexType>
              <xsd:all>
                <xsd:element ref="ns2:Operating_x0020_Company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lcf76f155ced4ddcb4097134ff3c332f" minOccurs="0"/>
                <xsd:element ref="ns4:TaxCatchAll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ObjectDetectorVersions" minOccurs="0"/>
                <xsd:element ref="ns3:_Flow_SignoffStatus" minOccurs="0"/>
                <xsd:element ref="ns1:_ip_UnifiedCompliancePolicyProperties" minOccurs="0"/>
                <xsd:element ref="ns1:_ip_UnifiedCompliancePolicyUIAction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040523-5304-4b09-b6d4-64a124c994e2" elementFormDefault="qualified">
    <xsd:import namespace="http://schemas.microsoft.com/office/2006/documentManagement/types"/>
    <xsd:import namespace="http://schemas.microsoft.com/office/infopath/2007/PartnerControls"/>
    <xsd:element name="Operating_x0020_Company" ma:index="8" ma:displayName="Operating Company" ma:default="AEP Ohio" ma:format="Dropdown" ma:internalName="Operating_x0020_Company" ma:readOnly="false">
      <xsd:simpleType>
        <xsd:restriction base="dms:Choice">
          <xsd:enumeration value="AEP Ohio"/>
          <xsd:enumeration value="AEP Texas"/>
          <xsd:enumeration value="Appalachian Power - Tennessee"/>
          <xsd:enumeration value="Appalachian Power - Virginia"/>
          <xsd:enumeration value="Appalachian Power - West Virginia"/>
          <xsd:enumeration value="FERC"/>
          <xsd:enumeration value="Indiana &amp; Michigan Power - Indiana"/>
          <xsd:enumeration value="Indiana &amp; Michigan Power - Michigan"/>
          <xsd:enumeration value="Kentucky Power"/>
          <xsd:enumeration value="PSO"/>
          <xsd:enumeration value="SWEPCO - Arkansas"/>
          <xsd:enumeration value="SWEPCO - Louisiana"/>
          <xsd:enumeration value="SWEPCO - TEXAS"/>
          <xsd:enumeration value="SWEPCO - Peine"/>
          <xsd:enumeration value="ETT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640fb8-5a34-41c1-9307-1b790ff29a8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fefa54f2-5b03-49c6-9483-51c08a9736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831b8d-857f-44dd-949b-652450d1a5d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3b4476ce-ac5c-42b1-bccc-28ba47756ae8}" ma:internalName="TaxCatchAll" ma:showField="CatchAllData" ma:web="51831b8d-857f-44dd-949b-652450d1a5d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lOWMwYjhkNy1iZGI0LTRmZDMtYjYyYS1mNTAzMjdhYWVmY2UiIG9yaWdpbj0idXNlclNlbGVjdGVkIj48ZWxlbWVudCB1aWQ9IjUwYzMxODI0LTA3ODAtNDkxMC04N2QxLWVhYWZmZDE4MmQ0MiIgdmFsdWU9IiIgeG1sbnM9Imh0dHA6Ly93d3cuYm9sZG9uamFtZXMuY29tLzIwMDgvMDEvc2llL2ludGVybmFsL2xhYmVsIiAvPjwvc2lzbD48VXNlck5hbWU+Q09SUFxzMzI2ODk2PC9Vc2VyTmFtZT48RGF0ZVRpbWU+NS8zLzIwMjIgODo1OToxMyBQTTwvRGF0ZVRpbWU+PExhYmVsU3RyaW5nPkFFUCBJbnRlcm5hbDwvTGFiZWxTdHJpbmc+PC9pdGVtPjxpdGVtPjxzaXNsIHNpc2xWZXJzaW9uPSIwIiBwb2xpY3k9ImU5YzBiOGQ3LWJkYjQtNGZkMy1iNjJhLWY1MDMyN2FhZWZjZSIgb3JpZ2luPSJhdXRvU2VsZWN0ZWRTdWdnZXN0aW9uIj48ZWxlbWVudCB1aWQ9IjUwYzMxODI0LTA3ODAtNDkxMC04N2QxLWVhYWZmZDE4MmQ0MiIgdmFsdWU9IiIgeG1sbnM9Imh0dHA6Ly93d3cuYm9sZG9uamFtZXMuY29tLzIwMDgvMDEvc2llL2ludGVybmFsL2xhYmVsIiAvPjxlbGVtZW50IHVpZD0iYzY0MjE4YWItYjhkMS00MGI2LWE0NzgtY2I4YmUxZTEwZWNjIiB2YWx1ZT0iIiB4bWxucz0iaHR0cDovL3d3dy5ib2xkb25qYW1lcy5jb20vMjAwOC8wMS9zaWUvaW50ZXJuYWwvbGFiZWwiIC8+PC9zaXNsPjxVc2VyTmFtZT5DT1JQXFMxMzAxODY8L1VzZXJOYW1lPjxEYXRlVGltZT4xMi82LzIwMjIgMzo1OTo1MyBQTTwvRGF0ZVRpbWU+PExhYmVsU3RyaW5nPkFFUCBJbnRlcm5hbDwvTGFiZWxTdHJpbmc+PC9pdGVtPjxpdGVtPjxzaXNsIHNpc2xWZXJzaW9uPSIwIiBwb2xpY3k9ImU5YzBiOGQ3LWJkYjQtNGZkMy1iNjJhLWY1MDMyN2FhZWZjZSIgb3JpZ2luPSJ1c2VyU2VsZWN0ZWQiPjxlbGVtZW50IHVpZD0iNTBjMzE4MjQtMDc4MC00OTEwLTg3ZDEtZWFhZmZkMTgyZDQyIiB2YWx1ZT0iIiB4bWxucz0iaHR0cDovL3d3dy5ib2xkb25qYW1lcy5jb20vMjAwOC8wMS9zaWUvaW50ZXJuYWwvbGFiZWwiIC8+PC9zaXNsPjxVc2VyTmFtZT5DT1JQXFMxMzAxODY8L1VzZXJOYW1lPjxEYXRlVGltZT4xMi83LzIwMjIgMzowNDowOSBBTTwvRGF0ZVRpbWU+PExhYmVsU3RyaW5nPkFFUCBJbnRlcm5hbDwvTGFiZWxTdHJpbmc+PC9pdGVtPjwvbGFiZWxIaXN0b3J5Pg==</Value>
</WrappedLabelHistory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5b640fb8-5a34-41c1-9307-1b790ff29a8b">
      <Terms xmlns="http://schemas.microsoft.com/office/infopath/2007/PartnerControls"/>
    </lcf76f155ced4ddcb4097134ff3c332f>
    <_Flow_SignoffStatus xmlns="5b640fb8-5a34-41c1-9307-1b790ff29a8b" xsi:nil="true"/>
    <_ip_UnifiedCompliancePolicyProperties xmlns="http://schemas.microsoft.com/sharepoint/v3" xsi:nil="true"/>
    <TaxCatchAll xmlns="51831b8d-857f-44dd-949b-652450d1a5df" xsi:nil="true"/>
    <Operating_x0020_Company xmlns="a1040523-5304-4b09-b6d4-64a124c994e2">AEP Ohio</Operating_x0020_Company>
  </documentManagement>
</p:properties>
</file>

<file path=customXml/item5.xml>��
</file>

<file path=customXml/item6.xml><?xml version="1.0" encoding="utf-8"?>
<sisl xmlns:xsd="http://www.w3.org/2001/XMLSchema" xmlns:xsi="http://www.w3.org/2001/XMLSchema-instance" xmlns="http://www.boldonjames.com/2008/01/sie/internal/label" sislVersion="0" policy="e9c0b8d7-bdb4-4fd3-b62a-f50327aaefce" origin="userSelected">
  <element uid="50c31824-0780-4910-87d1-eaaffd182d42" value=""/>
</sisl>
</file>

<file path=customXml/itemProps1.xml><?xml version="1.0" encoding="utf-8"?>
<ds:datastoreItem xmlns:ds="http://schemas.openxmlformats.org/officeDocument/2006/customXml" ds:itemID="{3D67134F-F23F-4711-ACB4-9325FAF4C2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A8E3B4-3C9D-4FEC-BEE9-E386AC377CAA}"/>
</file>

<file path=customXml/itemProps3.xml><?xml version="1.0" encoding="utf-8"?>
<ds:datastoreItem xmlns:ds="http://schemas.openxmlformats.org/officeDocument/2006/customXml" ds:itemID="{FC0D052E-0CAE-4738-8260-C84842D5B04C}">
  <ds:schemaRefs>
    <ds:schemaRef ds:uri="http://www.w3.org/2001/XMLSchema"/>
    <ds:schemaRef ds:uri="http://www.boldonjames.com/2016/02/Classifier/internal/wrappedLabelHistory"/>
  </ds:schemaRefs>
</ds:datastoreItem>
</file>

<file path=customXml/itemProps4.xml><?xml version="1.0" encoding="utf-8"?>
<ds:datastoreItem xmlns:ds="http://schemas.openxmlformats.org/officeDocument/2006/customXml" ds:itemID="{CF765202-00CD-4073-A88D-BE8ED3AE9D8F}">
  <ds:schemaRefs>
    <ds:schemaRef ds:uri="http://schemas.microsoft.com/office/2006/metadata/properties"/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a1040523-5304-4b09-b6d4-64a124c994e2"/>
    <ds:schemaRef ds:uri="http://purl.org/dc/elements/1.1/"/>
    <ds:schemaRef ds:uri="http://schemas.openxmlformats.org/package/2006/metadata/core-properties"/>
    <ds:schemaRef ds:uri="http://purl.org/dc/dcmitype/"/>
    <ds:schemaRef ds:uri="51831b8d-857f-44dd-949b-652450d1a5df"/>
    <ds:schemaRef ds:uri="5b640fb8-5a34-41c1-9307-1b790ff29a8b"/>
    <ds:schemaRef ds:uri="http://schemas.microsoft.com/sharepoint/v3"/>
  </ds:schemaRefs>
</ds:datastoreItem>
</file>

<file path=customXml/itemProps5.xml><?xml version="1.0" encoding="utf-8"?>
<ds:datastoreItem xmlns:ds="http://schemas.openxmlformats.org/officeDocument/2006/customXml" ds:itemID="{5CAE6DA4-5240-4FF2-A95E-D0B26E908810}">
  <ds:schemaRefs>
    <ds:schemaRef ds:uri="http://schemas.microsoft.com/DataMashup"/>
  </ds:schemaRefs>
</ds:datastoreItem>
</file>

<file path=customXml/itemProps6.xml><?xml version="1.0" encoding="utf-8"?>
<ds:datastoreItem xmlns:ds="http://schemas.openxmlformats.org/officeDocument/2006/customXml" ds:itemID="{C080346E-5EC5-4767-B5DA-49332C3B2CFD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Index</vt:lpstr>
      <vt:lpstr>Tab 1</vt:lpstr>
      <vt:lpstr>Tab 2</vt:lpstr>
      <vt:lpstr>Tab 3</vt:lpstr>
      <vt:lpstr>Tab 4</vt:lpstr>
      <vt:lpstr>Tab 5</vt:lpstr>
      <vt:lpstr>Tab 6</vt:lpstr>
      <vt:lpstr>457-PQ</vt:lpstr>
      <vt:lpstr>'Tab 2'!Print_Area</vt:lpstr>
      <vt:lpstr>'Tab 3'!Print_Area</vt:lpstr>
      <vt:lpstr>'Tab 5'!Print_Area</vt:lpstr>
      <vt:lpstr>'Tab 6'!Print_Area</vt:lpstr>
      <vt:lpstr>'Tab 3'!Print_Titles</vt:lpstr>
      <vt:lpstr>'Tab 5'!Print_Titles</vt:lpstr>
      <vt:lpstr>'Tab 6'!Print_Titles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J Frantz</dc:creator>
  <cp:keywords/>
  <cp:lastModifiedBy>d000298</cp:lastModifiedBy>
  <cp:lastPrinted>2024-02-13T13:58:03Z</cp:lastPrinted>
  <dcterms:created xsi:type="dcterms:W3CDTF">2014-12-03T14:42:55Z</dcterms:created>
  <dcterms:modified xsi:type="dcterms:W3CDTF">2024-02-13T14:00:26Z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0a78a79c-69f6-491f-8dd9-92957e1d8849</vt:lpwstr>
  </property>
  <property fmtid="{D5CDD505-2E9C-101B-9397-08002B2CF9AE}" pid="3" name="bjSaver">
    <vt:lpwstr>i5lfAags2z4Y8Fsh08PLxCGFvRlu448e</vt:lpwstr>
  </property>
  <property fmtid="{D5CDD505-2E9C-101B-9397-08002B2CF9AE}" pid="4" name="bjDocumentSecurityLabel">
    <vt:lpwstr>AEP Internal</vt:lpwstr>
  </property>
  <property fmtid="{D5CDD505-2E9C-101B-9397-08002B2CF9AE}" pid="5" name="bjClsUserRVM">
    <vt:lpwstr>[]</vt:lpwstr>
  </property>
  <property fmtid="{D5CDD505-2E9C-101B-9397-08002B2CF9AE}" pid="6" name="MSIP_Label_69f43042-6bda-44b2-91eb-eca3d3d484f4_SiteId">
    <vt:lpwstr>15f3c881-6b03-4ff6-8559-77bf5177818f</vt:lpwstr>
  </property>
  <property fmtid="{D5CDD505-2E9C-101B-9397-08002B2CF9AE}" pid="7" name="MSIP_Label_69f43042-6bda-44b2-91eb-eca3d3d484f4_Name">
    <vt:lpwstr>AEP Internal</vt:lpwstr>
  </property>
  <property fmtid="{D5CDD505-2E9C-101B-9397-08002B2CF9AE}" pid="8" name="MSIP_Label_69f43042-6bda-44b2-91eb-eca3d3d484f4_Enabled">
    <vt:lpwstr>true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policy="e9c0b8d7-bdb4-4fd3-b62a-f50327aaefce" origin="userSelected" xmlns="http://www.boldonj</vt:lpwstr>
  </property>
  <property fmtid="{D5CDD505-2E9C-101B-9397-08002B2CF9AE}" pid="10" name="bjDocumentLabelXML-0">
    <vt:lpwstr>ames.com/2008/01/sie/internal/label"&gt;&lt;element uid="50c31824-0780-4910-87d1-eaaffd182d42" value="" /&gt;&lt;/sisl&gt;</vt:lpwstr>
  </property>
  <property fmtid="{D5CDD505-2E9C-101B-9397-08002B2CF9AE}" pid="11" name="bjLabelHistoryID">
    <vt:lpwstr>{FC0D052E-0CAE-4738-8260-C84842D5B04C}</vt:lpwstr>
  </property>
  <property fmtid="{D5CDD505-2E9C-101B-9397-08002B2CF9AE}" pid="12" name="ContentTypeId">
    <vt:lpwstr>0x01010001136CE24ED5F449BD16740FFC7FAF6F</vt:lpwstr>
  </property>
  <property fmtid="{D5CDD505-2E9C-101B-9397-08002B2CF9AE}" pid="13" name="MediaServiceImageTags">
    <vt:lpwstr/>
  </property>
</Properties>
</file>